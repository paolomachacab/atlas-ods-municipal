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413C3652-5FA3-4108-9D98-65099BEB109F}" xr6:coauthVersionLast="47" xr6:coauthVersionMax="47" xr10:uidLastSave="{00000000-0000-0000-0000-000000000000}"/>
  <bookViews>
    <workbookView xWindow="-108" yWindow="-108" windowWidth="23256" windowHeight="12456" tabRatio="818" activeTab="2" xr2:uid="{00000000-000D-0000-FFFF-FFFF00000000}"/>
  </bookViews>
  <sheets>
    <sheet name="Datos procesados 2012" sheetId="1" r:id="rId1"/>
    <sheet name="Datos procesados 2024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calcPr calcId="191029"/>
</workbook>
</file>

<file path=xl/calcChain.xml><?xml version="1.0" encoding="utf-8"?>
<calcChain xmlns="http://schemas.openxmlformats.org/spreadsheetml/2006/main">
  <c r="O2" i="1" l="1"/>
  <c r="L346" i="2"/>
  <c r="K346" i="2"/>
  <c r="J346" i="2"/>
  <c r="M346" i="2" s="1"/>
  <c r="I346" i="2"/>
  <c r="E346" i="2"/>
  <c r="G346" i="2" s="1"/>
  <c r="D346" i="2"/>
  <c r="C346" i="2"/>
  <c r="F346" i="2" s="1"/>
  <c r="B346" i="2"/>
  <c r="K345" i="2"/>
  <c r="J345" i="2"/>
  <c r="I345" i="2"/>
  <c r="L345" i="2" s="1"/>
  <c r="D345" i="2"/>
  <c r="C345" i="2"/>
  <c r="B345" i="2"/>
  <c r="N344" i="2"/>
  <c r="O344" i="2" s="1"/>
  <c r="M344" i="2"/>
  <c r="L344" i="2"/>
  <c r="G344" i="2"/>
  <c r="F344" i="2"/>
  <c r="E344" i="2"/>
  <c r="M343" i="2"/>
  <c r="L343" i="2"/>
  <c r="N343" i="2" s="1"/>
  <c r="O343" i="2" s="1"/>
  <c r="F343" i="2"/>
  <c r="E343" i="2"/>
  <c r="G343" i="2" s="1"/>
  <c r="M342" i="2"/>
  <c r="L342" i="2"/>
  <c r="N342" i="2" s="1"/>
  <c r="O342" i="2" s="1"/>
  <c r="F342" i="2"/>
  <c r="E342" i="2"/>
  <c r="G342" i="2" s="1"/>
  <c r="M341" i="2"/>
  <c r="L341" i="2"/>
  <c r="G341" i="2"/>
  <c r="F341" i="2"/>
  <c r="E341" i="2"/>
  <c r="M340" i="2"/>
  <c r="L340" i="2"/>
  <c r="N340" i="2" s="1"/>
  <c r="F340" i="2"/>
  <c r="E340" i="2"/>
  <c r="G340" i="2" s="1"/>
  <c r="N339" i="2"/>
  <c r="M339" i="2"/>
  <c r="L339" i="2"/>
  <c r="G339" i="2"/>
  <c r="F339" i="2"/>
  <c r="E339" i="2"/>
  <c r="M338" i="2"/>
  <c r="L338" i="2"/>
  <c r="N338" i="2" s="1"/>
  <c r="O338" i="2" s="1"/>
  <c r="F338" i="2"/>
  <c r="E338" i="2"/>
  <c r="G338" i="2" s="1"/>
  <c r="M337" i="2"/>
  <c r="L337" i="2"/>
  <c r="N337" i="2" s="1"/>
  <c r="O337" i="2" s="1"/>
  <c r="F337" i="2"/>
  <c r="E337" i="2"/>
  <c r="G337" i="2" s="1"/>
  <c r="N336" i="2"/>
  <c r="O336" i="2" s="1"/>
  <c r="M336" i="2"/>
  <c r="L336" i="2"/>
  <c r="G336" i="2"/>
  <c r="F336" i="2"/>
  <c r="E336" i="2"/>
  <c r="M335" i="2"/>
  <c r="L335" i="2"/>
  <c r="N335" i="2" s="1"/>
  <c r="O335" i="2" s="1"/>
  <c r="F335" i="2"/>
  <c r="E335" i="2"/>
  <c r="G335" i="2" s="1"/>
  <c r="M334" i="2"/>
  <c r="L334" i="2"/>
  <c r="N334" i="2" s="1"/>
  <c r="O334" i="2" s="1"/>
  <c r="F334" i="2"/>
  <c r="E334" i="2"/>
  <c r="G334" i="2" s="1"/>
  <c r="M333" i="2"/>
  <c r="L333" i="2"/>
  <c r="G333" i="2"/>
  <c r="F333" i="2"/>
  <c r="E333" i="2"/>
  <c r="M332" i="2"/>
  <c r="L332" i="2"/>
  <c r="N332" i="2" s="1"/>
  <c r="F332" i="2"/>
  <c r="E332" i="2"/>
  <c r="G332" i="2" s="1"/>
  <c r="N331" i="2"/>
  <c r="M331" i="2"/>
  <c r="L331" i="2"/>
  <c r="G331" i="2"/>
  <c r="F331" i="2"/>
  <c r="E331" i="2"/>
  <c r="M330" i="2"/>
  <c r="L330" i="2"/>
  <c r="N330" i="2" s="1"/>
  <c r="O330" i="2" s="1"/>
  <c r="F330" i="2"/>
  <c r="E330" i="2"/>
  <c r="G330" i="2" s="1"/>
  <c r="M329" i="2"/>
  <c r="L329" i="2"/>
  <c r="N329" i="2" s="1"/>
  <c r="O329" i="2" s="1"/>
  <c r="F329" i="2"/>
  <c r="E329" i="2"/>
  <c r="G329" i="2" s="1"/>
  <c r="N328" i="2"/>
  <c r="O328" i="2" s="1"/>
  <c r="M328" i="2"/>
  <c r="L328" i="2"/>
  <c r="G328" i="2"/>
  <c r="F328" i="2"/>
  <c r="E328" i="2"/>
  <c r="M327" i="2"/>
  <c r="L327" i="2"/>
  <c r="N327" i="2" s="1"/>
  <c r="O327" i="2" s="1"/>
  <c r="F327" i="2"/>
  <c r="E327" i="2"/>
  <c r="G327" i="2" s="1"/>
  <c r="M326" i="2"/>
  <c r="L326" i="2"/>
  <c r="N326" i="2" s="1"/>
  <c r="O326" i="2" s="1"/>
  <c r="F326" i="2"/>
  <c r="E326" i="2"/>
  <c r="G326" i="2" s="1"/>
  <c r="M325" i="2"/>
  <c r="L325" i="2"/>
  <c r="G325" i="2"/>
  <c r="F325" i="2"/>
  <c r="E325" i="2"/>
  <c r="M324" i="2"/>
  <c r="L324" i="2"/>
  <c r="N324" i="2" s="1"/>
  <c r="F324" i="2"/>
  <c r="E324" i="2"/>
  <c r="G324" i="2" s="1"/>
  <c r="N323" i="2"/>
  <c r="M323" i="2"/>
  <c r="L323" i="2"/>
  <c r="G323" i="2"/>
  <c r="F323" i="2"/>
  <c r="E323" i="2"/>
  <c r="M322" i="2"/>
  <c r="L322" i="2"/>
  <c r="N322" i="2" s="1"/>
  <c r="O322" i="2" s="1"/>
  <c r="F322" i="2"/>
  <c r="E322" i="2"/>
  <c r="G322" i="2" s="1"/>
  <c r="M321" i="2"/>
  <c r="L321" i="2"/>
  <c r="N321" i="2" s="1"/>
  <c r="O321" i="2" s="1"/>
  <c r="F321" i="2"/>
  <c r="E321" i="2"/>
  <c r="G321" i="2" s="1"/>
  <c r="N320" i="2"/>
  <c r="O320" i="2" s="1"/>
  <c r="M320" i="2"/>
  <c r="L320" i="2"/>
  <c r="G320" i="2"/>
  <c r="F320" i="2"/>
  <c r="E320" i="2"/>
  <c r="M319" i="2"/>
  <c r="L319" i="2"/>
  <c r="N319" i="2" s="1"/>
  <c r="O319" i="2" s="1"/>
  <c r="F319" i="2"/>
  <c r="E319" i="2"/>
  <c r="G319" i="2" s="1"/>
  <c r="M318" i="2"/>
  <c r="L318" i="2"/>
  <c r="N318" i="2" s="1"/>
  <c r="O318" i="2" s="1"/>
  <c r="F318" i="2"/>
  <c r="E318" i="2"/>
  <c r="G318" i="2" s="1"/>
  <c r="M317" i="2"/>
  <c r="L317" i="2"/>
  <c r="G317" i="2"/>
  <c r="F317" i="2"/>
  <c r="E317" i="2"/>
  <c r="M316" i="2"/>
  <c r="L316" i="2"/>
  <c r="N316" i="2" s="1"/>
  <c r="F316" i="2"/>
  <c r="E316" i="2"/>
  <c r="G316" i="2" s="1"/>
  <c r="N315" i="2"/>
  <c r="M315" i="2"/>
  <c r="L315" i="2"/>
  <c r="G315" i="2"/>
  <c r="F315" i="2"/>
  <c r="E315" i="2"/>
  <c r="M314" i="2"/>
  <c r="L314" i="2"/>
  <c r="N314" i="2" s="1"/>
  <c r="O314" i="2" s="1"/>
  <c r="F314" i="2"/>
  <c r="E314" i="2"/>
  <c r="G314" i="2" s="1"/>
  <c r="M313" i="2"/>
  <c r="L313" i="2"/>
  <c r="N313" i="2" s="1"/>
  <c r="O313" i="2" s="1"/>
  <c r="F313" i="2"/>
  <c r="E313" i="2"/>
  <c r="G313" i="2" s="1"/>
  <c r="N312" i="2"/>
  <c r="O312" i="2" s="1"/>
  <c r="M312" i="2"/>
  <c r="L312" i="2"/>
  <c r="G312" i="2"/>
  <c r="F312" i="2"/>
  <c r="E312" i="2"/>
  <c r="M311" i="2"/>
  <c r="L311" i="2"/>
  <c r="N311" i="2" s="1"/>
  <c r="O311" i="2" s="1"/>
  <c r="F311" i="2"/>
  <c r="E311" i="2"/>
  <c r="G311" i="2" s="1"/>
  <c r="M310" i="2"/>
  <c r="L310" i="2"/>
  <c r="N310" i="2" s="1"/>
  <c r="O310" i="2" s="1"/>
  <c r="F310" i="2"/>
  <c r="E310" i="2"/>
  <c r="G310" i="2" s="1"/>
  <c r="M309" i="2"/>
  <c r="L309" i="2"/>
  <c r="G309" i="2"/>
  <c r="F309" i="2"/>
  <c r="E309" i="2"/>
  <c r="M308" i="2"/>
  <c r="L308" i="2"/>
  <c r="N308" i="2" s="1"/>
  <c r="F308" i="2"/>
  <c r="E308" i="2"/>
  <c r="G308" i="2" s="1"/>
  <c r="N307" i="2"/>
  <c r="M307" i="2"/>
  <c r="L307" i="2"/>
  <c r="G307" i="2"/>
  <c r="F307" i="2"/>
  <c r="E307" i="2"/>
  <c r="M306" i="2"/>
  <c r="L306" i="2"/>
  <c r="N306" i="2" s="1"/>
  <c r="O306" i="2" s="1"/>
  <c r="F306" i="2"/>
  <c r="E306" i="2"/>
  <c r="G306" i="2" s="1"/>
  <c r="M305" i="2"/>
  <c r="L305" i="2"/>
  <c r="N305" i="2" s="1"/>
  <c r="O305" i="2" s="1"/>
  <c r="F305" i="2"/>
  <c r="E305" i="2"/>
  <c r="G305" i="2" s="1"/>
  <c r="N304" i="2"/>
  <c r="O304" i="2" s="1"/>
  <c r="M304" i="2"/>
  <c r="L304" i="2"/>
  <c r="G304" i="2"/>
  <c r="F304" i="2"/>
  <c r="E304" i="2"/>
  <c r="M303" i="2"/>
  <c r="L303" i="2"/>
  <c r="N303" i="2" s="1"/>
  <c r="O303" i="2" s="1"/>
  <c r="F303" i="2"/>
  <c r="E303" i="2"/>
  <c r="G303" i="2" s="1"/>
  <c r="M302" i="2"/>
  <c r="L302" i="2"/>
  <c r="N302" i="2" s="1"/>
  <c r="O302" i="2" s="1"/>
  <c r="F302" i="2"/>
  <c r="E302" i="2"/>
  <c r="G302" i="2" s="1"/>
  <c r="M301" i="2"/>
  <c r="L301" i="2"/>
  <c r="G301" i="2"/>
  <c r="F301" i="2"/>
  <c r="E301" i="2"/>
  <c r="M300" i="2"/>
  <c r="L300" i="2"/>
  <c r="N300" i="2" s="1"/>
  <c r="F300" i="2"/>
  <c r="E300" i="2"/>
  <c r="G300" i="2" s="1"/>
  <c r="N299" i="2"/>
  <c r="M299" i="2"/>
  <c r="L299" i="2"/>
  <c r="G299" i="2"/>
  <c r="F299" i="2"/>
  <c r="E299" i="2"/>
  <c r="M298" i="2"/>
  <c r="L298" i="2"/>
  <c r="N298" i="2" s="1"/>
  <c r="O298" i="2" s="1"/>
  <c r="F298" i="2"/>
  <c r="E298" i="2"/>
  <c r="G298" i="2" s="1"/>
  <c r="M297" i="2"/>
  <c r="L297" i="2"/>
  <c r="N297" i="2" s="1"/>
  <c r="O297" i="2" s="1"/>
  <c r="F297" i="2"/>
  <c r="E297" i="2"/>
  <c r="G297" i="2" s="1"/>
  <c r="N296" i="2"/>
  <c r="O296" i="2" s="1"/>
  <c r="M296" i="2"/>
  <c r="L296" i="2"/>
  <c r="G296" i="2"/>
  <c r="F296" i="2"/>
  <c r="E296" i="2"/>
  <c r="M295" i="2"/>
  <c r="L295" i="2"/>
  <c r="N295" i="2" s="1"/>
  <c r="O295" i="2" s="1"/>
  <c r="F295" i="2"/>
  <c r="E295" i="2"/>
  <c r="G295" i="2" s="1"/>
  <c r="M294" i="2"/>
  <c r="L294" i="2"/>
  <c r="N294" i="2" s="1"/>
  <c r="O294" i="2" s="1"/>
  <c r="F294" i="2"/>
  <c r="E294" i="2"/>
  <c r="G294" i="2" s="1"/>
  <c r="M293" i="2"/>
  <c r="L293" i="2"/>
  <c r="G293" i="2"/>
  <c r="F293" i="2"/>
  <c r="E293" i="2"/>
  <c r="M292" i="2"/>
  <c r="L292" i="2"/>
  <c r="N292" i="2" s="1"/>
  <c r="F292" i="2"/>
  <c r="E292" i="2"/>
  <c r="G292" i="2" s="1"/>
  <c r="N291" i="2"/>
  <c r="M291" i="2"/>
  <c r="L291" i="2"/>
  <c r="G291" i="2"/>
  <c r="F291" i="2"/>
  <c r="E291" i="2"/>
  <c r="M290" i="2"/>
  <c r="L290" i="2"/>
  <c r="N290" i="2" s="1"/>
  <c r="O290" i="2" s="1"/>
  <c r="F290" i="2"/>
  <c r="E290" i="2"/>
  <c r="G290" i="2" s="1"/>
  <c r="M289" i="2"/>
  <c r="L289" i="2"/>
  <c r="N289" i="2" s="1"/>
  <c r="O289" i="2" s="1"/>
  <c r="F289" i="2"/>
  <c r="E289" i="2"/>
  <c r="G289" i="2" s="1"/>
  <c r="N288" i="2"/>
  <c r="O288" i="2" s="1"/>
  <c r="M288" i="2"/>
  <c r="L288" i="2"/>
  <c r="G288" i="2"/>
  <c r="F288" i="2"/>
  <c r="E288" i="2"/>
  <c r="M287" i="2"/>
  <c r="L287" i="2"/>
  <c r="N287" i="2" s="1"/>
  <c r="O287" i="2" s="1"/>
  <c r="F287" i="2"/>
  <c r="E287" i="2"/>
  <c r="G287" i="2" s="1"/>
  <c r="M286" i="2"/>
  <c r="L286" i="2"/>
  <c r="N286" i="2" s="1"/>
  <c r="O286" i="2" s="1"/>
  <c r="F286" i="2"/>
  <c r="E286" i="2"/>
  <c r="G286" i="2" s="1"/>
  <c r="M285" i="2"/>
  <c r="L285" i="2"/>
  <c r="G285" i="2"/>
  <c r="F285" i="2"/>
  <c r="E285" i="2"/>
  <c r="M284" i="2"/>
  <c r="L284" i="2"/>
  <c r="N284" i="2" s="1"/>
  <c r="F284" i="2"/>
  <c r="E284" i="2"/>
  <c r="N283" i="2"/>
  <c r="M283" i="2"/>
  <c r="L283" i="2"/>
  <c r="F283" i="2"/>
  <c r="E283" i="2"/>
  <c r="G283" i="2" s="1"/>
  <c r="M282" i="2"/>
  <c r="L282" i="2"/>
  <c r="F282" i="2"/>
  <c r="E282" i="2"/>
  <c r="M281" i="2"/>
  <c r="L281" i="2"/>
  <c r="N281" i="2" s="1"/>
  <c r="F281" i="2"/>
  <c r="E281" i="2"/>
  <c r="G281" i="2" s="1"/>
  <c r="O281" i="2" s="1"/>
  <c r="N280" i="2"/>
  <c r="M280" i="2"/>
  <c r="L280" i="2"/>
  <c r="G280" i="2"/>
  <c r="F280" i="2"/>
  <c r="E280" i="2"/>
  <c r="M279" i="2"/>
  <c r="L279" i="2"/>
  <c r="F279" i="2"/>
  <c r="E279" i="2"/>
  <c r="N278" i="2"/>
  <c r="O278" i="2" s="1"/>
  <c r="M278" i="2"/>
  <c r="L278" i="2"/>
  <c r="F278" i="2"/>
  <c r="E278" i="2"/>
  <c r="G278" i="2" s="1"/>
  <c r="M277" i="2"/>
  <c r="L277" i="2"/>
  <c r="N277" i="2" s="1"/>
  <c r="O277" i="2" s="1"/>
  <c r="G277" i="2"/>
  <c r="F277" i="2"/>
  <c r="E277" i="2"/>
  <c r="M276" i="2"/>
  <c r="L276" i="2"/>
  <c r="N276" i="2" s="1"/>
  <c r="O276" i="2" s="1"/>
  <c r="F276" i="2"/>
  <c r="E276" i="2"/>
  <c r="G276" i="2" s="1"/>
  <c r="N275" i="2"/>
  <c r="M275" i="2"/>
  <c r="L275" i="2"/>
  <c r="F275" i="2"/>
  <c r="E275" i="2"/>
  <c r="G275" i="2" s="1"/>
  <c r="M274" i="2"/>
  <c r="L274" i="2"/>
  <c r="N274" i="2" s="1"/>
  <c r="F274" i="2"/>
  <c r="E274" i="2"/>
  <c r="G274" i="2" s="1"/>
  <c r="N273" i="2"/>
  <c r="M273" i="2"/>
  <c r="L273" i="2"/>
  <c r="G273" i="2"/>
  <c r="F273" i="2"/>
  <c r="E273" i="2"/>
  <c r="M272" i="2"/>
  <c r="L272" i="2"/>
  <c r="F272" i="2"/>
  <c r="E272" i="2"/>
  <c r="N271" i="2"/>
  <c r="M271" i="2"/>
  <c r="L271" i="2"/>
  <c r="F271" i="2"/>
  <c r="E271" i="2"/>
  <c r="G271" i="2" s="1"/>
  <c r="M270" i="2"/>
  <c r="L270" i="2"/>
  <c r="G270" i="2"/>
  <c r="F270" i="2"/>
  <c r="E270" i="2"/>
  <c r="M269" i="2"/>
  <c r="L269" i="2"/>
  <c r="N269" i="2" s="1"/>
  <c r="F269" i="2"/>
  <c r="E269" i="2"/>
  <c r="N268" i="2"/>
  <c r="M268" i="2"/>
  <c r="L268" i="2"/>
  <c r="F268" i="2"/>
  <c r="E268" i="2"/>
  <c r="G268" i="2" s="1"/>
  <c r="M267" i="2"/>
  <c r="L267" i="2"/>
  <c r="F267" i="2"/>
  <c r="E267" i="2"/>
  <c r="G267" i="2" s="1"/>
  <c r="M266" i="2"/>
  <c r="L266" i="2"/>
  <c r="N266" i="2" s="1"/>
  <c r="F266" i="2"/>
  <c r="E266" i="2"/>
  <c r="G266" i="2" s="1"/>
  <c r="O266" i="2" s="1"/>
  <c r="N265" i="2"/>
  <c r="O265" i="2" s="1"/>
  <c r="M265" i="2"/>
  <c r="L265" i="2"/>
  <c r="G265" i="2"/>
  <c r="F265" i="2"/>
  <c r="E265" i="2"/>
  <c r="N264" i="2"/>
  <c r="M264" i="2"/>
  <c r="L264" i="2"/>
  <c r="F264" i="2"/>
  <c r="E264" i="2"/>
  <c r="G264" i="2" s="1"/>
  <c r="M263" i="2"/>
  <c r="L263" i="2"/>
  <c r="N263" i="2" s="1"/>
  <c r="O263" i="2" s="1"/>
  <c r="G263" i="2"/>
  <c r="F263" i="2"/>
  <c r="E263" i="2"/>
  <c r="M262" i="2"/>
  <c r="L262" i="2"/>
  <c r="N262" i="2" s="1"/>
  <c r="O262" i="2" s="1"/>
  <c r="F262" i="2"/>
  <c r="E262" i="2"/>
  <c r="G262" i="2" s="1"/>
  <c r="N261" i="2"/>
  <c r="M261" i="2"/>
  <c r="L261" i="2"/>
  <c r="F261" i="2"/>
  <c r="E261" i="2"/>
  <c r="G261" i="2" s="1"/>
  <c r="M260" i="2"/>
  <c r="L260" i="2"/>
  <c r="N260" i="2" s="1"/>
  <c r="F260" i="2"/>
  <c r="E260" i="2"/>
  <c r="G260" i="2" s="1"/>
  <c r="O259" i="2"/>
  <c r="M259" i="2"/>
  <c r="L259" i="2"/>
  <c r="N259" i="2" s="1"/>
  <c r="F259" i="2"/>
  <c r="E259" i="2"/>
  <c r="G259" i="2" s="1"/>
  <c r="N258" i="2"/>
  <c r="O258" i="2" s="1"/>
  <c r="M258" i="2"/>
  <c r="L258" i="2"/>
  <c r="G258" i="2"/>
  <c r="F258" i="2"/>
  <c r="E258" i="2"/>
  <c r="M257" i="2"/>
  <c r="L257" i="2"/>
  <c r="N257" i="2" s="1"/>
  <c r="F257" i="2"/>
  <c r="E257" i="2"/>
  <c r="G257" i="2" s="1"/>
  <c r="O257" i="2" s="1"/>
  <c r="N256" i="2"/>
  <c r="O256" i="2" s="1"/>
  <c r="M256" i="2"/>
  <c r="L256" i="2"/>
  <c r="F256" i="2"/>
  <c r="E256" i="2"/>
  <c r="G256" i="2" s="1"/>
  <c r="M255" i="2"/>
  <c r="L255" i="2"/>
  <c r="G255" i="2"/>
  <c r="F255" i="2"/>
  <c r="E255" i="2"/>
  <c r="M254" i="2"/>
  <c r="L254" i="2"/>
  <c r="N254" i="2" s="1"/>
  <c r="F254" i="2"/>
  <c r="E254" i="2"/>
  <c r="N253" i="2"/>
  <c r="O253" i="2" s="1"/>
  <c r="M253" i="2"/>
  <c r="L253" i="2"/>
  <c r="G253" i="2"/>
  <c r="F253" i="2"/>
  <c r="E253" i="2"/>
  <c r="M252" i="2"/>
  <c r="L252" i="2"/>
  <c r="F252" i="2"/>
  <c r="E252" i="2"/>
  <c r="M251" i="2"/>
  <c r="L251" i="2"/>
  <c r="N251" i="2" s="1"/>
  <c r="O251" i="2" s="1"/>
  <c r="F251" i="2"/>
  <c r="E251" i="2"/>
  <c r="G251" i="2" s="1"/>
  <c r="N250" i="2"/>
  <c r="M250" i="2"/>
  <c r="L250" i="2"/>
  <c r="G250" i="2"/>
  <c r="F250" i="2"/>
  <c r="E250" i="2"/>
  <c r="M249" i="2"/>
  <c r="L249" i="2"/>
  <c r="F249" i="2"/>
  <c r="E249" i="2"/>
  <c r="M248" i="2"/>
  <c r="L248" i="2"/>
  <c r="N248" i="2" s="1"/>
  <c r="O248" i="2" s="1"/>
  <c r="F248" i="2"/>
  <c r="E248" i="2"/>
  <c r="G248" i="2" s="1"/>
  <c r="M247" i="2"/>
  <c r="L247" i="2"/>
  <c r="N247" i="2" s="1"/>
  <c r="O247" i="2" s="1"/>
  <c r="G247" i="2"/>
  <c r="F247" i="2"/>
  <c r="E247" i="2"/>
  <c r="O246" i="2"/>
  <c r="M246" i="2"/>
  <c r="L246" i="2"/>
  <c r="N246" i="2" s="1"/>
  <c r="F246" i="2"/>
  <c r="E246" i="2"/>
  <c r="G246" i="2" s="1"/>
  <c r="N245" i="2"/>
  <c r="M245" i="2"/>
  <c r="L245" i="2"/>
  <c r="G245" i="2"/>
  <c r="F245" i="2"/>
  <c r="E245" i="2"/>
  <c r="M244" i="2"/>
  <c r="L244" i="2"/>
  <c r="N244" i="2" s="1"/>
  <c r="F244" i="2"/>
  <c r="E244" i="2"/>
  <c r="M243" i="2"/>
  <c r="L243" i="2"/>
  <c r="N243" i="2" s="1"/>
  <c r="O243" i="2" s="1"/>
  <c r="F243" i="2"/>
  <c r="E243" i="2"/>
  <c r="G243" i="2" s="1"/>
  <c r="M242" i="2"/>
  <c r="L242" i="2"/>
  <c r="F242" i="2"/>
  <c r="E242" i="2"/>
  <c r="N241" i="2"/>
  <c r="M241" i="2"/>
  <c r="L241" i="2"/>
  <c r="F241" i="2"/>
  <c r="E241" i="2"/>
  <c r="G241" i="2" s="1"/>
  <c r="M240" i="2"/>
  <c r="L240" i="2"/>
  <c r="F240" i="2"/>
  <c r="G240" i="2" s="1"/>
  <c r="E240" i="2"/>
  <c r="M239" i="2"/>
  <c r="L239" i="2"/>
  <c r="N239" i="2" s="1"/>
  <c r="F239" i="2"/>
  <c r="E239" i="2"/>
  <c r="N238" i="2"/>
  <c r="M238" i="2"/>
  <c r="L238" i="2"/>
  <c r="F238" i="2"/>
  <c r="E238" i="2"/>
  <c r="G238" i="2" s="1"/>
  <c r="M237" i="2"/>
  <c r="L237" i="2"/>
  <c r="F237" i="2"/>
  <c r="E237" i="2"/>
  <c r="M236" i="2"/>
  <c r="L236" i="2"/>
  <c r="N236" i="2" s="1"/>
  <c r="O236" i="2" s="1"/>
  <c r="F236" i="2"/>
  <c r="E236" i="2"/>
  <c r="G236" i="2" s="1"/>
  <c r="N235" i="2"/>
  <c r="O235" i="2" s="1"/>
  <c r="M235" i="2"/>
  <c r="L235" i="2"/>
  <c r="G235" i="2"/>
  <c r="F235" i="2"/>
  <c r="E235" i="2"/>
  <c r="M234" i="2"/>
  <c r="N234" i="2" s="1"/>
  <c r="L234" i="2"/>
  <c r="F234" i="2"/>
  <c r="E234" i="2"/>
  <c r="N233" i="2"/>
  <c r="O233" i="2" s="1"/>
  <c r="M233" i="2"/>
  <c r="L233" i="2"/>
  <c r="G233" i="2"/>
  <c r="F233" i="2"/>
  <c r="E233" i="2"/>
  <c r="M232" i="2"/>
  <c r="L232" i="2"/>
  <c r="G232" i="2"/>
  <c r="F232" i="2"/>
  <c r="E232" i="2"/>
  <c r="M231" i="2"/>
  <c r="L231" i="2"/>
  <c r="N231" i="2" s="1"/>
  <c r="F231" i="2"/>
  <c r="E231" i="2"/>
  <c r="G231" i="2" s="1"/>
  <c r="O231" i="2" s="1"/>
  <c r="N230" i="2"/>
  <c r="M230" i="2"/>
  <c r="L230" i="2"/>
  <c r="G230" i="2"/>
  <c r="F230" i="2"/>
  <c r="E230" i="2"/>
  <c r="M229" i="2"/>
  <c r="L229" i="2"/>
  <c r="N229" i="2" s="1"/>
  <c r="F229" i="2"/>
  <c r="E229" i="2"/>
  <c r="G229" i="2" s="1"/>
  <c r="N228" i="2"/>
  <c r="M228" i="2"/>
  <c r="L228" i="2"/>
  <c r="F228" i="2"/>
  <c r="G228" i="2" s="1"/>
  <c r="E228" i="2"/>
  <c r="M227" i="2"/>
  <c r="L227" i="2"/>
  <c r="N227" i="2" s="1"/>
  <c r="F227" i="2"/>
  <c r="G227" i="2" s="1"/>
  <c r="E227" i="2"/>
  <c r="M226" i="2"/>
  <c r="L226" i="2"/>
  <c r="N226" i="2" s="1"/>
  <c r="F226" i="2"/>
  <c r="E226" i="2"/>
  <c r="G226" i="2" s="1"/>
  <c r="M225" i="2"/>
  <c r="L225" i="2"/>
  <c r="N225" i="2" s="1"/>
  <c r="O225" i="2" s="1"/>
  <c r="G225" i="2"/>
  <c r="F225" i="2"/>
  <c r="E225" i="2"/>
  <c r="M224" i="2"/>
  <c r="N224" i="2" s="1"/>
  <c r="O224" i="2" s="1"/>
  <c r="L224" i="2"/>
  <c r="G224" i="2"/>
  <c r="F224" i="2"/>
  <c r="E224" i="2"/>
  <c r="N223" i="2"/>
  <c r="M223" i="2"/>
  <c r="L223" i="2"/>
  <c r="F223" i="2"/>
  <c r="E223" i="2"/>
  <c r="G223" i="2" s="1"/>
  <c r="M222" i="2"/>
  <c r="L222" i="2"/>
  <c r="N222" i="2" s="1"/>
  <c r="O222" i="2" s="1"/>
  <c r="G222" i="2"/>
  <c r="F222" i="2"/>
  <c r="E222" i="2"/>
  <c r="N221" i="2"/>
  <c r="M221" i="2"/>
  <c r="L221" i="2"/>
  <c r="G221" i="2"/>
  <c r="O221" i="2" s="1"/>
  <c r="F221" i="2"/>
  <c r="E221" i="2"/>
  <c r="N220" i="2"/>
  <c r="M220" i="2"/>
  <c r="L220" i="2"/>
  <c r="F220" i="2"/>
  <c r="G220" i="2" s="1"/>
  <c r="E220" i="2"/>
  <c r="M219" i="2"/>
  <c r="L219" i="2"/>
  <c r="N219" i="2" s="1"/>
  <c r="O219" i="2" s="1"/>
  <c r="G219" i="2"/>
  <c r="F219" i="2"/>
  <c r="E219" i="2"/>
  <c r="M218" i="2"/>
  <c r="L218" i="2"/>
  <c r="N218" i="2" s="1"/>
  <c r="F218" i="2"/>
  <c r="E218" i="2"/>
  <c r="G218" i="2" s="1"/>
  <c r="O218" i="2" s="1"/>
  <c r="N217" i="2"/>
  <c r="M217" i="2"/>
  <c r="L217" i="2"/>
  <c r="F217" i="2"/>
  <c r="E217" i="2"/>
  <c r="G217" i="2" s="1"/>
  <c r="O217" i="2" s="1"/>
  <c r="N216" i="2"/>
  <c r="M216" i="2"/>
  <c r="L216" i="2"/>
  <c r="F216" i="2"/>
  <c r="G216" i="2" s="1"/>
  <c r="O216" i="2" s="1"/>
  <c r="E216" i="2"/>
  <c r="N215" i="2"/>
  <c r="M215" i="2"/>
  <c r="L215" i="2"/>
  <c r="F215" i="2"/>
  <c r="E215" i="2"/>
  <c r="M214" i="2"/>
  <c r="L214" i="2"/>
  <c r="N214" i="2" s="1"/>
  <c r="O214" i="2" s="1"/>
  <c r="F214" i="2"/>
  <c r="E214" i="2"/>
  <c r="G214" i="2" s="1"/>
  <c r="M213" i="2"/>
  <c r="L213" i="2"/>
  <c r="N213" i="2" s="1"/>
  <c r="O213" i="2" s="1"/>
  <c r="G213" i="2"/>
  <c r="F213" i="2"/>
  <c r="E213" i="2"/>
  <c r="M212" i="2"/>
  <c r="N212" i="2" s="1"/>
  <c r="L212" i="2"/>
  <c r="G212" i="2"/>
  <c r="O212" i="2" s="1"/>
  <c r="F212" i="2"/>
  <c r="E212" i="2"/>
  <c r="M211" i="2"/>
  <c r="L211" i="2"/>
  <c r="F211" i="2"/>
  <c r="E211" i="2"/>
  <c r="G211" i="2" s="1"/>
  <c r="M210" i="2"/>
  <c r="L210" i="2"/>
  <c r="G210" i="2"/>
  <c r="F210" i="2"/>
  <c r="E210" i="2"/>
  <c r="N209" i="2"/>
  <c r="O209" i="2" s="1"/>
  <c r="M209" i="2"/>
  <c r="L209" i="2"/>
  <c r="F209" i="2"/>
  <c r="G209" i="2" s="1"/>
  <c r="E209" i="2"/>
  <c r="M208" i="2"/>
  <c r="N208" i="2" s="1"/>
  <c r="L208" i="2"/>
  <c r="F208" i="2"/>
  <c r="E208" i="2"/>
  <c r="G208" i="2" s="1"/>
  <c r="M207" i="2"/>
  <c r="L207" i="2"/>
  <c r="N207" i="2" s="1"/>
  <c r="F207" i="2"/>
  <c r="E207" i="2"/>
  <c r="N206" i="2"/>
  <c r="M206" i="2"/>
  <c r="L206" i="2"/>
  <c r="F206" i="2"/>
  <c r="E206" i="2"/>
  <c r="G206" i="2" s="1"/>
  <c r="M205" i="2"/>
  <c r="N205" i="2" s="1"/>
  <c r="O205" i="2" s="1"/>
  <c r="L205" i="2"/>
  <c r="G205" i="2"/>
  <c r="F205" i="2"/>
  <c r="E205" i="2"/>
  <c r="M204" i="2"/>
  <c r="L204" i="2"/>
  <c r="N204" i="2" s="1"/>
  <c r="F204" i="2"/>
  <c r="G204" i="2" s="1"/>
  <c r="E204" i="2"/>
  <c r="N203" i="2"/>
  <c r="M203" i="2"/>
  <c r="L203" i="2"/>
  <c r="F203" i="2"/>
  <c r="G203" i="2" s="1"/>
  <c r="E203" i="2"/>
  <c r="M202" i="2"/>
  <c r="L202" i="2"/>
  <c r="N202" i="2" s="1"/>
  <c r="O202" i="2" s="1"/>
  <c r="G202" i="2"/>
  <c r="F202" i="2"/>
  <c r="E202" i="2"/>
  <c r="N201" i="2"/>
  <c r="M201" i="2"/>
  <c r="L201" i="2"/>
  <c r="G201" i="2"/>
  <c r="O201" i="2" s="1"/>
  <c r="F201" i="2"/>
  <c r="E201" i="2"/>
  <c r="N200" i="2"/>
  <c r="M200" i="2"/>
  <c r="L200" i="2"/>
  <c r="F200" i="2"/>
  <c r="E200" i="2"/>
  <c r="M199" i="2"/>
  <c r="N199" i="2" s="1"/>
  <c r="L199" i="2"/>
  <c r="F199" i="2"/>
  <c r="E199" i="2"/>
  <c r="N198" i="2"/>
  <c r="M198" i="2"/>
  <c r="L198" i="2"/>
  <c r="F198" i="2"/>
  <c r="G198" i="2" s="1"/>
  <c r="E198" i="2"/>
  <c r="M197" i="2"/>
  <c r="L197" i="2"/>
  <c r="N197" i="2" s="1"/>
  <c r="F197" i="2"/>
  <c r="E197" i="2"/>
  <c r="G197" i="2" s="1"/>
  <c r="M196" i="2"/>
  <c r="N196" i="2" s="1"/>
  <c r="L196" i="2"/>
  <c r="G196" i="2"/>
  <c r="F196" i="2"/>
  <c r="E196" i="2"/>
  <c r="M195" i="2"/>
  <c r="L195" i="2"/>
  <c r="F195" i="2"/>
  <c r="E195" i="2"/>
  <c r="G195" i="2" s="1"/>
  <c r="M194" i="2"/>
  <c r="L194" i="2"/>
  <c r="N194" i="2" s="1"/>
  <c r="F194" i="2"/>
  <c r="G194" i="2" s="1"/>
  <c r="E194" i="2"/>
  <c r="N193" i="2"/>
  <c r="M193" i="2"/>
  <c r="L193" i="2"/>
  <c r="G193" i="2"/>
  <c r="O193" i="2" s="1"/>
  <c r="F193" i="2"/>
  <c r="E193" i="2"/>
  <c r="N192" i="2"/>
  <c r="M192" i="2"/>
  <c r="L192" i="2"/>
  <c r="F192" i="2"/>
  <c r="E192" i="2"/>
  <c r="G192" i="2" s="1"/>
  <c r="M191" i="2"/>
  <c r="L191" i="2"/>
  <c r="N191" i="2" s="1"/>
  <c r="O191" i="2" s="1"/>
  <c r="G191" i="2"/>
  <c r="F191" i="2"/>
  <c r="E191" i="2"/>
  <c r="O190" i="2"/>
  <c r="M190" i="2"/>
  <c r="N190" i="2" s="1"/>
  <c r="L190" i="2"/>
  <c r="G190" i="2"/>
  <c r="F190" i="2"/>
  <c r="E190" i="2"/>
  <c r="M189" i="2"/>
  <c r="L189" i="2"/>
  <c r="N189" i="2" s="1"/>
  <c r="F189" i="2"/>
  <c r="E189" i="2"/>
  <c r="G189" i="2" s="1"/>
  <c r="M188" i="2"/>
  <c r="L188" i="2"/>
  <c r="G188" i="2"/>
  <c r="F188" i="2"/>
  <c r="E188" i="2"/>
  <c r="N187" i="2"/>
  <c r="M187" i="2"/>
  <c r="L187" i="2"/>
  <c r="F187" i="2"/>
  <c r="G187" i="2" s="1"/>
  <c r="E187" i="2"/>
  <c r="M186" i="2"/>
  <c r="N186" i="2" s="1"/>
  <c r="O186" i="2" s="1"/>
  <c r="L186" i="2"/>
  <c r="F186" i="2"/>
  <c r="E186" i="2"/>
  <c r="G186" i="2" s="1"/>
  <c r="M185" i="2"/>
  <c r="L185" i="2"/>
  <c r="N185" i="2" s="1"/>
  <c r="F185" i="2"/>
  <c r="E185" i="2"/>
  <c r="N184" i="2"/>
  <c r="M184" i="2"/>
  <c r="L184" i="2"/>
  <c r="F184" i="2"/>
  <c r="E184" i="2"/>
  <c r="G184" i="2" s="1"/>
  <c r="M183" i="2"/>
  <c r="N183" i="2" s="1"/>
  <c r="O183" i="2" s="1"/>
  <c r="L183" i="2"/>
  <c r="G183" i="2"/>
  <c r="F183" i="2"/>
  <c r="E183" i="2"/>
  <c r="M182" i="2"/>
  <c r="L182" i="2"/>
  <c r="N182" i="2" s="1"/>
  <c r="F182" i="2"/>
  <c r="G182" i="2" s="1"/>
  <c r="E182" i="2"/>
  <c r="N181" i="2"/>
  <c r="M181" i="2"/>
  <c r="L181" i="2"/>
  <c r="F181" i="2"/>
  <c r="G181" i="2" s="1"/>
  <c r="E181" i="2"/>
  <c r="M180" i="2"/>
  <c r="L180" i="2"/>
  <c r="N180" i="2" s="1"/>
  <c r="G180" i="2"/>
  <c r="F180" i="2"/>
  <c r="E180" i="2"/>
  <c r="N179" i="2"/>
  <c r="M179" i="2"/>
  <c r="L179" i="2"/>
  <c r="F179" i="2"/>
  <c r="E179" i="2"/>
  <c r="G179" i="2" s="1"/>
  <c r="M178" i="2"/>
  <c r="L178" i="2"/>
  <c r="N178" i="2" s="1"/>
  <c r="F178" i="2"/>
  <c r="G178" i="2" s="1"/>
  <c r="E178" i="2"/>
  <c r="O177" i="2"/>
  <c r="N177" i="2"/>
  <c r="M177" i="2"/>
  <c r="L177" i="2"/>
  <c r="G177" i="2"/>
  <c r="F177" i="2"/>
  <c r="E177" i="2"/>
  <c r="N176" i="2"/>
  <c r="O176" i="2" s="1"/>
  <c r="M176" i="2"/>
  <c r="L176" i="2"/>
  <c r="F176" i="2"/>
  <c r="G176" i="2" s="1"/>
  <c r="E176" i="2"/>
  <c r="M175" i="2"/>
  <c r="L175" i="2"/>
  <c r="F175" i="2"/>
  <c r="E175" i="2"/>
  <c r="G175" i="2" s="1"/>
  <c r="M174" i="2"/>
  <c r="L174" i="2"/>
  <c r="N174" i="2" s="1"/>
  <c r="O174" i="2" s="1"/>
  <c r="G174" i="2"/>
  <c r="F174" i="2"/>
  <c r="E174" i="2"/>
  <c r="M173" i="2"/>
  <c r="N173" i="2" s="1"/>
  <c r="O173" i="2" s="1"/>
  <c r="L173" i="2"/>
  <c r="G173" i="2"/>
  <c r="F173" i="2"/>
  <c r="E173" i="2"/>
  <c r="N172" i="2"/>
  <c r="M172" i="2"/>
  <c r="L172" i="2"/>
  <c r="F172" i="2"/>
  <c r="E172" i="2"/>
  <c r="M171" i="2"/>
  <c r="N171" i="2" s="1"/>
  <c r="L171" i="2"/>
  <c r="F171" i="2"/>
  <c r="E171" i="2"/>
  <c r="G171" i="2" s="1"/>
  <c r="M170" i="2"/>
  <c r="L170" i="2"/>
  <c r="N170" i="2" s="1"/>
  <c r="F170" i="2"/>
  <c r="G170" i="2" s="1"/>
  <c r="E170" i="2"/>
  <c r="O169" i="2"/>
  <c r="N169" i="2"/>
  <c r="M169" i="2"/>
  <c r="L169" i="2"/>
  <c r="G169" i="2"/>
  <c r="F169" i="2"/>
  <c r="E169" i="2"/>
  <c r="N168" i="2"/>
  <c r="O168" i="2" s="1"/>
  <c r="M168" i="2"/>
  <c r="L168" i="2"/>
  <c r="F168" i="2"/>
  <c r="G168" i="2" s="1"/>
  <c r="E168" i="2"/>
  <c r="M167" i="2"/>
  <c r="L167" i="2"/>
  <c r="F167" i="2"/>
  <c r="E167" i="2"/>
  <c r="G167" i="2" s="1"/>
  <c r="M166" i="2"/>
  <c r="L166" i="2"/>
  <c r="N166" i="2" s="1"/>
  <c r="O166" i="2" s="1"/>
  <c r="G166" i="2"/>
  <c r="F166" i="2"/>
  <c r="E166" i="2"/>
  <c r="M165" i="2"/>
  <c r="N165" i="2" s="1"/>
  <c r="L165" i="2"/>
  <c r="G165" i="2"/>
  <c r="F165" i="2"/>
  <c r="E165" i="2"/>
  <c r="N164" i="2"/>
  <c r="M164" i="2"/>
  <c r="L164" i="2"/>
  <c r="F164" i="2"/>
  <c r="E164" i="2"/>
  <c r="M163" i="2"/>
  <c r="N163" i="2" s="1"/>
  <c r="O163" i="2" s="1"/>
  <c r="L163" i="2"/>
  <c r="F163" i="2"/>
  <c r="E163" i="2"/>
  <c r="G163" i="2" s="1"/>
  <c r="M162" i="2"/>
  <c r="L162" i="2"/>
  <c r="N162" i="2" s="1"/>
  <c r="F162" i="2"/>
  <c r="G162" i="2" s="1"/>
  <c r="E162" i="2"/>
  <c r="N161" i="2"/>
  <c r="M161" i="2"/>
  <c r="L161" i="2"/>
  <c r="F161" i="2"/>
  <c r="G161" i="2" s="1"/>
  <c r="E161" i="2"/>
  <c r="M160" i="2"/>
  <c r="L160" i="2"/>
  <c r="N160" i="2" s="1"/>
  <c r="F160" i="2"/>
  <c r="E160" i="2"/>
  <c r="G160" i="2" s="1"/>
  <c r="M159" i="2"/>
  <c r="L159" i="2"/>
  <c r="N159" i="2" s="1"/>
  <c r="O159" i="2" s="1"/>
  <c r="G159" i="2"/>
  <c r="F159" i="2"/>
  <c r="E159" i="2"/>
  <c r="O158" i="2"/>
  <c r="M158" i="2"/>
  <c r="N158" i="2" s="1"/>
  <c r="L158" i="2"/>
  <c r="G158" i="2"/>
  <c r="F158" i="2"/>
  <c r="E158" i="2"/>
  <c r="N157" i="2"/>
  <c r="M157" i="2"/>
  <c r="L157" i="2"/>
  <c r="F157" i="2"/>
  <c r="E157" i="2"/>
  <c r="G157" i="2" s="1"/>
  <c r="M156" i="2"/>
  <c r="N156" i="2" s="1"/>
  <c r="L156" i="2"/>
  <c r="F156" i="2"/>
  <c r="E156" i="2"/>
  <c r="G156" i="2" s="1"/>
  <c r="M155" i="2"/>
  <c r="L155" i="2"/>
  <c r="N155" i="2" s="1"/>
  <c r="O155" i="2" s="1"/>
  <c r="F155" i="2"/>
  <c r="G155" i="2" s="1"/>
  <c r="E155" i="2"/>
  <c r="N154" i="2"/>
  <c r="M154" i="2"/>
  <c r="L154" i="2"/>
  <c r="G154" i="2"/>
  <c r="O154" i="2" s="1"/>
  <c r="F154" i="2"/>
  <c r="E154" i="2"/>
  <c r="N153" i="2"/>
  <c r="O153" i="2" s="1"/>
  <c r="M153" i="2"/>
  <c r="L153" i="2"/>
  <c r="F153" i="2"/>
  <c r="G153" i="2" s="1"/>
  <c r="E153" i="2"/>
  <c r="M152" i="2"/>
  <c r="L152" i="2"/>
  <c r="N152" i="2" s="1"/>
  <c r="F152" i="2"/>
  <c r="E152" i="2"/>
  <c r="G152" i="2" s="1"/>
  <c r="M151" i="2"/>
  <c r="L151" i="2"/>
  <c r="N151" i="2" s="1"/>
  <c r="O151" i="2" s="1"/>
  <c r="G151" i="2"/>
  <c r="F151" i="2"/>
  <c r="E151" i="2"/>
  <c r="O150" i="2"/>
  <c r="M150" i="2"/>
  <c r="N150" i="2" s="1"/>
  <c r="L150" i="2"/>
  <c r="G150" i="2"/>
  <c r="F150" i="2"/>
  <c r="E150" i="2"/>
  <c r="N149" i="2"/>
  <c r="M149" i="2"/>
  <c r="L149" i="2"/>
  <c r="F149" i="2"/>
  <c r="E149" i="2"/>
  <c r="G149" i="2" s="1"/>
  <c r="M148" i="2"/>
  <c r="N148" i="2" s="1"/>
  <c r="L148" i="2"/>
  <c r="F148" i="2"/>
  <c r="E148" i="2"/>
  <c r="G148" i="2" s="1"/>
  <c r="M147" i="2"/>
  <c r="L147" i="2"/>
  <c r="N147" i="2" s="1"/>
  <c r="O147" i="2" s="1"/>
  <c r="F147" i="2"/>
  <c r="G147" i="2" s="1"/>
  <c r="E147" i="2"/>
  <c r="N146" i="2"/>
  <c r="M146" i="2"/>
  <c r="L146" i="2"/>
  <c r="G146" i="2"/>
  <c r="O146" i="2" s="1"/>
  <c r="F146" i="2"/>
  <c r="E146" i="2"/>
  <c r="N145" i="2"/>
  <c r="M145" i="2"/>
  <c r="L145" i="2"/>
  <c r="F145" i="2"/>
  <c r="G145" i="2" s="1"/>
  <c r="E145" i="2"/>
  <c r="M144" i="2"/>
  <c r="L144" i="2"/>
  <c r="N144" i="2" s="1"/>
  <c r="O144" i="2" s="1"/>
  <c r="F144" i="2"/>
  <c r="E144" i="2"/>
  <c r="G144" i="2" s="1"/>
  <c r="M143" i="2"/>
  <c r="L143" i="2"/>
  <c r="N143" i="2" s="1"/>
  <c r="O143" i="2" s="1"/>
  <c r="G143" i="2"/>
  <c r="F143" i="2"/>
  <c r="E143" i="2"/>
  <c r="O142" i="2"/>
  <c r="M142" i="2"/>
  <c r="N142" i="2" s="1"/>
  <c r="L142" i="2"/>
  <c r="G142" i="2"/>
  <c r="F142" i="2"/>
  <c r="E142" i="2"/>
  <c r="N141" i="2"/>
  <c r="M141" i="2"/>
  <c r="L141" i="2"/>
  <c r="F141" i="2"/>
  <c r="E141" i="2"/>
  <c r="G141" i="2" s="1"/>
  <c r="M140" i="2"/>
  <c r="N140" i="2" s="1"/>
  <c r="L140" i="2"/>
  <c r="F140" i="2"/>
  <c r="E140" i="2"/>
  <c r="G140" i="2" s="1"/>
  <c r="M139" i="2"/>
  <c r="L139" i="2"/>
  <c r="N139" i="2" s="1"/>
  <c r="O139" i="2" s="1"/>
  <c r="F139" i="2"/>
  <c r="G139" i="2" s="1"/>
  <c r="E139" i="2"/>
  <c r="N138" i="2"/>
  <c r="M138" i="2"/>
  <c r="L138" i="2"/>
  <c r="G138" i="2"/>
  <c r="O138" i="2" s="1"/>
  <c r="F138" i="2"/>
  <c r="E138" i="2"/>
  <c r="N137" i="2"/>
  <c r="O137" i="2" s="1"/>
  <c r="M137" i="2"/>
  <c r="L137" i="2"/>
  <c r="F137" i="2"/>
  <c r="G137" i="2" s="1"/>
  <c r="E137" i="2"/>
  <c r="M136" i="2"/>
  <c r="L136" i="2"/>
  <c r="N136" i="2" s="1"/>
  <c r="F136" i="2"/>
  <c r="E136" i="2"/>
  <c r="G136" i="2" s="1"/>
  <c r="M135" i="2"/>
  <c r="L135" i="2"/>
  <c r="N135" i="2" s="1"/>
  <c r="O135" i="2" s="1"/>
  <c r="G135" i="2"/>
  <c r="F135" i="2"/>
  <c r="E135" i="2"/>
  <c r="O134" i="2"/>
  <c r="M134" i="2"/>
  <c r="N134" i="2" s="1"/>
  <c r="L134" i="2"/>
  <c r="G134" i="2"/>
  <c r="F134" i="2"/>
  <c r="E134" i="2"/>
  <c r="N133" i="2"/>
  <c r="M133" i="2"/>
  <c r="L133" i="2"/>
  <c r="F133" i="2"/>
  <c r="E133" i="2"/>
  <c r="G133" i="2" s="1"/>
  <c r="M132" i="2"/>
  <c r="N132" i="2" s="1"/>
  <c r="L132" i="2"/>
  <c r="F132" i="2"/>
  <c r="E132" i="2"/>
  <c r="G132" i="2" s="1"/>
  <c r="M131" i="2"/>
  <c r="L131" i="2"/>
  <c r="N131" i="2" s="1"/>
  <c r="O131" i="2" s="1"/>
  <c r="F131" i="2"/>
  <c r="G131" i="2" s="1"/>
  <c r="E131" i="2"/>
  <c r="N130" i="2"/>
  <c r="M130" i="2"/>
  <c r="L130" i="2"/>
  <c r="G130" i="2"/>
  <c r="O130" i="2" s="1"/>
  <c r="F130" i="2"/>
  <c r="E130" i="2"/>
  <c r="N129" i="2"/>
  <c r="M129" i="2"/>
  <c r="L129" i="2"/>
  <c r="F129" i="2"/>
  <c r="G129" i="2" s="1"/>
  <c r="E129" i="2"/>
  <c r="M128" i="2"/>
  <c r="L128" i="2"/>
  <c r="F128" i="2"/>
  <c r="E128" i="2"/>
  <c r="G128" i="2" s="1"/>
  <c r="N127" i="2"/>
  <c r="O127" i="2" s="1"/>
  <c r="M127" i="2"/>
  <c r="L127" i="2"/>
  <c r="G127" i="2"/>
  <c r="F127" i="2"/>
  <c r="E127" i="2"/>
  <c r="O126" i="2"/>
  <c r="M126" i="2"/>
  <c r="N126" i="2" s="1"/>
  <c r="L126" i="2"/>
  <c r="G126" i="2"/>
  <c r="F126" i="2"/>
  <c r="E126" i="2"/>
  <c r="M125" i="2"/>
  <c r="L125" i="2"/>
  <c r="N125" i="2" s="1"/>
  <c r="O125" i="2" s="1"/>
  <c r="F125" i="2"/>
  <c r="E125" i="2"/>
  <c r="G125" i="2" s="1"/>
  <c r="M124" i="2"/>
  <c r="N124" i="2" s="1"/>
  <c r="L124" i="2"/>
  <c r="F124" i="2"/>
  <c r="E124" i="2"/>
  <c r="G124" i="2" s="1"/>
  <c r="M123" i="2"/>
  <c r="L123" i="2"/>
  <c r="N123" i="2" s="1"/>
  <c r="F123" i="2"/>
  <c r="G123" i="2" s="1"/>
  <c r="E123" i="2"/>
  <c r="N122" i="2"/>
  <c r="M122" i="2"/>
  <c r="L122" i="2"/>
  <c r="G122" i="2"/>
  <c r="O122" i="2" s="1"/>
  <c r="F122" i="2"/>
  <c r="E122" i="2"/>
  <c r="N121" i="2"/>
  <c r="M121" i="2"/>
  <c r="L121" i="2"/>
  <c r="F121" i="2"/>
  <c r="G121" i="2" s="1"/>
  <c r="E121" i="2"/>
  <c r="O120" i="2"/>
  <c r="M120" i="2"/>
  <c r="L120" i="2"/>
  <c r="N120" i="2" s="1"/>
  <c r="F120" i="2"/>
  <c r="E120" i="2"/>
  <c r="G120" i="2" s="1"/>
  <c r="M119" i="2"/>
  <c r="L119" i="2"/>
  <c r="N119" i="2" s="1"/>
  <c r="O119" i="2" s="1"/>
  <c r="G119" i="2"/>
  <c r="F119" i="2"/>
  <c r="E119" i="2"/>
  <c r="O118" i="2"/>
  <c r="M118" i="2"/>
  <c r="N118" i="2" s="1"/>
  <c r="L118" i="2"/>
  <c r="G118" i="2"/>
  <c r="F118" i="2"/>
  <c r="E118" i="2"/>
  <c r="M117" i="2"/>
  <c r="L117" i="2"/>
  <c r="N117" i="2" s="1"/>
  <c r="F117" i="2"/>
  <c r="E117" i="2"/>
  <c r="M116" i="2"/>
  <c r="N116" i="2" s="1"/>
  <c r="L116" i="2"/>
  <c r="G116" i="2"/>
  <c r="F116" i="2"/>
  <c r="E116" i="2"/>
  <c r="M115" i="2"/>
  <c r="L115" i="2"/>
  <c r="N115" i="2" s="1"/>
  <c r="O115" i="2" s="1"/>
  <c r="F115" i="2"/>
  <c r="G115" i="2" s="1"/>
  <c r="E115" i="2"/>
  <c r="N114" i="2"/>
  <c r="M114" i="2"/>
  <c r="L114" i="2"/>
  <c r="G114" i="2"/>
  <c r="F114" i="2"/>
  <c r="E114" i="2"/>
  <c r="N113" i="2"/>
  <c r="O113" i="2" s="1"/>
  <c r="M113" i="2"/>
  <c r="L113" i="2"/>
  <c r="F113" i="2"/>
  <c r="G113" i="2" s="1"/>
  <c r="E113" i="2"/>
  <c r="M112" i="2"/>
  <c r="L112" i="2"/>
  <c r="F112" i="2"/>
  <c r="E112" i="2"/>
  <c r="G112" i="2" s="1"/>
  <c r="N111" i="2"/>
  <c r="M111" i="2"/>
  <c r="L111" i="2"/>
  <c r="G111" i="2"/>
  <c r="F111" i="2"/>
  <c r="E111" i="2"/>
  <c r="M110" i="2"/>
  <c r="N110" i="2" s="1"/>
  <c r="L110" i="2"/>
  <c r="F110" i="2"/>
  <c r="G110" i="2" s="1"/>
  <c r="O110" i="2" s="1"/>
  <c r="E110" i="2"/>
  <c r="M109" i="2"/>
  <c r="L109" i="2"/>
  <c r="N109" i="2" s="1"/>
  <c r="F109" i="2"/>
  <c r="E109" i="2"/>
  <c r="G109" i="2" s="1"/>
  <c r="M108" i="2"/>
  <c r="N108" i="2" s="1"/>
  <c r="L108" i="2"/>
  <c r="G108" i="2"/>
  <c r="F108" i="2"/>
  <c r="E108" i="2"/>
  <c r="M107" i="2"/>
  <c r="L107" i="2"/>
  <c r="N107" i="2" s="1"/>
  <c r="O107" i="2" s="1"/>
  <c r="F107" i="2"/>
  <c r="G107" i="2" s="1"/>
  <c r="E107" i="2"/>
  <c r="O106" i="2"/>
  <c r="N106" i="2"/>
  <c r="M106" i="2"/>
  <c r="L106" i="2"/>
  <c r="G106" i="2"/>
  <c r="F106" i="2"/>
  <c r="E106" i="2"/>
  <c r="M105" i="2"/>
  <c r="N105" i="2" s="1"/>
  <c r="O105" i="2" s="1"/>
  <c r="L105" i="2"/>
  <c r="F105" i="2"/>
  <c r="G105" i="2" s="1"/>
  <c r="E105" i="2"/>
  <c r="M104" i="2"/>
  <c r="L104" i="2"/>
  <c r="F104" i="2"/>
  <c r="E104" i="2"/>
  <c r="G104" i="2" s="1"/>
  <c r="M103" i="2"/>
  <c r="L103" i="2"/>
  <c r="N103" i="2" s="1"/>
  <c r="O103" i="2" s="1"/>
  <c r="G103" i="2"/>
  <c r="F103" i="2"/>
  <c r="E103" i="2"/>
  <c r="M102" i="2"/>
  <c r="N102" i="2" s="1"/>
  <c r="L102" i="2"/>
  <c r="F102" i="2"/>
  <c r="G102" i="2" s="1"/>
  <c r="E102" i="2"/>
  <c r="N101" i="2"/>
  <c r="M101" i="2"/>
  <c r="L101" i="2"/>
  <c r="F101" i="2"/>
  <c r="E101" i="2"/>
  <c r="M100" i="2"/>
  <c r="N100" i="2" s="1"/>
  <c r="L100" i="2"/>
  <c r="G100" i="2"/>
  <c r="F100" i="2"/>
  <c r="E100" i="2"/>
  <c r="O99" i="2"/>
  <c r="M99" i="2"/>
  <c r="L99" i="2"/>
  <c r="N99" i="2" s="1"/>
  <c r="F99" i="2"/>
  <c r="G99" i="2" s="1"/>
  <c r="E99" i="2"/>
  <c r="N98" i="2"/>
  <c r="M98" i="2"/>
  <c r="L98" i="2"/>
  <c r="G98" i="2"/>
  <c r="F98" i="2"/>
  <c r="E98" i="2"/>
  <c r="N97" i="2"/>
  <c r="O97" i="2" s="1"/>
  <c r="M97" i="2"/>
  <c r="L97" i="2"/>
  <c r="F97" i="2"/>
  <c r="G97" i="2" s="1"/>
  <c r="E97" i="2"/>
  <c r="M96" i="2"/>
  <c r="L96" i="2"/>
  <c r="F96" i="2"/>
  <c r="E96" i="2"/>
  <c r="G96" i="2" s="1"/>
  <c r="N95" i="2"/>
  <c r="M95" i="2"/>
  <c r="L95" i="2"/>
  <c r="G95" i="2"/>
  <c r="F95" i="2"/>
  <c r="E95" i="2"/>
  <c r="M94" i="2"/>
  <c r="N94" i="2" s="1"/>
  <c r="L94" i="2"/>
  <c r="F94" i="2"/>
  <c r="G94" i="2" s="1"/>
  <c r="O94" i="2" s="1"/>
  <c r="E94" i="2"/>
  <c r="M93" i="2"/>
  <c r="L93" i="2"/>
  <c r="N93" i="2" s="1"/>
  <c r="F93" i="2"/>
  <c r="E93" i="2"/>
  <c r="G93" i="2" s="1"/>
  <c r="M92" i="2"/>
  <c r="N92" i="2" s="1"/>
  <c r="L92" i="2"/>
  <c r="G92" i="2"/>
  <c r="F92" i="2"/>
  <c r="E92" i="2"/>
  <c r="M91" i="2"/>
  <c r="L91" i="2"/>
  <c r="N91" i="2" s="1"/>
  <c r="O91" i="2" s="1"/>
  <c r="F91" i="2"/>
  <c r="G91" i="2" s="1"/>
  <c r="E91" i="2"/>
  <c r="O90" i="2"/>
  <c r="N90" i="2"/>
  <c r="M90" i="2"/>
  <c r="L90" i="2"/>
  <c r="G90" i="2"/>
  <c r="F90" i="2"/>
  <c r="E90" i="2"/>
  <c r="M89" i="2"/>
  <c r="N89" i="2" s="1"/>
  <c r="O89" i="2" s="1"/>
  <c r="L89" i="2"/>
  <c r="F89" i="2"/>
  <c r="G89" i="2" s="1"/>
  <c r="E89" i="2"/>
  <c r="M88" i="2"/>
  <c r="L88" i="2"/>
  <c r="F88" i="2"/>
  <c r="E88" i="2"/>
  <c r="G88" i="2" s="1"/>
  <c r="M87" i="2"/>
  <c r="L87" i="2"/>
  <c r="N87" i="2" s="1"/>
  <c r="O87" i="2" s="1"/>
  <c r="G87" i="2"/>
  <c r="F87" i="2"/>
  <c r="E87" i="2"/>
  <c r="M86" i="2"/>
  <c r="N86" i="2" s="1"/>
  <c r="L86" i="2"/>
  <c r="F86" i="2"/>
  <c r="G86" i="2" s="1"/>
  <c r="E86" i="2"/>
  <c r="N85" i="2"/>
  <c r="M85" i="2"/>
  <c r="L85" i="2"/>
  <c r="F85" i="2"/>
  <c r="E85" i="2"/>
  <c r="M84" i="2"/>
  <c r="N84" i="2" s="1"/>
  <c r="L84" i="2"/>
  <c r="G84" i="2"/>
  <c r="F84" i="2"/>
  <c r="E84" i="2"/>
  <c r="O83" i="2"/>
  <c r="M83" i="2"/>
  <c r="L83" i="2"/>
  <c r="N83" i="2" s="1"/>
  <c r="F83" i="2"/>
  <c r="G83" i="2" s="1"/>
  <c r="E83" i="2"/>
  <c r="N82" i="2"/>
  <c r="M82" i="2"/>
  <c r="L82" i="2"/>
  <c r="G82" i="2"/>
  <c r="F82" i="2"/>
  <c r="E82" i="2"/>
  <c r="N81" i="2"/>
  <c r="O81" i="2" s="1"/>
  <c r="M81" i="2"/>
  <c r="L81" i="2"/>
  <c r="F81" i="2"/>
  <c r="G81" i="2" s="1"/>
  <c r="E81" i="2"/>
  <c r="M80" i="2"/>
  <c r="L80" i="2"/>
  <c r="F80" i="2"/>
  <c r="E80" i="2"/>
  <c r="G80" i="2" s="1"/>
  <c r="N79" i="2"/>
  <c r="M79" i="2"/>
  <c r="L79" i="2"/>
  <c r="G79" i="2"/>
  <c r="F79" i="2"/>
  <c r="E79" i="2"/>
  <c r="M78" i="2"/>
  <c r="N78" i="2" s="1"/>
  <c r="L78" i="2"/>
  <c r="F78" i="2"/>
  <c r="G78" i="2" s="1"/>
  <c r="O78" i="2" s="1"/>
  <c r="E78" i="2"/>
  <c r="M77" i="2"/>
  <c r="L77" i="2"/>
  <c r="N77" i="2" s="1"/>
  <c r="F77" i="2"/>
  <c r="E77" i="2"/>
  <c r="G77" i="2" s="1"/>
  <c r="M76" i="2"/>
  <c r="N76" i="2" s="1"/>
  <c r="L76" i="2"/>
  <c r="G76" i="2"/>
  <c r="F76" i="2"/>
  <c r="E76" i="2"/>
  <c r="O75" i="2"/>
  <c r="N75" i="2"/>
  <c r="M75" i="2"/>
  <c r="L75" i="2"/>
  <c r="F75" i="2"/>
  <c r="G75" i="2" s="1"/>
  <c r="E75" i="2"/>
  <c r="M74" i="2"/>
  <c r="L74" i="2"/>
  <c r="N74" i="2" s="1"/>
  <c r="O74" i="2" s="1"/>
  <c r="G74" i="2"/>
  <c r="F74" i="2"/>
  <c r="E74" i="2"/>
  <c r="N73" i="2"/>
  <c r="O73" i="2" s="1"/>
  <c r="M73" i="2"/>
  <c r="L73" i="2"/>
  <c r="G73" i="2"/>
  <c r="F73" i="2"/>
  <c r="E73" i="2"/>
  <c r="M72" i="2"/>
  <c r="L72" i="2"/>
  <c r="N72" i="2" s="1"/>
  <c r="O72" i="2" s="1"/>
  <c r="F72" i="2"/>
  <c r="E72" i="2"/>
  <c r="G72" i="2" s="1"/>
  <c r="N71" i="2"/>
  <c r="M71" i="2"/>
  <c r="L71" i="2"/>
  <c r="F71" i="2"/>
  <c r="G71" i="2" s="1"/>
  <c r="E71" i="2"/>
  <c r="M70" i="2"/>
  <c r="N70" i="2" s="1"/>
  <c r="O70" i="2" s="1"/>
  <c r="L70" i="2"/>
  <c r="G70" i="2"/>
  <c r="F70" i="2"/>
  <c r="E70" i="2"/>
  <c r="M69" i="2"/>
  <c r="L69" i="2"/>
  <c r="N69" i="2" s="1"/>
  <c r="F69" i="2"/>
  <c r="E69" i="2"/>
  <c r="G69" i="2" s="1"/>
  <c r="O69" i="2" s="1"/>
  <c r="M68" i="2"/>
  <c r="N68" i="2" s="1"/>
  <c r="L68" i="2"/>
  <c r="F68" i="2"/>
  <c r="E68" i="2"/>
  <c r="G68" i="2" s="1"/>
  <c r="M67" i="2"/>
  <c r="L67" i="2"/>
  <c r="N67" i="2" s="1"/>
  <c r="O67" i="2" s="1"/>
  <c r="G67" i="2"/>
  <c r="F67" i="2"/>
  <c r="E67" i="2"/>
  <c r="N66" i="2"/>
  <c r="M66" i="2"/>
  <c r="L66" i="2"/>
  <c r="G66" i="2"/>
  <c r="F66" i="2"/>
  <c r="E66" i="2"/>
  <c r="N65" i="2"/>
  <c r="O65" i="2" s="1"/>
  <c r="M65" i="2"/>
  <c r="L65" i="2"/>
  <c r="F65" i="2"/>
  <c r="E65" i="2"/>
  <c r="G65" i="2" s="1"/>
  <c r="M64" i="2"/>
  <c r="L64" i="2"/>
  <c r="N64" i="2" s="1"/>
  <c r="F64" i="2"/>
  <c r="G64" i="2" s="1"/>
  <c r="E64" i="2"/>
  <c r="N63" i="2"/>
  <c r="O63" i="2" s="1"/>
  <c r="M63" i="2"/>
  <c r="L63" i="2"/>
  <c r="F63" i="2"/>
  <c r="E63" i="2"/>
  <c r="G63" i="2" s="1"/>
  <c r="M62" i="2"/>
  <c r="N62" i="2" s="1"/>
  <c r="L62" i="2"/>
  <c r="F62" i="2"/>
  <c r="E62" i="2"/>
  <c r="M61" i="2"/>
  <c r="L61" i="2"/>
  <c r="N61" i="2" s="1"/>
  <c r="F61" i="2"/>
  <c r="E61" i="2"/>
  <c r="M60" i="2"/>
  <c r="N60" i="2" s="1"/>
  <c r="O60" i="2" s="1"/>
  <c r="L60" i="2"/>
  <c r="G60" i="2"/>
  <c r="F60" i="2"/>
  <c r="E60" i="2"/>
  <c r="N59" i="2"/>
  <c r="M59" i="2"/>
  <c r="L59" i="2"/>
  <c r="F59" i="2"/>
  <c r="G59" i="2" s="1"/>
  <c r="E59" i="2"/>
  <c r="M58" i="2"/>
  <c r="L58" i="2"/>
  <c r="G58" i="2"/>
  <c r="F58" i="2"/>
  <c r="E58" i="2"/>
  <c r="N57" i="2"/>
  <c r="M57" i="2"/>
  <c r="L57" i="2"/>
  <c r="G57" i="2"/>
  <c r="F57" i="2"/>
  <c r="E57" i="2"/>
  <c r="M56" i="2"/>
  <c r="L56" i="2"/>
  <c r="N56" i="2" s="1"/>
  <c r="O56" i="2" s="1"/>
  <c r="F56" i="2"/>
  <c r="E56" i="2"/>
  <c r="G56" i="2" s="1"/>
  <c r="N55" i="2"/>
  <c r="M55" i="2"/>
  <c r="L55" i="2"/>
  <c r="G55" i="2"/>
  <c r="F55" i="2"/>
  <c r="E55" i="2"/>
  <c r="M54" i="2"/>
  <c r="N54" i="2" s="1"/>
  <c r="O54" i="2" s="1"/>
  <c r="L54" i="2"/>
  <c r="F54" i="2"/>
  <c r="G54" i="2" s="1"/>
  <c r="E54" i="2"/>
  <c r="M53" i="2"/>
  <c r="L53" i="2"/>
  <c r="N53" i="2" s="1"/>
  <c r="O53" i="2" s="1"/>
  <c r="F53" i="2"/>
  <c r="E53" i="2"/>
  <c r="G53" i="2" s="1"/>
  <c r="M52" i="2"/>
  <c r="L52" i="2"/>
  <c r="N52" i="2" s="1"/>
  <c r="O52" i="2" s="1"/>
  <c r="G52" i="2"/>
  <c r="F52" i="2"/>
  <c r="E52" i="2"/>
  <c r="N51" i="2"/>
  <c r="M51" i="2"/>
  <c r="L51" i="2"/>
  <c r="G51" i="2"/>
  <c r="F51" i="2"/>
  <c r="E51" i="2"/>
  <c r="M50" i="2"/>
  <c r="N50" i="2" s="1"/>
  <c r="L50" i="2"/>
  <c r="F50" i="2"/>
  <c r="E50" i="2"/>
  <c r="G50" i="2" s="1"/>
  <c r="N49" i="2"/>
  <c r="M49" i="2"/>
  <c r="L49" i="2"/>
  <c r="G49" i="2"/>
  <c r="F49" i="2"/>
  <c r="E49" i="2"/>
  <c r="O48" i="2"/>
  <c r="M48" i="2"/>
  <c r="L48" i="2"/>
  <c r="N48" i="2" s="1"/>
  <c r="F48" i="2"/>
  <c r="E48" i="2"/>
  <c r="G48" i="2" s="1"/>
  <c r="M47" i="2"/>
  <c r="L47" i="2"/>
  <c r="N47" i="2" s="1"/>
  <c r="G47" i="2"/>
  <c r="F47" i="2"/>
  <c r="E47" i="2"/>
  <c r="N46" i="2"/>
  <c r="M46" i="2"/>
  <c r="L46" i="2"/>
  <c r="F46" i="2"/>
  <c r="G46" i="2" s="1"/>
  <c r="O46" i="2" s="1"/>
  <c r="E46" i="2"/>
  <c r="N45" i="2"/>
  <c r="M45" i="2"/>
  <c r="L45" i="2"/>
  <c r="F45" i="2"/>
  <c r="E45" i="2"/>
  <c r="M44" i="2"/>
  <c r="L44" i="2"/>
  <c r="N44" i="2" s="1"/>
  <c r="F44" i="2"/>
  <c r="E44" i="2"/>
  <c r="G44" i="2" s="1"/>
  <c r="N43" i="2"/>
  <c r="M43" i="2"/>
  <c r="L43" i="2"/>
  <c r="G43" i="2"/>
  <c r="F43" i="2"/>
  <c r="E43" i="2"/>
  <c r="M42" i="2"/>
  <c r="N42" i="2" s="1"/>
  <c r="O42" i="2" s="1"/>
  <c r="L42" i="2"/>
  <c r="F42" i="2"/>
  <c r="G42" i="2" s="1"/>
  <c r="E42" i="2"/>
  <c r="M41" i="2"/>
  <c r="L41" i="2"/>
  <c r="N41" i="2" s="1"/>
  <c r="G41" i="2"/>
  <c r="F41" i="2"/>
  <c r="E41" i="2"/>
  <c r="M40" i="2"/>
  <c r="L40" i="2"/>
  <c r="F40" i="2"/>
  <c r="E40" i="2"/>
  <c r="G40" i="2" s="1"/>
  <c r="N39" i="2"/>
  <c r="M39" i="2"/>
  <c r="L39" i="2"/>
  <c r="F39" i="2"/>
  <c r="E39" i="2"/>
  <c r="M38" i="2"/>
  <c r="N38" i="2" s="1"/>
  <c r="O38" i="2" s="1"/>
  <c r="L38" i="2"/>
  <c r="F38" i="2"/>
  <c r="E38" i="2"/>
  <c r="G38" i="2" s="1"/>
  <c r="N37" i="2"/>
  <c r="M37" i="2"/>
  <c r="L37" i="2"/>
  <c r="F37" i="2"/>
  <c r="E37" i="2"/>
  <c r="N36" i="2"/>
  <c r="O36" i="2" s="1"/>
  <c r="M36" i="2"/>
  <c r="L36" i="2"/>
  <c r="F36" i="2"/>
  <c r="E36" i="2"/>
  <c r="G36" i="2" s="1"/>
  <c r="M35" i="2"/>
  <c r="L35" i="2"/>
  <c r="N35" i="2" s="1"/>
  <c r="G35" i="2"/>
  <c r="F35" i="2"/>
  <c r="E35" i="2"/>
  <c r="O34" i="2"/>
  <c r="M34" i="2"/>
  <c r="L34" i="2"/>
  <c r="N34" i="2" s="1"/>
  <c r="F34" i="2"/>
  <c r="G34" i="2" s="1"/>
  <c r="E34" i="2"/>
  <c r="M33" i="2"/>
  <c r="N33" i="2" s="1"/>
  <c r="L33" i="2"/>
  <c r="F33" i="2"/>
  <c r="E33" i="2"/>
  <c r="G33" i="2" s="1"/>
  <c r="M32" i="2"/>
  <c r="L32" i="2"/>
  <c r="N32" i="2" s="1"/>
  <c r="G32" i="2"/>
  <c r="O32" i="2" s="1"/>
  <c r="F32" i="2"/>
  <c r="E32" i="2"/>
  <c r="O31" i="2"/>
  <c r="N31" i="2"/>
  <c r="M31" i="2"/>
  <c r="L31" i="2"/>
  <c r="F31" i="2"/>
  <c r="G31" i="2" s="1"/>
  <c r="E31" i="2"/>
  <c r="N30" i="2"/>
  <c r="O30" i="2" s="1"/>
  <c r="M30" i="2"/>
  <c r="L30" i="2"/>
  <c r="F30" i="2"/>
  <c r="E30" i="2"/>
  <c r="G30" i="2" s="1"/>
  <c r="M29" i="2"/>
  <c r="L29" i="2"/>
  <c r="N29" i="2" s="1"/>
  <c r="G29" i="2"/>
  <c r="F29" i="2"/>
  <c r="E29" i="2"/>
  <c r="M28" i="2"/>
  <c r="N28" i="2" s="1"/>
  <c r="L28" i="2"/>
  <c r="F28" i="2"/>
  <c r="E28" i="2"/>
  <c r="G28" i="2" s="1"/>
  <c r="M27" i="2"/>
  <c r="L27" i="2"/>
  <c r="F27" i="2"/>
  <c r="G27" i="2" s="1"/>
  <c r="E27" i="2"/>
  <c r="N26" i="2"/>
  <c r="O26" i="2" s="1"/>
  <c r="M26" i="2"/>
  <c r="L26" i="2"/>
  <c r="F26" i="2"/>
  <c r="E26" i="2"/>
  <c r="G26" i="2" s="1"/>
  <c r="M25" i="2"/>
  <c r="N25" i="2" s="1"/>
  <c r="L25" i="2"/>
  <c r="G25" i="2"/>
  <c r="F25" i="2"/>
  <c r="E25" i="2"/>
  <c r="M24" i="2"/>
  <c r="L24" i="2"/>
  <c r="N24" i="2" s="1"/>
  <c r="O24" i="2" s="1"/>
  <c r="F24" i="2"/>
  <c r="E24" i="2"/>
  <c r="G24" i="2" s="1"/>
  <c r="M23" i="2"/>
  <c r="N23" i="2" s="1"/>
  <c r="O23" i="2" s="1"/>
  <c r="L23" i="2"/>
  <c r="F23" i="2"/>
  <c r="E23" i="2"/>
  <c r="G23" i="2" s="1"/>
  <c r="W22" i="2"/>
  <c r="V22" i="2"/>
  <c r="U22" i="2"/>
  <c r="O22" i="2"/>
  <c r="N22" i="2"/>
  <c r="M22" i="2"/>
  <c r="L22" i="2"/>
  <c r="F22" i="2"/>
  <c r="G22" i="2" s="1"/>
  <c r="E22" i="2"/>
  <c r="V21" i="2"/>
  <c r="W21" i="2" s="1"/>
  <c r="U21" i="2"/>
  <c r="M21" i="2"/>
  <c r="L21" i="2"/>
  <c r="G21" i="2"/>
  <c r="F21" i="2"/>
  <c r="E21" i="2"/>
  <c r="W20" i="2"/>
  <c r="V20" i="2"/>
  <c r="U20" i="2"/>
  <c r="M20" i="2"/>
  <c r="N20" i="2" s="1"/>
  <c r="L20" i="2"/>
  <c r="F20" i="2"/>
  <c r="G20" i="2" s="1"/>
  <c r="E20" i="2"/>
  <c r="V19" i="2"/>
  <c r="U19" i="2"/>
  <c r="W19" i="2" s="1"/>
  <c r="M19" i="2"/>
  <c r="L19" i="2"/>
  <c r="N19" i="2" s="1"/>
  <c r="O19" i="2" s="1"/>
  <c r="G19" i="2"/>
  <c r="F19" i="2"/>
  <c r="E19" i="2"/>
  <c r="W18" i="2"/>
  <c r="V18" i="2"/>
  <c r="U18" i="2"/>
  <c r="M18" i="2"/>
  <c r="N18" i="2" s="1"/>
  <c r="L18" i="2"/>
  <c r="F18" i="2"/>
  <c r="E18" i="2"/>
  <c r="W17" i="2"/>
  <c r="V17" i="2"/>
  <c r="U17" i="2"/>
  <c r="M17" i="2"/>
  <c r="L17" i="2"/>
  <c r="G17" i="2"/>
  <c r="F17" i="2"/>
  <c r="E17" i="2"/>
  <c r="V16" i="2"/>
  <c r="W16" i="2" s="1"/>
  <c r="U16" i="2"/>
  <c r="M16" i="2"/>
  <c r="L16" i="2"/>
  <c r="N16" i="2" s="1"/>
  <c r="O16" i="2" s="1"/>
  <c r="G16" i="2"/>
  <c r="F16" i="2"/>
  <c r="E16" i="2"/>
  <c r="V15" i="2"/>
  <c r="U15" i="2"/>
  <c r="M15" i="2"/>
  <c r="L15" i="2"/>
  <c r="N15" i="2" s="1"/>
  <c r="G15" i="2"/>
  <c r="F15" i="2"/>
  <c r="E15" i="2"/>
  <c r="W14" i="2"/>
  <c r="V14" i="2"/>
  <c r="U14" i="2"/>
  <c r="M14" i="2"/>
  <c r="N14" i="2" s="1"/>
  <c r="L14" i="2"/>
  <c r="F14" i="2"/>
  <c r="E14" i="2"/>
  <c r="G14" i="2" s="1"/>
  <c r="M13" i="2"/>
  <c r="L13" i="2"/>
  <c r="N13" i="2" s="1"/>
  <c r="F13" i="2"/>
  <c r="E13" i="2"/>
  <c r="G13" i="2" s="1"/>
  <c r="O12" i="2"/>
  <c r="M12" i="2"/>
  <c r="L12" i="2"/>
  <c r="N12" i="2" s="1"/>
  <c r="F12" i="2"/>
  <c r="G12" i="2" s="1"/>
  <c r="E12" i="2"/>
  <c r="N11" i="2"/>
  <c r="O11" i="2" s="1"/>
  <c r="M11" i="2"/>
  <c r="L11" i="2"/>
  <c r="G11" i="2"/>
  <c r="F11" i="2"/>
  <c r="E11" i="2"/>
  <c r="V10" i="2"/>
  <c r="U10" i="2"/>
  <c r="M10" i="2"/>
  <c r="L10" i="2"/>
  <c r="N10" i="2" s="1"/>
  <c r="F10" i="2"/>
  <c r="E10" i="2"/>
  <c r="X9" i="2"/>
  <c r="W9" i="2"/>
  <c r="V9" i="2"/>
  <c r="U9" i="2"/>
  <c r="M9" i="2"/>
  <c r="L9" i="2"/>
  <c r="N9" i="2" s="1"/>
  <c r="F9" i="2"/>
  <c r="E9" i="2"/>
  <c r="G9" i="2" s="1"/>
  <c r="V8" i="2"/>
  <c r="U8" i="2"/>
  <c r="W8" i="2" s="1"/>
  <c r="M8" i="2"/>
  <c r="L8" i="2"/>
  <c r="N8" i="2" s="1"/>
  <c r="O8" i="2" s="1"/>
  <c r="F8" i="2"/>
  <c r="E8" i="2"/>
  <c r="G8" i="2" s="1"/>
  <c r="W7" i="2"/>
  <c r="V7" i="2"/>
  <c r="U7" i="2"/>
  <c r="M7" i="2"/>
  <c r="L7" i="2"/>
  <c r="N7" i="2" s="1"/>
  <c r="O7" i="2" s="1"/>
  <c r="F7" i="2"/>
  <c r="G7" i="2" s="1"/>
  <c r="E7" i="2"/>
  <c r="X6" i="2"/>
  <c r="W6" i="2"/>
  <c r="V6" i="2"/>
  <c r="U6" i="2"/>
  <c r="M6" i="2"/>
  <c r="N6" i="2" s="1"/>
  <c r="O6" i="2" s="1"/>
  <c r="L6" i="2"/>
  <c r="F6" i="2"/>
  <c r="G6" i="2" s="1"/>
  <c r="E6" i="2"/>
  <c r="W5" i="2"/>
  <c r="V5" i="2"/>
  <c r="U5" i="2"/>
  <c r="N5" i="2"/>
  <c r="M5" i="2"/>
  <c r="L5" i="2"/>
  <c r="F5" i="2"/>
  <c r="E5" i="2"/>
  <c r="X4" i="2"/>
  <c r="V4" i="2"/>
  <c r="U4" i="2"/>
  <c r="W4" i="2" s="1"/>
  <c r="M4" i="2"/>
  <c r="L4" i="2"/>
  <c r="G4" i="2"/>
  <c r="F4" i="2"/>
  <c r="E4" i="2"/>
  <c r="V3" i="2"/>
  <c r="U3" i="2"/>
  <c r="W3" i="2" s="1"/>
  <c r="N3" i="2"/>
  <c r="M3" i="2"/>
  <c r="L3" i="2"/>
  <c r="G3" i="2"/>
  <c r="F3" i="2"/>
  <c r="E3" i="2"/>
  <c r="V2" i="2"/>
  <c r="W2" i="2" s="1"/>
  <c r="X2" i="2" s="1"/>
  <c r="U2" i="2"/>
  <c r="O2" i="2"/>
  <c r="N2" i="2"/>
  <c r="M2" i="2"/>
  <c r="L2" i="2"/>
  <c r="G2" i="2"/>
  <c r="F2" i="2"/>
  <c r="E2" i="2"/>
  <c r="K339" i="1"/>
  <c r="J339" i="1"/>
  <c r="M339" i="1" s="1"/>
  <c r="N339" i="1" s="1"/>
  <c r="I339" i="1"/>
  <c r="L339" i="1" s="1"/>
  <c r="D339" i="1"/>
  <c r="E339" i="1" s="1"/>
  <c r="C339" i="1"/>
  <c r="F339" i="1" s="1"/>
  <c r="B339" i="1"/>
  <c r="K338" i="1"/>
  <c r="J338" i="1"/>
  <c r="M338" i="1" s="1"/>
  <c r="I338" i="1"/>
  <c r="F338" i="1"/>
  <c r="E338" i="1"/>
  <c r="D338" i="1"/>
  <c r="C338" i="1"/>
  <c r="B338" i="1"/>
  <c r="M337" i="1"/>
  <c r="L337" i="1"/>
  <c r="N337" i="1" s="1"/>
  <c r="G337" i="1"/>
  <c r="O337" i="1" s="1"/>
  <c r="F337" i="1"/>
  <c r="E337" i="1"/>
  <c r="N336" i="1"/>
  <c r="M336" i="1"/>
  <c r="L336" i="1"/>
  <c r="F336" i="1"/>
  <c r="E336" i="1"/>
  <c r="M335" i="1"/>
  <c r="N335" i="1" s="1"/>
  <c r="L335" i="1"/>
  <c r="F335" i="1"/>
  <c r="E335" i="1"/>
  <c r="M334" i="1"/>
  <c r="L334" i="1"/>
  <c r="F334" i="1"/>
  <c r="E334" i="1"/>
  <c r="G334" i="1" s="1"/>
  <c r="N333" i="1"/>
  <c r="O333" i="1" s="1"/>
  <c r="M333" i="1"/>
  <c r="L333" i="1"/>
  <c r="G333" i="1"/>
  <c r="F333" i="1"/>
  <c r="E333" i="1"/>
  <c r="O332" i="1"/>
  <c r="M332" i="1"/>
  <c r="N332" i="1" s="1"/>
  <c r="L332" i="1"/>
  <c r="F332" i="1"/>
  <c r="G332" i="1" s="1"/>
  <c r="E332" i="1"/>
  <c r="M331" i="1"/>
  <c r="N331" i="1" s="1"/>
  <c r="L331" i="1"/>
  <c r="F331" i="1"/>
  <c r="E331" i="1"/>
  <c r="M330" i="1"/>
  <c r="L330" i="1"/>
  <c r="N330" i="1" s="1"/>
  <c r="F330" i="1"/>
  <c r="E330" i="1"/>
  <c r="G330" i="1" s="1"/>
  <c r="M329" i="1"/>
  <c r="L329" i="1"/>
  <c r="N329" i="1" s="1"/>
  <c r="F329" i="1"/>
  <c r="G329" i="1" s="1"/>
  <c r="E329" i="1"/>
  <c r="N328" i="1"/>
  <c r="M328" i="1"/>
  <c r="L328" i="1"/>
  <c r="F328" i="1"/>
  <c r="E328" i="1"/>
  <c r="G328" i="1" s="1"/>
  <c r="N327" i="1"/>
  <c r="O327" i="1" s="1"/>
  <c r="M327" i="1"/>
  <c r="L327" i="1"/>
  <c r="F327" i="1"/>
  <c r="E327" i="1"/>
  <c r="G327" i="1" s="1"/>
  <c r="M326" i="1"/>
  <c r="L326" i="1"/>
  <c r="N326" i="1" s="1"/>
  <c r="O326" i="1" s="1"/>
  <c r="F326" i="1"/>
  <c r="E326" i="1"/>
  <c r="G326" i="1" s="1"/>
  <c r="O325" i="1"/>
  <c r="M325" i="1"/>
  <c r="L325" i="1"/>
  <c r="N325" i="1" s="1"/>
  <c r="G325" i="1"/>
  <c r="F325" i="1"/>
  <c r="E325" i="1"/>
  <c r="M324" i="1"/>
  <c r="N324" i="1" s="1"/>
  <c r="L324" i="1"/>
  <c r="F324" i="1"/>
  <c r="E324" i="1"/>
  <c r="M323" i="1"/>
  <c r="L323" i="1"/>
  <c r="N323" i="1" s="1"/>
  <c r="F323" i="1"/>
  <c r="E323" i="1"/>
  <c r="G323" i="1" s="1"/>
  <c r="M322" i="1"/>
  <c r="L322" i="1"/>
  <c r="N322" i="1" s="1"/>
  <c r="O322" i="1" s="1"/>
  <c r="F322" i="1"/>
  <c r="G322" i="1" s="1"/>
  <c r="E322" i="1"/>
  <c r="N321" i="1"/>
  <c r="M321" i="1"/>
  <c r="L321" i="1"/>
  <c r="F321" i="1"/>
  <c r="E321" i="1"/>
  <c r="G321" i="1" s="1"/>
  <c r="N320" i="1"/>
  <c r="O320" i="1" s="1"/>
  <c r="M320" i="1"/>
  <c r="L320" i="1"/>
  <c r="F320" i="1"/>
  <c r="E320" i="1"/>
  <c r="G320" i="1" s="1"/>
  <c r="M319" i="1"/>
  <c r="L319" i="1"/>
  <c r="N319" i="1" s="1"/>
  <c r="O319" i="1" s="1"/>
  <c r="F319" i="1"/>
  <c r="E319" i="1"/>
  <c r="G319" i="1" s="1"/>
  <c r="O318" i="1"/>
  <c r="M318" i="1"/>
  <c r="L318" i="1"/>
  <c r="N318" i="1" s="1"/>
  <c r="G318" i="1"/>
  <c r="F318" i="1"/>
  <c r="E318" i="1"/>
  <c r="N317" i="1"/>
  <c r="O317" i="1" s="1"/>
  <c r="M317" i="1"/>
  <c r="L317" i="1"/>
  <c r="F317" i="1"/>
  <c r="E317" i="1"/>
  <c r="G317" i="1" s="1"/>
  <c r="M316" i="1"/>
  <c r="L316" i="1"/>
  <c r="N316" i="1" s="1"/>
  <c r="O316" i="1" s="1"/>
  <c r="F316" i="1"/>
  <c r="E316" i="1"/>
  <c r="G316" i="1" s="1"/>
  <c r="M315" i="1"/>
  <c r="L315" i="1"/>
  <c r="N315" i="1" s="1"/>
  <c r="F315" i="1"/>
  <c r="E315" i="1"/>
  <c r="G315" i="1" s="1"/>
  <c r="N314" i="1"/>
  <c r="O314" i="1" s="1"/>
  <c r="M314" i="1"/>
  <c r="L314" i="1"/>
  <c r="G314" i="1"/>
  <c r="F314" i="1"/>
  <c r="E314" i="1"/>
  <c r="M313" i="1"/>
  <c r="N313" i="1" s="1"/>
  <c r="O313" i="1" s="1"/>
  <c r="L313" i="1"/>
  <c r="F313" i="1"/>
  <c r="E313" i="1"/>
  <c r="G313" i="1" s="1"/>
  <c r="M312" i="1"/>
  <c r="N312" i="1" s="1"/>
  <c r="L312" i="1"/>
  <c r="F312" i="1"/>
  <c r="E312" i="1"/>
  <c r="M311" i="1"/>
  <c r="L311" i="1"/>
  <c r="N311" i="1" s="1"/>
  <c r="O311" i="1" s="1"/>
  <c r="G311" i="1"/>
  <c r="F311" i="1"/>
  <c r="E311" i="1"/>
  <c r="M310" i="1"/>
  <c r="L310" i="1"/>
  <c r="N310" i="1" s="1"/>
  <c r="G310" i="1"/>
  <c r="F310" i="1"/>
  <c r="E310" i="1"/>
  <c r="N309" i="1"/>
  <c r="O309" i="1" s="1"/>
  <c r="M309" i="1"/>
  <c r="L309" i="1"/>
  <c r="G309" i="1"/>
  <c r="F309" i="1"/>
  <c r="E309" i="1"/>
  <c r="N308" i="1"/>
  <c r="O308" i="1" s="1"/>
  <c r="M308" i="1"/>
  <c r="L308" i="1"/>
  <c r="F308" i="1"/>
  <c r="E308" i="1"/>
  <c r="G308" i="1" s="1"/>
  <c r="M307" i="1"/>
  <c r="L307" i="1"/>
  <c r="G307" i="1"/>
  <c r="F307" i="1"/>
  <c r="E307" i="1"/>
  <c r="M306" i="1"/>
  <c r="L306" i="1"/>
  <c r="N306" i="1" s="1"/>
  <c r="O306" i="1" s="1"/>
  <c r="F306" i="1"/>
  <c r="G306" i="1" s="1"/>
  <c r="E306" i="1"/>
  <c r="M305" i="1"/>
  <c r="N305" i="1" s="1"/>
  <c r="L305" i="1"/>
  <c r="F305" i="1"/>
  <c r="E305" i="1"/>
  <c r="G305" i="1" s="1"/>
  <c r="M304" i="1"/>
  <c r="L304" i="1"/>
  <c r="N304" i="1" s="1"/>
  <c r="O304" i="1" s="1"/>
  <c r="F304" i="1"/>
  <c r="E304" i="1"/>
  <c r="G304" i="1" s="1"/>
  <c r="M303" i="1"/>
  <c r="L303" i="1"/>
  <c r="N303" i="1" s="1"/>
  <c r="O303" i="1" s="1"/>
  <c r="F303" i="1"/>
  <c r="E303" i="1"/>
  <c r="G303" i="1" s="1"/>
  <c r="N302" i="1"/>
  <c r="O302" i="1" s="1"/>
  <c r="M302" i="1"/>
  <c r="L302" i="1"/>
  <c r="G302" i="1"/>
  <c r="F302" i="1"/>
  <c r="E302" i="1"/>
  <c r="M301" i="1"/>
  <c r="N301" i="1" s="1"/>
  <c r="O301" i="1" s="1"/>
  <c r="L301" i="1"/>
  <c r="F301" i="1"/>
  <c r="G301" i="1" s="1"/>
  <c r="E301" i="1"/>
  <c r="N300" i="1"/>
  <c r="M300" i="1"/>
  <c r="L300" i="1"/>
  <c r="F300" i="1"/>
  <c r="E300" i="1"/>
  <c r="G300" i="1" s="1"/>
  <c r="M299" i="1"/>
  <c r="L299" i="1"/>
  <c r="G299" i="1"/>
  <c r="F299" i="1"/>
  <c r="E299" i="1"/>
  <c r="M298" i="1"/>
  <c r="L298" i="1"/>
  <c r="N298" i="1" s="1"/>
  <c r="O298" i="1" s="1"/>
  <c r="F298" i="1"/>
  <c r="G298" i="1" s="1"/>
  <c r="E298" i="1"/>
  <c r="M297" i="1"/>
  <c r="N297" i="1" s="1"/>
  <c r="O297" i="1" s="1"/>
  <c r="L297" i="1"/>
  <c r="G297" i="1"/>
  <c r="F297" i="1"/>
  <c r="E297" i="1"/>
  <c r="M296" i="1"/>
  <c r="L296" i="1"/>
  <c r="N296" i="1" s="1"/>
  <c r="F296" i="1"/>
  <c r="E296" i="1"/>
  <c r="G296" i="1" s="1"/>
  <c r="M295" i="1"/>
  <c r="L295" i="1"/>
  <c r="F295" i="1"/>
  <c r="E295" i="1"/>
  <c r="G295" i="1" s="1"/>
  <c r="N294" i="1"/>
  <c r="M294" i="1"/>
  <c r="L294" i="1"/>
  <c r="F294" i="1"/>
  <c r="E294" i="1"/>
  <c r="G294" i="1" s="1"/>
  <c r="O293" i="1"/>
  <c r="M293" i="1"/>
  <c r="N293" i="1" s="1"/>
  <c r="L293" i="1"/>
  <c r="G293" i="1"/>
  <c r="F293" i="1"/>
  <c r="E293" i="1"/>
  <c r="M292" i="1"/>
  <c r="L292" i="1"/>
  <c r="N292" i="1" s="1"/>
  <c r="O292" i="1" s="1"/>
  <c r="F292" i="1"/>
  <c r="E292" i="1"/>
  <c r="G292" i="1" s="1"/>
  <c r="M291" i="1"/>
  <c r="L291" i="1"/>
  <c r="N291" i="1" s="1"/>
  <c r="O291" i="1" s="1"/>
  <c r="G291" i="1"/>
  <c r="F291" i="1"/>
  <c r="E291" i="1"/>
  <c r="M290" i="1"/>
  <c r="L290" i="1"/>
  <c r="N290" i="1" s="1"/>
  <c r="O290" i="1" s="1"/>
  <c r="G290" i="1"/>
  <c r="F290" i="1"/>
  <c r="E290" i="1"/>
  <c r="N289" i="1"/>
  <c r="M289" i="1"/>
  <c r="L289" i="1"/>
  <c r="F289" i="1"/>
  <c r="G289" i="1" s="1"/>
  <c r="E289" i="1"/>
  <c r="N288" i="1"/>
  <c r="M288" i="1"/>
  <c r="L288" i="1"/>
  <c r="F288" i="1"/>
  <c r="E288" i="1"/>
  <c r="G288" i="1" s="1"/>
  <c r="O287" i="1"/>
  <c r="M287" i="1"/>
  <c r="L287" i="1"/>
  <c r="N287" i="1" s="1"/>
  <c r="F287" i="1"/>
  <c r="E287" i="1"/>
  <c r="G287" i="1" s="1"/>
  <c r="N286" i="1"/>
  <c r="O286" i="1" s="1"/>
  <c r="M286" i="1"/>
  <c r="L286" i="1"/>
  <c r="G286" i="1"/>
  <c r="F286" i="1"/>
  <c r="E286" i="1"/>
  <c r="M285" i="1"/>
  <c r="N285" i="1" s="1"/>
  <c r="L285" i="1"/>
  <c r="F285" i="1"/>
  <c r="G285" i="1" s="1"/>
  <c r="E285" i="1"/>
  <c r="M284" i="1"/>
  <c r="L284" i="1"/>
  <c r="N284" i="1" s="1"/>
  <c r="F284" i="1"/>
  <c r="E284" i="1"/>
  <c r="N283" i="1"/>
  <c r="M283" i="1"/>
  <c r="L283" i="1"/>
  <c r="F283" i="1"/>
  <c r="G283" i="1" s="1"/>
  <c r="E283" i="1"/>
  <c r="M282" i="1"/>
  <c r="N282" i="1" s="1"/>
  <c r="O282" i="1" s="1"/>
  <c r="L282" i="1"/>
  <c r="G282" i="1"/>
  <c r="F282" i="1"/>
  <c r="E282" i="1"/>
  <c r="M281" i="1"/>
  <c r="N281" i="1" s="1"/>
  <c r="O281" i="1" s="1"/>
  <c r="L281" i="1"/>
  <c r="G281" i="1"/>
  <c r="F281" i="1"/>
  <c r="E281" i="1"/>
  <c r="M280" i="1"/>
  <c r="L280" i="1"/>
  <c r="N280" i="1" s="1"/>
  <c r="F280" i="1"/>
  <c r="E280" i="1"/>
  <c r="G280" i="1" s="1"/>
  <c r="N279" i="1"/>
  <c r="M279" i="1"/>
  <c r="L279" i="1"/>
  <c r="F279" i="1"/>
  <c r="G279" i="1" s="1"/>
  <c r="E279" i="1"/>
  <c r="N278" i="1"/>
  <c r="M278" i="1"/>
  <c r="L278" i="1"/>
  <c r="F278" i="1"/>
  <c r="E278" i="1"/>
  <c r="G278" i="1" s="1"/>
  <c r="M277" i="1"/>
  <c r="L277" i="1"/>
  <c r="N277" i="1" s="1"/>
  <c r="O277" i="1" s="1"/>
  <c r="F277" i="1"/>
  <c r="E277" i="1"/>
  <c r="G277" i="1" s="1"/>
  <c r="M276" i="1"/>
  <c r="N276" i="1" s="1"/>
  <c r="O276" i="1" s="1"/>
  <c r="L276" i="1"/>
  <c r="G276" i="1"/>
  <c r="F276" i="1"/>
  <c r="E276" i="1"/>
  <c r="M275" i="1"/>
  <c r="L275" i="1"/>
  <c r="N275" i="1" s="1"/>
  <c r="O275" i="1" s="1"/>
  <c r="F275" i="1"/>
  <c r="G275" i="1" s="1"/>
  <c r="E275" i="1"/>
  <c r="M274" i="1"/>
  <c r="L274" i="1"/>
  <c r="F274" i="1"/>
  <c r="E274" i="1"/>
  <c r="G274" i="1" s="1"/>
  <c r="N273" i="1"/>
  <c r="O273" i="1" s="1"/>
  <c r="M273" i="1"/>
  <c r="L273" i="1"/>
  <c r="F273" i="1"/>
  <c r="E273" i="1"/>
  <c r="G273" i="1" s="1"/>
  <c r="O272" i="1"/>
  <c r="M272" i="1"/>
  <c r="N272" i="1" s="1"/>
  <c r="L272" i="1"/>
  <c r="G272" i="1"/>
  <c r="F272" i="1"/>
  <c r="E272" i="1"/>
  <c r="M271" i="1"/>
  <c r="N271" i="1" s="1"/>
  <c r="L271" i="1"/>
  <c r="G271" i="1"/>
  <c r="F271" i="1"/>
  <c r="E271" i="1"/>
  <c r="M270" i="1"/>
  <c r="L270" i="1"/>
  <c r="F270" i="1"/>
  <c r="G270" i="1" s="1"/>
  <c r="E270" i="1"/>
  <c r="M269" i="1"/>
  <c r="L269" i="1"/>
  <c r="N269" i="1" s="1"/>
  <c r="G269" i="1"/>
  <c r="F269" i="1"/>
  <c r="E269" i="1"/>
  <c r="M268" i="1"/>
  <c r="L268" i="1"/>
  <c r="N268" i="1" s="1"/>
  <c r="F268" i="1"/>
  <c r="E268" i="1"/>
  <c r="G268" i="1" s="1"/>
  <c r="N267" i="1"/>
  <c r="M267" i="1"/>
  <c r="L267" i="1"/>
  <c r="G267" i="1"/>
  <c r="F267" i="1"/>
  <c r="E267" i="1"/>
  <c r="N266" i="1"/>
  <c r="O266" i="1" s="1"/>
  <c r="M266" i="1"/>
  <c r="L266" i="1"/>
  <c r="F266" i="1"/>
  <c r="E266" i="1"/>
  <c r="G266" i="1" s="1"/>
  <c r="M265" i="1"/>
  <c r="N265" i="1" s="1"/>
  <c r="L265" i="1"/>
  <c r="F265" i="1"/>
  <c r="E265" i="1"/>
  <c r="M264" i="1"/>
  <c r="L264" i="1"/>
  <c r="N264" i="1" s="1"/>
  <c r="G264" i="1"/>
  <c r="F264" i="1"/>
  <c r="E264" i="1"/>
  <c r="N263" i="1"/>
  <c r="M263" i="1"/>
  <c r="L263" i="1"/>
  <c r="G263" i="1"/>
  <c r="F263" i="1"/>
  <c r="E263" i="1"/>
  <c r="M262" i="1"/>
  <c r="L262" i="1"/>
  <c r="N262" i="1" s="1"/>
  <c r="F262" i="1"/>
  <c r="E262" i="1"/>
  <c r="M261" i="1"/>
  <c r="N261" i="1" s="1"/>
  <c r="O261" i="1" s="1"/>
  <c r="L261" i="1"/>
  <c r="G261" i="1"/>
  <c r="F261" i="1"/>
  <c r="E261" i="1"/>
  <c r="M260" i="1"/>
  <c r="L260" i="1"/>
  <c r="G260" i="1"/>
  <c r="F260" i="1"/>
  <c r="E260" i="1"/>
  <c r="M259" i="1"/>
  <c r="L259" i="1"/>
  <c r="N259" i="1" s="1"/>
  <c r="F259" i="1"/>
  <c r="G259" i="1" s="1"/>
  <c r="E259" i="1"/>
  <c r="M258" i="1"/>
  <c r="N258" i="1" s="1"/>
  <c r="L258" i="1"/>
  <c r="G258" i="1"/>
  <c r="F258" i="1"/>
  <c r="E258" i="1"/>
  <c r="M257" i="1"/>
  <c r="L257" i="1"/>
  <c r="N257" i="1" s="1"/>
  <c r="F257" i="1"/>
  <c r="E257" i="1"/>
  <c r="G257" i="1" s="1"/>
  <c r="N256" i="1"/>
  <c r="O256" i="1" s="1"/>
  <c r="M256" i="1"/>
  <c r="L256" i="1"/>
  <c r="F256" i="1"/>
  <c r="G256" i="1" s="1"/>
  <c r="E256" i="1"/>
  <c r="M255" i="1"/>
  <c r="N255" i="1" s="1"/>
  <c r="O255" i="1" s="1"/>
  <c r="L255" i="1"/>
  <c r="G255" i="1"/>
  <c r="F255" i="1"/>
  <c r="E255" i="1"/>
  <c r="M254" i="1"/>
  <c r="N254" i="1" s="1"/>
  <c r="O254" i="1" s="1"/>
  <c r="L254" i="1"/>
  <c r="G254" i="1"/>
  <c r="F254" i="1"/>
  <c r="E254" i="1"/>
  <c r="M253" i="1"/>
  <c r="L253" i="1"/>
  <c r="N253" i="1" s="1"/>
  <c r="F253" i="1"/>
  <c r="E253" i="1"/>
  <c r="G253" i="1" s="1"/>
  <c r="N252" i="1"/>
  <c r="M252" i="1"/>
  <c r="L252" i="1"/>
  <c r="F252" i="1"/>
  <c r="G252" i="1" s="1"/>
  <c r="E252" i="1"/>
  <c r="M251" i="1"/>
  <c r="N251" i="1" s="1"/>
  <c r="O251" i="1" s="1"/>
  <c r="L251" i="1"/>
  <c r="F251" i="1"/>
  <c r="E251" i="1"/>
  <c r="G251" i="1" s="1"/>
  <c r="N250" i="1"/>
  <c r="O250" i="1" s="1"/>
  <c r="M250" i="1"/>
  <c r="L250" i="1"/>
  <c r="F250" i="1"/>
  <c r="E250" i="1"/>
  <c r="G250" i="1" s="1"/>
  <c r="M249" i="1"/>
  <c r="L249" i="1"/>
  <c r="N249" i="1" s="1"/>
  <c r="O249" i="1" s="1"/>
  <c r="F249" i="1"/>
  <c r="E249" i="1"/>
  <c r="G249" i="1" s="1"/>
  <c r="M248" i="1"/>
  <c r="N248" i="1" s="1"/>
  <c r="O248" i="1" s="1"/>
  <c r="L248" i="1"/>
  <c r="G248" i="1"/>
  <c r="F248" i="1"/>
  <c r="E248" i="1"/>
  <c r="M247" i="1"/>
  <c r="L247" i="1"/>
  <c r="F247" i="1"/>
  <c r="G247" i="1" s="1"/>
  <c r="E247" i="1"/>
  <c r="M246" i="1"/>
  <c r="L246" i="1"/>
  <c r="N246" i="1" s="1"/>
  <c r="G246" i="1"/>
  <c r="F246" i="1"/>
  <c r="E246" i="1"/>
  <c r="N245" i="1"/>
  <c r="M245" i="1"/>
  <c r="L245" i="1"/>
  <c r="G245" i="1"/>
  <c r="F245" i="1"/>
  <c r="E245" i="1"/>
  <c r="O244" i="1"/>
  <c r="M244" i="1"/>
  <c r="L244" i="1"/>
  <c r="N244" i="1" s="1"/>
  <c r="F244" i="1"/>
  <c r="E244" i="1"/>
  <c r="G244" i="1" s="1"/>
  <c r="M243" i="1"/>
  <c r="N243" i="1" s="1"/>
  <c r="L243" i="1"/>
  <c r="G243" i="1"/>
  <c r="F243" i="1"/>
  <c r="E243" i="1"/>
  <c r="M242" i="1"/>
  <c r="L242" i="1"/>
  <c r="N242" i="1" s="1"/>
  <c r="O242" i="1" s="1"/>
  <c r="F242" i="1"/>
  <c r="E242" i="1"/>
  <c r="G242" i="1" s="1"/>
  <c r="N241" i="1"/>
  <c r="O241" i="1" s="1"/>
  <c r="M241" i="1"/>
  <c r="L241" i="1"/>
  <c r="G241" i="1"/>
  <c r="F241" i="1"/>
  <c r="E241" i="1"/>
  <c r="M240" i="1"/>
  <c r="L240" i="1"/>
  <c r="N240" i="1" s="1"/>
  <c r="O240" i="1" s="1"/>
  <c r="F240" i="1"/>
  <c r="G240" i="1" s="1"/>
  <c r="E240" i="1"/>
  <c r="M239" i="1"/>
  <c r="L239" i="1"/>
  <c r="N239" i="1" s="1"/>
  <c r="F239" i="1"/>
  <c r="E239" i="1"/>
  <c r="G239" i="1" s="1"/>
  <c r="N238" i="1"/>
  <c r="M238" i="1"/>
  <c r="L238" i="1"/>
  <c r="F238" i="1"/>
  <c r="G238" i="1" s="1"/>
  <c r="E238" i="1"/>
  <c r="M237" i="1"/>
  <c r="L237" i="1"/>
  <c r="N237" i="1" s="1"/>
  <c r="F237" i="1"/>
  <c r="E237" i="1"/>
  <c r="N236" i="1"/>
  <c r="M236" i="1"/>
  <c r="L236" i="1"/>
  <c r="F236" i="1"/>
  <c r="E236" i="1"/>
  <c r="G236" i="1" s="1"/>
  <c r="O235" i="1"/>
  <c r="M235" i="1"/>
  <c r="N235" i="1" s="1"/>
  <c r="L235" i="1"/>
  <c r="G235" i="1"/>
  <c r="F235" i="1"/>
  <c r="E235" i="1"/>
  <c r="M234" i="1"/>
  <c r="L234" i="1"/>
  <c r="N234" i="1" s="1"/>
  <c r="O234" i="1" s="1"/>
  <c r="F234" i="1"/>
  <c r="E234" i="1"/>
  <c r="G234" i="1" s="1"/>
  <c r="M233" i="1"/>
  <c r="N233" i="1" s="1"/>
  <c r="O233" i="1" s="1"/>
  <c r="L233" i="1"/>
  <c r="G233" i="1"/>
  <c r="F233" i="1"/>
  <c r="E233" i="1"/>
  <c r="M232" i="1"/>
  <c r="L232" i="1"/>
  <c r="F232" i="1"/>
  <c r="G232" i="1" s="1"/>
  <c r="E232" i="1"/>
  <c r="M231" i="1"/>
  <c r="L231" i="1"/>
  <c r="N231" i="1" s="1"/>
  <c r="G231" i="1"/>
  <c r="F231" i="1"/>
  <c r="E231" i="1"/>
  <c r="N230" i="1"/>
  <c r="M230" i="1"/>
  <c r="L230" i="1"/>
  <c r="G230" i="1"/>
  <c r="F230" i="1"/>
  <c r="E230" i="1"/>
  <c r="O229" i="1"/>
  <c r="M229" i="1"/>
  <c r="L229" i="1"/>
  <c r="N229" i="1" s="1"/>
  <c r="F229" i="1"/>
  <c r="E229" i="1"/>
  <c r="G229" i="1" s="1"/>
  <c r="N228" i="1"/>
  <c r="O228" i="1" s="1"/>
  <c r="M228" i="1"/>
  <c r="L228" i="1"/>
  <c r="F228" i="1"/>
  <c r="E228" i="1"/>
  <c r="G228" i="1" s="1"/>
  <c r="M227" i="1"/>
  <c r="N227" i="1" s="1"/>
  <c r="O227" i="1" s="1"/>
  <c r="L227" i="1"/>
  <c r="G227" i="1"/>
  <c r="F227" i="1"/>
  <c r="E227" i="1"/>
  <c r="N226" i="1"/>
  <c r="M226" i="1"/>
  <c r="L226" i="1"/>
  <c r="F226" i="1"/>
  <c r="E226" i="1"/>
  <c r="G226" i="1" s="1"/>
  <c r="O226" i="1" s="1"/>
  <c r="M225" i="1"/>
  <c r="N225" i="1" s="1"/>
  <c r="O225" i="1" s="1"/>
  <c r="L225" i="1"/>
  <c r="G225" i="1"/>
  <c r="F225" i="1"/>
  <c r="E225" i="1"/>
  <c r="M224" i="1"/>
  <c r="L224" i="1"/>
  <c r="N224" i="1" s="1"/>
  <c r="O224" i="1" s="1"/>
  <c r="F224" i="1"/>
  <c r="G224" i="1" s="1"/>
  <c r="E224" i="1"/>
  <c r="N223" i="1"/>
  <c r="M223" i="1"/>
  <c r="L223" i="1"/>
  <c r="M222" i="1"/>
  <c r="L222" i="1"/>
  <c r="N222" i="1" s="1"/>
  <c r="O222" i="1" s="1"/>
  <c r="F222" i="1"/>
  <c r="E222" i="1"/>
  <c r="G222" i="1" s="1"/>
  <c r="N221" i="1"/>
  <c r="O221" i="1" s="1"/>
  <c r="M221" i="1"/>
  <c r="L221" i="1"/>
  <c r="G221" i="1"/>
  <c r="F221" i="1"/>
  <c r="E221" i="1"/>
  <c r="M220" i="1"/>
  <c r="L220" i="1"/>
  <c r="F220" i="1"/>
  <c r="G220" i="1" s="1"/>
  <c r="E220" i="1"/>
  <c r="M219" i="1"/>
  <c r="L219" i="1"/>
  <c r="N219" i="1" s="1"/>
  <c r="F219" i="1"/>
  <c r="E219" i="1"/>
  <c r="G219" i="1" s="1"/>
  <c r="N218" i="1"/>
  <c r="M218" i="1"/>
  <c r="L218" i="1"/>
  <c r="F218" i="1"/>
  <c r="G218" i="1" s="1"/>
  <c r="E218" i="1"/>
  <c r="M217" i="1"/>
  <c r="L217" i="1"/>
  <c r="N217" i="1" s="1"/>
  <c r="F217" i="1"/>
  <c r="E217" i="1"/>
  <c r="N216" i="1"/>
  <c r="M216" i="1"/>
  <c r="L216" i="1"/>
  <c r="F216" i="1"/>
  <c r="E216" i="1"/>
  <c r="G216" i="1" s="1"/>
  <c r="O215" i="1"/>
  <c r="M215" i="1"/>
  <c r="N215" i="1" s="1"/>
  <c r="L215" i="1"/>
  <c r="G215" i="1"/>
  <c r="F215" i="1"/>
  <c r="E215" i="1"/>
  <c r="N214" i="1"/>
  <c r="O214" i="1" s="1"/>
  <c r="M214" i="1"/>
  <c r="L214" i="1"/>
  <c r="F214" i="1"/>
  <c r="E214" i="1"/>
  <c r="G214" i="1" s="1"/>
  <c r="M213" i="1"/>
  <c r="N213" i="1" s="1"/>
  <c r="O213" i="1" s="1"/>
  <c r="L213" i="1"/>
  <c r="G213" i="1"/>
  <c r="F213" i="1"/>
  <c r="E213" i="1"/>
  <c r="M212" i="1"/>
  <c r="L212" i="1"/>
  <c r="N212" i="1" s="1"/>
  <c r="F212" i="1"/>
  <c r="G212" i="1" s="1"/>
  <c r="E212" i="1"/>
  <c r="M211" i="1"/>
  <c r="L211" i="1"/>
  <c r="N211" i="1" s="1"/>
  <c r="O211" i="1" s="1"/>
  <c r="G211" i="1"/>
  <c r="F211" i="1"/>
  <c r="E211" i="1"/>
  <c r="N210" i="1"/>
  <c r="M210" i="1"/>
  <c r="L210" i="1"/>
  <c r="F210" i="1"/>
  <c r="G210" i="1" s="1"/>
  <c r="E210" i="1"/>
  <c r="M209" i="1"/>
  <c r="L209" i="1"/>
  <c r="N209" i="1" s="1"/>
  <c r="F209" i="1"/>
  <c r="E209" i="1"/>
  <c r="G209" i="1" s="1"/>
  <c r="O209" i="1" s="1"/>
  <c r="N208" i="1"/>
  <c r="O208" i="1" s="1"/>
  <c r="M208" i="1"/>
  <c r="L208" i="1"/>
  <c r="F208" i="1"/>
  <c r="E208" i="1"/>
  <c r="G208" i="1" s="1"/>
  <c r="M207" i="1"/>
  <c r="N207" i="1" s="1"/>
  <c r="O207" i="1" s="1"/>
  <c r="L207" i="1"/>
  <c r="G207" i="1"/>
  <c r="F207" i="1"/>
  <c r="E207" i="1"/>
  <c r="M206" i="1"/>
  <c r="L206" i="1"/>
  <c r="N206" i="1" s="1"/>
  <c r="O206" i="1" s="1"/>
  <c r="F206" i="1"/>
  <c r="E206" i="1"/>
  <c r="G206" i="1" s="1"/>
  <c r="N205" i="1"/>
  <c r="O205" i="1" s="1"/>
  <c r="M205" i="1"/>
  <c r="L205" i="1"/>
  <c r="G205" i="1"/>
  <c r="F205" i="1"/>
  <c r="E205" i="1"/>
  <c r="M204" i="1"/>
  <c r="L204" i="1"/>
  <c r="F204" i="1"/>
  <c r="G204" i="1" s="1"/>
  <c r="E204" i="1"/>
  <c r="M203" i="1"/>
  <c r="L203" i="1"/>
  <c r="N203" i="1" s="1"/>
  <c r="F203" i="1"/>
  <c r="E203" i="1"/>
  <c r="G203" i="1" s="1"/>
  <c r="N202" i="1"/>
  <c r="M202" i="1"/>
  <c r="L202" i="1"/>
  <c r="G202" i="1"/>
  <c r="F202" i="1"/>
  <c r="E202" i="1"/>
  <c r="M201" i="1"/>
  <c r="L201" i="1"/>
  <c r="N201" i="1" s="1"/>
  <c r="F201" i="1"/>
  <c r="E201" i="1"/>
  <c r="N200" i="1"/>
  <c r="M200" i="1"/>
  <c r="L200" i="1"/>
  <c r="F200" i="1"/>
  <c r="E200" i="1"/>
  <c r="G200" i="1" s="1"/>
  <c r="M199" i="1"/>
  <c r="N199" i="1" s="1"/>
  <c r="O199" i="1" s="1"/>
  <c r="L199" i="1"/>
  <c r="G199" i="1"/>
  <c r="F199" i="1"/>
  <c r="E199" i="1"/>
  <c r="M198" i="1"/>
  <c r="L198" i="1"/>
  <c r="N198" i="1" s="1"/>
  <c r="O198" i="1" s="1"/>
  <c r="F198" i="1"/>
  <c r="E198" i="1"/>
  <c r="G198" i="1" s="1"/>
  <c r="M197" i="1"/>
  <c r="N197" i="1" s="1"/>
  <c r="O197" i="1" s="1"/>
  <c r="L197" i="1"/>
  <c r="G197" i="1"/>
  <c r="F197" i="1"/>
  <c r="E197" i="1"/>
  <c r="M196" i="1"/>
  <c r="L196" i="1"/>
  <c r="F196" i="1"/>
  <c r="G196" i="1" s="1"/>
  <c r="E196" i="1"/>
  <c r="N195" i="1"/>
  <c r="M195" i="1"/>
  <c r="L195" i="1"/>
  <c r="G195" i="1"/>
  <c r="F195" i="1"/>
  <c r="E195" i="1"/>
  <c r="N194" i="1"/>
  <c r="M194" i="1"/>
  <c r="L194" i="1"/>
  <c r="F194" i="1"/>
  <c r="E194" i="1"/>
  <c r="G194" i="1" s="1"/>
  <c r="O193" i="1"/>
  <c r="M193" i="1"/>
  <c r="N193" i="1" s="1"/>
  <c r="L193" i="1"/>
  <c r="G193" i="1"/>
  <c r="F193" i="1"/>
  <c r="E193" i="1"/>
  <c r="M192" i="1"/>
  <c r="L192" i="1"/>
  <c r="N192" i="1" s="1"/>
  <c r="O192" i="1" s="1"/>
  <c r="F192" i="1"/>
  <c r="E192" i="1"/>
  <c r="G192" i="1" s="1"/>
  <c r="M191" i="1"/>
  <c r="N191" i="1" s="1"/>
  <c r="O191" i="1" s="1"/>
  <c r="L191" i="1"/>
  <c r="G191" i="1"/>
  <c r="F191" i="1"/>
  <c r="E191" i="1"/>
  <c r="M190" i="1"/>
  <c r="L190" i="1"/>
  <c r="F190" i="1"/>
  <c r="G190" i="1" s="1"/>
  <c r="E190" i="1"/>
  <c r="M189" i="1"/>
  <c r="L189" i="1"/>
  <c r="N189" i="1" s="1"/>
  <c r="G189" i="1"/>
  <c r="F189" i="1"/>
  <c r="E189" i="1"/>
  <c r="N188" i="1"/>
  <c r="M188" i="1"/>
  <c r="L188" i="1"/>
  <c r="G188" i="1"/>
  <c r="F188" i="1"/>
  <c r="E188" i="1"/>
  <c r="O187" i="1"/>
  <c r="M187" i="1"/>
  <c r="L187" i="1"/>
  <c r="N187" i="1" s="1"/>
  <c r="F187" i="1"/>
  <c r="E187" i="1"/>
  <c r="G187" i="1" s="1"/>
  <c r="M186" i="1"/>
  <c r="N186" i="1" s="1"/>
  <c r="L186" i="1"/>
  <c r="G186" i="1"/>
  <c r="F186" i="1"/>
  <c r="E186" i="1"/>
  <c r="M185" i="1"/>
  <c r="L185" i="1"/>
  <c r="N185" i="1" s="1"/>
  <c r="O185" i="1" s="1"/>
  <c r="F185" i="1"/>
  <c r="E185" i="1"/>
  <c r="G185" i="1" s="1"/>
  <c r="N184" i="1"/>
  <c r="O184" i="1" s="1"/>
  <c r="M184" i="1"/>
  <c r="L184" i="1"/>
  <c r="G184" i="1"/>
  <c r="F184" i="1"/>
  <c r="E184" i="1"/>
  <c r="M183" i="1"/>
  <c r="L183" i="1"/>
  <c r="N183" i="1" s="1"/>
  <c r="O183" i="1" s="1"/>
  <c r="F183" i="1"/>
  <c r="G183" i="1" s="1"/>
  <c r="E183" i="1"/>
  <c r="N182" i="1"/>
  <c r="M182" i="1"/>
  <c r="L182" i="1"/>
  <c r="G182" i="1"/>
  <c r="F182" i="1"/>
  <c r="E182" i="1"/>
  <c r="M181" i="1"/>
  <c r="L181" i="1"/>
  <c r="F181" i="1"/>
  <c r="E181" i="1"/>
  <c r="G181" i="1" s="1"/>
  <c r="M180" i="1"/>
  <c r="L180" i="1"/>
  <c r="N180" i="1" s="1"/>
  <c r="O180" i="1" s="1"/>
  <c r="F180" i="1"/>
  <c r="E180" i="1"/>
  <c r="G180" i="1" s="1"/>
  <c r="M179" i="1"/>
  <c r="N179" i="1" s="1"/>
  <c r="O179" i="1" s="1"/>
  <c r="L179" i="1"/>
  <c r="G179" i="1"/>
  <c r="F179" i="1"/>
  <c r="E179" i="1"/>
  <c r="N178" i="1"/>
  <c r="M178" i="1"/>
  <c r="L178" i="1"/>
  <c r="F178" i="1"/>
  <c r="E178" i="1"/>
  <c r="G178" i="1" s="1"/>
  <c r="O178" i="1" s="1"/>
  <c r="M177" i="1"/>
  <c r="L177" i="1"/>
  <c r="N177" i="1" s="1"/>
  <c r="G177" i="1"/>
  <c r="F177" i="1"/>
  <c r="E177" i="1"/>
  <c r="N176" i="1"/>
  <c r="M176" i="1"/>
  <c r="L176" i="1"/>
  <c r="N175" i="1"/>
  <c r="O175" i="1" s="1"/>
  <c r="M175" i="1"/>
  <c r="L175" i="1"/>
  <c r="F175" i="1"/>
  <c r="E175" i="1"/>
  <c r="G175" i="1" s="1"/>
  <c r="M174" i="1"/>
  <c r="L174" i="1"/>
  <c r="N174" i="1" s="1"/>
  <c r="O174" i="1" s="1"/>
  <c r="G174" i="1"/>
  <c r="F174" i="1"/>
  <c r="E174" i="1"/>
  <c r="M173" i="1"/>
  <c r="L173" i="1"/>
  <c r="N173" i="1" s="1"/>
  <c r="F173" i="1"/>
  <c r="E173" i="1"/>
  <c r="G173" i="1" s="1"/>
  <c r="N172" i="1"/>
  <c r="M172" i="1"/>
  <c r="L172" i="1"/>
  <c r="F172" i="1"/>
  <c r="E172" i="1"/>
  <c r="G172" i="1" s="1"/>
  <c r="M171" i="1"/>
  <c r="L171" i="1"/>
  <c r="N171" i="1" s="1"/>
  <c r="F171" i="1"/>
  <c r="E171" i="1"/>
  <c r="M170" i="1"/>
  <c r="N170" i="1" s="1"/>
  <c r="L170" i="1"/>
  <c r="G170" i="1"/>
  <c r="F170" i="1"/>
  <c r="E170" i="1"/>
  <c r="N169" i="1"/>
  <c r="M169" i="1"/>
  <c r="L169" i="1"/>
  <c r="F169" i="1"/>
  <c r="E169" i="1"/>
  <c r="G169" i="1" s="1"/>
  <c r="O169" i="1" s="1"/>
  <c r="M168" i="1"/>
  <c r="L168" i="1"/>
  <c r="N168" i="1" s="1"/>
  <c r="O168" i="1" s="1"/>
  <c r="G168" i="1"/>
  <c r="F168" i="1"/>
  <c r="E168" i="1"/>
  <c r="M167" i="1"/>
  <c r="L167" i="1"/>
  <c r="N167" i="1" s="1"/>
  <c r="F167" i="1"/>
  <c r="G167" i="1" s="1"/>
  <c r="E167" i="1"/>
  <c r="M166" i="1"/>
  <c r="L166" i="1"/>
  <c r="N166" i="1" s="1"/>
  <c r="F166" i="1"/>
  <c r="E166" i="1"/>
  <c r="G166" i="1" s="1"/>
  <c r="O166" i="1" s="1"/>
  <c r="N165" i="1"/>
  <c r="M165" i="1"/>
  <c r="L165" i="1"/>
  <c r="F165" i="1"/>
  <c r="E165" i="1"/>
  <c r="G165" i="1" s="1"/>
  <c r="M164" i="1"/>
  <c r="L164" i="1"/>
  <c r="N164" i="1" s="1"/>
  <c r="F164" i="1"/>
  <c r="E164" i="1"/>
  <c r="M163" i="1"/>
  <c r="L163" i="1"/>
  <c r="N163" i="1" s="1"/>
  <c r="O163" i="1" s="1"/>
  <c r="F163" i="1"/>
  <c r="E163" i="1"/>
  <c r="G163" i="1" s="1"/>
  <c r="O162" i="1"/>
  <c r="N162" i="1"/>
  <c r="M162" i="1"/>
  <c r="L162" i="1"/>
  <c r="G162" i="1"/>
  <c r="F162" i="1"/>
  <c r="E162" i="1"/>
  <c r="O161" i="1"/>
  <c r="N161" i="1"/>
  <c r="M161" i="1"/>
  <c r="L161" i="1"/>
  <c r="F161" i="1"/>
  <c r="E161" i="1"/>
  <c r="G161" i="1" s="1"/>
  <c r="M160" i="1"/>
  <c r="L160" i="1"/>
  <c r="N160" i="1" s="1"/>
  <c r="O160" i="1" s="1"/>
  <c r="G160" i="1"/>
  <c r="F160" i="1"/>
  <c r="E160" i="1"/>
  <c r="M159" i="1"/>
  <c r="L159" i="1"/>
  <c r="N159" i="1" s="1"/>
  <c r="G159" i="1"/>
  <c r="F159" i="1"/>
  <c r="E159" i="1"/>
  <c r="N158" i="1"/>
  <c r="M158" i="1"/>
  <c r="L158" i="1"/>
  <c r="M157" i="1"/>
  <c r="L157" i="1"/>
  <c r="N157" i="1" s="1"/>
  <c r="F157" i="1"/>
  <c r="E157" i="1"/>
  <c r="N156" i="1"/>
  <c r="M156" i="1"/>
  <c r="L156" i="1"/>
  <c r="F156" i="1"/>
  <c r="E156" i="1"/>
  <c r="G156" i="1" s="1"/>
  <c r="M155" i="1"/>
  <c r="L155" i="1"/>
  <c r="G155" i="1"/>
  <c r="F155" i="1"/>
  <c r="E155" i="1"/>
  <c r="M154" i="1"/>
  <c r="L154" i="1"/>
  <c r="N154" i="1" s="1"/>
  <c r="O154" i="1" s="1"/>
  <c r="G154" i="1"/>
  <c r="F154" i="1"/>
  <c r="E154" i="1"/>
  <c r="N153" i="1"/>
  <c r="M153" i="1"/>
  <c r="L153" i="1"/>
  <c r="F153" i="1"/>
  <c r="E153" i="1"/>
  <c r="G153" i="1" s="1"/>
  <c r="M152" i="1"/>
  <c r="L152" i="1"/>
  <c r="F152" i="1"/>
  <c r="E152" i="1"/>
  <c r="G152" i="1" s="1"/>
  <c r="M151" i="1"/>
  <c r="L151" i="1"/>
  <c r="N151" i="1" s="1"/>
  <c r="O151" i="1" s="1"/>
  <c r="F151" i="1"/>
  <c r="E151" i="1"/>
  <c r="G151" i="1" s="1"/>
  <c r="M150" i="1"/>
  <c r="N150" i="1" s="1"/>
  <c r="O150" i="1" s="1"/>
  <c r="L150" i="1"/>
  <c r="G150" i="1"/>
  <c r="F150" i="1"/>
  <c r="E150" i="1"/>
  <c r="M149" i="1"/>
  <c r="L149" i="1"/>
  <c r="N149" i="1" s="1"/>
  <c r="O149" i="1" s="1"/>
  <c r="F149" i="1"/>
  <c r="E149" i="1"/>
  <c r="G149" i="1" s="1"/>
  <c r="M148" i="1"/>
  <c r="L148" i="1"/>
  <c r="F148" i="1"/>
  <c r="G148" i="1" s="1"/>
  <c r="E148" i="1"/>
  <c r="M147" i="1"/>
  <c r="L147" i="1"/>
  <c r="N147" i="1" s="1"/>
  <c r="O147" i="1" s="1"/>
  <c r="G147" i="1"/>
  <c r="F147" i="1"/>
  <c r="E147" i="1"/>
  <c r="M146" i="1"/>
  <c r="N146" i="1" s="1"/>
  <c r="O146" i="1" s="1"/>
  <c r="L146" i="1"/>
  <c r="F146" i="1"/>
  <c r="E146" i="1"/>
  <c r="G146" i="1" s="1"/>
  <c r="M145" i="1"/>
  <c r="L145" i="1"/>
  <c r="N145" i="1" s="1"/>
  <c r="F145" i="1"/>
  <c r="E145" i="1"/>
  <c r="G145" i="1" s="1"/>
  <c r="O145" i="1" s="1"/>
  <c r="N144" i="1"/>
  <c r="M144" i="1"/>
  <c r="L144" i="1"/>
  <c r="F144" i="1"/>
  <c r="E144" i="1"/>
  <c r="G144" i="1" s="1"/>
  <c r="O144" i="1" s="1"/>
  <c r="N143" i="1"/>
  <c r="O143" i="1" s="1"/>
  <c r="M143" i="1"/>
  <c r="L143" i="1"/>
  <c r="F143" i="1"/>
  <c r="E143" i="1"/>
  <c r="G143" i="1" s="1"/>
  <c r="M142" i="1"/>
  <c r="L142" i="1"/>
  <c r="N142" i="1" s="1"/>
  <c r="F142" i="1"/>
  <c r="E142" i="1"/>
  <c r="M141" i="1"/>
  <c r="L141" i="1"/>
  <c r="N141" i="1" s="1"/>
  <c r="O141" i="1" s="1"/>
  <c r="G141" i="1"/>
  <c r="F141" i="1"/>
  <c r="E141" i="1"/>
  <c r="M140" i="1"/>
  <c r="L140" i="1"/>
  <c r="N140" i="1" s="1"/>
  <c r="F140" i="1"/>
  <c r="G140" i="1" s="1"/>
  <c r="E140" i="1"/>
  <c r="M139" i="1"/>
  <c r="L139" i="1"/>
  <c r="N139" i="1" s="1"/>
  <c r="F139" i="1"/>
  <c r="E139" i="1"/>
  <c r="G139" i="1" s="1"/>
  <c r="N138" i="1"/>
  <c r="M138" i="1"/>
  <c r="L138" i="1"/>
  <c r="F138" i="1"/>
  <c r="E138" i="1"/>
  <c r="G138" i="1" s="1"/>
  <c r="M137" i="1"/>
  <c r="L137" i="1"/>
  <c r="G137" i="1"/>
  <c r="F137" i="1"/>
  <c r="E137" i="1"/>
  <c r="M136" i="1"/>
  <c r="N136" i="1" s="1"/>
  <c r="L136" i="1"/>
  <c r="E136" i="1"/>
  <c r="L135" i="1"/>
  <c r="E135" i="1"/>
  <c r="M134" i="1"/>
  <c r="L134" i="1"/>
  <c r="N134" i="1" s="1"/>
  <c r="O134" i="1" s="1"/>
  <c r="F134" i="1"/>
  <c r="E134" i="1"/>
  <c r="G134" i="1" s="1"/>
  <c r="N133" i="1"/>
  <c r="M133" i="1"/>
  <c r="L133" i="1"/>
  <c r="F133" i="1"/>
  <c r="E133" i="1"/>
  <c r="G133" i="1" s="1"/>
  <c r="O133" i="1" s="1"/>
  <c r="N132" i="1"/>
  <c r="M132" i="1"/>
  <c r="L132" i="1"/>
  <c r="F132" i="1"/>
  <c r="G132" i="1" s="1"/>
  <c r="O132" i="1" s="1"/>
  <c r="E132" i="1"/>
  <c r="N131" i="1"/>
  <c r="M131" i="1"/>
  <c r="L131" i="1"/>
  <c r="F131" i="1"/>
  <c r="E131" i="1"/>
  <c r="G131" i="1" s="1"/>
  <c r="M130" i="1"/>
  <c r="L130" i="1"/>
  <c r="N130" i="1" s="1"/>
  <c r="O130" i="1" s="1"/>
  <c r="G130" i="1"/>
  <c r="F130" i="1"/>
  <c r="E130" i="1"/>
  <c r="M129" i="1"/>
  <c r="L129" i="1"/>
  <c r="N129" i="1" s="1"/>
  <c r="O129" i="1" s="1"/>
  <c r="G129" i="1"/>
  <c r="F129" i="1"/>
  <c r="E129" i="1"/>
  <c r="M128" i="1"/>
  <c r="L128" i="1"/>
  <c r="N128" i="1" s="1"/>
  <c r="F128" i="1"/>
  <c r="E128" i="1"/>
  <c r="G128" i="1" s="1"/>
  <c r="N127" i="1"/>
  <c r="M127" i="1"/>
  <c r="L127" i="1"/>
  <c r="E127" i="1"/>
  <c r="M126" i="1"/>
  <c r="L126" i="1"/>
  <c r="N126" i="1" s="1"/>
  <c r="O126" i="1" s="1"/>
  <c r="G126" i="1"/>
  <c r="F126" i="1"/>
  <c r="E126" i="1"/>
  <c r="M125" i="1"/>
  <c r="L125" i="1"/>
  <c r="N125" i="1" s="1"/>
  <c r="O125" i="1" s="1"/>
  <c r="G125" i="1"/>
  <c r="F125" i="1"/>
  <c r="E125" i="1"/>
  <c r="M124" i="1"/>
  <c r="L124" i="1"/>
  <c r="N124" i="1" s="1"/>
  <c r="O124" i="1" s="1"/>
  <c r="G124" i="1"/>
  <c r="F124" i="1"/>
  <c r="E124" i="1"/>
  <c r="M123" i="1"/>
  <c r="L123" i="1"/>
  <c r="N123" i="1" s="1"/>
  <c r="O123" i="1" s="1"/>
  <c r="F123" i="1"/>
  <c r="E123" i="1"/>
  <c r="G123" i="1" s="1"/>
  <c r="M122" i="1"/>
  <c r="L122" i="1"/>
  <c r="N122" i="1" s="1"/>
  <c r="F122" i="1"/>
  <c r="E122" i="1"/>
  <c r="G122" i="1" s="1"/>
  <c r="N121" i="1"/>
  <c r="M121" i="1"/>
  <c r="L121" i="1"/>
  <c r="F121" i="1"/>
  <c r="E121" i="1"/>
  <c r="G121" i="1" s="1"/>
  <c r="O121" i="1" s="1"/>
  <c r="N120" i="1"/>
  <c r="M120" i="1"/>
  <c r="L120" i="1"/>
  <c r="F120" i="1"/>
  <c r="E120" i="1"/>
  <c r="G120" i="1" s="1"/>
  <c r="O120" i="1" s="1"/>
  <c r="M119" i="1"/>
  <c r="L119" i="1"/>
  <c r="N119" i="1" s="1"/>
  <c r="E119" i="1"/>
  <c r="M118" i="1"/>
  <c r="L118" i="1"/>
  <c r="N118" i="1" s="1"/>
  <c r="F118" i="1"/>
  <c r="E118" i="1"/>
  <c r="G118" i="1" s="1"/>
  <c r="M117" i="1"/>
  <c r="L117" i="1"/>
  <c r="N117" i="1" s="1"/>
  <c r="F117" i="1"/>
  <c r="E117" i="1"/>
  <c r="G117" i="1" s="1"/>
  <c r="N116" i="1"/>
  <c r="M116" i="1"/>
  <c r="L116" i="1"/>
  <c r="F116" i="1"/>
  <c r="E116" i="1"/>
  <c r="G116" i="1" s="1"/>
  <c r="O116" i="1" s="1"/>
  <c r="N115" i="1"/>
  <c r="M115" i="1"/>
  <c r="L115" i="1"/>
  <c r="E115" i="1"/>
  <c r="M114" i="1"/>
  <c r="L114" i="1"/>
  <c r="N114" i="1" s="1"/>
  <c r="O114" i="1" s="1"/>
  <c r="G114" i="1"/>
  <c r="F114" i="1"/>
  <c r="E114" i="1"/>
  <c r="L113" i="1"/>
  <c r="E113" i="1"/>
  <c r="M112" i="1"/>
  <c r="L112" i="1"/>
  <c r="N112" i="1" s="1"/>
  <c r="O112" i="1" s="1"/>
  <c r="G112" i="1"/>
  <c r="F112" i="1"/>
  <c r="E112" i="1"/>
  <c r="L111" i="1"/>
  <c r="M110" i="1"/>
  <c r="L110" i="1"/>
  <c r="N110" i="1" s="1"/>
  <c r="O110" i="1" s="1"/>
  <c r="G110" i="1"/>
  <c r="F110" i="1"/>
  <c r="E110" i="1"/>
  <c r="M109" i="1"/>
  <c r="L109" i="1"/>
  <c r="N109" i="1" s="1"/>
  <c r="O109" i="1" s="1"/>
  <c r="G109" i="1"/>
  <c r="F109" i="1"/>
  <c r="E109" i="1"/>
  <c r="M108" i="1"/>
  <c r="L108" i="1"/>
  <c r="N108" i="1" s="1"/>
  <c r="O108" i="1" s="1"/>
  <c r="F108" i="1"/>
  <c r="E108" i="1"/>
  <c r="G108" i="1" s="1"/>
  <c r="M107" i="1"/>
  <c r="L107" i="1"/>
  <c r="N107" i="1" s="1"/>
  <c r="F107" i="1"/>
  <c r="E107" i="1"/>
  <c r="G107" i="1" s="1"/>
  <c r="N106" i="1"/>
  <c r="M106" i="1"/>
  <c r="L106" i="1"/>
  <c r="M105" i="1"/>
  <c r="L105" i="1"/>
  <c r="N105" i="1" s="1"/>
  <c r="O105" i="1" s="1"/>
  <c r="G105" i="1"/>
  <c r="F105" i="1"/>
  <c r="E105" i="1"/>
  <c r="M104" i="1"/>
  <c r="L104" i="1"/>
  <c r="N104" i="1" s="1"/>
  <c r="O104" i="1" s="1"/>
  <c r="F104" i="1"/>
  <c r="E104" i="1"/>
  <c r="G104" i="1" s="1"/>
  <c r="M103" i="1"/>
  <c r="L103" i="1"/>
  <c r="N103" i="1" s="1"/>
  <c r="F103" i="1"/>
  <c r="E103" i="1"/>
  <c r="G103" i="1" s="1"/>
  <c r="N102" i="1"/>
  <c r="M102" i="1"/>
  <c r="L102" i="1"/>
  <c r="F102" i="1"/>
  <c r="E102" i="1"/>
  <c r="G102" i="1" s="1"/>
  <c r="O102" i="1" s="1"/>
  <c r="N101" i="1"/>
  <c r="M101" i="1"/>
  <c r="L101" i="1"/>
  <c r="F101" i="1"/>
  <c r="E101" i="1"/>
  <c r="G101" i="1" s="1"/>
  <c r="O101" i="1" s="1"/>
  <c r="N100" i="1"/>
  <c r="O100" i="1" s="1"/>
  <c r="M100" i="1"/>
  <c r="L100" i="1"/>
  <c r="F100" i="1"/>
  <c r="E100" i="1"/>
  <c r="G100" i="1" s="1"/>
  <c r="M99" i="1"/>
  <c r="L99" i="1"/>
  <c r="N99" i="1" s="1"/>
  <c r="E99" i="1"/>
  <c r="M98" i="1"/>
  <c r="L98" i="1"/>
  <c r="N98" i="1" s="1"/>
  <c r="O98" i="1" s="1"/>
  <c r="F98" i="1"/>
  <c r="E98" i="1"/>
  <c r="G98" i="1" s="1"/>
  <c r="N97" i="1"/>
  <c r="M97" i="1"/>
  <c r="L97" i="1"/>
  <c r="F97" i="1"/>
  <c r="E97" i="1"/>
  <c r="G97" i="1" s="1"/>
  <c r="O97" i="1" s="1"/>
  <c r="N96" i="1"/>
  <c r="M96" i="1"/>
  <c r="L96" i="1"/>
  <c r="F96" i="1"/>
  <c r="E96" i="1"/>
  <c r="G96" i="1" s="1"/>
  <c r="O96" i="1" s="1"/>
  <c r="N95" i="1"/>
  <c r="M95" i="1"/>
  <c r="L95" i="1"/>
  <c r="F95" i="1"/>
  <c r="E95" i="1"/>
  <c r="G95" i="1" s="1"/>
  <c r="M94" i="1"/>
  <c r="L94" i="1"/>
  <c r="N94" i="1" s="1"/>
  <c r="O94" i="1" s="1"/>
  <c r="G94" i="1"/>
  <c r="F94" i="1"/>
  <c r="E94" i="1"/>
  <c r="M93" i="1"/>
  <c r="L93" i="1"/>
  <c r="N93" i="1" s="1"/>
  <c r="O93" i="1" s="1"/>
  <c r="G93" i="1"/>
  <c r="F93" i="1"/>
  <c r="E93" i="1"/>
  <c r="M92" i="1"/>
  <c r="L92" i="1"/>
  <c r="N92" i="1" s="1"/>
  <c r="O92" i="1" s="1"/>
  <c r="G92" i="1"/>
  <c r="F92" i="1"/>
  <c r="E92" i="1"/>
  <c r="M91" i="1"/>
  <c r="L91" i="1"/>
  <c r="N91" i="1" s="1"/>
  <c r="F91" i="1"/>
  <c r="E91" i="1"/>
  <c r="G91" i="1" s="1"/>
  <c r="M90" i="1"/>
  <c r="L90" i="1"/>
  <c r="N90" i="1" s="1"/>
  <c r="O90" i="1" s="1"/>
  <c r="F90" i="1"/>
  <c r="E90" i="1"/>
  <c r="G90" i="1" s="1"/>
  <c r="N89" i="1"/>
  <c r="M89" i="1"/>
  <c r="L89" i="1"/>
  <c r="F89" i="1"/>
  <c r="E89" i="1"/>
  <c r="G89" i="1" s="1"/>
  <c r="O89" i="1" s="1"/>
  <c r="N88" i="1"/>
  <c r="M88" i="1"/>
  <c r="L88" i="1"/>
  <c r="F88" i="1"/>
  <c r="E88" i="1"/>
  <c r="G88" i="1" s="1"/>
  <c r="O88" i="1" s="1"/>
  <c r="N87" i="1"/>
  <c r="M87" i="1"/>
  <c r="L87" i="1"/>
  <c r="F87" i="1"/>
  <c r="E87" i="1"/>
  <c r="G87" i="1" s="1"/>
  <c r="M86" i="1"/>
  <c r="L86" i="1"/>
  <c r="N86" i="1" s="1"/>
  <c r="O86" i="1" s="1"/>
  <c r="G86" i="1"/>
  <c r="F86" i="1"/>
  <c r="E86" i="1"/>
  <c r="M85" i="1"/>
  <c r="L85" i="1"/>
  <c r="N85" i="1" s="1"/>
  <c r="O85" i="1" s="1"/>
  <c r="G85" i="1"/>
  <c r="F85" i="1"/>
  <c r="E85" i="1"/>
  <c r="M84" i="1"/>
  <c r="L84" i="1"/>
  <c r="N84" i="1" s="1"/>
  <c r="N83" i="1"/>
  <c r="O83" i="1" s="1"/>
  <c r="M83" i="1"/>
  <c r="L83" i="1"/>
  <c r="F83" i="1"/>
  <c r="E83" i="1"/>
  <c r="G83" i="1" s="1"/>
  <c r="M82" i="1"/>
  <c r="L82" i="1"/>
  <c r="N82" i="1" s="1"/>
  <c r="O82" i="1" s="1"/>
  <c r="G82" i="1"/>
  <c r="F82" i="1"/>
  <c r="E82" i="1"/>
  <c r="M81" i="1"/>
  <c r="L81" i="1"/>
  <c r="N81" i="1" s="1"/>
  <c r="O81" i="1" s="1"/>
  <c r="G81" i="1"/>
  <c r="F81" i="1"/>
  <c r="E81" i="1"/>
  <c r="M80" i="1"/>
  <c r="L80" i="1"/>
  <c r="N80" i="1" s="1"/>
  <c r="E80" i="1"/>
  <c r="N79" i="1"/>
  <c r="M79" i="1"/>
  <c r="L79" i="1"/>
  <c r="F79" i="1"/>
  <c r="E79" i="1"/>
  <c r="G79" i="1" s="1"/>
  <c r="O79" i="1" s="1"/>
  <c r="N78" i="1"/>
  <c r="M78" i="1"/>
  <c r="L78" i="1"/>
  <c r="F78" i="1"/>
  <c r="E78" i="1"/>
  <c r="G78" i="1" s="1"/>
  <c r="M77" i="1"/>
  <c r="L77" i="1"/>
  <c r="N77" i="1" s="1"/>
  <c r="O77" i="1" s="1"/>
  <c r="G77" i="1"/>
  <c r="F77" i="1"/>
  <c r="E77" i="1"/>
  <c r="M76" i="1"/>
  <c r="L76" i="1"/>
  <c r="N76" i="1" s="1"/>
  <c r="O76" i="1" s="1"/>
  <c r="G76" i="1"/>
  <c r="F76" i="1"/>
  <c r="E76" i="1"/>
  <c r="M75" i="1"/>
  <c r="L75" i="1"/>
  <c r="N75" i="1" s="1"/>
  <c r="O75" i="1" s="1"/>
  <c r="G75" i="1"/>
  <c r="F75" i="1"/>
  <c r="E75" i="1"/>
  <c r="M74" i="1"/>
  <c r="L74" i="1"/>
  <c r="N74" i="1" s="1"/>
  <c r="O74" i="1" s="1"/>
  <c r="F74" i="1"/>
  <c r="E74" i="1"/>
  <c r="G74" i="1" s="1"/>
  <c r="M73" i="1"/>
  <c r="L73" i="1"/>
  <c r="N73" i="1" s="1"/>
  <c r="F73" i="1"/>
  <c r="E73" i="1"/>
  <c r="G73" i="1" s="1"/>
  <c r="N72" i="1"/>
  <c r="M72" i="1"/>
  <c r="L72" i="1"/>
  <c r="F72" i="1"/>
  <c r="E72" i="1"/>
  <c r="G72" i="1" s="1"/>
  <c r="O72" i="1" s="1"/>
  <c r="N71" i="1"/>
  <c r="M71" i="1"/>
  <c r="L71" i="1"/>
  <c r="M70" i="1"/>
  <c r="L70" i="1"/>
  <c r="N70" i="1" s="1"/>
  <c r="E70" i="1"/>
  <c r="N69" i="1"/>
  <c r="M69" i="1"/>
  <c r="L69" i="1"/>
  <c r="F69" i="1"/>
  <c r="E69" i="1"/>
  <c r="G69" i="1" s="1"/>
  <c r="M68" i="1"/>
  <c r="L68" i="1"/>
  <c r="N68" i="1" s="1"/>
  <c r="O68" i="1" s="1"/>
  <c r="G68" i="1"/>
  <c r="F68" i="1"/>
  <c r="E68" i="1"/>
  <c r="M67" i="1"/>
  <c r="L67" i="1"/>
  <c r="N67" i="1" s="1"/>
  <c r="O67" i="1" s="1"/>
  <c r="G67" i="1"/>
  <c r="F67" i="1"/>
  <c r="E67" i="1"/>
  <c r="M66" i="1"/>
  <c r="L66" i="1"/>
  <c r="N66" i="1" s="1"/>
  <c r="O66" i="1" s="1"/>
  <c r="G66" i="1"/>
  <c r="F66" i="1"/>
  <c r="E66" i="1"/>
  <c r="M65" i="1"/>
  <c r="L65" i="1"/>
  <c r="N65" i="1" s="1"/>
  <c r="O65" i="1" s="1"/>
  <c r="F65" i="1"/>
  <c r="E65" i="1"/>
  <c r="G65" i="1" s="1"/>
  <c r="M64" i="1"/>
  <c r="L64" i="1"/>
  <c r="N64" i="1" s="1"/>
  <c r="F64" i="1"/>
  <c r="E64" i="1"/>
  <c r="G64" i="1" s="1"/>
  <c r="N63" i="1"/>
  <c r="M63" i="1"/>
  <c r="L63" i="1"/>
  <c r="F63" i="1"/>
  <c r="E63" i="1"/>
  <c r="G63" i="1" s="1"/>
  <c r="O63" i="1" s="1"/>
  <c r="N62" i="1"/>
  <c r="M62" i="1"/>
  <c r="L62" i="1"/>
  <c r="F62" i="1"/>
  <c r="E62" i="1"/>
  <c r="G62" i="1" s="1"/>
  <c r="O62" i="1" s="1"/>
  <c r="M61" i="1"/>
  <c r="L61" i="1"/>
  <c r="N61" i="1" s="1"/>
  <c r="E61" i="1"/>
  <c r="M60" i="1"/>
  <c r="L60" i="1"/>
  <c r="N60" i="1" s="1"/>
  <c r="F60" i="1"/>
  <c r="E60" i="1"/>
  <c r="G60" i="1" s="1"/>
  <c r="M59" i="1"/>
  <c r="L59" i="1"/>
  <c r="N59" i="1" s="1"/>
  <c r="O59" i="1" s="1"/>
  <c r="F59" i="1"/>
  <c r="E59" i="1"/>
  <c r="G59" i="1" s="1"/>
  <c r="N58" i="1"/>
  <c r="M58" i="1"/>
  <c r="L58" i="1"/>
  <c r="F58" i="1"/>
  <c r="E58" i="1"/>
  <c r="G58" i="1" s="1"/>
  <c r="O58" i="1" s="1"/>
  <c r="N57" i="1"/>
  <c r="M57" i="1"/>
  <c r="L57" i="1"/>
  <c r="F57" i="1"/>
  <c r="E57" i="1"/>
  <c r="G57" i="1" s="1"/>
  <c r="O57" i="1" s="1"/>
  <c r="N56" i="1"/>
  <c r="M56" i="1"/>
  <c r="L56" i="1"/>
  <c r="F56" i="1"/>
  <c r="E56" i="1"/>
  <c r="G56" i="1" s="1"/>
  <c r="M55" i="1"/>
  <c r="L55" i="1"/>
  <c r="N55" i="1" s="1"/>
  <c r="O55" i="1" s="1"/>
  <c r="G55" i="1"/>
  <c r="F55" i="1"/>
  <c r="E55" i="1"/>
  <c r="M54" i="1"/>
  <c r="L54" i="1"/>
  <c r="N54" i="1" s="1"/>
  <c r="E54" i="1"/>
  <c r="N53" i="1"/>
  <c r="M53" i="1"/>
  <c r="L53" i="1"/>
  <c r="F53" i="1"/>
  <c r="E53" i="1"/>
  <c r="G53" i="1" s="1"/>
  <c r="O53" i="1" s="1"/>
  <c r="N52" i="1"/>
  <c r="M52" i="1"/>
  <c r="L52" i="1"/>
  <c r="F52" i="1"/>
  <c r="E52" i="1"/>
  <c r="G52" i="1" s="1"/>
  <c r="O52" i="1" s="1"/>
  <c r="N51" i="1"/>
  <c r="O51" i="1" s="1"/>
  <c r="M51" i="1"/>
  <c r="L51" i="1"/>
  <c r="F51" i="1"/>
  <c r="E51" i="1"/>
  <c r="G51" i="1" s="1"/>
  <c r="M50" i="1"/>
  <c r="L50" i="1"/>
  <c r="N50" i="1" s="1"/>
  <c r="O50" i="1" s="1"/>
  <c r="G50" i="1"/>
  <c r="F50" i="1"/>
  <c r="E50" i="1"/>
  <c r="M49" i="1"/>
  <c r="L49" i="1"/>
  <c r="N49" i="1" s="1"/>
  <c r="O49" i="1" s="1"/>
  <c r="G49" i="1"/>
  <c r="F49" i="1"/>
  <c r="E49" i="1"/>
  <c r="M48" i="1"/>
  <c r="L48" i="1"/>
  <c r="N48" i="1" s="1"/>
  <c r="O48" i="1" s="1"/>
  <c r="G48" i="1"/>
  <c r="F48" i="1"/>
  <c r="E48" i="1"/>
  <c r="M47" i="1"/>
  <c r="L47" i="1"/>
  <c r="N47" i="1" s="1"/>
  <c r="E47" i="1"/>
  <c r="L46" i="1"/>
  <c r="G46" i="1"/>
  <c r="F46" i="1"/>
  <c r="E46" i="1"/>
  <c r="M45" i="1"/>
  <c r="L45" i="1"/>
  <c r="N45" i="1" s="1"/>
  <c r="O45" i="1" s="1"/>
  <c r="F45" i="1"/>
  <c r="E45" i="1"/>
  <c r="G45" i="1" s="1"/>
  <c r="M44" i="1"/>
  <c r="L44" i="1"/>
  <c r="N44" i="1" s="1"/>
  <c r="O44" i="1" s="1"/>
  <c r="F44" i="1"/>
  <c r="E44" i="1"/>
  <c r="G44" i="1" s="1"/>
  <c r="N43" i="1"/>
  <c r="M43" i="1"/>
  <c r="L43" i="1"/>
  <c r="F43" i="1"/>
  <c r="E43" i="1"/>
  <c r="G43" i="1" s="1"/>
  <c r="O43" i="1" s="1"/>
  <c r="N42" i="1"/>
  <c r="M42" i="1"/>
  <c r="L42" i="1"/>
  <c r="F42" i="1"/>
  <c r="E42" i="1"/>
  <c r="G42" i="1" s="1"/>
  <c r="O42" i="1" s="1"/>
  <c r="M41" i="1"/>
  <c r="L41" i="1"/>
  <c r="N41" i="1" s="1"/>
  <c r="E41" i="1"/>
  <c r="M40" i="1"/>
  <c r="L40" i="1"/>
  <c r="N40" i="1" s="1"/>
  <c r="F40" i="1"/>
  <c r="E40" i="1"/>
  <c r="G40" i="1" s="1"/>
  <c r="M39" i="1"/>
  <c r="L39" i="1"/>
  <c r="N39" i="1" s="1"/>
  <c r="O39" i="1" s="1"/>
  <c r="F39" i="1"/>
  <c r="E39" i="1"/>
  <c r="G39" i="1" s="1"/>
  <c r="N38" i="1"/>
  <c r="M38" i="1"/>
  <c r="L38" i="1"/>
  <c r="F38" i="1"/>
  <c r="E38" i="1"/>
  <c r="G38" i="1" s="1"/>
  <c r="O38" i="1" s="1"/>
  <c r="N37" i="1"/>
  <c r="M37" i="1"/>
  <c r="L37" i="1"/>
  <c r="F37" i="1"/>
  <c r="E37" i="1"/>
  <c r="G37" i="1" s="1"/>
  <c r="O37" i="1" s="1"/>
  <c r="N36" i="1"/>
  <c r="O36" i="1" s="1"/>
  <c r="M36" i="1"/>
  <c r="L36" i="1"/>
  <c r="F36" i="1"/>
  <c r="E36" i="1"/>
  <c r="G36" i="1" s="1"/>
  <c r="M35" i="1"/>
  <c r="L35" i="1"/>
  <c r="N35" i="1" s="1"/>
  <c r="O35" i="1" s="1"/>
  <c r="G35" i="1"/>
  <c r="F35" i="1"/>
  <c r="E35" i="1"/>
  <c r="M34" i="1"/>
  <c r="L34" i="1"/>
  <c r="N34" i="1" s="1"/>
  <c r="O34" i="1" s="1"/>
  <c r="G34" i="1"/>
  <c r="F34" i="1"/>
  <c r="E34" i="1"/>
  <c r="M33" i="1"/>
  <c r="L33" i="1"/>
  <c r="N33" i="1" s="1"/>
  <c r="G33" i="1"/>
  <c r="F33" i="1"/>
  <c r="E33" i="1"/>
  <c r="M32" i="1"/>
  <c r="L32" i="1"/>
  <c r="N32" i="1" s="1"/>
  <c r="F32" i="1"/>
  <c r="E32" i="1"/>
  <c r="M31" i="1"/>
  <c r="L31" i="1"/>
  <c r="N31" i="1" s="1"/>
  <c r="F31" i="1"/>
  <c r="E31" i="1"/>
  <c r="M30" i="1"/>
  <c r="L30" i="1"/>
  <c r="N30" i="1" s="1"/>
  <c r="F30" i="1"/>
  <c r="E30" i="1"/>
  <c r="M29" i="1"/>
  <c r="L29" i="1"/>
  <c r="N29" i="1" s="1"/>
  <c r="F29" i="1"/>
  <c r="E29" i="1"/>
  <c r="M28" i="1"/>
  <c r="L28" i="1"/>
  <c r="N28" i="1" s="1"/>
  <c r="O28" i="1" s="1"/>
  <c r="F28" i="1"/>
  <c r="E28" i="1"/>
  <c r="G28" i="1" s="1"/>
  <c r="M27" i="1"/>
  <c r="L27" i="1"/>
  <c r="N27" i="1" s="1"/>
  <c r="O27" i="1" s="1"/>
  <c r="F27" i="1"/>
  <c r="E27" i="1"/>
  <c r="G27" i="1" s="1"/>
  <c r="M26" i="1"/>
  <c r="L26" i="1"/>
  <c r="N26" i="1" s="1"/>
  <c r="O26" i="1" s="1"/>
  <c r="F26" i="1"/>
  <c r="E26" i="1"/>
  <c r="G26" i="1" s="1"/>
  <c r="N25" i="1"/>
  <c r="M25" i="1"/>
  <c r="L25" i="1"/>
  <c r="F25" i="1"/>
  <c r="E25" i="1"/>
  <c r="G25" i="1" s="1"/>
  <c r="O25" i="1" s="1"/>
  <c r="N24" i="1"/>
  <c r="M24" i="1"/>
  <c r="L24" i="1"/>
  <c r="F24" i="1"/>
  <c r="E24" i="1"/>
  <c r="G24" i="1" s="1"/>
  <c r="O24" i="1" s="1"/>
  <c r="N23" i="1"/>
  <c r="O23" i="1" s="1"/>
  <c r="M23" i="1"/>
  <c r="L23" i="1"/>
  <c r="F23" i="1"/>
  <c r="E23" i="1"/>
  <c r="G23" i="1" s="1"/>
  <c r="V22" i="1"/>
  <c r="U22" i="1"/>
  <c r="W22" i="1" s="1"/>
  <c r="X10" i="1" s="1"/>
  <c r="N22" i="1"/>
  <c r="M22" i="1"/>
  <c r="L22" i="1"/>
  <c r="F22" i="1"/>
  <c r="E22" i="1"/>
  <c r="G22" i="1" s="1"/>
  <c r="O22" i="1" s="1"/>
  <c r="W21" i="1"/>
  <c r="V21" i="1"/>
  <c r="U21" i="1"/>
  <c r="M21" i="1"/>
  <c r="L21" i="1"/>
  <c r="N21" i="1" s="1"/>
  <c r="F21" i="1"/>
  <c r="E21" i="1"/>
  <c r="W20" i="1"/>
  <c r="X8" i="1" s="1"/>
  <c r="V20" i="1"/>
  <c r="U20" i="1"/>
  <c r="M20" i="1"/>
  <c r="L20" i="1"/>
  <c r="N20" i="1" s="1"/>
  <c r="O20" i="1" s="1"/>
  <c r="G20" i="1"/>
  <c r="F20" i="1"/>
  <c r="E20" i="1"/>
  <c r="V19" i="1"/>
  <c r="U19" i="1"/>
  <c r="W19" i="1" s="1"/>
  <c r="N19" i="1"/>
  <c r="O19" i="1" s="1"/>
  <c r="M19" i="1"/>
  <c r="L19" i="1"/>
  <c r="F19" i="1"/>
  <c r="E19" i="1"/>
  <c r="G19" i="1" s="1"/>
  <c r="V18" i="1"/>
  <c r="U18" i="1"/>
  <c r="W18" i="1" s="1"/>
  <c r="X6" i="1" s="1"/>
  <c r="N18" i="1"/>
  <c r="M18" i="1"/>
  <c r="L18" i="1"/>
  <c r="F18" i="1"/>
  <c r="E18" i="1"/>
  <c r="G18" i="1" s="1"/>
  <c r="O18" i="1" s="1"/>
  <c r="W17" i="1"/>
  <c r="V17" i="1"/>
  <c r="U17" i="1"/>
  <c r="M17" i="1"/>
  <c r="L17" i="1"/>
  <c r="N17" i="1" s="1"/>
  <c r="F17" i="1"/>
  <c r="E17" i="1"/>
  <c r="W16" i="1"/>
  <c r="V16" i="1"/>
  <c r="U16" i="1"/>
  <c r="M16" i="1"/>
  <c r="L16" i="1"/>
  <c r="N16" i="1" s="1"/>
  <c r="O16" i="1" s="1"/>
  <c r="G16" i="1"/>
  <c r="F16" i="1"/>
  <c r="E16" i="1"/>
  <c r="V15" i="1"/>
  <c r="U15" i="1"/>
  <c r="W15" i="1" s="1"/>
  <c r="M15" i="1"/>
  <c r="L15" i="1"/>
  <c r="N15" i="1" s="1"/>
  <c r="W14" i="1"/>
  <c r="V14" i="1"/>
  <c r="U14" i="1"/>
  <c r="M14" i="1"/>
  <c r="L14" i="1"/>
  <c r="N14" i="1" s="1"/>
  <c r="O14" i="1" s="1"/>
  <c r="G14" i="1"/>
  <c r="F14" i="1"/>
  <c r="E14" i="1"/>
  <c r="M13" i="1"/>
  <c r="L13" i="1"/>
  <c r="N13" i="1" s="1"/>
  <c r="G13" i="1"/>
  <c r="F13" i="1"/>
  <c r="E13" i="1"/>
  <c r="M12" i="1"/>
  <c r="L12" i="1"/>
  <c r="N12" i="1" s="1"/>
  <c r="F12" i="1"/>
  <c r="E12" i="1"/>
  <c r="M11" i="1"/>
  <c r="L11" i="1"/>
  <c r="N11" i="1" s="1"/>
  <c r="O11" i="1" s="1"/>
  <c r="F11" i="1"/>
  <c r="E11" i="1"/>
  <c r="G11" i="1" s="1"/>
  <c r="W10" i="1"/>
  <c r="V10" i="1"/>
  <c r="U10" i="1"/>
  <c r="M10" i="1"/>
  <c r="L10" i="1"/>
  <c r="N10" i="1" s="1"/>
  <c r="O10" i="1" s="1"/>
  <c r="G10" i="1"/>
  <c r="F10" i="1"/>
  <c r="E10" i="1"/>
  <c r="V9" i="1"/>
  <c r="U9" i="1"/>
  <c r="W9" i="1" s="1"/>
  <c r="O9" i="1"/>
  <c r="N9" i="1"/>
  <c r="M9" i="1"/>
  <c r="L9" i="1"/>
  <c r="F9" i="1"/>
  <c r="E9" i="1"/>
  <c r="G9" i="1" s="1"/>
  <c r="W8" i="1"/>
  <c r="V8" i="1"/>
  <c r="U8" i="1"/>
  <c r="M8" i="1"/>
  <c r="L8" i="1"/>
  <c r="N8" i="1" s="1"/>
  <c r="F8" i="1"/>
  <c r="E8" i="1"/>
  <c r="V7" i="1"/>
  <c r="U7" i="1"/>
  <c r="W7" i="1" s="1"/>
  <c r="M7" i="1"/>
  <c r="L7" i="1"/>
  <c r="N7" i="1" s="1"/>
  <c r="O7" i="1" s="1"/>
  <c r="G7" i="1"/>
  <c r="F7" i="1"/>
  <c r="E7" i="1"/>
  <c r="V6" i="1"/>
  <c r="U6" i="1"/>
  <c r="W6" i="1" s="1"/>
  <c r="N6" i="1"/>
  <c r="M6" i="1"/>
  <c r="L6" i="1"/>
  <c r="F6" i="1"/>
  <c r="E6" i="1"/>
  <c r="G6" i="1" s="1"/>
  <c r="O6" i="1" s="1"/>
  <c r="X5" i="1"/>
  <c r="W5" i="1"/>
  <c r="V5" i="1"/>
  <c r="U5" i="1"/>
  <c r="M5" i="1"/>
  <c r="L5" i="1"/>
  <c r="N5" i="1" s="1"/>
  <c r="O5" i="1" s="1"/>
  <c r="G5" i="1"/>
  <c r="F5" i="1"/>
  <c r="E5" i="1"/>
  <c r="V4" i="1"/>
  <c r="U4" i="1"/>
  <c r="W4" i="1" s="1"/>
  <c r="N4" i="1"/>
  <c r="M4" i="1"/>
  <c r="L4" i="1"/>
  <c r="F4" i="1"/>
  <c r="E4" i="1"/>
  <c r="G4" i="1" s="1"/>
  <c r="V3" i="1"/>
  <c r="U3" i="1"/>
  <c r="M3" i="1"/>
  <c r="L3" i="1"/>
  <c r="N3" i="1" s="1"/>
  <c r="F3" i="1"/>
  <c r="E3" i="1"/>
  <c r="G3" i="1" s="1"/>
  <c r="X2" i="1"/>
  <c r="W2" i="1"/>
  <c r="V2" i="1"/>
  <c r="U2" i="1"/>
  <c r="M2" i="1"/>
  <c r="L2" i="1"/>
  <c r="N2" i="1" s="1"/>
  <c r="G2" i="1"/>
  <c r="F2" i="1"/>
  <c r="E2" i="1"/>
  <c r="X4" i="1" l="1"/>
  <c r="G29" i="1"/>
  <c r="G31" i="1"/>
  <c r="W3" i="1"/>
  <c r="G8" i="1"/>
  <c r="O8" i="1" s="1"/>
  <c r="G17" i="1"/>
  <c r="O29" i="1"/>
  <c r="O31" i="1"/>
  <c r="O118" i="1"/>
  <c r="O140" i="1"/>
  <c r="O13" i="1"/>
  <c r="O17" i="1"/>
  <c r="O33" i="1"/>
  <c r="G12" i="1"/>
  <c r="X7" i="1"/>
  <c r="X9" i="1"/>
  <c r="G30" i="1"/>
  <c r="G32" i="1"/>
  <c r="O40" i="1"/>
  <c r="O56" i="1"/>
  <c r="O95" i="1"/>
  <c r="O122" i="1"/>
  <c r="O60" i="1"/>
  <c r="O73" i="1"/>
  <c r="O12" i="1"/>
  <c r="G21" i="1"/>
  <c r="O21" i="1" s="1"/>
  <c r="O30" i="1"/>
  <c r="O32" i="1"/>
  <c r="O64" i="1"/>
  <c r="O78" i="1"/>
  <c r="O87" i="1"/>
  <c r="O3" i="1"/>
  <c r="O4" i="1"/>
  <c r="X3" i="1"/>
  <c r="O69" i="1"/>
  <c r="O91" i="1"/>
  <c r="O103" i="1"/>
  <c r="O107" i="1"/>
  <c r="O117" i="1"/>
  <c r="O128" i="1"/>
  <c r="O131" i="1"/>
  <c r="O139" i="1"/>
  <c r="O189" i="1"/>
  <c r="O202" i="1"/>
  <c r="N204" i="1"/>
  <c r="O204" i="1" s="1"/>
  <c r="O231" i="1"/>
  <c r="O246" i="1"/>
  <c r="O258" i="1"/>
  <c r="G262" i="1"/>
  <c r="O262" i="1" s="1"/>
  <c r="O269" i="1"/>
  <c r="O329" i="1"/>
  <c r="N334" i="1"/>
  <c r="O334" i="1" s="1"/>
  <c r="O3" i="2"/>
  <c r="O14" i="2"/>
  <c r="O280" i="1"/>
  <c r="O152" i="2"/>
  <c r="O238" i="1"/>
  <c r="O167" i="1"/>
  <c r="O289" i="1"/>
  <c r="O159" i="1"/>
  <c r="O219" i="1"/>
  <c r="O263" i="1"/>
  <c r="O116" i="2"/>
  <c r="O165" i="1"/>
  <c r="O210" i="1"/>
  <c r="O212" i="1"/>
  <c r="O216" i="1"/>
  <c r="O239" i="1"/>
  <c r="O259" i="1"/>
  <c r="O268" i="1"/>
  <c r="O285" i="1"/>
  <c r="O288" i="1"/>
  <c r="O305" i="1"/>
  <c r="O20" i="2"/>
  <c r="O252" i="1"/>
  <c r="G142" i="1"/>
  <c r="O142" i="1" s="1"/>
  <c r="N152" i="1"/>
  <c r="O152" i="1" s="1"/>
  <c r="O153" i="1"/>
  <c r="N181" i="1"/>
  <c r="O181" i="1" s="1"/>
  <c r="O188" i="1"/>
  <c r="N190" i="1"/>
  <c r="O190" i="1" s="1"/>
  <c r="O203" i="1"/>
  <c r="G217" i="1"/>
  <c r="O217" i="1" s="1"/>
  <c r="O230" i="1"/>
  <c r="N232" i="1"/>
  <c r="O232" i="1" s="1"/>
  <c r="O236" i="1"/>
  <c r="O245" i="1"/>
  <c r="N247" i="1"/>
  <c r="O247" i="1" s="1"/>
  <c r="N270" i="1"/>
  <c r="O270" i="1" s="1"/>
  <c r="O294" i="1"/>
  <c r="O296" i="1"/>
  <c r="O310" i="1"/>
  <c r="O321" i="1"/>
  <c r="O323" i="1"/>
  <c r="G338" i="1"/>
  <c r="G339" i="1"/>
  <c r="O339" i="1" s="1"/>
  <c r="O44" i="2"/>
  <c r="N148" i="1"/>
  <c r="O156" i="1"/>
  <c r="G164" i="1"/>
  <c r="O164" i="1" s="1"/>
  <c r="G171" i="1"/>
  <c r="O171" i="1" s="1"/>
  <c r="N196" i="1"/>
  <c r="O196" i="1" s="1"/>
  <c r="O200" i="1"/>
  <c r="G237" i="1"/>
  <c r="O237" i="1" s="1"/>
  <c r="O253" i="1"/>
  <c r="O279" i="1"/>
  <c r="O315" i="1"/>
  <c r="O328" i="1"/>
  <c r="O330" i="1"/>
  <c r="O172" i="1"/>
  <c r="N137" i="1"/>
  <c r="O137" i="1" s="1"/>
  <c r="O138" i="1"/>
  <c r="N155" i="1"/>
  <c r="O155" i="1" s="1"/>
  <c r="G157" i="1"/>
  <c r="O157" i="1" s="1"/>
  <c r="G201" i="1"/>
  <c r="O201" i="1" s="1"/>
  <c r="O218" i="1"/>
  <c r="N220" i="1"/>
  <c r="O220" i="1" s="1"/>
  <c r="O264" i="1"/>
  <c r="G336" i="1"/>
  <c r="O336" i="1" s="1"/>
  <c r="N4" i="2"/>
  <c r="O4" i="2" s="1"/>
  <c r="N260" i="1"/>
  <c r="O260" i="1" s="1"/>
  <c r="G284" i="1"/>
  <c r="O284" i="1" s="1"/>
  <c r="N307" i="1"/>
  <c r="O307" i="1" s="1"/>
  <c r="O51" i="2"/>
  <c r="O57" i="2"/>
  <c r="O68" i="2"/>
  <c r="O79" i="2"/>
  <c r="O82" i="2"/>
  <c r="O95" i="2"/>
  <c r="O98" i="2"/>
  <c r="O111" i="2"/>
  <c r="O114" i="2"/>
  <c r="O124" i="2"/>
  <c r="O145" i="2"/>
  <c r="O160" i="2"/>
  <c r="O165" i="2"/>
  <c r="O33" i="2"/>
  <c r="O41" i="2"/>
  <c r="O47" i="2"/>
  <c r="O50" i="2"/>
  <c r="O59" i="2"/>
  <c r="O64" i="2"/>
  <c r="O121" i="2"/>
  <c r="O129" i="2"/>
  <c r="L338" i="1"/>
  <c r="N338" i="1" s="1"/>
  <c r="O338" i="1" s="1"/>
  <c r="O25" i="2"/>
  <c r="O35" i="2"/>
  <c r="O86" i="2"/>
  <c r="O102" i="2"/>
  <c r="O136" i="2"/>
  <c r="N274" i="1"/>
  <c r="N295" i="1"/>
  <c r="O295" i="1" s="1"/>
  <c r="G312" i="1"/>
  <c r="O312" i="1" s="1"/>
  <c r="G324" i="1"/>
  <c r="G331" i="1"/>
  <c r="O331" i="1" s="1"/>
  <c r="G335" i="1"/>
  <c r="O335" i="1" s="1"/>
  <c r="W10" i="2"/>
  <c r="X7" i="2"/>
  <c r="G39" i="2"/>
  <c r="O39" i="2" s="1"/>
  <c r="N58" i="2"/>
  <c r="O58" i="2" s="1"/>
  <c r="O77" i="2"/>
  <c r="O93" i="2"/>
  <c r="O109" i="2"/>
  <c r="O300" i="1"/>
  <c r="O13" i="2"/>
  <c r="X5" i="2"/>
  <c r="X8" i="2"/>
  <c r="X10" i="2"/>
  <c r="G265" i="1"/>
  <c r="O265" i="1" s="1"/>
  <c r="N299" i="1"/>
  <c r="O299" i="1" s="1"/>
  <c r="G5" i="2"/>
  <c r="O5" i="2" s="1"/>
  <c r="G18" i="2"/>
  <c r="O18" i="2" s="1"/>
  <c r="O43" i="2"/>
  <c r="O49" i="2"/>
  <c r="O55" i="2"/>
  <c r="G62" i="2"/>
  <c r="O62" i="2" s="1"/>
  <c r="O66" i="2"/>
  <c r="O171" i="2"/>
  <c r="O220" i="2"/>
  <c r="N21" i="2"/>
  <c r="O21" i="2" s="1"/>
  <c r="G45" i="2"/>
  <c r="O45" i="2" s="1"/>
  <c r="O71" i="2"/>
  <c r="N128" i="2"/>
  <c r="O128" i="2" s="1"/>
  <c r="G164" i="2"/>
  <c r="O164" i="2" s="1"/>
  <c r="G172" i="2"/>
  <c r="O172" i="2" s="1"/>
  <c r="O184" i="2"/>
  <c r="O194" i="2"/>
  <c r="G200" i="2"/>
  <c r="O200" i="2" s="1"/>
  <c r="O204" i="2"/>
  <c r="N211" i="2"/>
  <c r="O211" i="2" s="1"/>
  <c r="O223" i="2"/>
  <c r="N17" i="2"/>
  <c r="O17" i="2" s="1"/>
  <c r="N40" i="2"/>
  <c r="O40" i="2" s="1"/>
  <c r="G61" i="2"/>
  <c r="O61" i="2" s="1"/>
  <c r="N80" i="2"/>
  <c r="O80" i="2" s="1"/>
  <c r="O84" i="2"/>
  <c r="N96" i="2"/>
  <c r="O96" i="2" s="1"/>
  <c r="O100" i="2"/>
  <c r="N112" i="2"/>
  <c r="O112" i="2" s="1"/>
  <c r="G117" i="2"/>
  <c r="O117" i="2" s="1"/>
  <c r="O162" i="2"/>
  <c r="N167" i="2"/>
  <c r="O167" i="2" s="1"/>
  <c r="O170" i="2"/>
  <c r="N175" i="2"/>
  <c r="O175" i="2" s="1"/>
  <c r="O178" i="2"/>
  <c r="O181" i="2"/>
  <c r="O196" i="2"/>
  <c r="O227" i="2"/>
  <c r="W15" i="2"/>
  <c r="X3" i="2" s="1"/>
  <c r="G37" i="2"/>
  <c r="O37" i="2" s="1"/>
  <c r="G85" i="2"/>
  <c r="O85" i="2" s="1"/>
  <c r="G101" i="2"/>
  <c r="O101" i="2" s="1"/>
  <c r="O133" i="2"/>
  <c r="O141" i="2"/>
  <c r="O149" i="2"/>
  <c r="O157" i="2"/>
  <c r="O206" i="2"/>
  <c r="O208" i="2"/>
  <c r="O271" i="2"/>
  <c r="O182" i="2"/>
  <c r="O187" i="2"/>
  <c r="O197" i="2"/>
  <c r="O203" i="2"/>
  <c r="O241" i="2"/>
  <c r="G10" i="2"/>
  <c r="O10" i="2" s="1"/>
  <c r="N27" i="2"/>
  <c r="O76" i="2"/>
  <c r="N88" i="2"/>
  <c r="O88" i="2" s="1"/>
  <c r="O92" i="2"/>
  <c r="N104" i="2"/>
  <c r="O104" i="2" s="1"/>
  <c r="O108" i="2"/>
  <c r="O123" i="2"/>
  <c r="O132" i="2"/>
  <c r="O140" i="2"/>
  <c r="O148" i="2"/>
  <c r="O156" i="2"/>
  <c r="O192" i="2"/>
  <c r="G185" i="2"/>
  <c r="O185" i="2" s="1"/>
  <c r="G207" i="2"/>
  <c r="O207" i="2" s="1"/>
  <c r="G239" i="2"/>
  <c r="O239" i="2" s="1"/>
  <c r="N240" i="2"/>
  <c r="O240" i="2" s="1"/>
  <c r="G244" i="2"/>
  <c r="O244" i="2" s="1"/>
  <c r="N267" i="2"/>
  <c r="O267" i="2" s="1"/>
  <c r="G269" i="2"/>
  <c r="O269" i="2" s="1"/>
  <c r="N270" i="2"/>
  <c r="O270" i="2" s="1"/>
  <c r="O292" i="2"/>
  <c r="O300" i="2"/>
  <c r="O308" i="2"/>
  <c r="O316" i="2"/>
  <c r="O324" i="2"/>
  <c r="O332" i="2"/>
  <c r="O340" i="2"/>
  <c r="O230" i="2"/>
  <c r="N242" i="2"/>
  <c r="O245" i="2"/>
  <c r="G249" i="2"/>
  <c r="G252" i="2"/>
  <c r="N272" i="2"/>
  <c r="G199" i="2"/>
  <c r="O199" i="2" s="1"/>
  <c r="N232" i="2"/>
  <c r="O232" i="2" s="1"/>
  <c r="G234" i="2"/>
  <c r="O234" i="2" s="1"/>
  <c r="N249" i="2"/>
  <c r="O250" i="2"/>
  <c r="N252" i="2"/>
  <c r="O252" i="2" s="1"/>
  <c r="G254" i="2"/>
  <c r="O254" i="2" s="1"/>
  <c r="N255" i="2"/>
  <c r="O255" i="2" s="1"/>
  <c r="O261" i="2"/>
  <c r="O275" i="2"/>
  <c r="G279" i="2"/>
  <c r="G282" i="2"/>
  <c r="M345" i="2"/>
  <c r="N345" i="2" s="1"/>
  <c r="O260" i="2"/>
  <c r="O274" i="2"/>
  <c r="O283" i="2"/>
  <c r="N346" i="2"/>
  <c r="O346" i="2" s="1"/>
  <c r="N195" i="2"/>
  <c r="O195" i="2" s="1"/>
  <c r="G215" i="2"/>
  <c r="O215" i="2" s="1"/>
  <c r="G237" i="2"/>
  <c r="N279" i="2"/>
  <c r="O279" i="2" s="1"/>
  <c r="O280" i="2"/>
  <c r="N282" i="2"/>
  <c r="O282" i="2" s="1"/>
  <c r="G284" i="2"/>
  <c r="O284" i="2" s="1"/>
  <c r="N285" i="2"/>
  <c r="O285" i="2" s="1"/>
  <c r="O291" i="2"/>
  <c r="N293" i="2"/>
  <c r="O293" i="2" s="1"/>
  <c r="O299" i="2"/>
  <c r="N301" i="2"/>
  <c r="O301" i="2" s="1"/>
  <c r="O307" i="2"/>
  <c r="N309" i="2"/>
  <c r="O309" i="2" s="1"/>
  <c r="O315" i="2"/>
  <c r="N317" i="2"/>
  <c r="O317" i="2" s="1"/>
  <c r="O323" i="2"/>
  <c r="N325" i="2"/>
  <c r="O325" i="2" s="1"/>
  <c r="O331" i="2"/>
  <c r="N333" i="2"/>
  <c r="O333" i="2" s="1"/>
  <c r="O339" i="2"/>
  <c r="N341" i="2"/>
  <c r="O341" i="2" s="1"/>
  <c r="N188" i="2"/>
  <c r="O188" i="2" s="1"/>
  <c r="N210" i="2"/>
  <c r="O210" i="2" s="1"/>
  <c r="N237" i="2"/>
  <c r="O237" i="2" s="1"/>
  <c r="O238" i="2"/>
  <c r="G242" i="2"/>
  <c r="O268" i="2"/>
  <c r="G272" i="2"/>
  <c r="F345" i="2"/>
  <c r="E345" i="2"/>
  <c r="R27" i="1" l="1"/>
  <c r="R26" i="1"/>
  <c r="O249" i="2"/>
  <c r="G345" i="2"/>
  <c r="O345" i="2" s="1"/>
  <c r="O272" i="2"/>
  <c r="R31" i="1" l="1"/>
  <c r="R30" i="1"/>
  <c r="R29" i="1"/>
</calcChain>
</file>

<file path=xl/sharedStrings.xml><?xml version="1.0" encoding="utf-8"?>
<sst xmlns="http://schemas.openxmlformats.org/spreadsheetml/2006/main" count="939" uniqueCount="455">
  <si>
    <t>MUN</t>
  </si>
  <si>
    <t>Cantidad de pobres que son migrantes</t>
  </si>
  <si>
    <t xml:space="preserve">Suma de privaciones de los migrantes </t>
  </si>
  <si>
    <t>Cantidad de personas migrantes</t>
  </si>
  <si>
    <t>H de personas migrantes</t>
  </si>
  <si>
    <t>A de personas migrantes</t>
  </si>
  <si>
    <t>IPM de personas migrantes 2012</t>
  </si>
  <si>
    <t>Cantidad de pobres que NO son migrantes</t>
  </si>
  <si>
    <t>Suma de privaciones de pobres que NO son migrantes</t>
  </si>
  <si>
    <t>Cantidad de personas que NO son migrantes</t>
  </si>
  <si>
    <t>H de personas que NO son migrantes</t>
  </si>
  <si>
    <t>A de personas que NO son migrantes</t>
  </si>
  <si>
    <t>IPM de personas que NO son migrantes 2012</t>
  </si>
  <si>
    <t>Brecha 2012</t>
  </si>
  <si>
    <t>dep_res_cod</t>
  </si>
  <si>
    <t>migracion |      Freq.     Percent        Cum.</t>
  </si>
  <si>
    <t>------------+-----------------------------------</t>
  </si>
  <si>
    <t>0 |     98,135       13.86       13.86</t>
  </si>
  <si>
    <t>1 |    609,949       86.14      100.00</t>
  </si>
  <si>
    <t>Total |    708,084      100.00</t>
  </si>
  <si>
    <t>0 |     68,638       88.84       88.84</t>
  </si>
  <si>
    <t>1 |      8,621       11.16      100.00</t>
  </si>
  <si>
    <t>.</t>
  </si>
  <si>
    <t>-</t>
  </si>
  <si>
    <t>Total |     77,259      100.00</t>
  </si>
  <si>
    <t>promedio</t>
  </si>
  <si>
    <t>desv</t>
  </si>
  <si>
    <t>codigo_nuevo</t>
  </si>
  <si>
    <t>IPM de personas migrantes 2024</t>
  </si>
  <si>
    <t>IPM de personas que NO son migrantes 2024</t>
  </si>
  <si>
    <t xml:space="preserve">Brecha </t>
  </si>
  <si>
    <t>idep</t>
  </si>
  <si>
    <t>Brecha 2024</t>
  </si>
  <si>
    <t>id</t>
  </si>
  <si>
    <t>Municipio</t>
  </si>
  <si>
    <t>Brecha de pobreza migrantes/no-migrantes 2012</t>
  </si>
  <si>
    <t>Brecha de pobreza migrantes/no-migrantes 2024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</si>
  <si>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</si>
  <si>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</si>
  <si>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</si>
  <si>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</si>
  <si>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</si>
  <si>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</si>
  <si>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</si>
  <si>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</si>
  <si>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</si>
  <si>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</si>
  <si>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</si>
  <si>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</si>
  <si>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</si>
  <si>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</si>
  <si>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</si>
  <si>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</si>
  <si>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</si>
  <si>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</si>
  <si>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</si>
  <si>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</si>
  <si>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</si>
  <si>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</si>
  <si>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</si>
  <si>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</si>
  <si>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</si>
  <si>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</si>
  <si>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</si>
  <si>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</si>
  <si>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</si>
  <si>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</si>
  <si>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</si>
  <si>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</si>
  <si>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</si>
  <si>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</si>
  <si>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</si>
  <si>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</si>
  <si>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</si>
  <si>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</si>
  <si>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</si>
  <si>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</si>
  <si>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</si>
  <si>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</si>
  <si>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</si>
  <si>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</si>
  <si>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</si>
  <si>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</si>
  <si>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</si>
  <si>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</si>
  <si>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</si>
  <si>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</si>
  <si>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</si>
  <si>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</si>
  <si>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</si>
  <si>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</si>
  <si>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</si>
  <si>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</si>
  <si>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</si>
  <si>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</si>
  <si>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</si>
  <si>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</si>
  <si>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</si>
  <si>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</si>
  <si>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</si>
  <si>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</si>
  <si>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</si>
  <si>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</si>
  <si>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</si>
  <si>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</si>
  <si>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</si>
  <si>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</si>
  <si>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</si>
  <si>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</si>
  <si>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</si>
  <si>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</si>
  <si>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</si>
  <si>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</si>
  <si>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</si>
  <si>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</si>
  <si>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</si>
  <si>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</si>
  <si>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</si>
  <si>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</si>
  <si>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</si>
  <si>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</si>
  <si>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</si>
  <si>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</si>
  <si>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</si>
  <si>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</si>
  <si>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</si>
  <si>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</si>
  <si>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</si>
  <si>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</si>
  <si>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</si>
  <si>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</si>
  <si>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</si>
  <si>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</si>
  <si>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</si>
  <si>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</si>
  <si>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</si>
  <si>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</si>
  <si>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</si>
  <si>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</si>
  <si>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</si>
  <si>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</si>
  <si>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</si>
  <si>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</si>
  <si>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</si>
  <si>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</si>
  <si>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</si>
  <si>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</si>
  <si>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</si>
  <si>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</si>
  <si>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</si>
  <si>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</si>
  <si>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</si>
  <si>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</si>
  <si>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</si>
  <si>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</si>
  <si>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</si>
  <si>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</si>
  <si>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</si>
  <si>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</si>
  <si>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</si>
  <si>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</si>
  <si>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</si>
  <si>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</si>
  <si>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</si>
  <si>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</si>
  <si>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</si>
  <si>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</si>
  <si>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</si>
  <si>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</si>
  <si>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</si>
  <si>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</si>
  <si>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</si>
  <si>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</si>
  <si>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</si>
  <si>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</si>
  <si>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</si>
  <si>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</si>
  <si>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</si>
  <si>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</si>
  <si>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</si>
  <si>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</si>
  <si>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</si>
  <si>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</si>
  <si>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</si>
  <si>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</si>
  <si>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</si>
  <si>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</si>
  <si>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</si>
  <si>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</si>
  <si>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</si>
  <si>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</si>
  <si>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</si>
  <si>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</si>
  <si>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</si>
  <si>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</si>
  <si>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</si>
  <si>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</si>
  <si>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</si>
  <si>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</si>
  <si>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</si>
  <si>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</si>
  <si>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</si>
  <si>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</si>
  <si>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</si>
  <si>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</si>
  <si>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</si>
  <si>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</si>
  <si>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</si>
  <si>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</si>
  <si>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</si>
  <si>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</si>
  <si>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</si>
  <si>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</si>
  <si>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</si>
  <si>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</si>
  <si>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</si>
  <si>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</si>
  <si>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</si>
  <si>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</si>
  <si>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</si>
  <si>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</si>
  <si>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</si>
  <si>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</si>
  <si>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</si>
  <si>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</si>
  <si>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</si>
  <si>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</si>
  <si>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</si>
  <si>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</si>
  <si>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</si>
  <si>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</si>
  <si>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</si>
  <si>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</si>
  <si>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</si>
  <si>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</si>
  <si>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</si>
  <si>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</si>
  <si>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</si>
  <si>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</si>
  <si>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</si>
  <si>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</si>
  <si>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</si>
  <si>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</si>
  <si>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</si>
  <si>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</si>
  <si>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</si>
  <si>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</si>
  <si>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</si>
  <si>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</si>
  <si>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</si>
  <si>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</si>
  <si>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</si>
  <si>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</si>
  <si>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</si>
  <si>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</si>
  <si>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</si>
  <si>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</si>
  <si>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</si>
  <si>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</si>
  <si>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</si>
  <si>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</si>
  <si>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</si>
  <si>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</si>
  <si>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</si>
  <si>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</si>
  <si>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</si>
  <si>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</si>
  <si>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</si>
  <si>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</si>
  <si>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</si>
  <si>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</si>
  <si>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</si>
  <si>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</si>
  <si>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</si>
  <si>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</si>
  <si>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</si>
  <si>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</si>
  <si>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</si>
  <si>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</si>
  <si>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</si>
  <si>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</si>
  <si>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</si>
  <si>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</si>
  <si>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</si>
  <si>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</si>
  <si>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</si>
  <si>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</si>
  <si>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</si>
  <si>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</si>
  <si>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</si>
  <si>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</si>
  <si>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</si>
  <si>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</si>
  <si>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</si>
  <si>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</si>
  <si>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</si>
  <si>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</si>
  <si>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</si>
  <si>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</si>
  <si>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</si>
  <si>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</si>
  <si>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</si>
  <si>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</si>
  <si>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</si>
  <si>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</si>
  <si>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</si>
  <si>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</si>
  <si>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</si>
  <si>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</si>
  <si>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</si>
  <si>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</si>
  <si>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</si>
  <si>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</si>
  <si>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</si>
  <si>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</si>
  <si>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</si>
  <si>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</si>
  <si>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</si>
  <si>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</si>
  <si>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</si>
  <si>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</si>
  <si>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</si>
  <si>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</si>
  <si>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</si>
  <si>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</si>
  <si>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</si>
  <si>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</si>
  <si>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</si>
  <si>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</si>
  <si>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</si>
  <si>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</si>
  <si>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</si>
  <si>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</si>
  <si>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</si>
  <si>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</si>
  <si>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</si>
  <si>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</si>
  <si>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</si>
  <si>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</si>
  <si>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</si>
  <si>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</si>
  <si>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</si>
  <si>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</si>
  <si>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</si>
  <si>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</si>
  <si>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</si>
  <si>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</si>
  <si>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</si>
  <si>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</si>
  <si>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</si>
  <si>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</si>
  <si>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</si>
  <si>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</si>
  <si>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</si>
  <si>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</si>
  <si>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</si>
  <si>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</si>
  <si>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</si>
  <si>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</si>
  <si>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</si>
  <si>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</si>
  <si>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</si>
  <si>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</si>
  <si>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</si>
  <si>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</si>
  <si>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</si>
  <si>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</si>
  <si>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</si>
  <si>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</si>
  <si>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</si>
  <si>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</si>
  <si>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</si>
  <si>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</si>
  <si>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</si>
  <si>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</si>
  <si>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Alcalá</t>
  </si>
  <si>
    <t>Villa Abecia</t>
  </si>
  <si>
    <t>Villa Vaca Guzmán</t>
  </si>
  <si>
    <t>Huacaya (Autonomía Guaraní Chaqueño de Huacaya)</t>
  </si>
  <si>
    <t>Macharetí</t>
  </si>
  <si>
    <t>Nuestra Señora de La Paz</t>
  </si>
  <si>
    <t>Villa Ancoraimes</t>
  </si>
  <si>
    <t>Santiago de Callapa</t>
  </si>
  <si>
    <t>Puerto Mayor de Carabuco</t>
  </si>
  <si>
    <t>Puerto Mayor de Guaqui</t>
  </si>
  <si>
    <t>Tiahuanacu</t>
  </si>
  <si>
    <t>La (Marka) San Andrés de Machaca</t>
  </si>
  <si>
    <t>Jesús de Machaka</t>
  </si>
  <si>
    <t>Sicasica</t>
  </si>
  <si>
    <t>Ixiamas</t>
  </si>
  <si>
    <t>Cochabamba</t>
  </si>
  <si>
    <t>Ayopaya</t>
  </si>
  <si>
    <t>Tarata</t>
  </si>
  <si>
    <t>Arque</t>
  </si>
  <si>
    <t>Santiváñez</t>
  </si>
  <si>
    <t>Toco</t>
  </si>
  <si>
    <t>Vinto</t>
  </si>
  <si>
    <t>Totora</t>
  </si>
  <si>
    <t>Villa Gualberto Villarroel</t>
  </si>
  <si>
    <t>Bolívar</t>
  </si>
  <si>
    <t>Paria</t>
  </si>
  <si>
    <t>Santuario de Quillacas</t>
  </si>
  <si>
    <t>Choquecota</t>
  </si>
  <si>
    <t>Yunguyo del Litoral</t>
  </si>
  <si>
    <t>Salinas de Garci Mendoza (Autonomía Indígena Originario Campesina de Salinas)</t>
  </si>
  <si>
    <t>Uru Chipaya (Nación Originaria Uru Chipaya)</t>
  </si>
  <si>
    <t>Andamarca</t>
  </si>
  <si>
    <t>Santiago de Huari</t>
  </si>
  <si>
    <t>Santiago de Huayllamarca</t>
  </si>
  <si>
    <t>Uncía</t>
  </si>
  <si>
    <t>Chuquihuta Ayllu Jucumani</t>
  </si>
  <si>
    <t>Sacaca</t>
  </si>
  <si>
    <t>San Pablo</t>
  </si>
  <si>
    <t>Villa Montes</t>
  </si>
  <si>
    <t>San Miguel</t>
  </si>
  <si>
    <t>San Juan</t>
  </si>
  <si>
    <t>San José</t>
  </si>
  <si>
    <t>Colpa Bélgica</t>
  </si>
  <si>
    <t>Charagua (Autonomía Guaraní Charagua Iyambae)</t>
  </si>
  <si>
    <t>Cuevo</t>
  </si>
  <si>
    <t>Gutiérrez (Autonomía Indígena Kereimba Iyaambae)</t>
  </si>
  <si>
    <t>Trigal</t>
  </si>
  <si>
    <t>Moromoro</t>
  </si>
  <si>
    <t>Postrervalle</t>
  </si>
  <si>
    <t>Pampagrande</t>
  </si>
  <si>
    <t>General Saavedra</t>
  </si>
  <si>
    <t>Fernández Alonso</t>
  </si>
  <si>
    <t>San Antonio de Lomerio</t>
  </si>
  <si>
    <t>El Carmen Rivero Tórrez</t>
  </si>
  <si>
    <t>Ascención de Guarayos</t>
  </si>
  <si>
    <t>Puerto Menor de Rurrenabaque</t>
  </si>
  <si>
    <t>Santa Ana</t>
  </si>
  <si>
    <t>Cobija</t>
  </si>
  <si>
    <t>Puerto Rico</t>
  </si>
  <si>
    <t>Puerto Gonzalo Moreno</t>
  </si>
  <si>
    <t>Villa Nueva</t>
  </si>
  <si>
    <t>id_departamento</t>
  </si>
  <si>
    <t>Departamento</t>
  </si>
  <si>
    <t>Chuquisaca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</si>
  <si>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</si>
  <si>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</si>
  <si>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</si>
  <si>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</si>
  <si>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</si>
  <si>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</si>
  <si>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</si>
  <si>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</si>
  <si>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</si>
  <si>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</si>
  <si>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</si>
  <si>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</si>
  <si>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</si>
  <si>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</si>
  <si>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</si>
  <si>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Brecha de pobreza migrantes/no-migrantes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</si>
</sst>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"/>
    <numFmt numFmtId="165" formatCode="0.0000"/>
  </numFmts>
  <fonts count="7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b/>
      <sz val="9"/>
      <color theme="1"/>
      <name val="Play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164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165" fontId="1" fillId="0" borderId="0" xfId="0" applyNumberFormat="1" applyFont="1" applyAlignment="1">
      <alignment wrapText="1"/>
    </xf>
    <xf numFmtId="164" fontId="1" fillId="0" borderId="0" xfId="0" applyNumberFormat="1" applyFont="1"/>
    <xf numFmtId="165" fontId="2" fillId="0" borderId="0" xfId="0" applyNumberFormat="1" applyFont="1" applyAlignment="1">
      <alignment wrapText="1"/>
    </xf>
    <xf numFmtId="2" fontId="1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1" fontId="1" fillId="0" borderId="0" xfId="0" applyNumberFormat="1" applyFont="1" applyAlignment="1">
      <alignment horizontal="right"/>
    </xf>
    <xf numFmtId="165" fontId="1" fillId="0" borderId="0" xfId="0" applyNumberFormat="1" applyFont="1"/>
    <xf numFmtId="165" fontId="1" fillId="0" borderId="0" xfId="0" applyNumberFormat="1" applyFont="1" applyAlignment="1">
      <alignment horizontal="right"/>
    </xf>
    <xf numFmtId="165" fontId="2" fillId="0" borderId="0" xfId="0" applyNumberFormat="1" applyFont="1"/>
    <xf numFmtId="2" fontId="1" fillId="0" borderId="0" xfId="0" applyNumberFormat="1" applyFont="1"/>
    <xf numFmtId="0" fontId="1" fillId="0" borderId="0" xfId="0" applyFont="1"/>
    <xf numFmtId="2" fontId="1" fillId="0" borderId="0" xfId="0" applyNumberFormat="1" applyFont="1" applyAlignment="1">
      <alignment horizontal="right"/>
    </xf>
    <xf numFmtId="1" fontId="3" fillId="0" borderId="0" xfId="0" applyNumberFormat="1" applyFont="1"/>
    <xf numFmtId="1" fontId="3" fillId="0" borderId="0" xfId="0" applyNumberFormat="1" applyFont="1" applyAlignment="1">
      <alignment horizontal="right"/>
    </xf>
    <xf numFmtId="164" fontId="2" fillId="0" borderId="0" xfId="0" applyNumberFormat="1" applyFont="1"/>
    <xf numFmtId="2" fontId="2" fillId="0" borderId="0" xfId="0" applyNumberFormat="1" applyFont="1"/>
    <xf numFmtId="0" fontId="3" fillId="0" borderId="0" xfId="0" applyFont="1"/>
    <xf numFmtId="0" fontId="2" fillId="0" borderId="0" xfId="0" applyFont="1"/>
    <xf numFmtId="1" fontId="2" fillId="0" borderId="0" xfId="0" applyNumberFormat="1" applyFont="1"/>
    <xf numFmtId="2" fontId="2" fillId="0" borderId="0" xfId="0" applyNumberFormat="1" applyFont="1" applyAlignment="1">
      <alignment wrapText="1"/>
    </xf>
    <xf numFmtId="164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4" fontId="4" fillId="2" borderId="0" xfId="0" applyNumberFormat="1" applyFont="1" applyFill="1" applyAlignment="1">
      <alignment horizontal="center" wrapText="1"/>
    </xf>
    <xf numFmtId="164" fontId="1" fillId="0" borderId="0" xfId="0" applyNumberFormat="1" applyFont="1" applyAlignment="1">
      <alignment horizontal="right"/>
    </xf>
    <xf numFmtId="49" fontId="1" fillId="3" borderId="0" xfId="0" applyNumberFormat="1" applyFont="1" applyFill="1"/>
    <xf numFmtId="4" fontId="3" fillId="0" borderId="0" xfId="0" applyNumberFormat="1" applyFont="1"/>
    <xf numFmtId="164" fontId="1" fillId="3" borderId="0" xfId="0" applyNumberFormat="1" applyFont="1" applyFill="1" applyAlignment="1">
      <alignment horizontal="right"/>
    </xf>
    <xf numFmtId="49" fontId="2" fillId="0" borderId="0" xfId="0" applyNumberFormat="1" applyFont="1"/>
    <xf numFmtId="4" fontId="2" fillId="0" borderId="0" xfId="0" applyNumberFormat="1" applyFont="1"/>
    <xf numFmtId="164" fontId="3" fillId="0" borderId="0" xfId="0" applyNumberFormat="1" applyFont="1"/>
    <xf numFmtId="49" fontId="3" fillId="0" borderId="0" xfId="0" applyNumberFormat="1" applyFont="1"/>
    <xf numFmtId="164" fontId="4" fillId="2" borderId="0" xfId="0" applyNumberFormat="1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4" fontId="1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4" fontId="1" fillId="0" borderId="0" xfId="0" applyNumberFormat="1" applyFont="1"/>
    <xf numFmtId="3" fontId="4" fillId="2" borderId="0" xfId="0" applyNumberFormat="1" applyFont="1" applyFill="1" applyAlignment="1">
      <alignment horizontal="center"/>
    </xf>
    <xf numFmtId="3" fontId="1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2" fillId="0" borderId="0" xfId="0" applyNumberFormat="1" applyFont="1"/>
    <xf numFmtId="0" fontId="5" fillId="4" borderId="1" xfId="0" applyFont="1" applyFill="1" applyBorder="1"/>
    <xf numFmtId="0" fontId="6" fillId="5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 wrapText="1"/>
    </xf>
    <xf numFmtId="0" fontId="6" fillId="7" borderId="1" xfId="0" applyFont="1" applyFill="1" applyBorder="1" applyAlignment="1">
      <alignment horizontal="center" wrapText="1"/>
    </xf>
    <xf numFmtId="0" fontId="6" fillId="8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2" fontId="2" fillId="0" borderId="1" xfId="0" applyNumberFormat="1" applyFont="1" applyBorder="1"/>
  </cellXfs>
  <cellStyles count="1">
    <cellStyle name="Normal" xfId="0" builtinId="0"/>
  </cellStyles>
  <dxfs count="4"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</dxfs>
  <tableStyles count="2">
    <tableStyle name="Indicador_MUN-style" pivot="0" count="2" xr9:uid="{00000000-0011-0000-FFFF-FFFF00000000}">
      <tableStyleElement type="firstRowStripe" dxfId="3"/>
      <tableStyleElement type="secondRowStripe" dxfId="2"/>
    </tableStyle>
    <tableStyle name="Absoluto_MUN-style" pivot="0" count="2" xr9:uid="{00000000-0011-0000-FFFF-FFFF0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D1" headerRowCount="0">
  <tableColumns count="1">
    <tableColumn id="1" xr3:uid="{00000000-0010-0000-0000-000001000000}" name="Column1"/>
  </tableColumns>
  <tableStyleInfo name="Indicador_MU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1" headerRowCount="0">
  <tableColumns count="1">
    <tableColumn id="1" xr3:uid="{00000000-0010-0000-0100-000001000000}" name="Column1"/>
  </tableColumns>
  <tableStyleInfo name="Absoluto_MU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1000"/>
  <sheetViews>
    <sheetView workbookViewId="0">
      <selection activeCell="O3" sqref="O3"/>
    </sheetView>
  </sheetViews>
  <sheetFormatPr baseColWidth="10" defaultColWidth="12.6640625" defaultRowHeight="15.75" customHeight="1"/>
  <cols>
    <col min="5" max="5" width="14.21875" customWidth="1"/>
  </cols>
  <sheetData>
    <row r="1" spans="1:37" ht="61.2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0</v>
      </c>
      <c r="I1" s="2" t="s">
        <v>7</v>
      </c>
      <c r="J1" s="2" t="s">
        <v>8</v>
      </c>
      <c r="K1" s="2" t="s">
        <v>9</v>
      </c>
      <c r="L1" s="3" t="s">
        <v>10</v>
      </c>
      <c r="M1" s="5" t="s">
        <v>11</v>
      </c>
      <c r="N1" s="3" t="s">
        <v>12</v>
      </c>
      <c r="O1" s="6" t="s">
        <v>13</v>
      </c>
      <c r="P1" s="2"/>
      <c r="Q1" s="4" t="s">
        <v>14</v>
      </c>
      <c r="R1" s="2" t="s">
        <v>1</v>
      </c>
      <c r="S1" s="2" t="s">
        <v>2</v>
      </c>
      <c r="T1" s="2" t="s">
        <v>3</v>
      </c>
      <c r="U1" s="3" t="s">
        <v>4</v>
      </c>
      <c r="V1" s="3" t="s">
        <v>5</v>
      </c>
      <c r="W1" s="3" t="s">
        <v>6</v>
      </c>
      <c r="X1" s="6" t="s">
        <v>13</v>
      </c>
      <c r="Y1" s="2"/>
      <c r="Z1" s="2"/>
      <c r="AA1" s="2"/>
      <c r="AB1" s="2"/>
      <c r="AC1" s="7"/>
      <c r="AD1" s="7"/>
      <c r="AE1" s="7"/>
      <c r="AF1" s="7"/>
      <c r="AG1" s="7"/>
      <c r="AH1" s="7"/>
      <c r="AI1" s="7"/>
      <c r="AJ1" s="7"/>
      <c r="AK1" s="7"/>
    </row>
    <row r="2" spans="1:37" ht="15.75" customHeight="1">
      <c r="A2" s="4">
        <v>10101</v>
      </c>
      <c r="B2" s="8">
        <v>60</v>
      </c>
      <c r="C2" s="8">
        <v>26.555556178092957</v>
      </c>
      <c r="D2" s="8">
        <v>193</v>
      </c>
      <c r="E2" s="9">
        <f t="shared" ref="E2:E14" si="0">B2/D2</f>
        <v>0.31088082901554404</v>
      </c>
      <c r="F2" s="10">
        <f t="shared" ref="F2:F14" si="1">C2/B2</f>
        <v>0.44259260296821595</v>
      </c>
      <c r="G2" s="10">
        <f t="shared" ref="G2:G14" si="2">E2*F2</f>
        <v>0.13759355532690651</v>
      </c>
      <c r="H2" s="4">
        <v>10101</v>
      </c>
      <c r="I2" s="8">
        <v>662</v>
      </c>
      <c r="J2" s="8">
        <v>301.33334091305733</v>
      </c>
      <c r="K2" s="8">
        <v>2756</v>
      </c>
      <c r="L2" s="10">
        <f t="shared" ref="L2:L256" si="3">I2/K2</f>
        <v>0.24020319303338172</v>
      </c>
      <c r="M2" s="11">
        <f t="shared" ref="M2:M45" si="4">J2/I2</f>
        <v>0.45518631557863642</v>
      </c>
      <c r="N2" s="11">
        <f t="shared" ref="N2:N45" si="5">L2*M2</f>
        <v>0.10933720642708901</v>
      </c>
      <c r="O2" s="12">
        <f>N2/G2</f>
        <v>0.79463900883523464</v>
      </c>
      <c r="P2" s="13"/>
      <c r="Q2" s="4">
        <v>1</v>
      </c>
      <c r="R2" s="8">
        <v>267</v>
      </c>
      <c r="S2" s="8">
        <v>126.00000315904617</v>
      </c>
      <c r="T2" s="8">
        <v>544</v>
      </c>
      <c r="U2" s="9">
        <f t="shared" ref="U2:U10" si="6">R2/T2</f>
        <v>0.49080882352941174</v>
      </c>
      <c r="V2" s="10">
        <f t="shared" ref="V2:V10" si="7">S2/R2</f>
        <v>0.47191012419118417</v>
      </c>
      <c r="W2" s="10">
        <f t="shared" ref="W2:W10" si="8">U2*V2</f>
        <v>0.2316176528658937</v>
      </c>
      <c r="X2" s="14">
        <f t="shared" ref="X2:X10" si="9">W14/W2</f>
        <v>0.74833203945087567</v>
      </c>
      <c r="Y2" s="13"/>
      <c r="Z2" s="15" t="s">
        <v>15</v>
      </c>
      <c r="AA2" s="15"/>
      <c r="AB2" s="16">
        <v>2024</v>
      </c>
    </row>
    <row r="3" spans="1:37" ht="15.75" customHeight="1">
      <c r="A3" s="4">
        <v>10102</v>
      </c>
      <c r="B3" s="8">
        <v>20</v>
      </c>
      <c r="C3" s="8">
        <v>8.6666668355464935</v>
      </c>
      <c r="D3" s="8">
        <v>24</v>
      </c>
      <c r="E3" s="9">
        <f t="shared" si="0"/>
        <v>0.83333333333333337</v>
      </c>
      <c r="F3" s="10">
        <f t="shared" si="1"/>
        <v>0.43333334177732469</v>
      </c>
      <c r="G3" s="10">
        <f t="shared" si="2"/>
        <v>0.36111111814777058</v>
      </c>
      <c r="H3" s="4">
        <v>10102</v>
      </c>
      <c r="I3" s="8">
        <v>58</v>
      </c>
      <c r="J3" s="8">
        <v>24.333333879709244</v>
      </c>
      <c r="K3" s="8">
        <v>224</v>
      </c>
      <c r="L3" s="10">
        <f t="shared" si="3"/>
        <v>0.25892857142857145</v>
      </c>
      <c r="M3" s="11">
        <f t="shared" si="4"/>
        <v>0.4195402393053318</v>
      </c>
      <c r="N3" s="11">
        <f t="shared" si="5"/>
        <v>0.10863095482013056</v>
      </c>
      <c r="O3" s="12">
        <f t="shared" ref="O3:O14" si="10">N3/G3</f>
        <v>0.30082417671692291</v>
      </c>
      <c r="P3" s="13"/>
      <c r="Q3" s="4">
        <v>2</v>
      </c>
      <c r="R3" s="8">
        <v>568</v>
      </c>
      <c r="S3" s="8">
        <v>247.77778381109238</v>
      </c>
      <c r="T3" s="8">
        <v>1446</v>
      </c>
      <c r="U3" s="9">
        <f t="shared" si="6"/>
        <v>0.39280774550484093</v>
      </c>
      <c r="V3" s="10">
        <f t="shared" si="7"/>
        <v>0.43622849262516261</v>
      </c>
      <c r="W3" s="10">
        <f t="shared" si="8"/>
        <v>0.17135393071306526</v>
      </c>
      <c r="X3" s="14">
        <f t="shared" si="9"/>
        <v>0.78467091323011395</v>
      </c>
      <c r="Y3" s="13"/>
      <c r="Z3" s="15" t="s">
        <v>16</v>
      </c>
      <c r="AA3" s="15"/>
      <c r="AB3" s="15"/>
    </row>
    <row r="4" spans="1:37" ht="15.75" customHeight="1">
      <c r="A4" s="4">
        <v>10103</v>
      </c>
      <c r="B4" s="8">
        <v>10</v>
      </c>
      <c r="C4" s="8">
        <v>5.4444445669651031</v>
      </c>
      <c r="D4" s="8">
        <v>14</v>
      </c>
      <c r="E4" s="9">
        <f t="shared" si="0"/>
        <v>0.7142857142857143</v>
      </c>
      <c r="F4" s="10">
        <f t="shared" si="1"/>
        <v>0.54444445669651031</v>
      </c>
      <c r="G4" s="10">
        <f t="shared" si="2"/>
        <v>0.38888889764036449</v>
      </c>
      <c r="H4" s="4">
        <v>10103</v>
      </c>
      <c r="I4" s="8">
        <v>144</v>
      </c>
      <c r="J4" s="8">
        <v>76.777779877185822</v>
      </c>
      <c r="K4" s="8">
        <v>165</v>
      </c>
      <c r="L4" s="10">
        <f t="shared" si="3"/>
        <v>0.87272727272727268</v>
      </c>
      <c r="M4" s="11">
        <f t="shared" si="4"/>
        <v>0.53317902692490149</v>
      </c>
      <c r="N4" s="11">
        <f t="shared" si="5"/>
        <v>0.46531987804355035</v>
      </c>
      <c r="O4" s="12">
        <f t="shared" si="10"/>
        <v>1.1965368023282255</v>
      </c>
      <c r="P4" s="13"/>
      <c r="Q4" s="4">
        <v>3</v>
      </c>
      <c r="R4" s="8">
        <v>744</v>
      </c>
      <c r="S4" s="8">
        <v>329.88889706134796</v>
      </c>
      <c r="T4" s="8">
        <v>1592</v>
      </c>
      <c r="U4" s="9">
        <f t="shared" si="6"/>
        <v>0.46733668341708545</v>
      </c>
      <c r="V4" s="10">
        <f t="shared" si="7"/>
        <v>0.44339905518998379</v>
      </c>
      <c r="W4" s="10">
        <f t="shared" si="8"/>
        <v>0.20721664388275626</v>
      </c>
      <c r="X4" s="14">
        <f t="shared" si="9"/>
        <v>0.76393535380075761</v>
      </c>
      <c r="Y4" s="13"/>
      <c r="Z4" s="15" t="s">
        <v>17</v>
      </c>
      <c r="AA4" s="15"/>
      <c r="AB4" s="15"/>
    </row>
    <row r="5" spans="1:37" ht="15.75" customHeight="1">
      <c r="A5" s="4">
        <v>10201</v>
      </c>
      <c r="B5" s="8">
        <v>3</v>
      </c>
      <c r="C5" s="8">
        <v>2.0000000298023224</v>
      </c>
      <c r="D5" s="8">
        <v>4</v>
      </c>
      <c r="E5" s="9">
        <f t="shared" si="0"/>
        <v>0.75</v>
      </c>
      <c r="F5" s="10">
        <f t="shared" si="1"/>
        <v>0.66666667660077417</v>
      </c>
      <c r="G5" s="10">
        <f t="shared" si="2"/>
        <v>0.5000000074505806</v>
      </c>
      <c r="H5" s="4">
        <v>10201</v>
      </c>
      <c r="I5" s="8">
        <v>54</v>
      </c>
      <c r="J5" s="8">
        <v>29.000000834465027</v>
      </c>
      <c r="K5" s="8">
        <v>85</v>
      </c>
      <c r="L5" s="10">
        <f t="shared" si="3"/>
        <v>0.63529411764705879</v>
      </c>
      <c r="M5" s="11">
        <f t="shared" si="4"/>
        <v>0.53703705249009304</v>
      </c>
      <c r="N5" s="11">
        <f t="shared" si="5"/>
        <v>0.34117648040547083</v>
      </c>
      <c r="O5" s="12">
        <f t="shared" si="10"/>
        <v>0.68235295064309032</v>
      </c>
      <c r="P5" s="13"/>
      <c r="Q5" s="4">
        <v>4</v>
      </c>
      <c r="R5" s="8">
        <v>232</v>
      </c>
      <c r="S5" s="8">
        <v>102.55555805563927</v>
      </c>
      <c r="T5" s="8">
        <v>494</v>
      </c>
      <c r="U5" s="9">
        <f t="shared" si="6"/>
        <v>0.46963562753036436</v>
      </c>
      <c r="V5" s="10">
        <f t="shared" si="7"/>
        <v>0.44204981920534164</v>
      </c>
      <c r="W5" s="10">
        <f t="shared" si="8"/>
        <v>0.20760234424218474</v>
      </c>
      <c r="X5" s="14">
        <f t="shared" si="9"/>
        <v>0.88234141354062134</v>
      </c>
      <c r="Y5" s="13"/>
      <c r="Z5" s="15" t="s">
        <v>18</v>
      </c>
      <c r="AA5" s="15"/>
      <c r="AB5" s="15"/>
    </row>
    <row r="6" spans="1:37" ht="15.75" customHeight="1">
      <c r="A6" s="4">
        <v>10202</v>
      </c>
      <c r="B6" s="8">
        <v>6</v>
      </c>
      <c r="C6" s="8">
        <v>3.333333432674408</v>
      </c>
      <c r="D6" s="8">
        <v>10</v>
      </c>
      <c r="E6" s="9">
        <f t="shared" si="0"/>
        <v>0.6</v>
      </c>
      <c r="F6" s="10">
        <f t="shared" si="1"/>
        <v>0.55555557211240136</v>
      </c>
      <c r="G6" s="10">
        <f t="shared" si="2"/>
        <v>0.3333333432674408</v>
      </c>
      <c r="H6" s="4">
        <v>10202</v>
      </c>
      <c r="I6" s="8">
        <v>74</v>
      </c>
      <c r="J6" s="8">
        <v>36.777778744697571</v>
      </c>
      <c r="K6" s="8">
        <v>124</v>
      </c>
      <c r="L6" s="10">
        <f t="shared" si="3"/>
        <v>0.59677419354838712</v>
      </c>
      <c r="M6" s="11">
        <f t="shared" si="4"/>
        <v>0.49699701006348068</v>
      </c>
      <c r="N6" s="11">
        <f t="shared" si="5"/>
        <v>0.29659498987659333</v>
      </c>
      <c r="O6" s="12">
        <f t="shared" si="10"/>
        <v>0.88978494311212231</v>
      </c>
      <c r="P6" s="13"/>
      <c r="Q6" s="4">
        <v>5</v>
      </c>
      <c r="R6" s="8">
        <v>575</v>
      </c>
      <c r="S6" s="8">
        <v>255.55556175112724</v>
      </c>
      <c r="T6" s="8">
        <v>1065</v>
      </c>
      <c r="U6" s="9">
        <f t="shared" si="6"/>
        <v>0.539906103286385</v>
      </c>
      <c r="V6" s="10">
        <f t="shared" si="7"/>
        <v>0.44444445521935172</v>
      </c>
      <c r="W6" s="10">
        <f t="shared" si="8"/>
        <v>0.23995827394472041</v>
      </c>
      <c r="X6" s="14">
        <f t="shared" si="9"/>
        <v>0.88960123341001207</v>
      </c>
      <c r="Y6" s="13"/>
      <c r="Z6" s="15" t="s">
        <v>16</v>
      </c>
      <c r="AA6" s="15"/>
      <c r="AB6" s="15"/>
    </row>
    <row r="7" spans="1:37" ht="15.75" customHeight="1">
      <c r="A7" s="4">
        <v>10301</v>
      </c>
      <c r="B7" s="8">
        <v>4</v>
      </c>
      <c r="C7" s="8">
        <v>2.2222222685813904</v>
      </c>
      <c r="D7" s="8">
        <v>5</v>
      </c>
      <c r="E7" s="9">
        <f t="shared" si="0"/>
        <v>0.8</v>
      </c>
      <c r="F7" s="10">
        <f t="shared" si="1"/>
        <v>0.5555555671453476</v>
      </c>
      <c r="G7" s="10">
        <f t="shared" si="2"/>
        <v>0.44444445371627811</v>
      </c>
      <c r="H7" s="4">
        <v>10301</v>
      </c>
      <c r="I7" s="8">
        <v>93</v>
      </c>
      <c r="J7" s="8">
        <v>44.888890027999878</v>
      </c>
      <c r="K7" s="8">
        <v>234</v>
      </c>
      <c r="L7" s="10">
        <f t="shared" si="3"/>
        <v>0.39743589743589741</v>
      </c>
      <c r="M7" s="11">
        <f t="shared" si="4"/>
        <v>0.48267623686021371</v>
      </c>
      <c r="N7" s="11">
        <f t="shared" si="5"/>
        <v>0.19183286336752081</v>
      </c>
      <c r="O7" s="12">
        <f t="shared" si="10"/>
        <v>0.43162393357254486</v>
      </c>
      <c r="P7" s="13"/>
      <c r="Q7" s="4">
        <v>6</v>
      </c>
      <c r="R7" s="8">
        <v>124</v>
      </c>
      <c r="S7" s="8">
        <v>52.444445848464966</v>
      </c>
      <c r="T7" s="8">
        <v>490</v>
      </c>
      <c r="U7" s="9">
        <f t="shared" si="6"/>
        <v>0.2530612244897959</v>
      </c>
      <c r="V7" s="10">
        <f t="shared" si="7"/>
        <v>0.42293907942310455</v>
      </c>
      <c r="W7" s="10">
        <f t="shared" si="8"/>
        <v>0.10702948132339787</v>
      </c>
      <c r="X7" s="14">
        <f t="shared" si="9"/>
        <v>0.78498422652230171</v>
      </c>
      <c r="Y7" s="13"/>
      <c r="Z7" s="15" t="s">
        <v>19</v>
      </c>
      <c r="AA7" s="15"/>
      <c r="AB7" s="15"/>
    </row>
    <row r="8" spans="1:37" ht="15.75" customHeight="1">
      <c r="A8" s="4">
        <v>10302</v>
      </c>
      <c r="B8" s="8">
        <v>1</v>
      </c>
      <c r="C8" s="8">
        <v>0.77777779102325439</v>
      </c>
      <c r="D8" s="8">
        <v>4</v>
      </c>
      <c r="E8" s="9">
        <f t="shared" si="0"/>
        <v>0.25</v>
      </c>
      <c r="F8" s="10">
        <f t="shared" si="1"/>
        <v>0.77777779102325439</v>
      </c>
      <c r="G8" s="10">
        <f t="shared" si="2"/>
        <v>0.1944444477558136</v>
      </c>
      <c r="H8" s="4">
        <v>10302</v>
      </c>
      <c r="I8" s="8">
        <v>45</v>
      </c>
      <c r="J8" s="8">
        <v>21.888889491558075</v>
      </c>
      <c r="K8" s="8">
        <v>91</v>
      </c>
      <c r="L8" s="10">
        <f t="shared" si="3"/>
        <v>0.49450549450549453</v>
      </c>
      <c r="M8" s="11">
        <f t="shared" si="4"/>
        <v>0.48641976647906832</v>
      </c>
      <c r="N8" s="11">
        <f t="shared" si="5"/>
        <v>0.24053724715997885</v>
      </c>
      <c r="O8" s="12">
        <f t="shared" si="10"/>
        <v>1.2370486786130777</v>
      </c>
      <c r="P8" s="13"/>
      <c r="Q8" s="4">
        <v>7</v>
      </c>
      <c r="R8" s="8">
        <v>719</v>
      </c>
      <c r="S8" s="8">
        <v>305.33334073424339</v>
      </c>
      <c r="T8" s="8">
        <v>1872</v>
      </c>
      <c r="U8" s="9">
        <f t="shared" si="6"/>
        <v>0.3840811965811966</v>
      </c>
      <c r="V8" s="10">
        <f t="shared" si="7"/>
        <v>0.42466389531883642</v>
      </c>
      <c r="W8" s="10">
        <f t="shared" si="8"/>
        <v>0.1631054170588907</v>
      </c>
      <c r="X8" s="14">
        <f t="shared" si="9"/>
        <v>0.66484820453029314</v>
      </c>
      <c r="Y8" s="13"/>
      <c r="Z8" s="15"/>
      <c r="AA8" s="15"/>
      <c r="AB8" s="15"/>
    </row>
    <row r="9" spans="1:37" ht="15.75" customHeight="1">
      <c r="A9" s="4">
        <v>10303</v>
      </c>
      <c r="B9" s="8">
        <v>7</v>
      </c>
      <c r="C9" s="8">
        <v>3.2222222983837128</v>
      </c>
      <c r="D9" s="8">
        <v>12</v>
      </c>
      <c r="E9" s="9">
        <f t="shared" si="0"/>
        <v>0.58333333333333337</v>
      </c>
      <c r="F9" s="10">
        <f t="shared" si="1"/>
        <v>0.46031747119767324</v>
      </c>
      <c r="G9" s="10">
        <f t="shared" si="2"/>
        <v>0.26851852486530942</v>
      </c>
      <c r="H9" s="4">
        <v>10303</v>
      </c>
      <c r="I9" s="8">
        <v>59</v>
      </c>
      <c r="J9" s="8">
        <v>26.888889610767365</v>
      </c>
      <c r="K9" s="8">
        <v>122</v>
      </c>
      <c r="L9" s="10">
        <f t="shared" si="3"/>
        <v>0.48360655737704916</v>
      </c>
      <c r="M9" s="11">
        <f t="shared" si="4"/>
        <v>0.45574389170792146</v>
      </c>
      <c r="N9" s="11">
        <f t="shared" si="5"/>
        <v>0.22040073451448661</v>
      </c>
      <c r="O9" s="12">
        <f t="shared" si="10"/>
        <v>0.82080271603250099</v>
      </c>
      <c r="P9" s="13"/>
      <c r="Q9" s="4">
        <v>8</v>
      </c>
      <c r="R9" s="8">
        <v>599</v>
      </c>
      <c r="S9" s="8">
        <v>284.77778476476669</v>
      </c>
      <c r="T9" s="8">
        <v>976</v>
      </c>
      <c r="U9" s="9">
        <f t="shared" si="6"/>
        <v>0.61372950819672134</v>
      </c>
      <c r="V9" s="10">
        <f t="shared" si="7"/>
        <v>0.47542201129343353</v>
      </c>
      <c r="W9" s="10">
        <f t="shared" si="8"/>
        <v>0.29178051717701509</v>
      </c>
      <c r="X9" s="14">
        <f t="shared" si="9"/>
        <v>0.75416746362459097</v>
      </c>
      <c r="Y9" s="13"/>
      <c r="Z9" s="15"/>
      <c r="AA9" s="15"/>
      <c r="AB9" s="16">
        <v>2012</v>
      </c>
    </row>
    <row r="10" spans="1:37" ht="15.75" customHeight="1">
      <c r="A10" s="4">
        <v>10304</v>
      </c>
      <c r="B10" s="8">
        <v>6</v>
      </c>
      <c r="C10" s="8">
        <v>2.888888955116272</v>
      </c>
      <c r="D10" s="8">
        <v>16</v>
      </c>
      <c r="E10" s="9">
        <f t="shared" si="0"/>
        <v>0.375</v>
      </c>
      <c r="F10" s="10">
        <f t="shared" si="1"/>
        <v>0.48148149251937866</v>
      </c>
      <c r="G10" s="10">
        <f t="shared" si="2"/>
        <v>0.180555559694767</v>
      </c>
      <c r="H10" s="4">
        <v>10304</v>
      </c>
      <c r="I10" s="8">
        <v>43</v>
      </c>
      <c r="J10" s="8">
        <v>20.111111670732498</v>
      </c>
      <c r="K10" s="8">
        <v>156</v>
      </c>
      <c r="L10" s="10">
        <f t="shared" si="3"/>
        <v>0.27564102564102566</v>
      </c>
      <c r="M10" s="11">
        <f t="shared" si="4"/>
        <v>0.46770027141238368</v>
      </c>
      <c r="N10" s="11">
        <f t="shared" si="5"/>
        <v>0.1289173825046955</v>
      </c>
      <c r="O10" s="12">
        <f t="shared" si="10"/>
        <v>0.71400394827294755</v>
      </c>
      <c r="P10" s="13"/>
      <c r="Q10" s="4">
        <v>9</v>
      </c>
      <c r="R10" s="8">
        <v>111</v>
      </c>
      <c r="S10" s="8">
        <v>50.888890385627747</v>
      </c>
      <c r="T10" s="8">
        <v>142</v>
      </c>
      <c r="U10" s="9">
        <f t="shared" si="6"/>
        <v>0.78169014084507038</v>
      </c>
      <c r="V10" s="10">
        <f t="shared" si="7"/>
        <v>0.45845847194259232</v>
      </c>
      <c r="W10" s="10">
        <f t="shared" si="8"/>
        <v>0.35837246750442076</v>
      </c>
      <c r="X10" s="14">
        <f t="shared" si="9"/>
        <v>0.70104939934429888</v>
      </c>
      <c r="Y10" s="13"/>
      <c r="Z10" s="15"/>
      <c r="AA10" s="15"/>
      <c r="AB10" s="15"/>
    </row>
    <row r="11" spans="1:37" ht="15.75" customHeight="1">
      <c r="A11" s="4">
        <v>10401</v>
      </c>
      <c r="B11" s="8">
        <v>8</v>
      </c>
      <c r="C11" s="8">
        <v>3.4444445371627808</v>
      </c>
      <c r="D11" s="8">
        <v>11</v>
      </c>
      <c r="E11" s="9">
        <f t="shared" si="0"/>
        <v>0.72727272727272729</v>
      </c>
      <c r="F11" s="10">
        <f t="shared" si="1"/>
        <v>0.4305555671453476</v>
      </c>
      <c r="G11" s="10">
        <f t="shared" si="2"/>
        <v>0.31313132156025281</v>
      </c>
      <c r="H11" s="4">
        <v>10401</v>
      </c>
      <c r="I11" s="8">
        <v>89</v>
      </c>
      <c r="J11" s="8">
        <v>42.444445490837097</v>
      </c>
      <c r="K11" s="8">
        <v>196</v>
      </c>
      <c r="L11" s="10">
        <f t="shared" si="3"/>
        <v>0.45408163265306123</v>
      </c>
      <c r="M11" s="11">
        <f t="shared" si="4"/>
        <v>0.47690388191951794</v>
      </c>
      <c r="N11" s="11">
        <f t="shared" si="5"/>
        <v>0.21655329332059745</v>
      </c>
      <c r="O11" s="12">
        <f t="shared" si="10"/>
        <v>0.69157340198855899</v>
      </c>
      <c r="Q11" s="17"/>
      <c r="X11" s="18"/>
      <c r="Z11" s="19" t="s">
        <v>15</v>
      </c>
      <c r="AA11" s="19"/>
      <c r="AB11" s="19"/>
    </row>
    <row r="12" spans="1:37" ht="15.75" customHeight="1">
      <c r="A12" s="4">
        <v>10402</v>
      </c>
      <c r="B12" s="8">
        <v>3</v>
      </c>
      <c r="C12" s="8">
        <v>1.1111111342906952</v>
      </c>
      <c r="D12" s="8">
        <v>8</v>
      </c>
      <c r="E12" s="9">
        <f t="shared" si="0"/>
        <v>0.375</v>
      </c>
      <c r="F12" s="10">
        <f t="shared" si="1"/>
        <v>0.37037037809689838</v>
      </c>
      <c r="G12" s="10">
        <f t="shared" si="2"/>
        <v>0.1388888917863369</v>
      </c>
      <c r="H12" s="4">
        <v>10402</v>
      </c>
      <c r="I12" s="8">
        <v>76</v>
      </c>
      <c r="J12" s="8">
        <v>33.666667550802231</v>
      </c>
      <c r="K12" s="8">
        <v>184</v>
      </c>
      <c r="L12" s="10">
        <f t="shared" si="3"/>
        <v>0.41304347826086957</v>
      </c>
      <c r="M12" s="11">
        <f t="shared" si="4"/>
        <v>0.44298246777371358</v>
      </c>
      <c r="N12" s="11">
        <f t="shared" si="5"/>
        <v>0.18297101929783821</v>
      </c>
      <c r="O12" s="12">
        <f t="shared" si="10"/>
        <v>1.3173913114615108</v>
      </c>
      <c r="Q12" s="17"/>
      <c r="X12" s="18"/>
      <c r="Z12" s="19" t="s">
        <v>16</v>
      </c>
      <c r="AA12" s="19"/>
      <c r="AB12" s="19"/>
    </row>
    <row r="13" spans="1:37" ht="15.75" customHeight="1">
      <c r="A13" s="4">
        <v>10403</v>
      </c>
      <c r="B13" s="8">
        <v>5</v>
      </c>
      <c r="C13" s="8">
        <v>2.2222222685813904</v>
      </c>
      <c r="D13" s="8">
        <v>6</v>
      </c>
      <c r="E13" s="9">
        <f t="shared" si="0"/>
        <v>0.83333333333333337</v>
      </c>
      <c r="F13" s="10">
        <f t="shared" si="1"/>
        <v>0.44444445371627805</v>
      </c>
      <c r="G13" s="10">
        <f t="shared" si="2"/>
        <v>0.37037037809689838</v>
      </c>
      <c r="H13" s="4">
        <v>10403</v>
      </c>
      <c r="I13" s="8">
        <v>23</v>
      </c>
      <c r="J13" s="8">
        <v>11.111111402511597</v>
      </c>
      <c r="K13" s="8">
        <v>94</v>
      </c>
      <c r="L13" s="10">
        <f t="shared" si="3"/>
        <v>0.24468085106382978</v>
      </c>
      <c r="M13" s="11">
        <f t="shared" si="4"/>
        <v>0.48309180010919983</v>
      </c>
      <c r="N13" s="11">
        <f t="shared" si="5"/>
        <v>0.11820331279267655</v>
      </c>
      <c r="O13" s="12">
        <f t="shared" si="10"/>
        <v>0.31914893788226106</v>
      </c>
      <c r="P13" s="20"/>
      <c r="Q13" s="4" t="s">
        <v>14</v>
      </c>
      <c r="R13" s="2" t="s">
        <v>7</v>
      </c>
      <c r="S13" s="2" t="s">
        <v>8</v>
      </c>
      <c r="T13" s="2" t="s">
        <v>9</v>
      </c>
      <c r="U13" s="3" t="s">
        <v>10</v>
      </c>
      <c r="V13" s="5" t="s">
        <v>11</v>
      </c>
      <c r="W13" s="3" t="s">
        <v>12</v>
      </c>
      <c r="X13" s="18"/>
      <c r="Z13" s="19" t="s">
        <v>20</v>
      </c>
      <c r="AA13" s="19"/>
      <c r="AB13" s="19"/>
    </row>
    <row r="14" spans="1:37" ht="15.75" customHeight="1">
      <c r="A14" s="4">
        <v>10404</v>
      </c>
      <c r="B14" s="8">
        <v>8</v>
      </c>
      <c r="C14" s="8">
        <v>4.4444445967674255</v>
      </c>
      <c r="D14" s="8">
        <v>13</v>
      </c>
      <c r="E14" s="9">
        <f t="shared" si="0"/>
        <v>0.61538461538461542</v>
      </c>
      <c r="F14" s="10">
        <f t="shared" si="1"/>
        <v>0.55555557459592819</v>
      </c>
      <c r="G14" s="10">
        <f t="shared" si="2"/>
        <v>0.3418803535974943</v>
      </c>
      <c r="H14" s="4">
        <v>10404</v>
      </c>
      <c r="I14" s="8">
        <v>36</v>
      </c>
      <c r="J14" s="8">
        <v>14.666667073965073</v>
      </c>
      <c r="K14" s="8">
        <v>90</v>
      </c>
      <c r="L14" s="10">
        <f t="shared" si="3"/>
        <v>0.4</v>
      </c>
      <c r="M14" s="11">
        <f t="shared" si="4"/>
        <v>0.40740741872125202</v>
      </c>
      <c r="N14" s="11">
        <f t="shared" si="5"/>
        <v>0.16296296748850081</v>
      </c>
      <c r="O14" s="12">
        <f t="shared" si="10"/>
        <v>0.4766666635672252</v>
      </c>
      <c r="P14" s="20"/>
      <c r="Q14" s="4">
        <v>1</v>
      </c>
      <c r="R14" s="8">
        <v>2560</v>
      </c>
      <c r="S14" s="8">
        <v>1198.5555863976479</v>
      </c>
      <c r="T14" s="8">
        <v>6915</v>
      </c>
      <c r="U14" s="11">
        <f t="shared" ref="U14:U22" si="11">R14/T14</f>
        <v>0.37020968908170643</v>
      </c>
      <c r="V14" s="11">
        <f t="shared" ref="V14:V22" si="12">S14/R14</f>
        <v>0.46818577593658117</v>
      </c>
      <c r="W14" s="11">
        <f t="shared" ref="W14:W22" si="13">U14*V14</f>
        <v>0.1733269105419592</v>
      </c>
      <c r="X14" s="18"/>
      <c r="Z14" s="19" t="s">
        <v>21</v>
      </c>
      <c r="AA14" s="19"/>
      <c r="AB14" s="19"/>
    </row>
    <row r="15" spans="1:37" ht="15.75" customHeight="1">
      <c r="A15" s="4">
        <v>10405</v>
      </c>
      <c r="B15" s="8" t="s">
        <v>22</v>
      </c>
      <c r="C15" s="8" t="s">
        <v>23</v>
      </c>
      <c r="D15" s="8" t="s">
        <v>23</v>
      </c>
      <c r="E15" s="9" t="s">
        <v>22</v>
      </c>
      <c r="F15" s="10" t="s">
        <v>22</v>
      </c>
      <c r="G15" s="10" t="s">
        <v>22</v>
      </c>
      <c r="H15" s="4">
        <v>10405</v>
      </c>
      <c r="I15" s="8">
        <v>5</v>
      </c>
      <c r="J15" s="8">
        <v>2.4444445073604584</v>
      </c>
      <c r="K15" s="8">
        <v>14</v>
      </c>
      <c r="L15" s="10">
        <f t="shared" si="3"/>
        <v>0.35714285714285715</v>
      </c>
      <c r="M15" s="11">
        <f t="shared" si="4"/>
        <v>0.48888890147209169</v>
      </c>
      <c r="N15" s="11">
        <f t="shared" si="5"/>
        <v>0.1746031790971756</v>
      </c>
      <c r="O15" s="12" t="s">
        <v>22</v>
      </c>
      <c r="P15" s="20"/>
      <c r="Q15" s="4">
        <v>2</v>
      </c>
      <c r="R15" s="8">
        <v>4252</v>
      </c>
      <c r="S15" s="8">
        <v>1793.1111544966698</v>
      </c>
      <c r="T15" s="8">
        <v>13336</v>
      </c>
      <c r="U15" s="11">
        <f t="shared" si="11"/>
        <v>0.3188362327534493</v>
      </c>
      <c r="V15" s="11">
        <f t="shared" si="12"/>
        <v>0.4217100551497342</v>
      </c>
      <c r="W15" s="11">
        <f t="shared" si="13"/>
        <v>0.13445644529819059</v>
      </c>
      <c r="X15" s="18"/>
      <c r="Z15" s="19" t="s">
        <v>16</v>
      </c>
      <c r="AA15" s="19"/>
      <c r="AB15" s="19"/>
    </row>
    <row r="16" spans="1:37" ht="15.75" customHeight="1">
      <c r="A16" s="4">
        <v>10501</v>
      </c>
      <c r="B16" s="8">
        <v>18</v>
      </c>
      <c r="C16" s="8">
        <v>7.5555557608604431</v>
      </c>
      <c r="D16" s="8">
        <v>47</v>
      </c>
      <c r="E16" s="9">
        <f t="shared" ref="E16:E70" si="14">B16/D16</f>
        <v>0.38297872340425532</v>
      </c>
      <c r="F16" s="10">
        <f t="shared" ref="F16:F40" si="15">C16/B16</f>
        <v>0.41975309782558018</v>
      </c>
      <c r="G16" s="10">
        <f t="shared" ref="G16:G40" si="16">E16*F16</f>
        <v>0.1607565055502222</v>
      </c>
      <c r="H16" s="4">
        <v>10501</v>
      </c>
      <c r="I16" s="8">
        <v>173</v>
      </c>
      <c r="J16" s="8">
        <v>80.333335489034653</v>
      </c>
      <c r="K16" s="8">
        <v>442</v>
      </c>
      <c r="L16" s="10">
        <f t="shared" si="3"/>
        <v>0.39140271493212669</v>
      </c>
      <c r="M16" s="11">
        <f t="shared" si="4"/>
        <v>0.46435454039904422</v>
      </c>
      <c r="N16" s="11">
        <f t="shared" si="5"/>
        <v>0.18174962780324583</v>
      </c>
      <c r="O16" s="12">
        <f t="shared" ref="O16:O40" si="17">N16/G16</f>
        <v>1.1305895657607781</v>
      </c>
      <c r="P16" s="20"/>
      <c r="Q16" s="4">
        <v>3</v>
      </c>
      <c r="R16" s="8">
        <v>3860</v>
      </c>
      <c r="S16" s="8">
        <v>1694.4444861710072</v>
      </c>
      <c r="T16" s="8">
        <v>10704</v>
      </c>
      <c r="U16" s="11">
        <f t="shared" si="11"/>
        <v>0.36061285500747386</v>
      </c>
      <c r="V16" s="11">
        <f t="shared" si="12"/>
        <v>0.43897525548471689</v>
      </c>
      <c r="W16" s="11">
        <f t="shared" si="13"/>
        <v>0.15830012015797901</v>
      </c>
      <c r="X16" s="18"/>
      <c r="Z16" s="19" t="s">
        <v>24</v>
      </c>
      <c r="AA16" s="19"/>
      <c r="AB16" s="19"/>
    </row>
    <row r="17" spans="1:28" ht="15.75" customHeight="1">
      <c r="A17" s="4">
        <v>10502</v>
      </c>
      <c r="B17" s="8">
        <v>30</v>
      </c>
      <c r="C17" s="8">
        <v>16.444444954395294</v>
      </c>
      <c r="D17" s="8">
        <v>37</v>
      </c>
      <c r="E17" s="9">
        <f t="shared" si="14"/>
        <v>0.81081081081081086</v>
      </c>
      <c r="F17" s="10">
        <f t="shared" si="15"/>
        <v>0.54814816514650977</v>
      </c>
      <c r="G17" s="10">
        <f t="shared" si="16"/>
        <v>0.44444445822689982</v>
      </c>
      <c r="H17" s="4">
        <v>10502</v>
      </c>
      <c r="I17" s="8">
        <v>117</v>
      </c>
      <c r="J17" s="8">
        <v>57.444446206092834</v>
      </c>
      <c r="K17" s="8">
        <v>177</v>
      </c>
      <c r="L17" s="10">
        <f t="shared" si="3"/>
        <v>0.66101694915254239</v>
      </c>
      <c r="M17" s="11">
        <f t="shared" si="4"/>
        <v>0.49097817270164817</v>
      </c>
      <c r="N17" s="11">
        <f t="shared" si="5"/>
        <v>0.32454489381973356</v>
      </c>
      <c r="O17" s="12">
        <f t="shared" si="17"/>
        <v>0.73022598844970954</v>
      </c>
      <c r="P17" s="20"/>
      <c r="Q17" s="4">
        <v>4</v>
      </c>
      <c r="R17" s="8">
        <v>2751</v>
      </c>
      <c r="S17" s="8">
        <v>1171.7778051495552</v>
      </c>
      <c r="T17" s="8">
        <v>6397</v>
      </c>
      <c r="U17" s="11">
        <f t="shared" si="11"/>
        <v>0.43004533375019538</v>
      </c>
      <c r="V17" s="11">
        <f t="shared" si="12"/>
        <v>0.42594613055236469</v>
      </c>
      <c r="W17" s="11">
        <f t="shared" si="13"/>
        <v>0.18317614587299597</v>
      </c>
      <c r="X17" s="18"/>
      <c r="Z17" s="19"/>
      <c r="AA17" s="19"/>
      <c r="AB17" s="19"/>
    </row>
    <row r="18" spans="1:28" ht="15.75" customHeight="1">
      <c r="A18" s="4">
        <v>10601</v>
      </c>
      <c r="B18" s="8">
        <v>4</v>
      </c>
      <c r="C18" s="8">
        <v>2.5555556118488312</v>
      </c>
      <c r="D18" s="8">
        <v>11</v>
      </c>
      <c r="E18" s="9">
        <f t="shared" si="14"/>
        <v>0.36363636363636365</v>
      </c>
      <c r="F18" s="10">
        <f t="shared" si="15"/>
        <v>0.63888890296220779</v>
      </c>
      <c r="G18" s="10">
        <f t="shared" si="16"/>
        <v>0.23232323744080285</v>
      </c>
      <c r="H18" s="4">
        <v>10601</v>
      </c>
      <c r="I18" s="8">
        <v>93</v>
      </c>
      <c r="J18" s="8">
        <v>46.222223430871964</v>
      </c>
      <c r="K18" s="8">
        <v>211</v>
      </c>
      <c r="L18" s="10">
        <f t="shared" si="3"/>
        <v>0.44075829383886256</v>
      </c>
      <c r="M18" s="11">
        <f t="shared" si="4"/>
        <v>0.4970131551706663</v>
      </c>
      <c r="N18" s="11">
        <f t="shared" si="5"/>
        <v>0.21906267028849272</v>
      </c>
      <c r="O18" s="12">
        <f t="shared" si="17"/>
        <v>0.94292190786257879</v>
      </c>
      <c r="P18" s="20"/>
      <c r="Q18" s="4">
        <v>5</v>
      </c>
      <c r="R18" s="8">
        <v>4962</v>
      </c>
      <c r="S18" s="8">
        <v>2218.7778322100639</v>
      </c>
      <c r="T18" s="8">
        <v>10394</v>
      </c>
      <c r="U18" s="11">
        <f t="shared" si="11"/>
        <v>0.47739080238599191</v>
      </c>
      <c r="V18" s="11">
        <f t="shared" si="12"/>
        <v>0.44715393635833617</v>
      </c>
      <c r="W18" s="11">
        <f t="shared" si="13"/>
        <v>0.21346717646816085</v>
      </c>
      <c r="X18" s="18"/>
    </row>
    <row r="19" spans="1:28" ht="15.75" customHeight="1">
      <c r="A19" s="4">
        <v>10602</v>
      </c>
      <c r="B19" s="8">
        <v>15</v>
      </c>
      <c r="C19" s="8">
        <v>6.8888890147209167</v>
      </c>
      <c r="D19" s="8">
        <v>20</v>
      </c>
      <c r="E19" s="9">
        <f t="shared" si="14"/>
        <v>0.75</v>
      </c>
      <c r="F19" s="10">
        <f t="shared" si="15"/>
        <v>0.45925926764806113</v>
      </c>
      <c r="G19" s="10">
        <f t="shared" si="16"/>
        <v>0.34444445073604585</v>
      </c>
      <c r="H19" s="4">
        <v>10602</v>
      </c>
      <c r="I19" s="8">
        <v>202</v>
      </c>
      <c r="J19" s="8">
        <v>90.777780085802078</v>
      </c>
      <c r="K19" s="8">
        <v>342</v>
      </c>
      <c r="L19" s="10">
        <f t="shared" si="3"/>
        <v>0.59064327485380119</v>
      </c>
      <c r="M19" s="11">
        <f t="shared" si="4"/>
        <v>0.44939495091981224</v>
      </c>
      <c r="N19" s="11">
        <f t="shared" si="5"/>
        <v>0.26543210551404117</v>
      </c>
      <c r="O19" s="12">
        <f t="shared" si="17"/>
        <v>0.77060932451324848</v>
      </c>
      <c r="P19" s="20"/>
      <c r="Q19" s="4">
        <v>6</v>
      </c>
      <c r="R19" s="8">
        <v>766</v>
      </c>
      <c r="S19" s="8">
        <v>324.55556416511536</v>
      </c>
      <c r="T19" s="8">
        <v>3863</v>
      </c>
      <c r="U19" s="11">
        <f t="shared" si="11"/>
        <v>0.19829148330313229</v>
      </c>
      <c r="V19" s="11">
        <f t="shared" si="12"/>
        <v>0.42370178089440647</v>
      </c>
      <c r="W19" s="11">
        <f t="shared" si="13"/>
        <v>8.4016454611730615E-2</v>
      </c>
      <c r="X19" s="18"/>
    </row>
    <row r="20" spans="1:28" ht="15.75" customHeight="1">
      <c r="A20" s="4">
        <v>10701</v>
      </c>
      <c r="B20" s="8">
        <v>4</v>
      </c>
      <c r="C20" s="8">
        <v>1.7777778208255768</v>
      </c>
      <c r="D20" s="8">
        <v>8</v>
      </c>
      <c r="E20" s="9">
        <f t="shared" si="14"/>
        <v>0.5</v>
      </c>
      <c r="F20" s="10">
        <f t="shared" si="15"/>
        <v>0.4444444552063942</v>
      </c>
      <c r="G20" s="10">
        <f t="shared" si="16"/>
        <v>0.2222222276031971</v>
      </c>
      <c r="H20" s="4">
        <v>10701</v>
      </c>
      <c r="I20" s="8">
        <v>132</v>
      </c>
      <c r="J20" s="8">
        <v>59.666668087244034</v>
      </c>
      <c r="K20" s="8">
        <v>281</v>
      </c>
      <c r="L20" s="10">
        <f t="shared" si="3"/>
        <v>0.46975088967971529</v>
      </c>
      <c r="M20" s="11">
        <f t="shared" si="4"/>
        <v>0.45202021278215176</v>
      </c>
      <c r="N20" s="11">
        <f t="shared" si="5"/>
        <v>0.21233689710763001</v>
      </c>
      <c r="O20" s="12">
        <f t="shared" si="17"/>
        <v>0.95551601384710061</v>
      </c>
      <c r="Q20" s="4">
        <v>7</v>
      </c>
      <c r="R20" s="8">
        <v>3367</v>
      </c>
      <c r="S20" s="8">
        <v>1362.4444780051708</v>
      </c>
      <c r="T20" s="8">
        <v>12564</v>
      </c>
      <c r="U20" s="11">
        <f t="shared" si="11"/>
        <v>0.26798790194205668</v>
      </c>
      <c r="V20" s="11">
        <f t="shared" si="12"/>
        <v>0.40464641461395034</v>
      </c>
      <c r="W20" s="11">
        <f t="shared" si="13"/>
        <v>0.10844034368076813</v>
      </c>
      <c r="X20" s="18"/>
    </row>
    <row r="21" spans="1:28" ht="15.75" customHeight="1">
      <c r="A21" s="4">
        <v>10702</v>
      </c>
      <c r="B21" s="8">
        <v>9</v>
      </c>
      <c r="C21" s="8">
        <v>4.7777779102325439</v>
      </c>
      <c r="D21" s="8">
        <v>22</v>
      </c>
      <c r="E21" s="9">
        <f t="shared" si="14"/>
        <v>0.40909090909090912</v>
      </c>
      <c r="F21" s="10">
        <f t="shared" si="15"/>
        <v>0.53086421224806046</v>
      </c>
      <c r="G21" s="10">
        <f t="shared" si="16"/>
        <v>0.21717172319238839</v>
      </c>
      <c r="H21" s="4">
        <v>10702</v>
      </c>
      <c r="I21" s="8">
        <v>118</v>
      </c>
      <c r="J21" s="8">
        <v>55.000001072883606</v>
      </c>
      <c r="K21" s="8">
        <v>227</v>
      </c>
      <c r="L21" s="10">
        <f t="shared" si="3"/>
        <v>0.51982378854625555</v>
      </c>
      <c r="M21" s="11">
        <f t="shared" si="4"/>
        <v>0.46610170400748818</v>
      </c>
      <c r="N21" s="11">
        <f t="shared" si="5"/>
        <v>0.24229075362503794</v>
      </c>
      <c r="O21" s="12">
        <f t="shared" si="17"/>
        <v>1.1156643694833008</v>
      </c>
      <c r="P21" s="20"/>
      <c r="Q21" s="4">
        <v>8</v>
      </c>
      <c r="R21" s="8">
        <v>1815</v>
      </c>
      <c r="S21" s="8">
        <v>799.66668793559074</v>
      </c>
      <c r="T21" s="8">
        <v>3634</v>
      </c>
      <c r="U21" s="11">
        <f t="shared" si="11"/>
        <v>0.49944964226747385</v>
      </c>
      <c r="V21" s="11">
        <f t="shared" si="12"/>
        <v>0.44058770685156518</v>
      </c>
      <c r="W21" s="11">
        <f t="shared" si="13"/>
        <v>0.22005137257446086</v>
      </c>
      <c r="X21" s="18"/>
    </row>
    <row r="22" spans="1:28" ht="15.75" customHeight="1">
      <c r="A22" s="4">
        <v>10703</v>
      </c>
      <c r="B22" s="8">
        <v>3</v>
      </c>
      <c r="C22" s="8">
        <v>1.3333333730697632</v>
      </c>
      <c r="D22" s="8">
        <v>3</v>
      </c>
      <c r="E22" s="9">
        <f t="shared" si="14"/>
        <v>1</v>
      </c>
      <c r="F22" s="10">
        <f t="shared" si="15"/>
        <v>0.44444445768992108</v>
      </c>
      <c r="G22" s="10">
        <f t="shared" si="16"/>
        <v>0.44444445768992108</v>
      </c>
      <c r="H22" s="4">
        <v>10703</v>
      </c>
      <c r="I22" s="8">
        <v>14</v>
      </c>
      <c r="J22" s="8">
        <v>7.1111112833023071</v>
      </c>
      <c r="K22" s="8">
        <v>32</v>
      </c>
      <c r="L22" s="10">
        <f t="shared" si="3"/>
        <v>0.4375</v>
      </c>
      <c r="M22" s="11">
        <f t="shared" si="4"/>
        <v>0.5079365202358791</v>
      </c>
      <c r="N22" s="11">
        <f t="shared" si="5"/>
        <v>0.2222222276031971</v>
      </c>
      <c r="O22" s="12">
        <f t="shared" si="17"/>
        <v>0.49999999720603233</v>
      </c>
      <c r="P22" s="20"/>
      <c r="Q22" s="4">
        <v>9</v>
      </c>
      <c r="R22" s="8">
        <v>460</v>
      </c>
      <c r="S22" s="8">
        <v>208.77778336405754</v>
      </c>
      <c r="T22" s="8">
        <v>831</v>
      </c>
      <c r="U22" s="11">
        <f t="shared" si="11"/>
        <v>0.55354993983152823</v>
      </c>
      <c r="V22" s="11">
        <f t="shared" si="12"/>
        <v>0.45386474644360336</v>
      </c>
      <c r="W22" s="11">
        <f t="shared" si="13"/>
        <v>0.25123680308550844</v>
      </c>
      <c r="X22" s="18"/>
    </row>
    <row r="23" spans="1:28" ht="15.75" customHeight="1">
      <c r="A23" s="4">
        <v>10704</v>
      </c>
      <c r="B23" s="8">
        <v>2</v>
      </c>
      <c r="C23" s="8">
        <v>1.1111111640930176</v>
      </c>
      <c r="D23" s="8">
        <v>3</v>
      </c>
      <c r="E23" s="9">
        <f t="shared" si="14"/>
        <v>0.66666666666666663</v>
      </c>
      <c r="F23" s="10">
        <f t="shared" si="15"/>
        <v>0.55555558204650879</v>
      </c>
      <c r="G23" s="10">
        <f t="shared" si="16"/>
        <v>0.37037038803100586</v>
      </c>
      <c r="H23" s="4">
        <v>10704</v>
      </c>
      <c r="I23" s="8">
        <v>15</v>
      </c>
      <c r="J23" s="8">
        <v>7.8888891041278839</v>
      </c>
      <c r="K23" s="8">
        <v>46</v>
      </c>
      <c r="L23" s="10">
        <f t="shared" si="3"/>
        <v>0.32608695652173914</v>
      </c>
      <c r="M23" s="11">
        <f t="shared" si="4"/>
        <v>0.52592594027519224</v>
      </c>
      <c r="N23" s="11">
        <f t="shared" si="5"/>
        <v>0.17149758922017139</v>
      </c>
      <c r="O23" s="12">
        <f t="shared" si="17"/>
        <v>0.46304346881482955</v>
      </c>
      <c r="P23" s="20"/>
      <c r="Q23" s="17"/>
      <c r="R23" s="20"/>
      <c r="S23" s="20"/>
      <c r="T23" s="20"/>
      <c r="X23" s="18"/>
    </row>
    <row r="24" spans="1:28" ht="15.75" customHeight="1">
      <c r="A24" s="4">
        <v>10801</v>
      </c>
      <c r="B24" s="8">
        <v>6</v>
      </c>
      <c r="C24" s="8">
        <v>2.6666667461395264</v>
      </c>
      <c r="D24" s="8">
        <v>9</v>
      </c>
      <c r="E24" s="9">
        <f t="shared" si="14"/>
        <v>0.66666666666666663</v>
      </c>
      <c r="F24" s="10">
        <f t="shared" si="15"/>
        <v>0.44444445768992108</v>
      </c>
      <c r="G24" s="10">
        <f t="shared" si="16"/>
        <v>0.29629630512661403</v>
      </c>
      <c r="H24" s="4">
        <v>10801</v>
      </c>
      <c r="I24" s="8">
        <v>51</v>
      </c>
      <c r="J24" s="8">
        <v>23.555556118488312</v>
      </c>
      <c r="K24" s="8">
        <v>151</v>
      </c>
      <c r="L24" s="10">
        <f t="shared" si="3"/>
        <v>0.33774834437086093</v>
      </c>
      <c r="M24" s="11">
        <f t="shared" si="4"/>
        <v>0.46187364938212377</v>
      </c>
      <c r="N24" s="11">
        <f t="shared" si="5"/>
        <v>0.15599706038733982</v>
      </c>
      <c r="O24" s="12">
        <f t="shared" si="17"/>
        <v>0.52649006311664526</v>
      </c>
      <c r="P24" s="20"/>
      <c r="Q24" s="17"/>
      <c r="R24" s="20"/>
      <c r="S24" s="20"/>
      <c r="T24" s="20"/>
      <c r="X24" s="18"/>
    </row>
    <row r="25" spans="1:28" ht="15.75" customHeight="1">
      <c r="A25" s="4">
        <v>10901</v>
      </c>
      <c r="B25" s="8">
        <v>1</v>
      </c>
      <c r="C25" s="8">
        <v>0.4444444477558136</v>
      </c>
      <c r="D25" s="8">
        <v>6</v>
      </c>
      <c r="E25" s="9">
        <f t="shared" si="14"/>
        <v>0.16666666666666666</v>
      </c>
      <c r="F25" s="10">
        <f t="shared" si="15"/>
        <v>0.4444444477558136</v>
      </c>
      <c r="G25" s="10">
        <f t="shared" si="16"/>
        <v>7.4074074625968933E-2</v>
      </c>
      <c r="H25" s="4">
        <v>10901</v>
      </c>
      <c r="I25" s="8">
        <v>40</v>
      </c>
      <c r="J25" s="8">
        <v>16.555555999279022</v>
      </c>
      <c r="K25" s="8">
        <v>95</v>
      </c>
      <c r="L25" s="10">
        <f t="shared" si="3"/>
        <v>0.42105263157894735</v>
      </c>
      <c r="M25" s="11">
        <f t="shared" si="4"/>
        <v>0.41388889998197553</v>
      </c>
      <c r="N25" s="11">
        <f t="shared" si="5"/>
        <v>0.17426901051872654</v>
      </c>
      <c r="O25" s="12">
        <f t="shared" si="17"/>
        <v>2.3526316244743368</v>
      </c>
      <c r="P25" s="20"/>
      <c r="Q25" s="17"/>
      <c r="R25" s="20"/>
      <c r="S25" s="20"/>
      <c r="T25" s="20"/>
      <c r="X25" s="18"/>
    </row>
    <row r="26" spans="1:28" ht="15.75" customHeight="1">
      <c r="A26" s="4">
        <v>10902</v>
      </c>
      <c r="B26" s="8">
        <v>6</v>
      </c>
      <c r="C26" s="8">
        <v>2.666666716337204</v>
      </c>
      <c r="D26" s="8">
        <v>10</v>
      </c>
      <c r="E26" s="9">
        <f t="shared" si="14"/>
        <v>0.6</v>
      </c>
      <c r="F26" s="10">
        <f t="shared" si="15"/>
        <v>0.44444445272286731</v>
      </c>
      <c r="G26" s="10">
        <f t="shared" si="16"/>
        <v>0.26666667163372038</v>
      </c>
      <c r="H26" s="4">
        <v>10902</v>
      </c>
      <c r="I26" s="8">
        <v>42</v>
      </c>
      <c r="J26" s="8">
        <v>21.666667252779007</v>
      </c>
      <c r="K26" s="8">
        <v>103</v>
      </c>
      <c r="L26" s="10">
        <f t="shared" si="3"/>
        <v>0.40776699029126212</v>
      </c>
      <c r="M26" s="11">
        <f t="shared" si="4"/>
        <v>0.51587302982807159</v>
      </c>
      <c r="N26" s="11">
        <f t="shared" si="5"/>
        <v>0.21035599274542724</v>
      </c>
      <c r="O26" s="12">
        <f t="shared" si="17"/>
        <v>0.78883495810215609</v>
      </c>
      <c r="P26" s="20"/>
      <c r="Q26" s="17" t="s">
        <v>25</v>
      </c>
      <c r="R26" s="18">
        <f>AVERAGE(O2:O337)</f>
        <v>0.95983940964955705</v>
      </c>
      <c r="S26" s="20"/>
      <c r="T26" s="20"/>
      <c r="X26" s="18"/>
    </row>
    <row r="27" spans="1:28" ht="14.4">
      <c r="A27" s="4">
        <v>10903</v>
      </c>
      <c r="B27" s="8">
        <v>3</v>
      </c>
      <c r="C27" s="8">
        <v>1.3333333730697632</v>
      </c>
      <c r="D27" s="8">
        <v>3</v>
      </c>
      <c r="E27" s="9">
        <f t="shared" si="14"/>
        <v>1</v>
      </c>
      <c r="F27" s="10">
        <f t="shared" si="15"/>
        <v>0.44444445768992108</v>
      </c>
      <c r="G27" s="10">
        <f t="shared" si="16"/>
        <v>0.44444445768992108</v>
      </c>
      <c r="H27" s="4">
        <v>10903</v>
      </c>
      <c r="I27" s="8">
        <v>15</v>
      </c>
      <c r="J27" s="8">
        <v>6.6666668355464935</v>
      </c>
      <c r="K27" s="8">
        <v>44</v>
      </c>
      <c r="L27" s="10">
        <f t="shared" si="3"/>
        <v>0.34090909090909088</v>
      </c>
      <c r="M27" s="11">
        <f t="shared" si="4"/>
        <v>0.44444445570309959</v>
      </c>
      <c r="N27" s="11">
        <f t="shared" si="5"/>
        <v>0.15151515535332941</v>
      </c>
      <c r="O27" s="12">
        <f t="shared" si="17"/>
        <v>0.34090908938510855</v>
      </c>
      <c r="P27" s="20"/>
      <c r="Q27" s="20" t="s">
        <v>26</v>
      </c>
      <c r="R27" s="18">
        <f>STDEV(O2:O337)</f>
        <v>0.61522681526112644</v>
      </c>
      <c r="S27" s="20"/>
      <c r="T27" s="20"/>
      <c r="X27" s="18"/>
    </row>
    <row r="28" spans="1:28" ht="14.4">
      <c r="A28" s="4">
        <v>11001</v>
      </c>
      <c r="B28" s="8">
        <v>5</v>
      </c>
      <c r="C28" s="8">
        <v>1.8888889253139496</v>
      </c>
      <c r="D28" s="8">
        <v>14</v>
      </c>
      <c r="E28" s="9">
        <f t="shared" si="14"/>
        <v>0.35714285714285715</v>
      </c>
      <c r="F28" s="10">
        <f t="shared" si="15"/>
        <v>0.37777778506278992</v>
      </c>
      <c r="G28" s="10">
        <f t="shared" si="16"/>
        <v>0.13492063752242497</v>
      </c>
      <c r="H28" s="4">
        <v>11001</v>
      </c>
      <c r="I28" s="8">
        <v>54</v>
      </c>
      <c r="J28" s="8">
        <v>25.000000715255737</v>
      </c>
      <c r="K28" s="8">
        <v>158</v>
      </c>
      <c r="L28" s="10">
        <f t="shared" si="3"/>
        <v>0.34177215189873417</v>
      </c>
      <c r="M28" s="11">
        <f t="shared" si="4"/>
        <v>0.46296297620843957</v>
      </c>
      <c r="N28" s="11">
        <f t="shared" si="5"/>
        <v>0.15822785262820085</v>
      </c>
      <c r="O28" s="12">
        <f t="shared" si="17"/>
        <v>1.1727475909821581</v>
      </c>
      <c r="P28" s="20"/>
      <c r="Q28" s="17"/>
      <c r="R28" s="20"/>
      <c r="S28" s="20"/>
      <c r="T28" s="20"/>
      <c r="X28" s="18"/>
    </row>
    <row r="29" spans="1:28" ht="14.4">
      <c r="A29" s="4">
        <v>11002</v>
      </c>
      <c r="B29" s="8">
        <v>6</v>
      </c>
      <c r="C29" s="8">
        <v>2.3333334028720856</v>
      </c>
      <c r="D29" s="8">
        <v>10</v>
      </c>
      <c r="E29" s="9">
        <f t="shared" si="14"/>
        <v>0.6</v>
      </c>
      <c r="F29" s="10">
        <f t="shared" si="15"/>
        <v>0.38888890047868091</v>
      </c>
      <c r="G29" s="10">
        <f t="shared" si="16"/>
        <v>0.23333334028720853</v>
      </c>
      <c r="H29" s="4">
        <v>11002</v>
      </c>
      <c r="I29" s="8">
        <v>8</v>
      </c>
      <c r="J29" s="8">
        <v>3.11111119389534</v>
      </c>
      <c r="K29" s="8">
        <v>14</v>
      </c>
      <c r="L29" s="10">
        <f t="shared" si="3"/>
        <v>0.5714285714285714</v>
      </c>
      <c r="M29" s="11">
        <f t="shared" si="4"/>
        <v>0.3888888992369175</v>
      </c>
      <c r="N29" s="11">
        <f t="shared" si="5"/>
        <v>0.22222222813538142</v>
      </c>
      <c r="O29" s="12">
        <f t="shared" si="17"/>
        <v>0.95238094933989925</v>
      </c>
      <c r="Q29" s="17"/>
      <c r="R29" s="18">
        <f>R26-R27</f>
        <v>0.34461259438843062</v>
      </c>
      <c r="X29" s="18"/>
    </row>
    <row r="30" spans="1:28" ht="14.4">
      <c r="A30" s="4">
        <v>11003</v>
      </c>
      <c r="B30" s="8">
        <v>14</v>
      </c>
      <c r="C30" s="8">
        <v>5.8888890445232391</v>
      </c>
      <c r="D30" s="8">
        <v>21</v>
      </c>
      <c r="E30" s="9">
        <f t="shared" si="14"/>
        <v>0.66666666666666663</v>
      </c>
      <c r="F30" s="10">
        <f t="shared" si="15"/>
        <v>0.42063493175165995</v>
      </c>
      <c r="G30" s="10">
        <f t="shared" si="16"/>
        <v>0.28042328783443993</v>
      </c>
      <c r="H30" s="4">
        <v>11003</v>
      </c>
      <c r="I30" s="8">
        <v>25</v>
      </c>
      <c r="J30" s="8">
        <v>11.222222447395325</v>
      </c>
      <c r="K30" s="8">
        <v>57</v>
      </c>
      <c r="L30" s="10">
        <f t="shared" si="3"/>
        <v>0.43859649122807015</v>
      </c>
      <c r="M30" s="11">
        <f t="shared" si="4"/>
        <v>0.44888889789581299</v>
      </c>
      <c r="N30" s="11">
        <f t="shared" si="5"/>
        <v>0.19688109556833902</v>
      </c>
      <c r="O30" s="12">
        <f t="shared" si="17"/>
        <v>0.70208539771695544</v>
      </c>
      <c r="Q30" s="17"/>
      <c r="R30" s="18">
        <f>R26-0.5*R27</f>
        <v>0.65222600201899383</v>
      </c>
      <c r="X30" s="18"/>
    </row>
    <row r="31" spans="1:28" ht="14.4">
      <c r="A31" s="4">
        <v>20101</v>
      </c>
      <c r="B31" s="8">
        <v>17</v>
      </c>
      <c r="C31" s="8">
        <v>7.6666668951511383</v>
      </c>
      <c r="D31" s="8">
        <v>176</v>
      </c>
      <c r="E31" s="9">
        <f t="shared" si="14"/>
        <v>9.6590909090909088E-2</v>
      </c>
      <c r="F31" s="10">
        <f t="shared" si="15"/>
        <v>0.45098040559712577</v>
      </c>
      <c r="G31" s="10">
        <f t="shared" si="16"/>
        <v>4.3560607358813286E-2</v>
      </c>
      <c r="H31" s="4">
        <v>20101</v>
      </c>
      <c r="I31" s="8">
        <v>108</v>
      </c>
      <c r="J31" s="8">
        <v>41.55555647611618</v>
      </c>
      <c r="K31" s="8">
        <v>2523</v>
      </c>
      <c r="L31" s="10">
        <f t="shared" si="3"/>
        <v>4.2806183115338882E-2</v>
      </c>
      <c r="M31" s="11">
        <f t="shared" si="4"/>
        <v>0.38477367107514981</v>
      </c>
      <c r="N31" s="11">
        <f t="shared" si="5"/>
        <v>1.6470692222004035E-2</v>
      </c>
      <c r="O31" s="12">
        <f t="shared" si="17"/>
        <v>0.37810979278441226</v>
      </c>
      <c r="Q31" s="17"/>
      <c r="R31" s="18">
        <f>R26</f>
        <v>0.95983940964955705</v>
      </c>
      <c r="X31" s="18"/>
    </row>
    <row r="32" spans="1:28" ht="14.4">
      <c r="A32" s="4">
        <v>20102</v>
      </c>
      <c r="B32" s="8">
        <v>16</v>
      </c>
      <c r="C32" s="8">
        <v>6.4444445967674255</v>
      </c>
      <c r="D32" s="8">
        <v>18</v>
      </c>
      <c r="E32" s="9">
        <f t="shared" si="14"/>
        <v>0.88888888888888884</v>
      </c>
      <c r="F32" s="10">
        <f t="shared" si="15"/>
        <v>0.4027777872979641</v>
      </c>
      <c r="G32" s="10">
        <f t="shared" si="16"/>
        <v>0.35802469982041252</v>
      </c>
      <c r="H32" s="4">
        <v>20102</v>
      </c>
      <c r="I32" s="8">
        <v>114</v>
      </c>
      <c r="J32" s="8">
        <v>47.666667938232422</v>
      </c>
      <c r="K32" s="8">
        <v>232</v>
      </c>
      <c r="L32" s="10">
        <f t="shared" si="3"/>
        <v>0.49137931034482757</v>
      </c>
      <c r="M32" s="11">
        <f t="shared" si="4"/>
        <v>0.41812866612484578</v>
      </c>
      <c r="N32" s="11">
        <f t="shared" si="5"/>
        <v>0.2054597755958294</v>
      </c>
      <c r="O32" s="12">
        <f t="shared" si="17"/>
        <v>0.57387039413450902</v>
      </c>
      <c r="Q32" s="17"/>
      <c r="R32" s="20">
        <v>1</v>
      </c>
      <c r="X32" s="18"/>
    </row>
    <row r="33" spans="1:24" ht="14.4">
      <c r="A33" s="4">
        <v>20103</v>
      </c>
      <c r="B33" s="8">
        <v>7</v>
      </c>
      <c r="C33" s="8">
        <v>3.0000000298023224</v>
      </c>
      <c r="D33" s="8">
        <v>29</v>
      </c>
      <c r="E33" s="9">
        <f t="shared" si="14"/>
        <v>0.2413793103448276</v>
      </c>
      <c r="F33" s="10">
        <f t="shared" si="15"/>
        <v>0.4285714328289032</v>
      </c>
      <c r="G33" s="10">
        <f t="shared" si="16"/>
        <v>0.10344827688973526</v>
      </c>
      <c r="H33" s="4">
        <v>20103</v>
      </c>
      <c r="I33" s="8">
        <v>37</v>
      </c>
      <c r="J33" s="8">
        <v>14.44444477558136</v>
      </c>
      <c r="K33" s="8">
        <v>237</v>
      </c>
      <c r="L33" s="10">
        <f t="shared" si="3"/>
        <v>0.15611814345991562</v>
      </c>
      <c r="M33" s="11">
        <f t="shared" si="4"/>
        <v>0.39039039934003678</v>
      </c>
      <c r="N33" s="11">
        <f t="shared" si="5"/>
        <v>6.0947024369541608E-2</v>
      </c>
      <c r="O33" s="12">
        <f t="shared" si="17"/>
        <v>0.58915456305284408</v>
      </c>
      <c r="Q33" s="17"/>
      <c r="X33" s="18"/>
    </row>
    <row r="34" spans="1:24" ht="14.4">
      <c r="A34" s="4">
        <v>20104</v>
      </c>
      <c r="B34" s="8">
        <v>16</v>
      </c>
      <c r="C34" s="8">
        <v>7.2222223579883575</v>
      </c>
      <c r="D34" s="8">
        <v>22</v>
      </c>
      <c r="E34" s="9">
        <f t="shared" si="14"/>
        <v>0.72727272727272729</v>
      </c>
      <c r="F34" s="10">
        <f t="shared" si="15"/>
        <v>0.45138889737427235</v>
      </c>
      <c r="G34" s="10">
        <f t="shared" si="16"/>
        <v>0.32828283445401624</v>
      </c>
      <c r="H34" s="4">
        <v>20104</v>
      </c>
      <c r="I34" s="8">
        <v>58</v>
      </c>
      <c r="J34" s="8">
        <v>25.000000506639481</v>
      </c>
      <c r="K34" s="8">
        <v>105</v>
      </c>
      <c r="L34" s="10">
        <f t="shared" si="3"/>
        <v>0.55238095238095242</v>
      </c>
      <c r="M34" s="11">
        <f t="shared" si="4"/>
        <v>0.43103449149378414</v>
      </c>
      <c r="N34" s="11">
        <f t="shared" si="5"/>
        <v>0.23809524292037601</v>
      </c>
      <c r="O34" s="12">
        <f t="shared" si="17"/>
        <v>0.72527472633884205</v>
      </c>
      <c r="Q34" s="17"/>
      <c r="X34" s="18"/>
    </row>
    <row r="35" spans="1:24" ht="14.4">
      <c r="A35" s="4">
        <v>20105</v>
      </c>
      <c r="B35" s="8">
        <v>74</v>
      </c>
      <c r="C35" s="8">
        <v>29.555556267499924</v>
      </c>
      <c r="D35" s="8">
        <v>310</v>
      </c>
      <c r="E35" s="9">
        <f t="shared" si="14"/>
        <v>0.23870967741935484</v>
      </c>
      <c r="F35" s="10">
        <f t="shared" si="15"/>
        <v>0.39939940902026921</v>
      </c>
      <c r="G35" s="10">
        <f t="shared" si="16"/>
        <v>9.5340504088709421E-2</v>
      </c>
      <c r="H35" s="4">
        <v>20105</v>
      </c>
      <c r="I35" s="8">
        <v>692</v>
      </c>
      <c r="J35" s="8">
        <v>272.88889539241791</v>
      </c>
      <c r="K35" s="8">
        <v>2828</v>
      </c>
      <c r="L35" s="10">
        <f t="shared" si="3"/>
        <v>0.24469589816124471</v>
      </c>
      <c r="M35" s="11">
        <f t="shared" si="4"/>
        <v>0.39434811472892761</v>
      </c>
      <c r="N35" s="11">
        <f t="shared" si="5"/>
        <v>9.6495366121788509E-2</v>
      </c>
      <c r="O35" s="12">
        <f t="shared" si="17"/>
        <v>1.012113026295776</v>
      </c>
      <c r="Q35" s="17"/>
      <c r="X35" s="18"/>
    </row>
    <row r="36" spans="1:24" ht="14.4">
      <c r="A36" s="4">
        <v>20201</v>
      </c>
      <c r="B36" s="8">
        <v>9</v>
      </c>
      <c r="C36" s="8">
        <v>3.333333432674408</v>
      </c>
      <c r="D36" s="8">
        <v>18</v>
      </c>
      <c r="E36" s="9">
        <f t="shared" si="14"/>
        <v>0.5</v>
      </c>
      <c r="F36" s="10">
        <f t="shared" si="15"/>
        <v>0.37037038140826756</v>
      </c>
      <c r="G36" s="10">
        <f t="shared" si="16"/>
        <v>0.18518519070413378</v>
      </c>
      <c r="H36" s="4">
        <v>20201</v>
      </c>
      <c r="I36" s="8">
        <v>85</v>
      </c>
      <c r="J36" s="8">
        <v>36.666667610406876</v>
      </c>
      <c r="K36" s="8">
        <v>202</v>
      </c>
      <c r="L36" s="10">
        <f t="shared" si="3"/>
        <v>0.42079207920792078</v>
      </c>
      <c r="M36" s="11">
        <f t="shared" si="4"/>
        <v>0.43137256012243386</v>
      </c>
      <c r="N36" s="11">
        <f t="shared" si="5"/>
        <v>0.18151815648716277</v>
      </c>
      <c r="O36" s="12">
        <f t="shared" si="17"/>
        <v>0.98019801581850163</v>
      </c>
      <c r="Q36" s="17"/>
      <c r="X36" s="18"/>
    </row>
    <row r="37" spans="1:24" ht="14.4">
      <c r="A37" s="4">
        <v>20202</v>
      </c>
      <c r="B37" s="8">
        <v>2</v>
      </c>
      <c r="C37" s="8">
        <v>1.0000000298023224</v>
      </c>
      <c r="D37" s="8">
        <v>4</v>
      </c>
      <c r="E37" s="9">
        <f t="shared" si="14"/>
        <v>0.5</v>
      </c>
      <c r="F37" s="10">
        <f t="shared" si="15"/>
        <v>0.50000001490116119</v>
      </c>
      <c r="G37" s="10">
        <f t="shared" si="16"/>
        <v>0.2500000074505806</v>
      </c>
      <c r="H37" s="4">
        <v>20202</v>
      </c>
      <c r="I37" s="8">
        <v>46</v>
      </c>
      <c r="J37" s="8">
        <v>19.222222775220871</v>
      </c>
      <c r="K37" s="8">
        <v>65</v>
      </c>
      <c r="L37" s="10">
        <f t="shared" si="3"/>
        <v>0.70769230769230773</v>
      </c>
      <c r="M37" s="11">
        <f t="shared" si="4"/>
        <v>0.41787440815697546</v>
      </c>
      <c r="N37" s="11">
        <f t="shared" si="5"/>
        <v>0.29572650423416724</v>
      </c>
      <c r="O37" s="12">
        <f t="shared" si="17"/>
        <v>1.1829059816833236</v>
      </c>
      <c r="Q37" s="17"/>
      <c r="X37" s="18"/>
    </row>
    <row r="38" spans="1:24" ht="14.4">
      <c r="A38" s="4">
        <v>20203</v>
      </c>
      <c r="B38" s="8">
        <v>3</v>
      </c>
      <c r="C38" s="8">
        <v>1.444444477558136</v>
      </c>
      <c r="D38" s="8">
        <v>3</v>
      </c>
      <c r="E38" s="9">
        <f t="shared" si="14"/>
        <v>1</v>
      </c>
      <c r="F38" s="10">
        <f t="shared" si="15"/>
        <v>0.48148149251937866</v>
      </c>
      <c r="G38" s="10">
        <f t="shared" si="16"/>
        <v>0.48148149251937866</v>
      </c>
      <c r="H38" s="4">
        <v>20203</v>
      </c>
      <c r="I38" s="8">
        <v>15</v>
      </c>
      <c r="J38" s="8">
        <v>5.7777779698371887</v>
      </c>
      <c r="K38" s="8">
        <v>62</v>
      </c>
      <c r="L38" s="10">
        <f t="shared" si="3"/>
        <v>0.24193548387096775</v>
      </c>
      <c r="M38" s="11">
        <f t="shared" si="4"/>
        <v>0.38518519798914591</v>
      </c>
      <c r="N38" s="11">
        <f t="shared" si="5"/>
        <v>9.318996725543853E-2</v>
      </c>
      <c r="O38" s="12">
        <f t="shared" si="17"/>
        <v>0.19354838909345581</v>
      </c>
      <c r="Q38" s="17"/>
      <c r="X38" s="18"/>
    </row>
    <row r="39" spans="1:24" ht="14.4">
      <c r="A39" s="4">
        <v>20204</v>
      </c>
      <c r="B39" s="8">
        <v>1</v>
      </c>
      <c r="C39" s="8">
        <v>0.55555558204650879</v>
      </c>
      <c r="D39" s="8">
        <v>2</v>
      </c>
      <c r="E39" s="9">
        <f t="shared" si="14"/>
        <v>0.5</v>
      </c>
      <c r="F39" s="10">
        <f t="shared" si="15"/>
        <v>0.55555558204650879</v>
      </c>
      <c r="G39" s="10">
        <f t="shared" si="16"/>
        <v>0.27777779102325439</v>
      </c>
      <c r="H39" s="4">
        <v>20204</v>
      </c>
      <c r="I39" s="8">
        <v>16</v>
      </c>
      <c r="J39" s="8">
        <v>6.4444445371627808</v>
      </c>
      <c r="K39" s="8">
        <v>39</v>
      </c>
      <c r="L39" s="10">
        <f t="shared" si="3"/>
        <v>0.41025641025641024</v>
      </c>
      <c r="M39" s="11">
        <f t="shared" si="4"/>
        <v>0.4027777835726738</v>
      </c>
      <c r="N39" s="11">
        <f t="shared" si="5"/>
        <v>0.16524216761955848</v>
      </c>
      <c r="O39" s="12">
        <f t="shared" si="17"/>
        <v>0.59487177506471389</v>
      </c>
      <c r="Q39" s="17"/>
      <c r="X39" s="18"/>
    </row>
    <row r="40" spans="1:24" ht="14.4">
      <c r="A40" s="4">
        <v>20205</v>
      </c>
      <c r="B40" s="8">
        <v>4</v>
      </c>
      <c r="C40" s="8">
        <v>1.7777777910232544</v>
      </c>
      <c r="D40" s="8">
        <v>10</v>
      </c>
      <c r="E40" s="9">
        <f t="shared" si="14"/>
        <v>0.4</v>
      </c>
      <c r="F40" s="10">
        <f t="shared" si="15"/>
        <v>0.4444444477558136</v>
      </c>
      <c r="G40" s="10">
        <f t="shared" si="16"/>
        <v>0.17777777910232545</v>
      </c>
      <c r="H40" s="4">
        <v>20205</v>
      </c>
      <c r="I40" s="8">
        <v>24</v>
      </c>
      <c r="J40" s="8">
        <v>9.8888891041278839</v>
      </c>
      <c r="K40" s="8">
        <v>50</v>
      </c>
      <c r="L40" s="10">
        <f t="shared" si="3"/>
        <v>0.48</v>
      </c>
      <c r="M40" s="11">
        <f t="shared" si="4"/>
        <v>0.41203704600532848</v>
      </c>
      <c r="N40" s="11">
        <f t="shared" si="5"/>
        <v>0.19777778208255767</v>
      </c>
      <c r="O40" s="12">
        <f t="shared" si="17"/>
        <v>1.1125000159256158</v>
      </c>
      <c r="Q40" s="17"/>
      <c r="X40" s="18"/>
    </row>
    <row r="41" spans="1:24" ht="14.4">
      <c r="A41" s="4">
        <v>20206</v>
      </c>
      <c r="B41" s="8">
        <v>0</v>
      </c>
      <c r="C41" s="8">
        <v>0</v>
      </c>
      <c r="D41" s="8">
        <v>2</v>
      </c>
      <c r="E41" s="9">
        <f t="shared" si="14"/>
        <v>0</v>
      </c>
      <c r="F41" s="10" t="s">
        <v>22</v>
      </c>
      <c r="G41" s="10" t="s">
        <v>22</v>
      </c>
      <c r="H41" s="4">
        <v>20206</v>
      </c>
      <c r="I41" s="8">
        <v>14</v>
      </c>
      <c r="J41" s="8">
        <v>5.4444445669651031</v>
      </c>
      <c r="K41" s="8">
        <v>55</v>
      </c>
      <c r="L41" s="10">
        <f t="shared" si="3"/>
        <v>0.25454545454545452</v>
      </c>
      <c r="M41" s="11">
        <f t="shared" si="4"/>
        <v>0.38888889764036449</v>
      </c>
      <c r="N41" s="11">
        <f t="shared" si="5"/>
        <v>9.8989901217547319E-2</v>
      </c>
      <c r="O41" s="12" t="s">
        <v>22</v>
      </c>
      <c r="Q41" s="17"/>
      <c r="X41" s="18"/>
    </row>
    <row r="42" spans="1:24" ht="14.4">
      <c r="A42" s="4">
        <v>20301</v>
      </c>
      <c r="B42" s="8">
        <v>2</v>
      </c>
      <c r="C42" s="8">
        <v>1.0000000298023224</v>
      </c>
      <c r="D42" s="8">
        <v>5</v>
      </c>
      <c r="E42" s="9">
        <f t="shared" si="14"/>
        <v>0.4</v>
      </c>
      <c r="F42" s="10">
        <f t="shared" ref="F42:F46" si="18">C42/B42</f>
        <v>0.50000001490116119</v>
      </c>
      <c r="G42" s="10">
        <f t="shared" ref="G42:G46" si="19">E42*F42</f>
        <v>0.20000000596046449</v>
      </c>
      <c r="H42" s="4">
        <v>20301</v>
      </c>
      <c r="I42" s="8">
        <v>25</v>
      </c>
      <c r="J42" s="8">
        <v>12.222222536802292</v>
      </c>
      <c r="K42" s="8">
        <v>65</v>
      </c>
      <c r="L42" s="10">
        <f t="shared" si="3"/>
        <v>0.38461538461538464</v>
      </c>
      <c r="M42" s="11">
        <f t="shared" si="4"/>
        <v>0.48888890147209169</v>
      </c>
      <c r="N42" s="11">
        <f t="shared" si="5"/>
        <v>0.18803419287388143</v>
      </c>
      <c r="O42" s="12">
        <f t="shared" ref="O42:O45" si="20">N42/G42</f>
        <v>0.94017093635012972</v>
      </c>
      <c r="Q42" s="17"/>
      <c r="X42" s="18"/>
    </row>
    <row r="43" spans="1:24" ht="14.4">
      <c r="A43" s="4">
        <v>20302</v>
      </c>
      <c r="B43" s="8">
        <v>8</v>
      </c>
      <c r="C43" s="8">
        <v>3.333333432674408</v>
      </c>
      <c r="D43" s="8">
        <v>10</v>
      </c>
      <c r="E43" s="9">
        <f t="shared" si="14"/>
        <v>0.8</v>
      </c>
      <c r="F43" s="10">
        <f t="shared" si="18"/>
        <v>0.41666667908430099</v>
      </c>
      <c r="G43" s="10">
        <f t="shared" si="19"/>
        <v>0.3333333432674408</v>
      </c>
      <c r="H43" s="4">
        <v>20302</v>
      </c>
      <c r="I43" s="8">
        <v>56</v>
      </c>
      <c r="J43" s="8">
        <v>25.888889640569687</v>
      </c>
      <c r="K43" s="8">
        <v>117</v>
      </c>
      <c r="L43" s="10">
        <f t="shared" si="3"/>
        <v>0.47863247863247865</v>
      </c>
      <c r="M43" s="11">
        <f t="shared" si="4"/>
        <v>0.46230160072445869</v>
      </c>
      <c r="N43" s="11">
        <f t="shared" si="5"/>
        <v>0.22127256103051016</v>
      </c>
      <c r="O43" s="12">
        <f t="shared" si="20"/>
        <v>0.66381766330822245</v>
      </c>
      <c r="Q43" s="17"/>
      <c r="X43" s="18"/>
    </row>
    <row r="44" spans="1:24" ht="14.4">
      <c r="A44" s="4">
        <v>20303</v>
      </c>
      <c r="B44" s="8">
        <v>2</v>
      </c>
      <c r="C44" s="8">
        <v>0.66666668653488159</v>
      </c>
      <c r="D44" s="8">
        <v>3</v>
      </c>
      <c r="E44" s="9">
        <f t="shared" si="14"/>
        <v>0.66666666666666663</v>
      </c>
      <c r="F44" s="10">
        <f t="shared" si="18"/>
        <v>0.3333333432674408</v>
      </c>
      <c r="G44" s="10">
        <f t="shared" si="19"/>
        <v>0.22222222884496051</v>
      </c>
      <c r="H44" s="4">
        <v>20303</v>
      </c>
      <c r="I44" s="8">
        <v>21</v>
      </c>
      <c r="J44" s="8">
        <v>9.5555557906627655</v>
      </c>
      <c r="K44" s="8">
        <v>35</v>
      </c>
      <c r="L44" s="10">
        <f t="shared" si="3"/>
        <v>0.6</v>
      </c>
      <c r="M44" s="11">
        <f t="shared" si="4"/>
        <v>0.45502646622203646</v>
      </c>
      <c r="N44" s="11">
        <f t="shared" si="5"/>
        <v>0.27301587973322189</v>
      </c>
      <c r="O44" s="12">
        <f t="shared" si="20"/>
        <v>1.2285714221852171</v>
      </c>
      <c r="Q44" s="17"/>
      <c r="X44" s="18"/>
    </row>
    <row r="45" spans="1:24" ht="14.4">
      <c r="A45" s="4">
        <v>20304</v>
      </c>
      <c r="B45" s="8">
        <v>4</v>
      </c>
      <c r="C45" s="8">
        <v>1.444444477558136</v>
      </c>
      <c r="D45" s="8">
        <v>5</v>
      </c>
      <c r="E45" s="9">
        <f t="shared" si="14"/>
        <v>0.8</v>
      </c>
      <c r="F45" s="10">
        <f t="shared" si="18"/>
        <v>0.361111119389534</v>
      </c>
      <c r="G45" s="10">
        <f t="shared" si="19"/>
        <v>0.28888889551162722</v>
      </c>
      <c r="H45" s="4">
        <v>20304</v>
      </c>
      <c r="I45" s="8">
        <v>4</v>
      </c>
      <c r="J45" s="8">
        <v>1.6666666865348816</v>
      </c>
      <c r="K45" s="8">
        <v>7</v>
      </c>
      <c r="L45" s="10">
        <f t="shared" si="3"/>
        <v>0.5714285714285714</v>
      </c>
      <c r="M45" s="11">
        <f t="shared" si="4"/>
        <v>0.4166666716337204</v>
      </c>
      <c r="N45" s="11">
        <f t="shared" si="5"/>
        <v>0.2380952409335545</v>
      </c>
      <c r="O45" s="12">
        <f t="shared" si="20"/>
        <v>0.8241758151066475</v>
      </c>
      <c r="Q45" s="17"/>
      <c r="X45" s="18"/>
    </row>
    <row r="46" spans="1:24" ht="14.4">
      <c r="A46" s="4">
        <v>20305</v>
      </c>
      <c r="B46" s="8">
        <v>2</v>
      </c>
      <c r="C46" s="8">
        <v>1.1111111640930176</v>
      </c>
      <c r="D46" s="8">
        <v>2</v>
      </c>
      <c r="E46" s="9">
        <f t="shared" si="14"/>
        <v>1</v>
      </c>
      <c r="F46" s="10">
        <f t="shared" si="18"/>
        <v>0.55555558204650879</v>
      </c>
      <c r="G46" s="10">
        <f t="shared" si="19"/>
        <v>0.55555558204650879</v>
      </c>
      <c r="H46" s="4">
        <v>20305</v>
      </c>
      <c r="I46" s="8">
        <v>0</v>
      </c>
      <c r="J46" s="8">
        <v>0</v>
      </c>
      <c r="K46" s="8">
        <v>5</v>
      </c>
      <c r="L46" s="10">
        <f t="shared" si="3"/>
        <v>0</v>
      </c>
      <c r="M46" s="11" t="s">
        <v>22</v>
      </c>
      <c r="N46" s="11" t="s">
        <v>22</v>
      </c>
      <c r="O46" s="12" t="s">
        <v>22</v>
      </c>
      <c r="Q46" s="17"/>
      <c r="X46" s="18"/>
    </row>
    <row r="47" spans="1:24" ht="14.4">
      <c r="A47" s="4">
        <v>20306</v>
      </c>
      <c r="B47" s="8">
        <v>0</v>
      </c>
      <c r="C47" s="8">
        <v>0</v>
      </c>
      <c r="D47" s="8">
        <v>1</v>
      </c>
      <c r="E47" s="9">
        <f t="shared" si="14"/>
        <v>0</v>
      </c>
      <c r="F47" s="10" t="s">
        <v>22</v>
      </c>
      <c r="G47" s="10" t="s">
        <v>22</v>
      </c>
      <c r="H47" s="4">
        <v>20306</v>
      </c>
      <c r="I47" s="8">
        <v>2</v>
      </c>
      <c r="J47" s="8">
        <v>0.66666668653488159</v>
      </c>
      <c r="K47" s="8">
        <v>5</v>
      </c>
      <c r="L47" s="10">
        <f t="shared" si="3"/>
        <v>0.4</v>
      </c>
      <c r="M47" s="11">
        <f t="shared" ref="M47:M110" si="21">J47/I47</f>
        <v>0.3333333432674408</v>
      </c>
      <c r="N47" s="11">
        <f t="shared" ref="N47:N110" si="22">L47*M47</f>
        <v>0.13333333730697633</v>
      </c>
      <c r="O47" s="12" t="s">
        <v>22</v>
      </c>
      <c r="Q47" s="17"/>
      <c r="X47" s="18"/>
    </row>
    <row r="48" spans="1:24" ht="14.4">
      <c r="A48" s="4">
        <v>20308</v>
      </c>
      <c r="B48" s="8">
        <v>8</v>
      </c>
      <c r="C48" s="8">
        <v>4.2222222983837128</v>
      </c>
      <c r="D48" s="8">
        <v>12</v>
      </c>
      <c r="E48" s="9">
        <f t="shared" si="14"/>
        <v>0.66666666666666663</v>
      </c>
      <c r="F48" s="10">
        <f t="shared" ref="F48:F53" si="23">C48/B48</f>
        <v>0.5277777872979641</v>
      </c>
      <c r="G48" s="10">
        <f t="shared" ref="G48:G53" si="24">E48*F48</f>
        <v>0.35185185819864273</v>
      </c>
      <c r="H48" s="4">
        <v>20308</v>
      </c>
      <c r="I48" s="8">
        <v>44</v>
      </c>
      <c r="J48" s="8">
        <v>20.666667252779007</v>
      </c>
      <c r="K48" s="8">
        <v>55</v>
      </c>
      <c r="L48" s="10">
        <f t="shared" si="3"/>
        <v>0.8</v>
      </c>
      <c r="M48" s="11">
        <f t="shared" si="21"/>
        <v>0.46969698301770468</v>
      </c>
      <c r="N48" s="11">
        <f t="shared" si="22"/>
        <v>0.37575758641416379</v>
      </c>
      <c r="O48" s="12">
        <f t="shared" ref="O48:O53" si="25">N48/G48</f>
        <v>1.0679425947553893</v>
      </c>
      <c r="Q48" s="17"/>
      <c r="X48" s="18"/>
    </row>
    <row r="49" spans="1:24" ht="14.4">
      <c r="A49" s="4">
        <v>20401</v>
      </c>
      <c r="B49" s="8">
        <v>7</v>
      </c>
      <c r="C49" s="8">
        <v>3.8888890147209167</v>
      </c>
      <c r="D49" s="8">
        <v>15</v>
      </c>
      <c r="E49" s="9">
        <f t="shared" si="14"/>
        <v>0.46666666666666667</v>
      </c>
      <c r="F49" s="10">
        <f t="shared" si="23"/>
        <v>0.55555557353155949</v>
      </c>
      <c r="G49" s="10">
        <f t="shared" si="24"/>
        <v>0.25925926764806112</v>
      </c>
      <c r="H49" s="4">
        <v>20401</v>
      </c>
      <c r="I49" s="8">
        <v>53</v>
      </c>
      <c r="J49" s="8">
        <v>21.77777835726738</v>
      </c>
      <c r="K49" s="8">
        <v>120</v>
      </c>
      <c r="L49" s="10">
        <f t="shared" si="3"/>
        <v>0.44166666666666665</v>
      </c>
      <c r="M49" s="11">
        <f t="shared" si="21"/>
        <v>0.41090147843900715</v>
      </c>
      <c r="N49" s="11">
        <f t="shared" si="22"/>
        <v>0.18148148631056149</v>
      </c>
      <c r="O49" s="12">
        <f t="shared" si="25"/>
        <v>0.69999999597668661</v>
      </c>
      <c r="Q49" s="17"/>
      <c r="X49" s="18"/>
    </row>
    <row r="50" spans="1:24" ht="14.4">
      <c r="A50" s="4">
        <v>20402</v>
      </c>
      <c r="B50" s="8">
        <v>4</v>
      </c>
      <c r="C50" s="8">
        <v>2.0000000894069672</v>
      </c>
      <c r="D50" s="8">
        <v>8</v>
      </c>
      <c r="E50" s="9">
        <f t="shared" si="14"/>
        <v>0.5</v>
      </c>
      <c r="F50" s="10">
        <f t="shared" si="23"/>
        <v>0.50000002235174179</v>
      </c>
      <c r="G50" s="10">
        <f t="shared" si="24"/>
        <v>0.2500000111758709</v>
      </c>
      <c r="H50" s="4">
        <v>20402</v>
      </c>
      <c r="I50" s="8">
        <v>48</v>
      </c>
      <c r="J50" s="8">
        <v>19.444444924592972</v>
      </c>
      <c r="K50" s="8">
        <v>93</v>
      </c>
      <c r="L50" s="10">
        <f t="shared" si="3"/>
        <v>0.5161290322580645</v>
      </c>
      <c r="M50" s="11">
        <f t="shared" si="21"/>
        <v>0.40509260259568691</v>
      </c>
      <c r="N50" s="11">
        <f t="shared" si="22"/>
        <v>0.20908005295261259</v>
      </c>
      <c r="O50" s="12">
        <f t="shared" si="25"/>
        <v>0.83632017442402518</v>
      </c>
      <c r="Q50" s="17"/>
      <c r="X50" s="18"/>
    </row>
    <row r="51" spans="1:24" ht="14.4">
      <c r="A51" s="4">
        <v>20403</v>
      </c>
      <c r="B51" s="8">
        <v>6</v>
      </c>
      <c r="C51" s="8">
        <v>2.666666716337204</v>
      </c>
      <c r="D51" s="8">
        <v>11</v>
      </c>
      <c r="E51" s="9">
        <f t="shared" si="14"/>
        <v>0.54545454545454541</v>
      </c>
      <c r="F51" s="10">
        <f t="shared" si="23"/>
        <v>0.44444445272286731</v>
      </c>
      <c r="G51" s="10">
        <f t="shared" si="24"/>
        <v>0.24242424693974579</v>
      </c>
      <c r="H51" s="4">
        <v>20403</v>
      </c>
      <c r="I51" s="8">
        <v>45</v>
      </c>
      <c r="J51" s="8">
        <v>18.888889312744141</v>
      </c>
      <c r="K51" s="8">
        <v>81</v>
      </c>
      <c r="L51" s="10">
        <f t="shared" si="3"/>
        <v>0.55555555555555558</v>
      </c>
      <c r="M51" s="11">
        <f t="shared" si="21"/>
        <v>0.41975309583875869</v>
      </c>
      <c r="N51" s="11">
        <f t="shared" si="22"/>
        <v>0.23319616435486595</v>
      </c>
      <c r="O51" s="12">
        <f t="shared" si="25"/>
        <v>0.9619341600464022</v>
      </c>
      <c r="Q51" s="17"/>
      <c r="X51" s="18"/>
    </row>
    <row r="52" spans="1:24" ht="14.4">
      <c r="A52" s="4">
        <v>20404</v>
      </c>
      <c r="B52" s="8">
        <v>5</v>
      </c>
      <c r="C52" s="8">
        <v>2.1111111640930176</v>
      </c>
      <c r="D52" s="8">
        <v>6</v>
      </c>
      <c r="E52" s="9">
        <f t="shared" si="14"/>
        <v>0.83333333333333337</v>
      </c>
      <c r="F52" s="10">
        <f t="shared" si="23"/>
        <v>0.42222223281860349</v>
      </c>
      <c r="G52" s="10">
        <f t="shared" si="24"/>
        <v>0.35185186068216961</v>
      </c>
      <c r="H52" s="4">
        <v>20404</v>
      </c>
      <c r="I52" s="8">
        <v>10</v>
      </c>
      <c r="J52" s="8">
        <v>4.1111111640930176</v>
      </c>
      <c r="K52" s="8">
        <v>19</v>
      </c>
      <c r="L52" s="10">
        <f t="shared" si="3"/>
        <v>0.52631578947368418</v>
      </c>
      <c r="M52" s="11">
        <f t="shared" si="21"/>
        <v>0.41111111640930176</v>
      </c>
      <c r="N52" s="11">
        <f t="shared" si="22"/>
        <v>0.21637427179436933</v>
      </c>
      <c r="O52" s="12">
        <f t="shared" si="25"/>
        <v>0.61495844124531096</v>
      </c>
      <c r="Q52" s="17"/>
      <c r="X52" s="18"/>
    </row>
    <row r="53" spans="1:24" ht="14.4">
      <c r="A53" s="4">
        <v>20405</v>
      </c>
      <c r="B53" s="8">
        <v>5</v>
      </c>
      <c r="C53" s="8">
        <v>2.333333432674408</v>
      </c>
      <c r="D53" s="8">
        <v>8</v>
      </c>
      <c r="E53" s="9">
        <f t="shared" si="14"/>
        <v>0.625</v>
      </c>
      <c r="F53" s="10">
        <f t="shared" si="23"/>
        <v>0.46666668653488158</v>
      </c>
      <c r="G53" s="10">
        <f t="shared" si="24"/>
        <v>0.29166667908430099</v>
      </c>
      <c r="H53" s="4">
        <v>20405</v>
      </c>
      <c r="I53" s="8">
        <v>42</v>
      </c>
      <c r="J53" s="8">
        <v>16.333333671092987</v>
      </c>
      <c r="K53" s="8">
        <v>71</v>
      </c>
      <c r="L53" s="10">
        <f t="shared" si="3"/>
        <v>0.59154929577464788</v>
      </c>
      <c r="M53" s="11">
        <f t="shared" si="21"/>
        <v>0.38888889693078543</v>
      </c>
      <c r="N53" s="11">
        <f t="shared" si="22"/>
        <v>0.23004695311398574</v>
      </c>
      <c r="O53" s="12">
        <f t="shared" si="25"/>
        <v>0.78873237709644173</v>
      </c>
      <c r="Q53" s="17"/>
      <c r="X53" s="18"/>
    </row>
    <row r="54" spans="1:24" ht="14.4">
      <c r="A54" s="4">
        <v>20501</v>
      </c>
      <c r="B54" s="8">
        <v>0</v>
      </c>
      <c r="C54" s="8">
        <v>0</v>
      </c>
      <c r="D54" s="8">
        <v>3</v>
      </c>
      <c r="E54" s="9">
        <f t="shared" si="14"/>
        <v>0</v>
      </c>
      <c r="F54" s="10" t="s">
        <v>22</v>
      </c>
      <c r="G54" s="10" t="s">
        <v>22</v>
      </c>
      <c r="H54" s="4">
        <v>20501</v>
      </c>
      <c r="I54" s="8">
        <v>48</v>
      </c>
      <c r="J54" s="8">
        <v>19.555556088685989</v>
      </c>
      <c r="K54" s="8">
        <v>115</v>
      </c>
      <c r="L54" s="10">
        <f t="shared" si="3"/>
        <v>0.41739130434782606</v>
      </c>
      <c r="M54" s="11">
        <f t="shared" si="21"/>
        <v>0.40740741851429146</v>
      </c>
      <c r="N54" s="11">
        <f t="shared" si="22"/>
        <v>0.17004831381466076</v>
      </c>
      <c r="O54" s="12" t="s">
        <v>22</v>
      </c>
      <c r="Q54" s="17"/>
      <c r="X54" s="18"/>
    </row>
    <row r="55" spans="1:24" ht="14.4">
      <c r="A55" s="4">
        <v>20502</v>
      </c>
      <c r="B55" s="8">
        <v>3</v>
      </c>
      <c r="C55" s="8">
        <v>1.222222238779068</v>
      </c>
      <c r="D55" s="8">
        <v>9</v>
      </c>
      <c r="E55" s="9">
        <f t="shared" si="14"/>
        <v>0.33333333333333331</v>
      </c>
      <c r="F55" s="10">
        <f t="shared" ref="F55:F60" si="26">C55/B55</f>
        <v>0.40740741292635602</v>
      </c>
      <c r="G55" s="10">
        <f t="shared" ref="G55:G60" si="27">E55*F55</f>
        <v>0.13580247097545201</v>
      </c>
      <c r="H55" s="4">
        <v>20502</v>
      </c>
      <c r="I55" s="8">
        <v>23</v>
      </c>
      <c r="J55" s="8">
        <v>9.8888891041278839</v>
      </c>
      <c r="K55" s="8">
        <v>40</v>
      </c>
      <c r="L55" s="10">
        <f t="shared" si="3"/>
        <v>0.57499999999999996</v>
      </c>
      <c r="M55" s="11">
        <f t="shared" si="21"/>
        <v>0.42995170017947321</v>
      </c>
      <c r="N55" s="11">
        <f t="shared" si="22"/>
        <v>0.24722222760319706</v>
      </c>
      <c r="O55" s="12">
        <f t="shared" ref="O55:O60" si="28">N55/G55</f>
        <v>1.8204545604172813</v>
      </c>
      <c r="Q55" s="17"/>
      <c r="X55" s="18"/>
    </row>
    <row r="56" spans="1:24" ht="14.4">
      <c r="A56" s="4">
        <v>20503</v>
      </c>
      <c r="B56" s="8">
        <v>7</v>
      </c>
      <c r="C56" s="8">
        <v>3.5555557012557983</v>
      </c>
      <c r="D56" s="8">
        <v>10</v>
      </c>
      <c r="E56" s="9">
        <f t="shared" si="14"/>
        <v>0.7</v>
      </c>
      <c r="F56" s="10">
        <f t="shared" si="26"/>
        <v>0.50793652875082829</v>
      </c>
      <c r="G56" s="10">
        <f t="shared" si="27"/>
        <v>0.35555557012557976</v>
      </c>
      <c r="H56" s="4">
        <v>20503</v>
      </c>
      <c r="I56" s="8">
        <v>18</v>
      </c>
      <c r="J56" s="8">
        <v>7.7777779996395111</v>
      </c>
      <c r="K56" s="8">
        <v>31</v>
      </c>
      <c r="L56" s="10">
        <f t="shared" si="3"/>
        <v>0.58064516129032262</v>
      </c>
      <c r="M56" s="11">
        <f t="shared" si="21"/>
        <v>0.43209877775775063</v>
      </c>
      <c r="N56" s="11">
        <f t="shared" si="22"/>
        <v>0.25089606450450036</v>
      </c>
      <c r="O56" s="12">
        <f t="shared" si="28"/>
        <v>0.70564515250284399</v>
      </c>
      <c r="Q56" s="17"/>
      <c r="X56" s="18"/>
    </row>
    <row r="57" spans="1:24" ht="14.4">
      <c r="A57" s="4">
        <v>20601</v>
      </c>
      <c r="B57" s="8">
        <v>10</v>
      </c>
      <c r="C57" s="8">
        <v>3.8888889849185944</v>
      </c>
      <c r="D57" s="8">
        <v>20</v>
      </c>
      <c r="E57" s="9">
        <f t="shared" si="14"/>
        <v>0.5</v>
      </c>
      <c r="F57" s="10">
        <f t="shared" si="26"/>
        <v>0.38888889849185942</v>
      </c>
      <c r="G57" s="10">
        <f t="shared" si="27"/>
        <v>0.19444444924592971</v>
      </c>
      <c r="H57" s="4">
        <v>20601</v>
      </c>
      <c r="I57" s="8">
        <v>86</v>
      </c>
      <c r="J57" s="8">
        <v>39.000001221895218</v>
      </c>
      <c r="K57" s="8">
        <v>223</v>
      </c>
      <c r="L57" s="10">
        <f t="shared" si="3"/>
        <v>0.38565022421524664</v>
      </c>
      <c r="M57" s="11">
        <f t="shared" si="21"/>
        <v>0.45348838630110716</v>
      </c>
      <c r="N57" s="11">
        <f t="shared" si="22"/>
        <v>0.17488789785603237</v>
      </c>
      <c r="O57" s="12">
        <f t="shared" si="28"/>
        <v>0.89942345247838584</v>
      </c>
      <c r="Q57" s="17"/>
      <c r="X57" s="18"/>
    </row>
    <row r="58" spans="1:24" ht="14.4">
      <c r="A58" s="4">
        <v>20602</v>
      </c>
      <c r="B58" s="8">
        <v>20</v>
      </c>
      <c r="C58" s="8">
        <v>8.5555558204650879</v>
      </c>
      <c r="D58" s="8">
        <v>31</v>
      </c>
      <c r="E58" s="9">
        <f t="shared" si="14"/>
        <v>0.64516129032258063</v>
      </c>
      <c r="F58" s="10">
        <f t="shared" si="26"/>
        <v>0.42777779102325442</v>
      </c>
      <c r="G58" s="10">
        <f t="shared" si="27"/>
        <v>0.27598567162790605</v>
      </c>
      <c r="H58" s="4">
        <v>20602</v>
      </c>
      <c r="I58" s="8">
        <v>73</v>
      </c>
      <c r="J58" s="8">
        <v>33.666667580604553</v>
      </c>
      <c r="K58" s="8">
        <v>165</v>
      </c>
      <c r="L58" s="10">
        <f t="shared" si="3"/>
        <v>0.44242424242424244</v>
      </c>
      <c r="M58" s="11">
        <f t="shared" si="21"/>
        <v>0.46118722713156923</v>
      </c>
      <c r="N58" s="11">
        <f t="shared" si="22"/>
        <v>0.20404040957942154</v>
      </c>
      <c r="O58" s="12">
        <f t="shared" si="28"/>
        <v>0.73931522740251632</v>
      </c>
      <c r="Q58" s="17"/>
      <c r="X58" s="18"/>
    </row>
    <row r="59" spans="1:24" ht="14.4">
      <c r="A59" s="4">
        <v>20603</v>
      </c>
      <c r="B59" s="8">
        <v>3</v>
      </c>
      <c r="C59" s="8">
        <v>1.0000000298023224</v>
      </c>
      <c r="D59" s="8">
        <v>3</v>
      </c>
      <c r="E59" s="9">
        <f t="shared" si="14"/>
        <v>1</v>
      </c>
      <c r="F59" s="10">
        <f t="shared" si="26"/>
        <v>0.3333333432674408</v>
      </c>
      <c r="G59" s="10">
        <f t="shared" si="27"/>
        <v>0.3333333432674408</v>
      </c>
      <c r="H59" s="4">
        <v>20603</v>
      </c>
      <c r="I59" s="8">
        <v>40</v>
      </c>
      <c r="J59" s="8">
        <v>16.000000387430191</v>
      </c>
      <c r="K59" s="8">
        <v>73</v>
      </c>
      <c r="L59" s="10">
        <f t="shared" si="3"/>
        <v>0.54794520547945202</v>
      </c>
      <c r="M59" s="11">
        <f t="shared" si="21"/>
        <v>0.40000000968575478</v>
      </c>
      <c r="N59" s="11">
        <f t="shared" si="22"/>
        <v>0.21917808749904369</v>
      </c>
      <c r="O59" s="12">
        <f t="shared" si="28"/>
        <v>0.65753424290108353</v>
      </c>
      <c r="Q59" s="17"/>
      <c r="X59" s="18"/>
    </row>
    <row r="60" spans="1:24" ht="14.4">
      <c r="A60" s="4">
        <v>20604</v>
      </c>
      <c r="B60" s="8">
        <v>1</v>
      </c>
      <c r="C60" s="8">
        <v>0.3333333432674408</v>
      </c>
      <c r="D60" s="8">
        <v>2</v>
      </c>
      <c r="E60" s="9">
        <f t="shared" si="14"/>
        <v>0.5</v>
      </c>
      <c r="F60" s="10">
        <f t="shared" si="26"/>
        <v>0.3333333432674408</v>
      </c>
      <c r="G60" s="10">
        <f t="shared" si="27"/>
        <v>0.1666666716337204</v>
      </c>
      <c r="H60" s="4">
        <v>20604</v>
      </c>
      <c r="I60" s="8">
        <v>11</v>
      </c>
      <c r="J60" s="8">
        <v>5.0000000894069672</v>
      </c>
      <c r="K60" s="8">
        <v>43</v>
      </c>
      <c r="L60" s="10">
        <f t="shared" si="3"/>
        <v>0.2558139534883721</v>
      </c>
      <c r="M60" s="11">
        <f t="shared" si="21"/>
        <v>0.45454546267336066</v>
      </c>
      <c r="N60" s="11">
        <f t="shared" si="22"/>
        <v>0.11627907184667366</v>
      </c>
      <c r="O60" s="12">
        <f t="shared" si="28"/>
        <v>0.69767441028772426</v>
      </c>
      <c r="Q60" s="17"/>
      <c r="X60" s="18"/>
    </row>
    <row r="61" spans="1:24" ht="14.4">
      <c r="A61" s="4">
        <v>20605</v>
      </c>
      <c r="B61" s="8">
        <v>0</v>
      </c>
      <c r="C61" s="8">
        <v>0</v>
      </c>
      <c r="D61" s="8">
        <v>1</v>
      </c>
      <c r="E61" s="9">
        <f t="shared" si="14"/>
        <v>0</v>
      </c>
      <c r="F61" s="10" t="s">
        <v>22</v>
      </c>
      <c r="G61" s="10" t="s">
        <v>22</v>
      </c>
      <c r="H61" s="4">
        <v>20605</v>
      </c>
      <c r="I61" s="8">
        <v>4</v>
      </c>
      <c r="J61" s="8">
        <v>2.0000000596046448</v>
      </c>
      <c r="K61" s="8">
        <v>11</v>
      </c>
      <c r="L61" s="10">
        <f t="shared" si="3"/>
        <v>0.36363636363636365</v>
      </c>
      <c r="M61" s="11">
        <f t="shared" si="21"/>
        <v>0.50000001490116119</v>
      </c>
      <c r="N61" s="11">
        <f t="shared" si="22"/>
        <v>0.18181818723678589</v>
      </c>
      <c r="O61" s="12" t="s">
        <v>22</v>
      </c>
      <c r="Q61" s="17"/>
      <c r="X61" s="18"/>
    </row>
    <row r="62" spans="1:24" ht="14.4">
      <c r="A62" s="4">
        <v>20606</v>
      </c>
      <c r="B62" s="8">
        <v>9</v>
      </c>
      <c r="C62" s="8">
        <v>3.8888889253139496</v>
      </c>
      <c r="D62" s="8">
        <v>13</v>
      </c>
      <c r="E62" s="9">
        <f t="shared" si="14"/>
        <v>0.69230769230769229</v>
      </c>
      <c r="F62" s="10">
        <f t="shared" ref="F62:F69" si="29">C62/B62</f>
        <v>0.43209876947932774</v>
      </c>
      <c r="G62" s="10">
        <f t="shared" ref="G62:G69" si="30">E62*F62</f>
        <v>0.29914530194722688</v>
      </c>
      <c r="H62" s="4">
        <v>20606</v>
      </c>
      <c r="I62" s="8">
        <v>25</v>
      </c>
      <c r="J62" s="8">
        <v>9.5555558204650879</v>
      </c>
      <c r="K62" s="8">
        <v>148</v>
      </c>
      <c r="L62" s="10">
        <f t="shared" si="3"/>
        <v>0.16891891891891891</v>
      </c>
      <c r="M62" s="11">
        <f t="shared" si="21"/>
        <v>0.38222223281860351</v>
      </c>
      <c r="N62" s="11">
        <f t="shared" si="22"/>
        <v>6.4564566354493841E-2</v>
      </c>
      <c r="O62" s="12">
        <f t="shared" ref="O62:O69" si="31">N62/G62</f>
        <v>0.21583011979203293</v>
      </c>
      <c r="Q62" s="17"/>
      <c r="X62" s="18"/>
    </row>
    <row r="63" spans="1:24" ht="14.4">
      <c r="A63" s="4">
        <v>20607</v>
      </c>
      <c r="B63" s="8">
        <v>7</v>
      </c>
      <c r="C63" s="8">
        <v>2.666666716337204</v>
      </c>
      <c r="D63" s="8">
        <v>22</v>
      </c>
      <c r="E63" s="9">
        <f t="shared" si="14"/>
        <v>0.31818181818181818</v>
      </c>
      <c r="F63" s="10">
        <f t="shared" si="29"/>
        <v>0.380952388048172</v>
      </c>
      <c r="G63" s="10">
        <f t="shared" si="30"/>
        <v>0.12121212346987291</v>
      </c>
      <c r="H63" s="4">
        <v>20607</v>
      </c>
      <c r="I63" s="8">
        <v>34</v>
      </c>
      <c r="J63" s="8">
        <v>12.444444745779037</v>
      </c>
      <c r="K63" s="8">
        <v>143</v>
      </c>
      <c r="L63" s="10">
        <f t="shared" si="3"/>
        <v>0.23776223776223776</v>
      </c>
      <c r="M63" s="11">
        <f t="shared" si="21"/>
        <v>0.36601308075820699</v>
      </c>
      <c r="N63" s="11">
        <f t="shared" si="22"/>
        <v>8.7024089131321938E-2</v>
      </c>
      <c r="O63" s="12">
        <f t="shared" si="31"/>
        <v>0.71794872196056891</v>
      </c>
      <c r="Q63" s="17"/>
      <c r="X63" s="18"/>
    </row>
    <row r="64" spans="1:24" ht="14.4">
      <c r="A64" s="4">
        <v>20608</v>
      </c>
      <c r="B64" s="8">
        <v>22</v>
      </c>
      <c r="C64" s="8">
        <v>8.3333335518836975</v>
      </c>
      <c r="D64" s="8">
        <v>28</v>
      </c>
      <c r="E64" s="9">
        <f t="shared" si="14"/>
        <v>0.7857142857142857</v>
      </c>
      <c r="F64" s="10">
        <f t="shared" si="29"/>
        <v>0.37878788872198627</v>
      </c>
      <c r="G64" s="10">
        <f t="shared" si="30"/>
        <v>0.2976190554244178</v>
      </c>
      <c r="H64" s="4">
        <v>20608</v>
      </c>
      <c r="I64" s="8">
        <v>18</v>
      </c>
      <c r="J64" s="8">
        <v>7.5555557608604431</v>
      </c>
      <c r="K64" s="8">
        <v>54</v>
      </c>
      <c r="L64" s="10">
        <f t="shared" si="3"/>
        <v>0.33333333333333331</v>
      </c>
      <c r="M64" s="11">
        <f t="shared" si="21"/>
        <v>0.41975309782558018</v>
      </c>
      <c r="N64" s="11">
        <f t="shared" si="22"/>
        <v>0.13991769927519337</v>
      </c>
      <c r="O64" s="12">
        <f t="shared" si="31"/>
        <v>0.47012345723517135</v>
      </c>
      <c r="Q64" s="17"/>
      <c r="X64" s="18"/>
    </row>
    <row r="65" spans="1:24" ht="14.4">
      <c r="A65" s="4">
        <v>20701</v>
      </c>
      <c r="B65" s="8">
        <v>6</v>
      </c>
      <c r="C65" s="8">
        <v>2.7777778506278992</v>
      </c>
      <c r="D65" s="8">
        <v>10</v>
      </c>
      <c r="E65" s="9">
        <f t="shared" si="14"/>
        <v>0.6</v>
      </c>
      <c r="F65" s="10">
        <f t="shared" si="29"/>
        <v>0.46296297510464984</v>
      </c>
      <c r="G65" s="10">
        <f t="shared" si="30"/>
        <v>0.27777778506278988</v>
      </c>
      <c r="H65" s="4">
        <v>20701</v>
      </c>
      <c r="I65" s="8">
        <v>70</v>
      </c>
      <c r="J65" s="8">
        <v>31.888889729976654</v>
      </c>
      <c r="K65" s="8">
        <v>175</v>
      </c>
      <c r="L65" s="10">
        <f t="shared" si="3"/>
        <v>0.4</v>
      </c>
      <c r="M65" s="11">
        <f t="shared" si="21"/>
        <v>0.45555556757109505</v>
      </c>
      <c r="N65" s="11">
        <f t="shared" si="22"/>
        <v>0.18222222702843804</v>
      </c>
      <c r="O65" s="12">
        <f t="shared" si="31"/>
        <v>0.65600000009809234</v>
      </c>
      <c r="Q65" s="17"/>
      <c r="X65" s="18"/>
    </row>
    <row r="66" spans="1:24" ht="14.4">
      <c r="A66" s="4">
        <v>20702</v>
      </c>
      <c r="B66" s="8">
        <v>4</v>
      </c>
      <c r="C66" s="8">
        <v>1.5555555820465088</v>
      </c>
      <c r="D66" s="8">
        <v>6</v>
      </c>
      <c r="E66" s="9">
        <f t="shared" si="14"/>
        <v>0.66666666666666663</v>
      </c>
      <c r="F66" s="10">
        <f t="shared" si="29"/>
        <v>0.3888888955116272</v>
      </c>
      <c r="G66" s="10">
        <f t="shared" si="30"/>
        <v>0.25925926367441809</v>
      </c>
      <c r="H66" s="4">
        <v>20702</v>
      </c>
      <c r="I66" s="8">
        <v>52</v>
      </c>
      <c r="J66" s="8">
        <v>23.444444924592972</v>
      </c>
      <c r="K66" s="8">
        <v>70</v>
      </c>
      <c r="L66" s="10">
        <f t="shared" si="3"/>
        <v>0.74285714285714288</v>
      </c>
      <c r="M66" s="11">
        <f t="shared" si="21"/>
        <v>0.45085471008832639</v>
      </c>
      <c r="N66" s="11">
        <f t="shared" si="22"/>
        <v>0.33492064177989961</v>
      </c>
      <c r="O66" s="12">
        <f t="shared" si="31"/>
        <v>1.2918367391511929</v>
      </c>
      <c r="Q66" s="17"/>
      <c r="X66" s="18"/>
    </row>
    <row r="67" spans="1:24" ht="14.4">
      <c r="A67" s="4">
        <v>20801</v>
      </c>
      <c r="B67" s="8">
        <v>37</v>
      </c>
      <c r="C67" s="8">
        <v>15.000000268220901</v>
      </c>
      <c r="D67" s="8">
        <v>72</v>
      </c>
      <c r="E67" s="9">
        <f t="shared" si="14"/>
        <v>0.51388888888888884</v>
      </c>
      <c r="F67" s="10">
        <f t="shared" si="29"/>
        <v>0.40540541265461894</v>
      </c>
      <c r="G67" s="10">
        <f t="shared" si="30"/>
        <v>0.20833333705862361</v>
      </c>
      <c r="H67" s="4">
        <v>20801</v>
      </c>
      <c r="I67" s="8">
        <v>169</v>
      </c>
      <c r="J67" s="8">
        <v>66.000001490116119</v>
      </c>
      <c r="K67" s="8">
        <v>401</v>
      </c>
      <c r="L67" s="10">
        <f t="shared" si="3"/>
        <v>0.42144638403990026</v>
      </c>
      <c r="M67" s="11">
        <f t="shared" si="21"/>
        <v>0.39053255319595337</v>
      </c>
      <c r="N67" s="11">
        <f t="shared" si="22"/>
        <v>0.16458853239430454</v>
      </c>
      <c r="O67" s="12">
        <f t="shared" si="31"/>
        <v>0.79002494136591506</v>
      </c>
      <c r="Q67" s="17"/>
      <c r="X67" s="18"/>
    </row>
    <row r="68" spans="1:24" ht="14.4">
      <c r="A68" s="4">
        <v>20802</v>
      </c>
      <c r="B68" s="8">
        <v>3</v>
      </c>
      <c r="C68" s="8">
        <v>1.1111111342906952</v>
      </c>
      <c r="D68" s="8">
        <v>6</v>
      </c>
      <c r="E68" s="9">
        <f t="shared" si="14"/>
        <v>0.5</v>
      </c>
      <c r="F68" s="10">
        <f t="shared" si="29"/>
        <v>0.37037037809689838</v>
      </c>
      <c r="G68" s="10">
        <f t="shared" si="30"/>
        <v>0.18518518904844919</v>
      </c>
      <c r="H68" s="4">
        <v>20802</v>
      </c>
      <c r="I68" s="8">
        <v>40</v>
      </c>
      <c r="J68" s="8">
        <v>16.111111581325531</v>
      </c>
      <c r="K68" s="8">
        <v>93</v>
      </c>
      <c r="L68" s="10">
        <f t="shared" si="3"/>
        <v>0.43010752688172044</v>
      </c>
      <c r="M68" s="11">
        <f t="shared" si="21"/>
        <v>0.40277778953313825</v>
      </c>
      <c r="N68" s="11">
        <f t="shared" si="22"/>
        <v>0.17323775893898419</v>
      </c>
      <c r="O68" s="12">
        <f t="shared" si="31"/>
        <v>0.93548387875480021</v>
      </c>
      <c r="Q68" s="17"/>
      <c r="X68" s="18"/>
    </row>
    <row r="69" spans="1:24" ht="14.4">
      <c r="A69" s="4">
        <v>20803</v>
      </c>
      <c r="B69" s="8">
        <v>12</v>
      </c>
      <c r="C69" s="8">
        <v>6.4444446265697479</v>
      </c>
      <c r="D69" s="8">
        <v>15</v>
      </c>
      <c r="E69" s="9">
        <f t="shared" si="14"/>
        <v>0.8</v>
      </c>
      <c r="F69" s="10">
        <f t="shared" si="29"/>
        <v>0.53703705221414566</v>
      </c>
      <c r="G69" s="10">
        <f t="shared" si="30"/>
        <v>0.42962964177131657</v>
      </c>
      <c r="H69" s="4">
        <v>20803</v>
      </c>
      <c r="I69" s="8">
        <v>30</v>
      </c>
      <c r="J69" s="8">
        <v>13.000000357627869</v>
      </c>
      <c r="K69" s="8">
        <v>65</v>
      </c>
      <c r="L69" s="10">
        <f t="shared" si="3"/>
        <v>0.46153846153846156</v>
      </c>
      <c r="M69" s="11">
        <f t="shared" si="21"/>
        <v>0.43333334525426231</v>
      </c>
      <c r="N69" s="11">
        <f t="shared" si="22"/>
        <v>0.20000000550196723</v>
      </c>
      <c r="O69" s="12">
        <f t="shared" si="31"/>
        <v>0.46551724102971298</v>
      </c>
      <c r="Q69" s="17"/>
      <c r="X69" s="18"/>
    </row>
    <row r="70" spans="1:24" ht="14.4">
      <c r="A70" s="4">
        <v>20804</v>
      </c>
      <c r="B70" s="8">
        <v>0</v>
      </c>
      <c r="C70" s="8">
        <v>0</v>
      </c>
      <c r="D70" s="8">
        <v>2</v>
      </c>
      <c r="E70" s="9">
        <f t="shared" si="14"/>
        <v>0</v>
      </c>
      <c r="F70" s="10" t="s">
        <v>22</v>
      </c>
      <c r="G70" s="10" t="s">
        <v>22</v>
      </c>
      <c r="H70" s="4">
        <v>20804</v>
      </c>
      <c r="I70" s="8">
        <v>7</v>
      </c>
      <c r="J70" s="8">
        <v>2.888888955116272</v>
      </c>
      <c r="K70" s="8">
        <v>52</v>
      </c>
      <c r="L70" s="10">
        <f t="shared" si="3"/>
        <v>0.13461538461538461</v>
      </c>
      <c r="M70" s="11">
        <f t="shared" si="21"/>
        <v>0.41269842215946745</v>
      </c>
      <c r="N70" s="11">
        <f t="shared" si="22"/>
        <v>5.5555556829159074E-2</v>
      </c>
      <c r="O70" s="12" t="s">
        <v>22</v>
      </c>
      <c r="Q70" s="17"/>
      <c r="X70" s="18"/>
    </row>
    <row r="71" spans="1:24" ht="14.4">
      <c r="A71" s="4">
        <v>20805</v>
      </c>
      <c r="B71" s="20" t="s">
        <v>22</v>
      </c>
      <c r="C71" s="20" t="s">
        <v>22</v>
      </c>
      <c r="D71" s="20" t="s">
        <v>22</v>
      </c>
      <c r="E71" s="20" t="s">
        <v>22</v>
      </c>
      <c r="F71" s="20" t="s">
        <v>22</v>
      </c>
      <c r="G71" s="20" t="s">
        <v>22</v>
      </c>
      <c r="H71" s="4">
        <v>20805</v>
      </c>
      <c r="I71" s="8">
        <v>8</v>
      </c>
      <c r="J71" s="8">
        <v>3.6666667461395264</v>
      </c>
      <c r="K71" s="8">
        <v>12</v>
      </c>
      <c r="L71" s="10">
        <f t="shared" si="3"/>
        <v>0.66666666666666663</v>
      </c>
      <c r="M71" s="11">
        <f t="shared" si="21"/>
        <v>0.4583333432674408</v>
      </c>
      <c r="N71" s="11">
        <f t="shared" si="22"/>
        <v>0.30555556217829383</v>
      </c>
      <c r="O71" s="12" t="s">
        <v>22</v>
      </c>
      <c r="Q71" s="17"/>
      <c r="X71" s="18"/>
    </row>
    <row r="72" spans="1:24" ht="14.4">
      <c r="A72" s="4">
        <v>20806</v>
      </c>
      <c r="B72" s="8">
        <v>1</v>
      </c>
      <c r="C72" s="8">
        <v>0.3333333432674408</v>
      </c>
      <c r="D72" s="8">
        <v>3</v>
      </c>
      <c r="E72" s="9">
        <f t="shared" ref="E72:E83" si="32">B72/D72</f>
        <v>0.33333333333333331</v>
      </c>
      <c r="F72" s="10">
        <f t="shared" ref="F72:F79" si="33">C72/B72</f>
        <v>0.3333333432674408</v>
      </c>
      <c r="G72" s="10">
        <f t="shared" ref="G72:G79" si="34">E72*F72</f>
        <v>0.11111111442248026</v>
      </c>
      <c r="H72" s="4">
        <v>20806</v>
      </c>
      <c r="I72" s="8">
        <v>7</v>
      </c>
      <c r="J72" s="8">
        <v>2.666666716337204</v>
      </c>
      <c r="K72" s="8">
        <v>21</v>
      </c>
      <c r="L72" s="10">
        <f t="shared" si="3"/>
        <v>0.33333333333333331</v>
      </c>
      <c r="M72" s="11">
        <f t="shared" si="21"/>
        <v>0.380952388048172</v>
      </c>
      <c r="N72" s="11">
        <f t="shared" si="22"/>
        <v>0.12698412934939066</v>
      </c>
      <c r="O72" s="12">
        <f t="shared" ref="O72:O79" si="35">N72/G72</f>
        <v>1.1428571300847195</v>
      </c>
      <c r="Q72" s="17"/>
      <c r="X72" s="18"/>
    </row>
    <row r="73" spans="1:24" ht="14.4">
      <c r="A73" s="4">
        <v>20807</v>
      </c>
      <c r="B73" s="8">
        <v>3</v>
      </c>
      <c r="C73" s="8">
        <v>1.4444445073604584</v>
      </c>
      <c r="D73" s="8">
        <v>5</v>
      </c>
      <c r="E73" s="9">
        <f t="shared" si="32"/>
        <v>0.6</v>
      </c>
      <c r="F73" s="10">
        <f t="shared" si="33"/>
        <v>0.48148150245348614</v>
      </c>
      <c r="G73" s="10">
        <f t="shared" si="34"/>
        <v>0.28888890147209167</v>
      </c>
      <c r="H73" s="4">
        <v>20807</v>
      </c>
      <c r="I73" s="8">
        <v>38</v>
      </c>
      <c r="J73" s="8">
        <v>16.111111491918564</v>
      </c>
      <c r="K73" s="8">
        <v>66</v>
      </c>
      <c r="L73" s="10">
        <f t="shared" si="3"/>
        <v>0.5757575757575758</v>
      </c>
      <c r="M73" s="11">
        <f t="shared" si="21"/>
        <v>0.42397661820838328</v>
      </c>
      <c r="N73" s="11">
        <f t="shared" si="22"/>
        <v>0.24410774987755404</v>
      </c>
      <c r="O73" s="12">
        <f t="shared" si="35"/>
        <v>0.84498832815540426</v>
      </c>
      <c r="Q73" s="17"/>
      <c r="X73" s="18"/>
    </row>
    <row r="74" spans="1:24" ht="14.4">
      <c r="A74" s="4">
        <v>20901</v>
      </c>
      <c r="B74" s="8">
        <v>1</v>
      </c>
      <c r="C74" s="8">
        <v>0.3333333432674408</v>
      </c>
      <c r="D74" s="8">
        <v>4</v>
      </c>
      <c r="E74" s="9">
        <f t="shared" si="32"/>
        <v>0.25</v>
      </c>
      <c r="F74" s="10">
        <f t="shared" si="33"/>
        <v>0.3333333432674408</v>
      </c>
      <c r="G74" s="10">
        <f t="shared" si="34"/>
        <v>8.3333335816860199E-2</v>
      </c>
      <c r="H74" s="4">
        <v>20901</v>
      </c>
      <c r="I74" s="8">
        <v>14</v>
      </c>
      <c r="J74" s="8">
        <v>6.1111112534999847</v>
      </c>
      <c r="K74" s="8">
        <v>76</v>
      </c>
      <c r="L74" s="10">
        <f t="shared" si="3"/>
        <v>0.18421052631578946</v>
      </c>
      <c r="M74" s="11">
        <f t="shared" si="21"/>
        <v>0.43650794667857035</v>
      </c>
      <c r="N74" s="11">
        <f t="shared" si="22"/>
        <v>8.0409358598684005E-2</v>
      </c>
      <c r="O74" s="12">
        <f t="shared" si="35"/>
        <v>0.96491227442758143</v>
      </c>
      <c r="Q74" s="17"/>
      <c r="X74" s="18"/>
    </row>
    <row r="75" spans="1:24" ht="14.4">
      <c r="A75" s="4">
        <v>20902</v>
      </c>
      <c r="B75" s="8">
        <v>9</v>
      </c>
      <c r="C75" s="8">
        <v>4.2222222983837128</v>
      </c>
      <c r="D75" s="8">
        <v>10</v>
      </c>
      <c r="E75" s="9">
        <f t="shared" si="32"/>
        <v>0.9</v>
      </c>
      <c r="F75" s="10">
        <f t="shared" si="33"/>
        <v>0.46913581093152362</v>
      </c>
      <c r="G75" s="10">
        <f t="shared" si="34"/>
        <v>0.42222222983837127</v>
      </c>
      <c r="H75" s="4">
        <v>20902</v>
      </c>
      <c r="I75" s="8">
        <v>39</v>
      </c>
      <c r="J75" s="8">
        <v>16.77777823805809</v>
      </c>
      <c r="K75" s="8">
        <v>72</v>
      </c>
      <c r="L75" s="10">
        <f t="shared" si="3"/>
        <v>0.54166666666666663</v>
      </c>
      <c r="M75" s="11">
        <f t="shared" si="21"/>
        <v>0.43019944200148952</v>
      </c>
      <c r="N75" s="11">
        <f t="shared" si="22"/>
        <v>0.23302469775080681</v>
      </c>
      <c r="O75" s="12">
        <f t="shared" si="35"/>
        <v>0.55190058998080183</v>
      </c>
      <c r="Q75" s="17"/>
      <c r="X75" s="18"/>
    </row>
    <row r="76" spans="1:24" ht="14.4">
      <c r="A76" s="4">
        <v>20903</v>
      </c>
      <c r="B76" s="8">
        <v>5</v>
      </c>
      <c r="C76" s="8">
        <v>2.555555671453476</v>
      </c>
      <c r="D76" s="8">
        <v>10</v>
      </c>
      <c r="E76" s="9">
        <f t="shared" si="32"/>
        <v>0.5</v>
      </c>
      <c r="F76" s="10">
        <f t="shared" si="33"/>
        <v>0.51111113429069521</v>
      </c>
      <c r="G76" s="10">
        <f t="shared" si="34"/>
        <v>0.25555556714534761</v>
      </c>
      <c r="H76" s="4">
        <v>20903</v>
      </c>
      <c r="I76" s="8">
        <v>41</v>
      </c>
      <c r="J76" s="8">
        <v>16.888889282941818</v>
      </c>
      <c r="K76" s="8">
        <v>70</v>
      </c>
      <c r="L76" s="10">
        <f t="shared" si="3"/>
        <v>0.58571428571428574</v>
      </c>
      <c r="M76" s="11">
        <f t="shared" si="21"/>
        <v>0.41192412885223945</v>
      </c>
      <c r="N76" s="11">
        <f t="shared" si="22"/>
        <v>0.24126984689916883</v>
      </c>
      <c r="O76" s="12">
        <f t="shared" si="35"/>
        <v>0.94409935809360102</v>
      </c>
      <c r="Q76" s="17"/>
      <c r="X76" s="18"/>
    </row>
    <row r="77" spans="1:24" ht="14.4">
      <c r="A77" s="4">
        <v>20904</v>
      </c>
      <c r="B77" s="8">
        <v>9</v>
      </c>
      <c r="C77" s="8">
        <v>3.7777779102325439</v>
      </c>
      <c r="D77" s="8">
        <v>18</v>
      </c>
      <c r="E77" s="9">
        <f t="shared" si="32"/>
        <v>0.5</v>
      </c>
      <c r="F77" s="10">
        <f t="shared" si="33"/>
        <v>0.4197531011369493</v>
      </c>
      <c r="G77" s="10">
        <f t="shared" si="34"/>
        <v>0.20987655056847465</v>
      </c>
      <c r="H77" s="4">
        <v>20904</v>
      </c>
      <c r="I77" s="8">
        <v>18</v>
      </c>
      <c r="J77" s="8">
        <v>7.4444445669651031</v>
      </c>
      <c r="K77" s="8">
        <v>25</v>
      </c>
      <c r="L77" s="10">
        <f t="shared" si="3"/>
        <v>0.72</v>
      </c>
      <c r="M77" s="11">
        <f t="shared" si="21"/>
        <v>0.41358025372028351</v>
      </c>
      <c r="N77" s="11">
        <f t="shared" si="22"/>
        <v>0.29777778267860411</v>
      </c>
      <c r="O77" s="12">
        <f t="shared" si="35"/>
        <v>1.4188235030166014</v>
      </c>
      <c r="Q77" s="17"/>
      <c r="X77" s="18"/>
    </row>
    <row r="78" spans="1:24" ht="14.4">
      <c r="A78" s="4">
        <v>20905</v>
      </c>
      <c r="B78" s="8">
        <v>5</v>
      </c>
      <c r="C78" s="8">
        <v>2.3333333730697632</v>
      </c>
      <c r="D78" s="8">
        <v>8</v>
      </c>
      <c r="E78" s="9">
        <f t="shared" si="32"/>
        <v>0.625</v>
      </c>
      <c r="F78" s="10">
        <f t="shared" si="33"/>
        <v>0.46666667461395261</v>
      </c>
      <c r="G78" s="10">
        <f t="shared" si="34"/>
        <v>0.2916666716337204</v>
      </c>
      <c r="H78" s="4">
        <v>20905</v>
      </c>
      <c r="I78" s="8">
        <v>11</v>
      </c>
      <c r="J78" s="8">
        <v>5.4444445073604584</v>
      </c>
      <c r="K78" s="8">
        <v>28</v>
      </c>
      <c r="L78" s="10">
        <f t="shared" si="3"/>
        <v>0.39285714285714285</v>
      </c>
      <c r="M78" s="11">
        <f t="shared" si="21"/>
        <v>0.49494950066913257</v>
      </c>
      <c r="N78" s="11">
        <f t="shared" si="22"/>
        <v>0.19444444669144492</v>
      </c>
      <c r="O78" s="12">
        <f t="shared" si="35"/>
        <v>0.66666666301740274</v>
      </c>
      <c r="Q78" s="17"/>
      <c r="X78" s="18"/>
    </row>
    <row r="79" spans="1:24" ht="14.4">
      <c r="A79" s="4">
        <v>21001</v>
      </c>
      <c r="B79" s="8">
        <v>17</v>
      </c>
      <c r="C79" s="8">
        <v>8.2222223877906799</v>
      </c>
      <c r="D79" s="8">
        <v>23</v>
      </c>
      <c r="E79" s="9">
        <f t="shared" si="32"/>
        <v>0.73913043478260865</v>
      </c>
      <c r="F79" s="10">
        <f t="shared" si="33"/>
        <v>0.48366014045827527</v>
      </c>
      <c r="G79" s="10">
        <f t="shared" si="34"/>
        <v>0.35748792990394257</v>
      </c>
      <c r="H79" s="4">
        <v>21001</v>
      </c>
      <c r="I79" s="8">
        <v>193</v>
      </c>
      <c r="J79" s="8">
        <v>90.111113309860229</v>
      </c>
      <c r="K79" s="8">
        <v>264</v>
      </c>
      <c r="L79" s="10">
        <f t="shared" si="3"/>
        <v>0.73106060606060608</v>
      </c>
      <c r="M79" s="11">
        <f t="shared" si="21"/>
        <v>0.46689696015471621</v>
      </c>
      <c r="N79" s="11">
        <f t="shared" si="22"/>
        <v>0.34132997465856146</v>
      </c>
      <c r="O79" s="12">
        <f t="shared" si="35"/>
        <v>0.95480139637239569</v>
      </c>
      <c r="Q79" s="17"/>
      <c r="X79" s="18"/>
    </row>
    <row r="80" spans="1:24" ht="14.4">
      <c r="A80" s="4">
        <v>21002</v>
      </c>
      <c r="B80" s="8">
        <v>0</v>
      </c>
      <c r="C80" s="8">
        <v>0</v>
      </c>
      <c r="D80" s="8">
        <v>17</v>
      </c>
      <c r="E80" s="9">
        <f t="shared" si="32"/>
        <v>0</v>
      </c>
      <c r="F80" s="10" t="s">
        <v>22</v>
      </c>
      <c r="G80" s="10" t="s">
        <v>22</v>
      </c>
      <c r="H80" s="4">
        <v>21002</v>
      </c>
      <c r="I80" s="8">
        <v>48</v>
      </c>
      <c r="J80" s="8">
        <v>19.666667222976685</v>
      </c>
      <c r="K80" s="8">
        <v>153</v>
      </c>
      <c r="L80" s="10">
        <f t="shared" si="3"/>
        <v>0.31372549019607843</v>
      </c>
      <c r="M80" s="11">
        <f t="shared" si="21"/>
        <v>0.40972223381201428</v>
      </c>
      <c r="N80" s="11">
        <f t="shared" si="22"/>
        <v>0.12854030864690644</v>
      </c>
      <c r="O80" s="12" t="s">
        <v>22</v>
      </c>
      <c r="Q80" s="17"/>
      <c r="X80" s="18"/>
    </row>
    <row r="81" spans="1:24" ht="14.4">
      <c r="A81" s="4">
        <v>21003</v>
      </c>
      <c r="B81" s="8">
        <v>4</v>
      </c>
      <c r="C81" s="8">
        <v>1.8888889253139496</v>
      </c>
      <c r="D81" s="8">
        <v>9</v>
      </c>
      <c r="E81" s="9">
        <f t="shared" si="32"/>
        <v>0.44444444444444442</v>
      </c>
      <c r="F81" s="10">
        <f t="shared" ref="F81:F83" si="36">C81/B81</f>
        <v>0.4722222313284874</v>
      </c>
      <c r="G81" s="10">
        <f t="shared" ref="G81:G83" si="37">E81*F81</f>
        <v>0.2098765472571055</v>
      </c>
      <c r="H81" s="4">
        <v>21003</v>
      </c>
      <c r="I81" s="8">
        <v>27</v>
      </c>
      <c r="J81" s="8">
        <v>11.222222506999969</v>
      </c>
      <c r="K81" s="8">
        <v>75</v>
      </c>
      <c r="L81" s="10">
        <f t="shared" si="3"/>
        <v>0.36</v>
      </c>
      <c r="M81" s="11">
        <f t="shared" si="21"/>
        <v>0.41563787062962848</v>
      </c>
      <c r="N81" s="11">
        <f t="shared" si="22"/>
        <v>0.14962963342666624</v>
      </c>
      <c r="O81" s="12">
        <f t="shared" ref="O81:O83" si="38">N81/G81</f>
        <v>0.71294118081409608</v>
      </c>
      <c r="Q81" s="17"/>
      <c r="X81" s="18"/>
    </row>
    <row r="82" spans="1:24" ht="14.4">
      <c r="A82" s="4">
        <v>21004</v>
      </c>
      <c r="B82" s="8">
        <v>6</v>
      </c>
      <c r="C82" s="8">
        <v>2.5555556416511536</v>
      </c>
      <c r="D82" s="8">
        <v>19</v>
      </c>
      <c r="E82" s="9">
        <f t="shared" si="32"/>
        <v>0.31578947368421051</v>
      </c>
      <c r="F82" s="10">
        <f t="shared" si="36"/>
        <v>0.42592594027519226</v>
      </c>
      <c r="G82" s="10">
        <f t="shared" si="37"/>
        <v>0.13450292850795545</v>
      </c>
      <c r="H82" s="4">
        <v>21004</v>
      </c>
      <c r="I82" s="8">
        <v>111</v>
      </c>
      <c r="J82" s="8">
        <v>47.333334565162659</v>
      </c>
      <c r="K82" s="8">
        <v>210</v>
      </c>
      <c r="L82" s="10">
        <f t="shared" si="3"/>
        <v>0.52857142857142858</v>
      </c>
      <c r="M82" s="11">
        <f t="shared" si="21"/>
        <v>0.4264264375239879</v>
      </c>
      <c r="N82" s="11">
        <f t="shared" si="22"/>
        <v>0.22539683126267931</v>
      </c>
      <c r="O82" s="12">
        <f t="shared" si="38"/>
        <v>1.675776384670671</v>
      </c>
      <c r="Q82" s="17"/>
      <c r="X82" s="18"/>
    </row>
    <row r="83" spans="1:24" ht="14.4">
      <c r="A83" s="4">
        <v>21005</v>
      </c>
      <c r="B83" s="8">
        <v>4</v>
      </c>
      <c r="C83" s="8">
        <v>1.888888955116272</v>
      </c>
      <c r="D83" s="8">
        <v>6</v>
      </c>
      <c r="E83" s="9">
        <f t="shared" si="32"/>
        <v>0.66666666666666663</v>
      </c>
      <c r="F83" s="10">
        <f t="shared" si="36"/>
        <v>0.47222223877906799</v>
      </c>
      <c r="G83" s="10">
        <f t="shared" si="37"/>
        <v>0.31481482585271198</v>
      </c>
      <c r="H83" s="4">
        <v>21005</v>
      </c>
      <c r="I83" s="8">
        <v>28</v>
      </c>
      <c r="J83" s="8">
        <v>11.777778029441833</v>
      </c>
      <c r="K83" s="8">
        <v>43</v>
      </c>
      <c r="L83" s="10">
        <f t="shared" si="3"/>
        <v>0.65116279069767447</v>
      </c>
      <c r="M83" s="11">
        <f t="shared" si="21"/>
        <v>0.42063492962292265</v>
      </c>
      <c r="N83" s="11">
        <f t="shared" si="22"/>
        <v>0.27390181463818219</v>
      </c>
      <c r="O83" s="12">
        <f t="shared" si="38"/>
        <v>0.87004102775746917</v>
      </c>
      <c r="Q83" s="17"/>
      <c r="X83" s="18"/>
    </row>
    <row r="84" spans="1:24" ht="14.4">
      <c r="A84" s="4">
        <v>21006</v>
      </c>
      <c r="B84" s="20" t="s">
        <v>22</v>
      </c>
      <c r="C84" s="20" t="s">
        <v>22</v>
      </c>
      <c r="D84" s="20" t="s">
        <v>22</v>
      </c>
      <c r="E84" s="20" t="s">
        <v>22</v>
      </c>
      <c r="F84" s="20" t="s">
        <v>22</v>
      </c>
      <c r="G84" s="20" t="s">
        <v>22</v>
      </c>
      <c r="H84" s="4">
        <v>21006</v>
      </c>
      <c r="I84" s="8">
        <v>4</v>
      </c>
      <c r="J84" s="8">
        <v>1.3333333730697632</v>
      </c>
      <c r="K84" s="8">
        <v>5</v>
      </c>
      <c r="L84" s="10">
        <f t="shared" si="3"/>
        <v>0.8</v>
      </c>
      <c r="M84" s="11">
        <f t="shared" si="21"/>
        <v>0.3333333432674408</v>
      </c>
      <c r="N84" s="11">
        <f t="shared" si="22"/>
        <v>0.26666667461395266</v>
      </c>
      <c r="O84" s="12" t="s">
        <v>22</v>
      </c>
      <c r="Q84" s="17"/>
      <c r="X84" s="18"/>
    </row>
    <row r="85" spans="1:24" ht="14.4">
      <c r="A85" s="4">
        <v>21101</v>
      </c>
      <c r="B85" s="8">
        <v>3</v>
      </c>
      <c r="C85" s="8">
        <v>1.222222238779068</v>
      </c>
      <c r="D85" s="8">
        <v>14</v>
      </c>
      <c r="E85" s="9">
        <f t="shared" ref="E85:E105" si="39">B85/D85</f>
        <v>0.21428571428571427</v>
      </c>
      <c r="F85" s="10">
        <f t="shared" ref="F85:F98" si="40">C85/B85</f>
        <v>0.40740741292635602</v>
      </c>
      <c r="G85" s="10">
        <f t="shared" ref="G85:G98" si="41">E85*F85</f>
        <v>8.7301588484219136E-2</v>
      </c>
      <c r="H85" s="4">
        <v>21101</v>
      </c>
      <c r="I85" s="8">
        <v>24</v>
      </c>
      <c r="J85" s="8">
        <v>10.333333611488342</v>
      </c>
      <c r="K85" s="8">
        <v>147</v>
      </c>
      <c r="L85" s="10">
        <f t="shared" si="3"/>
        <v>0.16326530612244897</v>
      </c>
      <c r="M85" s="11">
        <f t="shared" si="21"/>
        <v>0.4305555671453476</v>
      </c>
      <c r="N85" s="11">
        <f t="shared" si="22"/>
        <v>7.02947864727098E-2</v>
      </c>
      <c r="O85" s="12">
        <f t="shared" ref="O85:O98" si="42">N85/G85</f>
        <v>0.80519481596164166</v>
      </c>
      <c r="Q85" s="17"/>
      <c r="X85" s="18"/>
    </row>
    <row r="86" spans="1:24" ht="14.4">
      <c r="A86" s="4">
        <v>21102</v>
      </c>
      <c r="B86" s="8">
        <v>7</v>
      </c>
      <c r="C86" s="8">
        <v>2.8888889849185944</v>
      </c>
      <c r="D86" s="8">
        <v>22</v>
      </c>
      <c r="E86" s="9">
        <f t="shared" si="39"/>
        <v>0.31818181818181818</v>
      </c>
      <c r="F86" s="10">
        <f t="shared" si="40"/>
        <v>0.41269842641694204</v>
      </c>
      <c r="G86" s="10">
        <f t="shared" si="41"/>
        <v>0.13131313567811792</v>
      </c>
      <c r="H86" s="4">
        <v>21102</v>
      </c>
      <c r="I86" s="8">
        <v>40</v>
      </c>
      <c r="J86" s="8">
        <v>16.888889253139496</v>
      </c>
      <c r="K86" s="8">
        <v>96</v>
      </c>
      <c r="L86" s="10">
        <f t="shared" si="3"/>
        <v>0.41666666666666669</v>
      </c>
      <c r="M86" s="11">
        <f t="shared" si="21"/>
        <v>0.42222223132848741</v>
      </c>
      <c r="N86" s="11">
        <f t="shared" si="22"/>
        <v>0.1759259297202031</v>
      </c>
      <c r="O86" s="12">
        <f t="shared" si="42"/>
        <v>1.339743574103984</v>
      </c>
      <c r="Q86" s="17"/>
      <c r="X86" s="18"/>
    </row>
    <row r="87" spans="1:24" ht="14.4">
      <c r="A87" s="4">
        <v>21103</v>
      </c>
      <c r="B87" s="8">
        <v>4</v>
      </c>
      <c r="C87" s="8">
        <v>1.5555555820465088</v>
      </c>
      <c r="D87" s="8">
        <v>9</v>
      </c>
      <c r="E87" s="9">
        <f t="shared" si="39"/>
        <v>0.44444444444444442</v>
      </c>
      <c r="F87" s="10">
        <f t="shared" si="40"/>
        <v>0.3888888955116272</v>
      </c>
      <c r="G87" s="10">
        <f t="shared" si="41"/>
        <v>0.17283950911627874</v>
      </c>
      <c r="H87" s="4">
        <v>21103</v>
      </c>
      <c r="I87" s="8">
        <v>27</v>
      </c>
      <c r="J87" s="8">
        <v>11.888889193534851</v>
      </c>
      <c r="K87" s="8">
        <v>76</v>
      </c>
      <c r="L87" s="10">
        <f t="shared" si="3"/>
        <v>0.35526315789473684</v>
      </c>
      <c r="M87" s="11">
        <f t="shared" si="21"/>
        <v>0.44032922939017966</v>
      </c>
      <c r="N87" s="11">
        <f t="shared" si="22"/>
        <v>0.15643275254651118</v>
      </c>
      <c r="O87" s="12">
        <f t="shared" si="42"/>
        <v>0.90507519574861883</v>
      </c>
      <c r="Q87" s="17"/>
      <c r="X87" s="18"/>
    </row>
    <row r="88" spans="1:24" ht="14.4">
      <c r="A88" s="4">
        <v>21104</v>
      </c>
      <c r="B88" s="8">
        <v>11</v>
      </c>
      <c r="C88" s="8">
        <v>4.7777778506278992</v>
      </c>
      <c r="D88" s="8">
        <v>26</v>
      </c>
      <c r="E88" s="9">
        <f t="shared" si="39"/>
        <v>0.42307692307692307</v>
      </c>
      <c r="F88" s="10">
        <f t="shared" si="40"/>
        <v>0.43434344096617267</v>
      </c>
      <c r="G88" s="10">
        <f t="shared" si="41"/>
        <v>0.18376068656261152</v>
      </c>
      <c r="H88" s="4">
        <v>21104</v>
      </c>
      <c r="I88" s="8">
        <v>37</v>
      </c>
      <c r="J88" s="8">
        <v>16.555556058883667</v>
      </c>
      <c r="K88" s="8">
        <v>87</v>
      </c>
      <c r="L88" s="10">
        <f t="shared" si="3"/>
        <v>0.42528735632183906</v>
      </c>
      <c r="M88" s="11">
        <f t="shared" si="21"/>
        <v>0.44744746105090993</v>
      </c>
      <c r="N88" s="11">
        <f t="shared" si="22"/>
        <v>0.19029374780326053</v>
      </c>
      <c r="O88" s="12">
        <f t="shared" si="42"/>
        <v>1.035552007139585</v>
      </c>
      <c r="Q88" s="17"/>
      <c r="X88" s="18"/>
    </row>
    <row r="89" spans="1:24" ht="14.4">
      <c r="A89" s="4">
        <v>21105</v>
      </c>
      <c r="B89" s="8">
        <v>28</v>
      </c>
      <c r="C89" s="8">
        <v>15.444444924592972</v>
      </c>
      <c r="D89" s="8">
        <v>37</v>
      </c>
      <c r="E89" s="9">
        <f t="shared" si="39"/>
        <v>0.7567567567567568</v>
      </c>
      <c r="F89" s="10">
        <f t="shared" si="40"/>
        <v>0.55158731873546329</v>
      </c>
      <c r="G89" s="10">
        <f t="shared" si="41"/>
        <v>0.41741743039440465</v>
      </c>
      <c r="H89" s="4">
        <v>21105</v>
      </c>
      <c r="I89" s="8">
        <v>79</v>
      </c>
      <c r="J89" s="8">
        <v>37.444445371627808</v>
      </c>
      <c r="K89" s="8">
        <v>116</v>
      </c>
      <c r="L89" s="10">
        <f t="shared" si="3"/>
        <v>0.68103448275862066</v>
      </c>
      <c r="M89" s="11">
        <f t="shared" si="21"/>
        <v>0.47398032115984567</v>
      </c>
      <c r="N89" s="11">
        <f t="shared" si="22"/>
        <v>0.3227969428588604</v>
      </c>
      <c r="O89" s="12">
        <f t="shared" si="42"/>
        <v>0.77331927072106132</v>
      </c>
      <c r="Q89" s="17"/>
      <c r="X89" s="18"/>
    </row>
    <row r="90" spans="1:24" ht="14.4">
      <c r="A90" s="4">
        <v>21201</v>
      </c>
      <c r="B90" s="8">
        <v>3</v>
      </c>
      <c r="C90" s="8">
        <v>1.0000000298023224</v>
      </c>
      <c r="D90" s="8">
        <v>10</v>
      </c>
      <c r="E90" s="9">
        <f t="shared" si="39"/>
        <v>0.3</v>
      </c>
      <c r="F90" s="10">
        <f t="shared" si="40"/>
        <v>0.3333333432674408</v>
      </c>
      <c r="G90" s="10">
        <f t="shared" si="41"/>
        <v>0.10000000298023223</v>
      </c>
      <c r="H90" s="4">
        <v>21201</v>
      </c>
      <c r="I90" s="8">
        <v>65</v>
      </c>
      <c r="J90" s="8">
        <v>27.777778416872025</v>
      </c>
      <c r="K90" s="8">
        <v>124</v>
      </c>
      <c r="L90" s="10">
        <f t="shared" si="3"/>
        <v>0.52419354838709675</v>
      </c>
      <c r="M90" s="11">
        <f t="shared" si="21"/>
        <v>0.42735043718264654</v>
      </c>
      <c r="N90" s="11">
        <f t="shared" si="22"/>
        <v>0.22401434207154858</v>
      </c>
      <c r="O90" s="12">
        <f t="shared" si="42"/>
        <v>2.2401433539540117</v>
      </c>
      <c r="Q90" s="17"/>
      <c r="X90" s="18"/>
    </row>
    <row r="91" spans="1:24" ht="14.4">
      <c r="A91" s="4">
        <v>21202</v>
      </c>
      <c r="B91" s="8">
        <v>4</v>
      </c>
      <c r="C91" s="8">
        <v>1.7777778208255768</v>
      </c>
      <c r="D91" s="8">
        <v>6</v>
      </c>
      <c r="E91" s="9">
        <f t="shared" si="39"/>
        <v>0.66666666666666663</v>
      </c>
      <c r="F91" s="10">
        <f t="shared" si="40"/>
        <v>0.4444444552063942</v>
      </c>
      <c r="G91" s="10">
        <f t="shared" si="41"/>
        <v>0.29629630347092945</v>
      </c>
      <c r="H91" s="4">
        <v>21202</v>
      </c>
      <c r="I91" s="8">
        <v>18</v>
      </c>
      <c r="J91" s="8">
        <v>7.2222223579883575</v>
      </c>
      <c r="K91" s="8">
        <v>39</v>
      </c>
      <c r="L91" s="10">
        <f t="shared" si="3"/>
        <v>0.46153846153846156</v>
      </c>
      <c r="M91" s="11">
        <f t="shared" si="21"/>
        <v>0.40123457544379765</v>
      </c>
      <c r="N91" s="11">
        <f t="shared" si="22"/>
        <v>0.18518518866636816</v>
      </c>
      <c r="O91" s="12">
        <f t="shared" si="42"/>
        <v>0.62499999661500083</v>
      </c>
      <c r="Q91" s="17"/>
      <c r="X91" s="18"/>
    </row>
    <row r="92" spans="1:24" ht="14.4">
      <c r="A92" s="4">
        <v>21203</v>
      </c>
      <c r="B92" s="8">
        <v>6</v>
      </c>
      <c r="C92" s="8">
        <v>2.5555556118488312</v>
      </c>
      <c r="D92" s="8">
        <v>15</v>
      </c>
      <c r="E92" s="9">
        <f t="shared" si="39"/>
        <v>0.4</v>
      </c>
      <c r="F92" s="10">
        <f t="shared" si="40"/>
        <v>0.42592593530813855</v>
      </c>
      <c r="G92" s="10">
        <f t="shared" si="41"/>
        <v>0.17037037412325542</v>
      </c>
      <c r="H92" s="4">
        <v>21203</v>
      </c>
      <c r="I92" s="8">
        <v>21</v>
      </c>
      <c r="J92" s="8">
        <v>8.5555558204650879</v>
      </c>
      <c r="K92" s="8">
        <v>78</v>
      </c>
      <c r="L92" s="10">
        <f t="shared" si="3"/>
        <v>0.26923076923076922</v>
      </c>
      <c r="M92" s="11">
        <f t="shared" si="21"/>
        <v>0.40740742002214703</v>
      </c>
      <c r="N92" s="11">
        <f t="shared" si="22"/>
        <v>0.10968661308288573</v>
      </c>
      <c r="O92" s="12">
        <f t="shared" si="42"/>
        <v>0.64381271478298407</v>
      </c>
      <c r="Q92" s="17"/>
      <c r="X92" s="18"/>
    </row>
    <row r="93" spans="1:24" ht="14.4">
      <c r="A93" s="4">
        <v>21204</v>
      </c>
      <c r="B93" s="8">
        <v>1</v>
      </c>
      <c r="C93" s="8">
        <v>0.4444444477558136</v>
      </c>
      <c r="D93" s="8">
        <v>2</v>
      </c>
      <c r="E93" s="9">
        <f t="shared" si="39"/>
        <v>0.5</v>
      </c>
      <c r="F93" s="10">
        <f t="shared" si="40"/>
        <v>0.4444444477558136</v>
      </c>
      <c r="G93" s="10">
        <f t="shared" si="41"/>
        <v>0.2222222238779068</v>
      </c>
      <c r="H93" s="4">
        <v>21204</v>
      </c>
      <c r="I93" s="8">
        <v>47</v>
      </c>
      <c r="J93" s="8">
        <v>19.888889312744141</v>
      </c>
      <c r="K93" s="8">
        <v>107</v>
      </c>
      <c r="L93" s="10">
        <f t="shared" si="3"/>
        <v>0.43925233644859812</v>
      </c>
      <c r="M93" s="11">
        <f t="shared" si="21"/>
        <v>0.42316785771796045</v>
      </c>
      <c r="N93" s="11">
        <f t="shared" si="22"/>
        <v>0.18587747021256207</v>
      </c>
      <c r="O93" s="12">
        <f t="shared" si="42"/>
        <v>0.83644860972450152</v>
      </c>
      <c r="Q93" s="17"/>
      <c r="X93" s="18"/>
    </row>
    <row r="94" spans="1:24" ht="14.4">
      <c r="A94" s="4">
        <v>21301</v>
      </c>
      <c r="B94" s="8">
        <v>9</v>
      </c>
      <c r="C94" s="8">
        <v>3.7777778506278992</v>
      </c>
      <c r="D94" s="8">
        <v>19</v>
      </c>
      <c r="E94" s="9">
        <f t="shared" si="39"/>
        <v>0.47368421052631576</v>
      </c>
      <c r="F94" s="10">
        <f t="shared" si="40"/>
        <v>0.419753094514211</v>
      </c>
      <c r="G94" s="10">
        <f t="shared" si="41"/>
        <v>0.19883041319094205</v>
      </c>
      <c r="H94" s="4">
        <v>21301</v>
      </c>
      <c r="I94" s="8">
        <v>98</v>
      </c>
      <c r="J94" s="8">
        <v>42.888889789581299</v>
      </c>
      <c r="K94" s="8">
        <v>215</v>
      </c>
      <c r="L94" s="10">
        <f t="shared" si="3"/>
        <v>0.45581395348837211</v>
      </c>
      <c r="M94" s="11">
        <f t="shared" si="21"/>
        <v>0.43764173254674793</v>
      </c>
      <c r="N94" s="11">
        <f t="shared" si="22"/>
        <v>0.19948320832363395</v>
      </c>
      <c r="O94" s="12">
        <f t="shared" si="42"/>
        <v>1.0032831754569911</v>
      </c>
      <c r="Q94" s="17"/>
      <c r="X94" s="18"/>
    </row>
    <row r="95" spans="1:24" ht="14.4">
      <c r="A95" s="4">
        <v>21302</v>
      </c>
      <c r="B95" s="8">
        <v>9</v>
      </c>
      <c r="C95" s="8">
        <v>4.6666667461395264</v>
      </c>
      <c r="D95" s="8">
        <v>13</v>
      </c>
      <c r="E95" s="9">
        <f t="shared" si="39"/>
        <v>0.69230769230769229</v>
      </c>
      <c r="F95" s="10">
        <f t="shared" si="40"/>
        <v>0.5185185273488363</v>
      </c>
      <c r="G95" s="10">
        <f t="shared" si="41"/>
        <v>0.3589743650876559</v>
      </c>
      <c r="H95" s="4">
        <v>21302</v>
      </c>
      <c r="I95" s="8">
        <v>97</v>
      </c>
      <c r="J95" s="8">
        <v>39.555556327104568</v>
      </c>
      <c r="K95" s="8">
        <v>200</v>
      </c>
      <c r="L95" s="10">
        <f t="shared" si="3"/>
        <v>0.48499999999999999</v>
      </c>
      <c r="M95" s="11">
        <f t="shared" si="21"/>
        <v>0.4077892404856141</v>
      </c>
      <c r="N95" s="11">
        <f t="shared" si="22"/>
        <v>0.19777778163552284</v>
      </c>
      <c r="O95" s="12">
        <f t="shared" si="42"/>
        <v>0.55095238231629329</v>
      </c>
      <c r="Q95" s="17"/>
      <c r="X95" s="18"/>
    </row>
    <row r="96" spans="1:24" ht="14.4">
      <c r="A96" s="4">
        <v>21303</v>
      </c>
      <c r="B96" s="8">
        <v>1</v>
      </c>
      <c r="C96" s="8">
        <v>0.55555558204650879</v>
      </c>
      <c r="D96" s="8">
        <v>3</v>
      </c>
      <c r="E96" s="9">
        <f t="shared" si="39"/>
        <v>0.33333333333333331</v>
      </c>
      <c r="F96" s="10">
        <f t="shared" si="40"/>
        <v>0.55555558204650879</v>
      </c>
      <c r="G96" s="10">
        <f t="shared" si="41"/>
        <v>0.18518519401550293</v>
      </c>
      <c r="H96" s="4">
        <v>21303</v>
      </c>
      <c r="I96" s="8">
        <v>12</v>
      </c>
      <c r="J96" s="8">
        <v>4.7777779400348663</v>
      </c>
      <c r="K96" s="8">
        <v>23</v>
      </c>
      <c r="L96" s="10">
        <f t="shared" si="3"/>
        <v>0.52173913043478259</v>
      </c>
      <c r="M96" s="11">
        <f t="shared" si="21"/>
        <v>0.39814816166957218</v>
      </c>
      <c r="N96" s="11">
        <f t="shared" si="22"/>
        <v>0.20772947565368982</v>
      </c>
      <c r="O96" s="12">
        <f t="shared" si="42"/>
        <v>1.1217391150412359</v>
      </c>
      <c r="Q96" s="17"/>
      <c r="X96" s="18"/>
    </row>
    <row r="97" spans="1:24" ht="14.4">
      <c r="A97" s="4">
        <v>21304</v>
      </c>
      <c r="B97" s="8">
        <v>1</v>
      </c>
      <c r="C97" s="8">
        <v>0.3333333432674408</v>
      </c>
      <c r="D97" s="8">
        <v>2</v>
      </c>
      <c r="E97" s="9">
        <f t="shared" si="39"/>
        <v>0.5</v>
      </c>
      <c r="F97" s="10">
        <f t="shared" si="40"/>
        <v>0.3333333432674408</v>
      </c>
      <c r="G97" s="10">
        <f t="shared" si="41"/>
        <v>0.1666666716337204</v>
      </c>
      <c r="H97" s="4">
        <v>21304</v>
      </c>
      <c r="I97" s="8">
        <v>30</v>
      </c>
      <c r="J97" s="8">
        <v>12.777778118848801</v>
      </c>
      <c r="K97" s="8">
        <v>54</v>
      </c>
      <c r="L97" s="10">
        <f t="shared" si="3"/>
        <v>0.55555555555555558</v>
      </c>
      <c r="M97" s="11">
        <f t="shared" si="21"/>
        <v>0.42592593729496003</v>
      </c>
      <c r="N97" s="11">
        <f t="shared" si="22"/>
        <v>0.23662552071942225</v>
      </c>
      <c r="O97" s="12">
        <f t="shared" si="42"/>
        <v>1.4197530820045945</v>
      </c>
      <c r="Q97" s="17"/>
      <c r="X97" s="18"/>
    </row>
    <row r="98" spans="1:24" ht="14.4">
      <c r="A98" s="4">
        <v>21305</v>
      </c>
      <c r="B98" s="8">
        <v>7</v>
      </c>
      <c r="C98" s="8">
        <v>2.8888889253139496</v>
      </c>
      <c r="D98" s="8">
        <v>32</v>
      </c>
      <c r="E98" s="9">
        <f t="shared" si="39"/>
        <v>0.21875</v>
      </c>
      <c r="F98" s="10">
        <f t="shared" si="40"/>
        <v>0.4126984179019928</v>
      </c>
      <c r="G98" s="10">
        <f t="shared" si="41"/>
        <v>9.0277778916060925E-2</v>
      </c>
      <c r="H98" s="4">
        <v>21305</v>
      </c>
      <c r="I98" s="8">
        <v>108</v>
      </c>
      <c r="J98" s="8">
        <v>46.555556744337082</v>
      </c>
      <c r="K98" s="8">
        <v>236</v>
      </c>
      <c r="L98" s="10">
        <f t="shared" si="3"/>
        <v>0.4576271186440678</v>
      </c>
      <c r="M98" s="11">
        <f t="shared" si="21"/>
        <v>0.43106996985497298</v>
      </c>
      <c r="N98" s="11">
        <f t="shared" si="22"/>
        <v>0.19726930823871644</v>
      </c>
      <c r="O98" s="12">
        <f t="shared" si="42"/>
        <v>2.1851369252464088</v>
      </c>
      <c r="Q98" s="17"/>
      <c r="X98" s="18"/>
    </row>
    <row r="99" spans="1:24" ht="14.4">
      <c r="A99" s="4">
        <v>21306</v>
      </c>
      <c r="B99" s="8">
        <v>0</v>
      </c>
      <c r="C99" s="8">
        <v>0</v>
      </c>
      <c r="D99" s="8">
        <v>3</v>
      </c>
      <c r="E99" s="9">
        <f t="shared" si="39"/>
        <v>0</v>
      </c>
      <c r="F99" s="10" t="s">
        <v>22</v>
      </c>
      <c r="G99" s="10" t="s">
        <v>22</v>
      </c>
      <c r="H99" s="4">
        <v>21306</v>
      </c>
      <c r="I99" s="8">
        <v>19</v>
      </c>
      <c r="J99" s="8">
        <v>8.11111119389534</v>
      </c>
      <c r="K99" s="8">
        <v>35</v>
      </c>
      <c r="L99" s="10">
        <f t="shared" si="3"/>
        <v>0.54285714285714282</v>
      </c>
      <c r="M99" s="11">
        <f t="shared" si="21"/>
        <v>0.42690058915238632</v>
      </c>
      <c r="N99" s="11">
        <f t="shared" si="22"/>
        <v>0.23174603411129541</v>
      </c>
      <c r="O99" s="12" t="s">
        <v>22</v>
      </c>
      <c r="Q99" s="17"/>
      <c r="X99" s="18"/>
    </row>
    <row r="100" spans="1:24" ht="14.4">
      <c r="A100" s="4">
        <v>21307</v>
      </c>
      <c r="B100" s="8">
        <v>3</v>
      </c>
      <c r="C100" s="8">
        <v>1.222222238779068</v>
      </c>
      <c r="D100" s="8">
        <v>4</v>
      </c>
      <c r="E100" s="9">
        <f t="shared" si="39"/>
        <v>0.75</v>
      </c>
      <c r="F100" s="10">
        <f t="shared" ref="F100:F105" si="43">C100/B100</f>
        <v>0.40740741292635602</v>
      </c>
      <c r="G100" s="10">
        <f t="shared" ref="G100:G105" si="44">E100*F100</f>
        <v>0.305555559694767</v>
      </c>
      <c r="H100" s="4">
        <v>21307</v>
      </c>
      <c r="I100" s="8">
        <v>11</v>
      </c>
      <c r="J100" s="8">
        <v>4.11111119389534</v>
      </c>
      <c r="K100" s="8">
        <v>23</v>
      </c>
      <c r="L100" s="10">
        <f t="shared" si="3"/>
        <v>0.47826086956521741</v>
      </c>
      <c r="M100" s="11">
        <f t="shared" si="21"/>
        <v>0.37373738126321271</v>
      </c>
      <c r="N100" s="11">
        <f t="shared" si="22"/>
        <v>0.17874396495197131</v>
      </c>
      <c r="O100" s="12">
        <f t="shared" ref="O100:O105" si="45">N100/G100</f>
        <v>0.58498024100928347</v>
      </c>
      <c r="Q100" s="17"/>
      <c r="X100" s="18"/>
    </row>
    <row r="101" spans="1:24" ht="14.4">
      <c r="A101" s="4">
        <v>21401</v>
      </c>
      <c r="B101" s="8">
        <v>3</v>
      </c>
      <c r="C101" s="8">
        <v>1.0000000298023224</v>
      </c>
      <c r="D101" s="8">
        <v>18</v>
      </c>
      <c r="E101" s="9">
        <f t="shared" si="39"/>
        <v>0.16666666666666666</v>
      </c>
      <c r="F101" s="10">
        <f t="shared" si="43"/>
        <v>0.3333333432674408</v>
      </c>
      <c r="G101" s="10">
        <f t="shared" si="44"/>
        <v>5.5555557211240128E-2</v>
      </c>
      <c r="H101" s="4">
        <v>21401</v>
      </c>
      <c r="I101" s="8">
        <v>55</v>
      </c>
      <c r="J101" s="8">
        <v>21.222222715616226</v>
      </c>
      <c r="K101" s="8">
        <v>264</v>
      </c>
      <c r="L101" s="10">
        <f t="shared" si="3"/>
        <v>0.20833333333333334</v>
      </c>
      <c r="M101" s="11">
        <f t="shared" si="21"/>
        <v>0.38585859482938595</v>
      </c>
      <c r="N101" s="11">
        <f t="shared" si="22"/>
        <v>8.038720725612207E-2</v>
      </c>
      <c r="O101" s="12">
        <f t="shared" si="45"/>
        <v>1.4469696874871403</v>
      </c>
      <c r="Q101" s="17"/>
      <c r="X101" s="18"/>
    </row>
    <row r="102" spans="1:24" ht="14.4">
      <c r="A102" s="4">
        <v>21402</v>
      </c>
      <c r="B102" s="8">
        <v>2</v>
      </c>
      <c r="C102" s="8">
        <v>0.77777779102325439</v>
      </c>
      <c r="D102" s="8">
        <v>12</v>
      </c>
      <c r="E102" s="9">
        <f t="shared" si="39"/>
        <v>0.16666666666666666</v>
      </c>
      <c r="F102" s="10">
        <f t="shared" si="43"/>
        <v>0.3888888955116272</v>
      </c>
      <c r="G102" s="10">
        <f t="shared" si="44"/>
        <v>6.4814815918604524E-2</v>
      </c>
      <c r="H102" s="4">
        <v>21402</v>
      </c>
      <c r="I102" s="8">
        <v>20</v>
      </c>
      <c r="J102" s="8">
        <v>7.3333335220813751</v>
      </c>
      <c r="K102" s="8">
        <v>136</v>
      </c>
      <c r="L102" s="10">
        <f t="shared" si="3"/>
        <v>0.14705882352941177</v>
      </c>
      <c r="M102" s="11">
        <f t="shared" si="21"/>
        <v>0.36666667610406878</v>
      </c>
      <c r="N102" s="11">
        <f t="shared" si="22"/>
        <v>5.3921570015304232E-2</v>
      </c>
      <c r="O102" s="12">
        <f t="shared" si="45"/>
        <v>0.83193278035410601</v>
      </c>
      <c r="Q102" s="17"/>
      <c r="X102" s="18"/>
    </row>
    <row r="103" spans="1:24" ht="14.4">
      <c r="A103" s="4">
        <v>21501</v>
      </c>
      <c r="B103" s="8">
        <v>4</v>
      </c>
      <c r="C103" s="8">
        <v>1.666666716337204</v>
      </c>
      <c r="D103" s="8">
        <v>7</v>
      </c>
      <c r="E103" s="9">
        <f t="shared" si="39"/>
        <v>0.5714285714285714</v>
      </c>
      <c r="F103" s="10">
        <f t="shared" si="43"/>
        <v>0.41666667908430099</v>
      </c>
      <c r="G103" s="10">
        <f t="shared" si="44"/>
        <v>0.23809524519102912</v>
      </c>
      <c r="H103" s="4">
        <v>21501</v>
      </c>
      <c r="I103" s="8">
        <v>58</v>
      </c>
      <c r="J103" s="8">
        <v>25.888889521360397</v>
      </c>
      <c r="K103" s="8">
        <v>92</v>
      </c>
      <c r="L103" s="10">
        <f t="shared" si="3"/>
        <v>0.63043478260869568</v>
      </c>
      <c r="M103" s="11">
        <f t="shared" si="21"/>
        <v>0.44636016416138619</v>
      </c>
      <c r="N103" s="11">
        <f t="shared" si="22"/>
        <v>0.28140097305826522</v>
      </c>
      <c r="O103" s="12">
        <f t="shared" si="45"/>
        <v>1.1818840516218245</v>
      </c>
      <c r="Q103" s="17"/>
      <c r="X103" s="18"/>
    </row>
    <row r="104" spans="1:24" ht="14.4">
      <c r="A104" s="4">
        <v>21502</v>
      </c>
      <c r="B104" s="8">
        <v>5</v>
      </c>
      <c r="C104" s="8">
        <v>2.0000000596046448</v>
      </c>
      <c r="D104" s="8">
        <v>23</v>
      </c>
      <c r="E104" s="9">
        <f t="shared" si="39"/>
        <v>0.21739130434782608</v>
      </c>
      <c r="F104" s="10">
        <f t="shared" si="43"/>
        <v>0.40000001192092893</v>
      </c>
      <c r="G104" s="10">
        <f t="shared" si="44"/>
        <v>8.695652433063672E-2</v>
      </c>
      <c r="H104" s="4">
        <v>21502</v>
      </c>
      <c r="I104" s="8">
        <v>22</v>
      </c>
      <c r="J104" s="8">
        <v>9.2222224473953247</v>
      </c>
      <c r="K104" s="8">
        <v>91</v>
      </c>
      <c r="L104" s="10">
        <f t="shared" si="3"/>
        <v>0.24175824175824176</v>
      </c>
      <c r="M104" s="11">
        <f t="shared" si="21"/>
        <v>0.41919192942706024</v>
      </c>
      <c r="N104" s="11">
        <f t="shared" si="22"/>
        <v>0.10134310381753105</v>
      </c>
      <c r="O104" s="12">
        <f t="shared" si="45"/>
        <v>1.16544565916862</v>
      </c>
      <c r="Q104" s="17"/>
      <c r="X104" s="18"/>
    </row>
    <row r="105" spans="1:24" ht="14.4">
      <c r="A105" s="4">
        <v>21601</v>
      </c>
      <c r="B105" s="8">
        <v>3</v>
      </c>
      <c r="C105" s="8">
        <v>1.0000000298023224</v>
      </c>
      <c r="D105" s="8">
        <v>5</v>
      </c>
      <c r="E105" s="9">
        <f t="shared" si="39"/>
        <v>0.6</v>
      </c>
      <c r="F105" s="10">
        <f t="shared" si="43"/>
        <v>0.3333333432674408</v>
      </c>
      <c r="G105" s="10">
        <f t="shared" si="44"/>
        <v>0.20000000596046447</v>
      </c>
      <c r="H105" s="4">
        <v>21601</v>
      </c>
      <c r="I105" s="8">
        <v>17</v>
      </c>
      <c r="J105" s="8">
        <v>6.0000001490116119</v>
      </c>
      <c r="K105" s="8">
        <v>40</v>
      </c>
      <c r="L105" s="10">
        <f t="shared" si="3"/>
        <v>0.42499999999999999</v>
      </c>
      <c r="M105" s="11">
        <f t="shared" si="21"/>
        <v>0.35294118523597717</v>
      </c>
      <c r="N105" s="11">
        <f t="shared" si="22"/>
        <v>0.15000000372529029</v>
      </c>
      <c r="O105" s="12">
        <f t="shared" si="45"/>
        <v>0.74999999627470981</v>
      </c>
      <c r="Q105" s="17"/>
      <c r="X105" s="18"/>
    </row>
    <row r="106" spans="1:24" ht="14.4">
      <c r="A106" s="4">
        <v>21602</v>
      </c>
      <c r="B106" s="20" t="s">
        <v>22</v>
      </c>
      <c r="C106" s="20" t="s">
        <v>22</v>
      </c>
      <c r="D106" s="20" t="s">
        <v>22</v>
      </c>
      <c r="E106" s="20" t="s">
        <v>22</v>
      </c>
      <c r="F106" s="20" t="s">
        <v>22</v>
      </c>
      <c r="G106" s="20" t="s">
        <v>22</v>
      </c>
      <c r="H106" s="4">
        <v>21602</v>
      </c>
      <c r="I106" s="8">
        <v>1</v>
      </c>
      <c r="J106" s="8">
        <v>0.3333333432674408</v>
      </c>
      <c r="K106" s="8">
        <v>1</v>
      </c>
      <c r="L106" s="10">
        <f t="shared" si="3"/>
        <v>1</v>
      </c>
      <c r="M106" s="11">
        <f t="shared" si="21"/>
        <v>0.3333333432674408</v>
      </c>
      <c r="N106" s="11">
        <f t="shared" si="22"/>
        <v>0.3333333432674408</v>
      </c>
      <c r="O106" s="12" t="s">
        <v>22</v>
      </c>
      <c r="Q106" s="17"/>
      <c r="X106" s="18"/>
    </row>
    <row r="107" spans="1:24" ht="14.4">
      <c r="A107" s="4">
        <v>21701</v>
      </c>
      <c r="B107" s="8">
        <v>11</v>
      </c>
      <c r="C107" s="8">
        <v>4.7777778506278992</v>
      </c>
      <c r="D107" s="8">
        <v>20</v>
      </c>
      <c r="E107" s="9">
        <f t="shared" ref="E107:E110" si="46">B107/D107</f>
        <v>0.55000000000000004</v>
      </c>
      <c r="F107" s="10">
        <f t="shared" ref="F107:F110" si="47">C107/B107</f>
        <v>0.43434344096617267</v>
      </c>
      <c r="G107" s="10">
        <f t="shared" ref="G107:G110" si="48">E107*F107</f>
        <v>0.23888889253139498</v>
      </c>
      <c r="H107" s="4">
        <v>21701</v>
      </c>
      <c r="I107" s="8">
        <v>137</v>
      </c>
      <c r="J107" s="8">
        <v>61.333334892988205</v>
      </c>
      <c r="K107" s="8">
        <v>313</v>
      </c>
      <c r="L107" s="10">
        <f t="shared" si="3"/>
        <v>0.43769968051118213</v>
      </c>
      <c r="M107" s="11">
        <f t="shared" si="21"/>
        <v>0.44768857586122779</v>
      </c>
      <c r="N107" s="11">
        <f t="shared" si="22"/>
        <v>0.19595314662296553</v>
      </c>
      <c r="O107" s="12">
        <f t="shared" ref="O107:O110" si="49">N107/G107</f>
        <v>0.82026897335636151</v>
      </c>
      <c r="Q107" s="17"/>
      <c r="X107" s="18"/>
    </row>
    <row r="108" spans="1:24" ht="14.4">
      <c r="A108" s="4">
        <v>21702</v>
      </c>
      <c r="B108" s="8">
        <v>6</v>
      </c>
      <c r="C108" s="8">
        <v>2.666666716337204</v>
      </c>
      <c r="D108" s="8">
        <v>15</v>
      </c>
      <c r="E108" s="9">
        <f t="shared" si="46"/>
        <v>0.4</v>
      </c>
      <c r="F108" s="10">
        <f t="shared" si="47"/>
        <v>0.44444445272286731</v>
      </c>
      <c r="G108" s="10">
        <f t="shared" si="48"/>
        <v>0.17777778108914694</v>
      </c>
      <c r="H108" s="4">
        <v>21702</v>
      </c>
      <c r="I108" s="8">
        <v>67</v>
      </c>
      <c r="J108" s="8">
        <v>29.777778595685959</v>
      </c>
      <c r="K108" s="8">
        <v>127</v>
      </c>
      <c r="L108" s="10">
        <f t="shared" si="3"/>
        <v>0.52755905511811019</v>
      </c>
      <c r="M108" s="11">
        <f t="shared" si="21"/>
        <v>0.44444445665202925</v>
      </c>
      <c r="N108" s="11">
        <f t="shared" si="22"/>
        <v>0.23447069760382644</v>
      </c>
      <c r="O108" s="12">
        <f t="shared" si="49"/>
        <v>1.3188976494551405</v>
      </c>
      <c r="Q108" s="17"/>
      <c r="X108" s="18"/>
    </row>
    <row r="109" spans="1:24" ht="14.4">
      <c r="A109" s="4">
        <v>21801</v>
      </c>
      <c r="B109" s="8">
        <v>4</v>
      </c>
      <c r="C109" s="8">
        <v>1.6666666865348816</v>
      </c>
      <c r="D109" s="8">
        <v>5</v>
      </c>
      <c r="E109" s="9">
        <f t="shared" si="46"/>
        <v>0.8</v>
      </c>
      <c r="F109" s="10">
        <f t="shared" si="47"/>
        <v>0.4166666716337204</v>
      </c>
      <c r="G109" s="10">
        <f t="shared" si="48"/>
        <v>0.33333333730697634</v>
      </c>
      <c r="H109" s="4">
        <v>21801</v>
      </c>
      <c r="I109" s="8">
        <v>14</v>
      </c>
      <c r="J109" s="8">
        <v>5.6666668057441711</v>
      </c>
      <c r="K109" s="8">
        <v>28</v>
      </c>
      <c r="L109" s="10">
        <f t="shared" si="3"/>
        <v>0.5</v>
      </c>
      <c r="M109" s="11">
        <f t="shared" si="21"/>
        <v>0.40476191469601225</v>
      </c>
      <c r="N109" s="11">
        <f t="shared" si="22"/>
        <v>0.20238095734800612</v>
      </c>
      <c r="O109" s="12">
        <f t="shared" si="49"/>
        <v>0.60714286480631141</v>
      </c>
      <c r="Q109" s="17"/>
      <c r="X109" s="18"/>
    </row>
    <row r="110" spans="1:24" ht="14.4">
      <c r="A110" s="4">
        <v>21802</v>
      </c>
      <c r="B110" s="8">
        <v>4</v>
      </c>
      <c r="C110" s="8">
        <v>2.0000000596046448</v>
      </c>
      <c r="D110" s="8">
        <v>6</v>
      </c>
      <c r="E110" s="9">
        <f t="shared" si="46"/>
        <v>0.66666666666666663</v>
      </c>
      <c r="F110" s="10">
        <f t="shared" si="47"/>
        <v>0.50000001490116119</v>
      </c>
      <c r="G110" s="10">
        <f t="shared" si="48"/>
        <v>0.3333333432674408</v>
      </c>
      <c r="H110" s="4">
        <v>21802</v>
      </c>
      <c r="I110" s="8">
        <v>30</v>
      </c>
      <c r="J110" s="8">
        <v>13.111111372709274</v>
      </c>
      <c r="K110" s="8">
        <v>69</v>
      </c>
      <c r="L110" s="10">
        <f t="shared" si="3"/>
        <v>0.43478260869565216</v>
      </c>
      <c r="M110" s="11">
        <f t="shared" si="21"/>
        <v>0.43703704575697583</v>
      </c>
      <c r="N110" s="11">
        <f t="shared" si="22"/>
        <v>0.19001610685085904</v>
      </c>
      <c r="O110" s="12">
        <f t="shared" si="49"/>
        <v>0.57004830356381375</v>
      </c>
      <c r="Q110" s="17"/>
      <c r="X110" s="18"/>
    </row>
    <row r="111" spans="1:24" ht="14.4">
      <c r="A111" s="4">
        <v>21803</v>
      </c>
      <c r="B111" s="20" t="s">
        <v>22</v>
      </c>
      <c r="C111" s="20" t="s">
        <v>22</v>
      </c>
      <c r="D111" s="20" t="s">
        <v>22</v>
      </c>
      <c r="E111" s="20" t="s">
        <v>22</v>
      </c>
      <c r="F111" s="20" t="s">
        <v>22</v>
      </c>
      <c r="G111" s="20" t="s">
        <v>22</v>
      </c>
      <c r="H111" s="4">
        <v>21803</v>
      </c>
      <c r="I111" s="8">
        <v>0</v>
      </c>
      <c r="J111" s="8">
        <v>0</v>
      </c>
      <c r="K111" s="8">
        <v>2</v>
      </c>
      <c r="L111" s="10">
        <f t="shared" si="3"/>
        <v>0</v>
      </c>
      <c r="M111" s="11" t="s">
        <v>22</v>
      </c>
      <c r="N111" s="11" t="s">
        <v>22</v>
      </c>
      <c r="O111" s="12" t="s">
        <v>22</v>
      </c>
      <c r="Q111" s="17"/>
      <c r="X111" s="18"/>
    </row>
    <row r="112" spans="1:24" ht="14.4">
      <c r="A112" s="4">
        <v>21901</v>
      </c>
      <c r="B112" s="8">
        <v>1</v>
      </c>
      <c r="C112" s="8">
        <v>0.4444444477558136</v>
      </c>
      <c r="D112" s="8">
        <v>8</v>
      </c>
      <c r="E112" s="9">
        <f t="shared" ref="E112:E157" si="50">B112/D112</f>
        <v>0.125</v>
      </c>
      <c r="F112" s="10">
        <f>C112/B112</f>
        <v>0.4444444477558136</v>
      </c>
      <c r="G112" s="10">
        <f>E112*F112</f>
        <v>5.55555559694767E-2</v>
      </c>
      <c r="H112" s="4">
        <v>21901</v>
      </c>
      <c r="I112" s="8">
        <v>44</v>
      </c>
      <c r="J112" s="8">
        <v>17.777778118848801</v>
      </c>
      <c r="K112" s="8">
        <v>72</v>
      </c>
      <c r="L112" s="10">
        <f t="shared" si="3"/>
        <v>0.61111111111111116</v>
      </c>
      <c r="M112" s="11">
        <f>J112/I112</f>
        <v>0.40404041179201822</v>
      </c>
      <c r="N112" s="11">
        <f>L112*M112</f>
        <v>0.24691358498401114</v>
      </c>
      <c r="O112" s="12">
        <f>N112/G112</f>
        <v>4.4444444965985088</v>
      </c>
      <c r="Q112" s="17"/>
      <c r="X112" s="18"/>
    </row>
    <row r="113" spans="1:24" ht="14.4">
      <c r="A113" s="4">
        <v>21902</v>
      </c>
      <c r="B113" s="8">
        <v>0</v>
      </c>
      <c r="C113" s="8">
        <v>0</v>
      </c>
      <c r="D113" s="8">
        <v>1</v>
      </c>
      <c r="E113" s="9">
        <f t="shared" si="50"/>
        <v>0</v>
      </c>
      <c r="F113" s="10" t="s">
        <v>22</v>
      </c>
      <c r="G113" s="10" t="s">
        <v>22</v>
      </c>
      <c r="H113" s="4">
        <v>21902</v>
      </c>
      <c r="I113" s="8">
        <v>0</v>
      </c>
      <c r="J113" s="8">
        <v>0</v>
      </c>
      <c r="K113" s="8">
        <v>8</v>
      </c>
      <c r="L113" s="10">
        <f t="shared" si="3"/>
        <v>0</v>
      </c>
      <c r="M113" s="11" t="s">
        <v>22</v>
      </c>
      <c r="N113" s="11" t="s">
        <v>22</v>
      </c>
      <c r="O113" s="12" t="s">
        <v>22</v>
      </c>
      <c r="Q113" s="17"/>
      <c r="X113" s="18"/>
    </row>
    <row r="114" spans="1:24" ht="14.4">
      <c r="A114" s="4">
        <v>22001</v>
      </c>
      <c r="B114" s="8">
        <v>18</v>
      </c>
      <c r="C114" s="8">
        <v>8.0000001490116119</v>
      </c>
      <c r="D114" s="8">
        <v>43</v>
      </c>
      <c r="E114" s="9">
        <f t="shared" si="50"/>
        <v>0.41860465116279072</v>
      </c>
      <c r="F114" s="10">
        <f>C114/B114</f>
        <v>0.44444445272286731</v>
      </c>
      <c r="G114" s="10">
        <f>E114*F114</f>
        <v>0.18604651509329331</v>
      </c>
      <c r="H114" s="4">
        <v>22001</v>
      </c>
      <c r="I114" s="8">
        <v>156</v>
      </c>
      <c r="J114" s="8">
        <v>69.444445788860321</v>
      </c>
      <c r="K114" s="8">
        <v>335</v>
      </c>
      <c r="L114" s="10">
        <f t="shared" si="3"/>
        <v>0.46567164179104475</v>
      </c>
      <c r="M114" s="11">
        <f t="shared" ref="M114:M134" si="51">J114/I114</f>
        <v>0.44515670377474564</v>
      </c>
      <c r="N114" s="11">
        <f t="shared" ref="N114:N134" si="52">L114*M114</f>
        <v>0.20729685310107557</v>
      </c>
      <c r="O114" s="12">
        <f>N114/G114</f>
        <v>1.1142205646643057</v>
      </c>
      <c r="Q114" s="17"/>
      <c r="X114" s="18"/>
    </row>
    <row r="115" spans="1:24" ht="14.4">
      <c r="A115" s="4">
        <v>22002</v>
      </c>
      <c r="B115" s="8">
        <v>0</v>
      </c>
      <c r="C115" s="8">
        <v>0</v>
      </c>
      <c r="D115" s="8">
        <v>1</v>
      </c>
      <c r="E115" s="9">
        <f t="shared" si="50"/>
        <v>0</v>
      </c>
      <c r="F115" s="10" t="s">
        <v>22</v>
      </c>
      <c r="G115" s="10" t="s">
        <v>22</v>
      </c>
      <c r="H115" s="4">
        <v>22002</v>
      </c>
      <c r="I115" s="8">
        <v>4</v>
      </c>
      <c r="J115" s="8">
        <v>2.1111111342906952</v>
      </c>
      <c r="K115" s="8">
        <v>9</v>
      </c>
      <c r="L115" s="10">
        <f t="shared" si="3"/>
        <v>0.44444444444444442</v>
      </c>
      <c r="M115" s="11">
        <f t="shared" si="51"/>
        <v>0.5277777835726738</v>
      </c>
      <c r="N115" s="11">
        <f t="shared" si="52"/>
        <v>0.23456790381007722</v>
      </c>
      <c r="O115" s="12" t="s">
        <v>22</v>
      </c>
      <c r="Q115" s="17"/>
      <c r="X115" s="18"/>
    </row>
    <row r="116" spans="1:24" ht="14.4">
      <c r="A116" s="4">
        <v>30101</v>
      </c>
      <c r="B116" s="8">
        <v>140</v>
      </c>
      <c r="C116" s="8">
        <v>59.444445908069611</v>
      </c>
      <c r="D116" s="8">
        <v>353</v>
      </c>
      <c r="E116" s="9">
        <f t="shared" si="50"/>
        <v>0.39660056657223797</v>
      </c>
      <c r="F116" s="10">
        <f t="shared" ref="F116:F118" si="53">C116/B116</f>
        <v>0.42460318505764005</v>
      </c>
      <c r="G116" s="10">
        <f t="shared" ref="G116:G118" si="54">E116*F116</f>
        <v>0.16839786376223684</v>
      </c>
      <c r="H116" s="4">
        <v>30101</v>
      </c>
      <c r="I116" s="8">
        <v>618</v>
      </c>
      <c r="J116" s="8">
        <v>259.44445097446442</v>
      </c>
      <c r="K116" s="8">
        <v>3039</v>
      </c>
      <c r="L116" s="10">
        <f t="shared" si="3"/>
        <v>0.20335636722606121</v>
      </c>
      <c r="M116" s="11">
        <f t="shared" si="51"/>
        <v>0.4198130274667709</v>
      </c>
      <c r="N116" s="11">
        <f t="shared" si="52"/>
        <v>8.5371652179817181E-2</v>
      </c>
      <c r="O116" s="12">
        <f t="shared" ref="O116:O118" si="55">N116/G116</f>
        <v>0.50696398560230282</v>
      </c>
      <c r="Q116" s="17"/>
      <c r="X116" s="18"/>
    </row>
    <row r="117" spans="1:24" ht="14.4">
      <c r="A117" s="4">
        <v>30201</v>
      </c>
      <c r="B117" s="8">
        <v>2</v>
      </c>
      <c r="C117" s="8">
        <v>1.1111111640930176</v>
      </c>
      <c r="D117" s="8">
        <v>9</v>
      </c>
      <c r="E117" s="9">
        <f t="shared" si="50"/>
        <v>0.22222222222222221</v>
      </c>
      <c r="F117" s="10">
        <f t="shared" si="53"/>
        <v>0.55555558204650879</v>
      </c>
      <c r="G117" s="10">
        <f t="shared" si="54"/>
        <v>0.12345679601033528</v>
      </c>
      <c r="H117" s="4">
        <v>30201</v>
      </c>
      <c r="I117" s="8">
        <v>88</v>
      </c>
      <c r="J117" s="8">
        <v>40.33333432674408</v>
      </c>
      <c r="K117" s="8">
        <v>247</v>
      </c>
      <c r="L117" s="10">
        <f t="shared" si="3"/>
        <v>0.35627530364372467</v>
      </c>
      <c r="M117" s="11">
        <f t="shared" si="51"/>
        <v>0.4583333446220918</v>
      </c>
      <c r="N117" s="11">
        <f t="shared" si="52"/>
        <v>0.16329285152527967</v>
      </c>
      <c r="O117" s="12">
        <f t="shared" si="55"/>
        <v>1.3226720342848479</v>
      </c>
      <c r="Q117" s="17"/>
      <c r="X117" s="18"/>
    </row>
    <row r="118" spans="1:24" ht="14.4">
      <c r="A118" s="4">
        <v>30202</v>
      </c>
      <c r="B118" s="8">
        <v>9</v>
      </c>
      <c r="C118" s="8">
        <v>3.7777778506278992</v>
      </c>
      <c r="D118" s="8">
        <v>12</v>
      </c>
      <c r="E118" s="9">
        <f t="shared" si="50"/>
        <v>0.75</v>
      </c>
      <c r="F118" s="10">
        <f t="shared" si="53"/>
        <v>0.419753094514211</v>
      </c>
      <c r="G118" s="10">
        <f t="shared" si="54"/>
        <v>0.31481482088565826</v>
      </c>
      <c r="H118" s="4">
        <v>30202</v>
      </c>
      <c r="I118" s="8">
        <v>50</v>
      </c>
      <c r="J118" s="8">
        <v>23.77777835726738</v>
      </c>
      <c r="K118" s="8">
        <v>102</v>
      </c>
      <c r="L118" s="10">
        <f t="shared" si="3"/>
        <v>0.49019607843137253</v>
      </c>
      <c r="M118" s="11">
        <f t="shared" si="51"/>
        <v>0.47555556714534758</v>
      </c>
      <c r="N118" s="11">
        <f t="shared" si="52"/>
        <v>0.23311547409085664</v>
      </c>
      <c r="O118" s="12">
        <f t="shared" si="55"/>
        <v>0.7404844328327379</v>
      </c>
      <c r="Q118" s="17"/>
      <c r="X118" s="18"/>
    </row>
    <row r="119" spans="1:24" ht="14.4">
      <c r="A119" s="4">
        <v>30203</v>
      </c>
      <c r="B119" s="8">
        <v>0</v>
      </c>
      <c r="C119" s="8">
        <v>0</v>
      </c>
      <c r="D119" s="8">
        <v>3</v>
      </c>
      <c r="E119" s="9">
        <f t="shared" si="50"/>
        <v>0</v>
      </c>
      <c r="F119" s="10" t="s">
        <v>22</v>
      </c>
      <c r="G119" s="10" t="s">
        <v>22</v>
      </c>
      <c r="H119" s="4">
        <v>30203</v>
      </c>
      <c r="I119" s="8">
        <v>11</v>
      </c>
      <c r="J119" s="8">
        <v>4.11111119389534</v>
      </c>
      <c r="K119" s="8">
        <v>37</v>
      </c>
      <c r="L119" s="10">
        <f t="shared" si="3"/>
        <v>0.29729729729729731</v>
      </c>
      <c r="M119" s="11">
        <f t="shared" si="51"/>
        <v>0.37373738126321271</v>
      </c>
      <c r="N119" s="11">
        <f t="shared" si="52"/>
        <v>0.11111111334852271</v>
      </c>
      <c r="O119" s="12" t="s">
        <v>22</v>
      </c>
      <c r="Q119" s="17"/>
      <c r="X119" s="18"/>
    </row>
    <row r="120" spans="1:24" ht="14.4">
      <c r="A120" s="4">
        <v>30301</v>
      </c>
      <c r="B120" s="8">
        <v>17</v>
      </c>
      <c r="C120" s="8">
        <v>8.0000001192092896</v>
      </c>
      <c r="D120" s="8">
        <v>25</v>
      </c>
      <c r="E120" s="9">
        <f t="shared" si="50"/>
        <v>0.68</v>
      </c>
      <c r="F120" s="10">
        <f t="shared" ref="F120:F126" si="56">C120/B120</f>
        <v>0.47058824230642882</v>
      </c>
      <c r="G120" s="10">
        <f t="shared" ref="G120:G126" si="57">E120*F120</f>
        <v>0.32000000476837159</v>
      </c>
      <c r="H120" s="4">
        <v>30301</v>
      </c>
      <c r="I120" s="8">
        <v>123</v>
      </c>
      <c r="J120" s="8">
        <v>57.111112356185913</v>
      </c>
      <c r="K120" s="8">
        <v>178</v>
      </c>
      <c r="L120" s="10">
        <f t="shared" si="3"/>
        <v>0.6910112359550562</v>
      </c>
      <c r="M120" s="11">
        <f t="shared" si="51"/>
        <v>0.46431798663565782</v>
      </c>
      <c r="N120" s="11">
        <f t="shared" si="52"/>
        <v>0.32084894582126916</v>
      </c>
      <c r="O120" s="12">
        <f t="shared" ref="O120:O126" si="58">N120/G120</f>
        <v>1.0026529407507729</v>
      </c>
      <c r="Q120" s="17"/>
      <c r="X120" s="18"/>
    </row>
    <row r="121" spans="1:24" ht="14.4">
      <c r="A121" s="4">
        <v>30302</v>
      </c>
      <c r="B121" s="8">
        <v>30</v>
      </c>
      <c r="C121" s="8">
        <v>14.666667073965073</v>
      </c>
      <c r="D121" s="8">
        <v>31</v>
      </c>
      <c r="E121" s="9">
        <f t="shared" si="50"/>
        <v>0.967741935483871</v>
      </c>
      <c r="F121" s="10">
        <f t="shared" si="56"/>
        <v>0.48888890246550243</v>
      </c>
      <c r="G121" s="10">
        <f t="shared" si="57"/>
        <v>0.47311829270855077</v>
      </c>
      <c r="H121" s="4">
        <v>30302</v>
      </c>
      <c r="I121" s="8">
        <v>102</v>
      </c>
      <c r="J121" s="8">
        <v>46.777778953313828</v>
      </c>
      <c r="K121" s="8">
        <v>181</v>
      </c>
      <c r="L121" s="10">
        <f t="shared" si="3"/>
        <v>0.56353591160220995</v>
      </c>
      <c r="M121" s="11">
        <f t="shared" si="51"/>
        <v>0.45860567601288066</v>
      </c>
      <c r="N121" s="11">
        <f t="shared" si="52"/>
        <v>0.25844076769786645</v>
      </c>
      <c r="O121" s="12">
        <f t="shared" si="58"/>
        <v>0.54624978928276302</v>
      </c>
      <c r="Q121" s="17"/>
      <c r="X121" s="18"/>
    </row>
    <row r="122" spans="1:24" ht="14.4">
      <c r="A122" s="4">
        <v>30303</v>
      </c>
      <c r="B122" s="8">
        <v>9</v>
      </c>
      <c r="C122" s="8">
        <v>3.8888889849185944</v>
      </c>
      <c r="D122" s="8">
        <v>12</v>
      </c>
      <c r="E122" s="9">
        <f t="shared" si="50"/>
        <v>0.75</v>
      </c>
      <c r="F122" s="10">
        <f t="shared" si="56"/>
        <v>0.43209877610206604</v>
      </c>
      <c r="G122" s="10">
        <f t="shared" si="57"/>
        <v>0.32407408207654953</v>
      </c>
      <c r="H122" s="4">
        <v>30303</v>
      </c>
      <c r="I122" s="8">
        <v>151</v>
      </c>
      <c r="J122" s="8">
        <v>70.777779757976532</v>
      </c>
      <c r="K122" s="8">
        <v>212</v>
      </c>
      <c r="L122" s="10">
        <f t="shared" si="3"/>
        <v>0.71226415094339623</v>
      </c>
      <c r="M122" s="11">
        <f t="shared" si="51"/>
        <v>0.46872701826474522</v>
      </c>
      <c r="N122" s="11">
        <f t="shared" si="52"/>
        <v>0.33385745168856851</v>
      </c>
      <c r="O122" s="12">
        <f t="shared" si="58"/>
        <v>1.0301886826287703</v>
      </c>
      <c r="Q122" s="17"/>
      <c r="X122" s="18"/>
    </row>
    <row r="123" spans="1:24" ht="14.4">
      <c r="A123" s="4">
        <v>30401</v>
      </c>
      <c r="B123" s="8">
        <v>1</v>
      </c>
      <c r="C123" s="8">
        <v>0.4444444477558136</v>
      </c>
      <c r="D123" s="8">
        <v>3</v>
      </c>
      <c r="E123" s="9">
        <f t="shared" si="50"/>
        <v>0.33333333333333331</v>
      </c>
      <c r="F123" s="10">
        <f t="shared" si="56"/>
        <v>0.4444444477558136</v>
      </c>
      <c r="G123" s="10">
        <f t="shared" si="57"/>
        <v>0.14814814925193787</v>
      </c>
      <c r="H123" s="4">
        <v>30401</v>
      </c>
      <c r="I123" s="8">
        <v>18</v>
      </c>
      <c r="J123" s="8">
        <v>8.8888891637325287</v>
      </c>
      <c r="K123" s="8">
        <v>50</v>
      </c>
      <c r="L123" s="10">
        <f t="shared" si="3"/>
        <v>0.36</v>
      </c>
      <c r="M123" s="11">
        <f t="shared" si="51"/>
        <v>0.49382717576291824</v>
      </c>
      <c r="N123" s="11">
        <f t="shared" si="52"/>
        <v>0.17777778327465055</v>
      </c>
      <c r="O123" s="12">
        <f t="shared" si="58"/>
        <v>1.2000000281631942</v>
      </c>
      <c r="Q123" s="17"/>
      <c r="X123" s="18"/>
    </row>
    <row r="124" spans="1:24" ht="14.4">
      <c r="A124" s="4">
        <v>30402</v>
      </c>
      <c r="B124" s="8">
        <v>7</v>
      </c>
      <c r="C124" s="8">
        <v>3.3333333730697632</v>
      </c>
      <c r="D124" s="8">
        <v>12</v>
      </c>
      <c r="E124" s="9">
        <f t="shared" si="50"/>
        <v>0.58333333333333337</v>
      </c>
      <c r="F124" s="10">
        <f t="shared" si="56"/>
        <v>0.47619048186710905</v>
      </c>
      <c r="G124" s="10">
        <f t="shared" si="57"/>
        <v>0.27777778108914697</v>
      </c>
      <c r="H124" s="4">
        <v>30402</v>
      </c>
      <c r="I124" s="8">
        <v>58</v>
      </c>
      <c r="J124" s="8">
        <v>25.000000685453415</v>
      </c>
      <c r="K124" s="8">
        <v>88</v>
      </c>
      <c r="L124" s="10">
        <f t="shared" si="3"/>
        <v>0.65909090909090906</v>
      </c>
      <c r="M124" s="11">
        <f t="shared" si="51"/>
        <v>0.431034494576783</v>
      </c>
      <c r="N124" s="11">
        <f t="shared" si="52"/>
        <v>0.28409091688015242</v>
      </c>
      <c r="O124" s="12">
        <f t="shared" si="58"/>
        <v>1.0227272885766892</v>
      </c>
      <c r="Q124" s="17"/>
      <c r="X124" s="18"/>
    </row>
    <row r="125" spans="1:24" ht="14.4">
      <c r="A125" s="4">
        <v>30403</v>
      </c>
      <c r="B125" s="8">
        <v>36</v>
      </c>
      <c r="C125" s="8">
        <v>17.888889402151108</v>
      </c>
      <c r="D125" s="8">
        <v>48</v>
      </c>
      <c r="E125" s="9">
        <f t="shared" si="50"/>
        <v>0.75</v>
      </c>
      <c r="F125" s="10">
        <f t="shared" si="56"/>
        <v>0.49691359450419742</v>
      </c>
      <c r="G125" s="10">
        <f t="shared" si="57"/>
        <v>0.37268519587814808</v>
      </c>
      <c r="H125" s="4">
        <v>30403</v>
      </c>
      <c r="I125" s="8">
        <v>117</v>
      </c>
      <c r="J125" s="8">
        <v>53.222223609685898</v>
      </c>
      <c r="K125" s="8">
        <v>182</v>
      </c>
      <c r="L125" s="10">
        <f t="shared" si="3"/>
        <v>0.6428571428571429</v>
      </c>
      <c r="M125" s="11">
        <f t="shared" si="51"/>
        <v>0.45489080008278543</v>
      </c>
      <c r="N125" s="11">
        <f t="shared" si="52"/>
        <v>0.29242980005321922</v>
      </c>
      <c r="O125" s="12">
        <f t="shared" si="58"/>
        <v>0.78465633539366852</v>
      </c>
      <c r="Q125" s="17"/>
      <c r="X125" s="18"/>
    </row>
    <row r="126" spans="1:24" ht="14.4">
      <c r="A126" s="4">
        <v>30404</v>
      </c>
      <c r="B126" s="8">
        <v>3</v>
      </c>
      <c r="C126" s="8">
        <v>1.6666666865348816</v>
      </c>
      <c r="D126" s="8">
        <v>3</v>
      </c>
      <c r="E126" s="9">
        <f t="shared" si="50"/>
        <v>1</v>
      </c>
      <c r="F126" s="10">
        <f t="shared" si="56"/>
        <v>0.55555556217829383</v>
      </c>
      <c r="G126" s="10">
        <f t="shared" si="57"/>
        <v>0.55555556217829383</v>
      </c>
      <c r="H126" s="4">
        <v>30404</v>
      </c>
      <c r="I126" s="8">
        <v>23</v>
      </c>
      <c r="J126" s="8">
        <v>11.333333641290665</v>
      </c>
      <c r="K126" s="8">
        <v>47</v>
      </c>
      <c r="L126" s="10">
        <f t="shared" si="3"/>
        <v>0.48936170212765956</v>
      </c>
      <c r="M126" s="11">
        <f t="shared" si="51"/>
        <v>0.49275363657785498</v>
      </c>
      <c r="N126" s="11">
        <f t="shared" si="52"/>
        <v>0.24113475832533329</v>
      </c>
      <c r="O126" s="12">
        <f t="shared" si="58"/>
        <v>0.43404255981140943</v>
      </c>
      <c r="Q126" s="17"/>
      <c r="X126" s="18"/>
    </row>
    <row r="127" spans="1:24" ht="14.4">
      <c r="A127" s="4">
        <v>30501</v>
      </c>
      <c r="B127" s="8">
        <v>0</v>
      </c>
      <c r="C127" s="8">
        <v>0</v>
      </c>
      <c r="D127" s="8">
        <v>1</v>
      </c>
      <c r="E127" s="9">
        <f t="shared" si="50"/>
        <v>0</v>
      </c>
      <c r="F127" s="10" t="s">
        <v>22</v>
      </c>
      <c r="G127" s="10" t="s">
        <v>22</v>
      </c>
      <c r="H127" s="4">
        <v>30501</v>
      </c>
      <c r="I127" s="8">
        <v>33</v>
      </c>
      <c r="J127" s="8">
        <v>15.66666704416275</v>
      </c>
      <c r="K127" s="8">
        <v>65</v>
      </c>
      <c r="L127" s="10">
        <f t="shared" si="3"/>
        <v>0.50769230769230766</v>
      </c>
      <c r="M127" s="11">
        <f t="shared" si="51"/>
        <v>0.47474748618675</v>
      </c>
      <c r="N127" s="11">
        <f t="shared" si="52"/>
        <v>0.24102564683327307</v>
      </c>
      <c r="O127" s="12" t="s">
        <v>22</v>
      </c>
      <c r="Q127" s="17"/>
      <c r="X127" s="18"/>
    </row>
    <row r="128" spans="1:24" ht="14.4">
      <c r="A128" s="4">
        <v>30502</v>
      </c>
      <c r="B128" s="8">
        <v>8</v>
      </c>
      <c r="C128" s="8">
        <v>3.2222222685813904</v>
      </c>
      <c r="D128" s="8">
        <v>11</v>
      </c>
      <c r="E128" s="9">
        <f t="shared" si="50"/>
        <v>0.72727272727272729</v>
      </c>
      <c r="F128" s="10">
        <f t="shared" ref="F128:F134" si="59">C128/B128</f>
        <v>0.4027777835726738</v>
      </c>
      <c r="G128" s="10">
        <f t="shared" ref="G128:G134" si="60">E128*F128</f>
        <v>0.29292929714376276</v>
      </c>
      <c r="H128" s="4">
        <v>30502</v>
      </c>
      <c r="I128" s="8">
        <v>35</v>
      </c>
      <c r="J128" s="8">
        <v>16.888889402151108</v>
      </c>
      <c r="K128" s="8">
        <v>57</v>
      </c>
      <c r="L128" s="10">
        <f t="shared" si="3"/>
        <v>0.61403508771929827</v>
      </c>
      <c r="M128" s="11">
        <f t="shared" si="51"/>
        <v>0.48253969720431739</v>
      </c>
      <c r="N128" s="11">
        <f t="shared" si="52"/>
        <v>0.29629630530089668</v>
      </c>
      <c r="O128" s="12">
        <f t="shared" ref="O128:O134" si="61">N128/G128</f>
        <v>1.0114942690607061</v>
      </c>
      <c r="Q128" s="17"/>
      <c r="X128" s="18"/>
    </row>
    <row r="129" spans="1:24" ht="14.4">
      <c r="A129" s="4">
        <v>30601</v>
      </c>
      <c r="B129" s="8">
        <v>7</v>
      </c>
      <c r="C129" s="8">
        <v>3.11111119389534</v>
      </c>
      <c r="D129" s="8">
        <v>9</v>
      </c>
      <c r="E129" s="9">
        <f t="shared" si="50"/>
        <v>0.77777777777777779</v>
      </c>
      <c r="F129" s="10">
        <f t="shared" si="59"/>
        <v>0.44444445627076284</v>
      </c>
      <c r="G129" s="10">
        <f t="shared" si="60"/>
        <v>0.34567902154392666</v>
      </c>
      <c r="H129" s="4">
        <v>30601</v>
      </c>
      <c r="I129" s="8">
        <v>37</v>
      </c>
      <c r="J129" s="8">
        <v>17.555555939674377</v>
      </c>
      <c r="K129" s="8">
        <v>82</v>
      </c>
      <c r="L129" s="10">
        <f t="shared" si="3"/>
        <v>0.45121951219512196</v>
      </c>
      <c r="M129" s="11">
        <f t="shared" si="51"/>
        <v>0.47447448485606425</v>
      </c>
      <c r="N129" s="11">
        <f t="shared" si="52"/>
        <v>0.2140921456057851</v>
      </c>
      <c r="O129" s="12">
        <f t="shared" si="61"/>
        <v>0.61933797616520869</v>
      </c>
      <c r="Q129" s="17"/>
      <c r="X129" s="18"/>
    </row>
    <row r="130" spans="1:24" ht="14.4">
      <c r="A130" s="4">
        <v>30602</v>
      </c>
      <c r="B130" s="8">
        <v>4</v>
      </c>
      <c r="C130" s="8">
        <v>1.7777778208255768</v>
      </c>
      <c r="D130" s="8">
        <v>10</v>
      </c>
      <c r="E130" s="9">
        <f t="shared" si="50"/>
        <v>0.4</v>
      </c>
      <c r="F130" s="10">
        <f t="shared" si="59"/>
        <v>0.4444444552063942</v>
      </c>
      <c r="G130" s="10">
        <f t="shared" si="60"/>
        <v>0.17777778208255768</v>
      </c>
      <c r="H130" s="4">
        <v>30602</v>
      </c>
      <c r="I130" s="8">
        <v>64</v>
      </c>
      <c r="J130" s="8">
        <v>28.111111760139465</v>
      </c>
      <c r="K130" s="8">
        <v>100</v>
      </c>
      <c r="L130" s="10">
        <f t="shared" si="3"/>
        <v>0.64</v>
      </c>
      <c r="M130" s="11">
        <f t="shared" si="51"/>
        <v>0.43923612125217915</v>
      </c>
      <c r="N130" s="11">
        <f t="shared" si="52"/>
        <v>0.28111111760139468</v>
      </c>
      <c r="O130" s="12">
        <f t="shared" si="61"/>
        <v>1.5812499982188457</v>
      </c>
      <c r="Q130" s="17"/>
      <c r="X130" s="18"/>
    </row>
    <row r="131" spans="1:24" ht="14.4">
      <c r="A131" s="4">
        <v>30701</v>
      </c>
      <c r="B131" s="8">
        <v>4</v>
      </c>
      <c r="C131" s="8">
        <v>1.7777778208255768</v>
      </c>
      <c r="D131" s="8">
        <v>14</v>
      </c>
      <c r="E131" s="9">
        <f t="shared" si="50"/>
        <v>0.2857142857142857</v>
      </c>
      <c r="F131" s="10">
        <f t="shared" si="59"/>
        <v>0.4444444552063942</v>
      </c>
      <c r="G131" s="10">
        <f t="shared" si="60"/>
        <v>0.12698413005896977</v>
      </c>
      <c r="H131" s="4">
        <v>30701</v>
      </c>
      <c r="I131" s="8">
        <v>109</v>
      </c>
      <c r="J131" s="8">
        <v>50.888890326023102</v>
      </c>
      <c r="K131" s="8">
        <v>232</v>
      </c>
      <c r="L131" s="10">
        <f t="shared" si="3"/>
        <v>0.46982758620689657</v>
      </c>
      <c r="M131" s="11">
        <f t="shared" si="51"/>
        <v>0.4668705534497532</v>
      </c>
      <c r="N131" s="11">
        <f t="shared" si="52"/>
        <v>0.21934866519837543</v>
      </c>
      <c r="O131" s="12">
        <f t="shared" si="61"/>
        <v>1.727370696609984</v>
      </c>
      <c r="Q131" s="17"/>
      <c r="X131" s="18"/>
    </row>
    <row r="132" spans="1:24" ht="14.4">
      <c r="A132" s="4">
        <v>30702</v>
      </c>
      <c r="B132" s="8">
        <v>2</v>
      </c>
      <c r="C132" s="8">
        <v>0.88888892531394958</v>
      </c>
      <c r="D132" s="8">
        <v>11</v>
      </c>
      <c r="E132" s="9">
        <f t="shared" si="50"/>
        <v>0.18181818181818182</v>
      </c>
      <c r="F132" s="10">
        <f t="shared" si="59"/>
        <v>0.44444446265697479</v>
      </c>
      <c r="G132" s="10">
        <f t="shared" si="60"/>
        <v>8.0808084119449966E-2</v>
      </c>
      <c r="H132" s="4">
        <v>30702</v>
      </c>
      <c r="I132" s="8">
        <v>30</v>
      </c>
      <c r="J132" s="8">
        <v>12.55555585026741</v>
      </c>
      <c r="K132" s="8">
        <v>61</v>
      </c>
      <c r="L132" s="10">
        <f t="shared" si="3"/>
        <v>0.49180327868852458</v>
      </c>
      <c r="M132" s="11">
        <f t="shared" si="51"/>
        <v>0.41851852834224701</v>
      </c>
      <c r="N132" s="11">
        <f t="shared" si="52"/>
        <v>0.20582878443061328</v>
      </c>
      <c r="O132" s="12">
        <f t="shared" si="61"/>
        <v>2.5471311029520085</v>
      </c>
      <c r="Q132" s="17"/>
      <c r="X132" s="18"/>
    </row>
    <row r="133" spans="1:24" ht="14.4">
      <c r="A133" s="4">
        <v>30703</v>
      </c>
      <c r="B133" s="8">
        <v>1</v>
      </c>
      <c r="C133" s="8">
        <v>0.4444444477558136</v>
      </c>
      <c r="D133" s="8">
        <v>1</v>
      </c>
      <c r="E133" s="9">
        <f t="shared" si="50"/>
        <v>1</v>
      </c>
      <c r="F133" s="10">
        <f t="shared" si="59"/>
        <v>0.4444444477558136</v>
      </c>
      <c r="G133" s="10">
        <f t="shared" si="60"/>
        <v>0.4444444477558136</v>
      </c>
      <c r="H133" s="4">
        <v>30703</v>
      </c>
      <c r="I133" s="8">
        <v>1</v>
      </c>
      <c r="J133" s="8">
        <v>0.4444444477558136</v>
      </c>
      <c r="K133" s="8">
        <v>2</v>
      </c>
      <c r="L133" s="10">
        <f t="shared" si="3"/>
        <v>0.5</v>
      </c>
      <c r="M133" s="11">
        <f t="shared" si="51"/>
        <v>0.4444444477558136</v>
      </c>
      <c r="N133" s="11">
        <f t="shared" si="52"/>
        <v>0.2222222238779068</v>
      </c>
      <c r="O133" s="12">
        <f t="shared" si="61"/>
        <v>0.5</v>
      </c>
      <c r="Q133" s="17"/>
      <c r="X133" s="18"/>
    </row>
    <row r="134" spans="1:24" ht="14.4">
      <c r="A134" s="4">
        <v>30801</v>
      </c>
      <c r="B134" s="8">
        <v>5</v>
      </c>
      <c r="C134" s="8">
        <v>1.7777778208255768</v>
      </c>
      <c r="D134" s="8">
        <v>11</v>
      </c>
      <c r="E134" s="9">
        <f t="shared" si="50"/>
        <v>0.45454545454545453</v>
      </c>
      <c r="F134" s="10">
        <f t="shared" si="59"/>
        <v>0.35555556416511536</v>
      </c>
      <c r="G134" s="10">
        <f t="shared" si="60"/>
        <v>0.16161616552959787</v>
      </c>
      <c r="H134" s="4">
        <v>30801</v>
      </c>
      <c r="I134" s="8">
        <v>16</v>
      </c>
      <c r="J134" s="8">
        <v>5.6666668057441711</v>
      </c>
      <c r="K134" s="8">
        <v>84</v>
      </c>
      <c r="L134" s="10">
        <f t="shared" si="3"/>
        <v>0.19047619047619047</v>
      </c>
      <c r="M134" s="11">
        <f t="shared" si="51"/>
        <v>0.3541666753590107</v>
      </c>
      <c r="N134" s="11">
        <f t="shared" si="52"/>
        <v>6.7460319116002032E-2</v>
      </c>
      <c r="O134" s="12">
        <f t="shared" si="61"/>
        <v>0.41741071442291805</v>
      </c>
      <c r="Q134" s="17"/>
      <c r="X134" s="18"/>
    </row>
    <row r="135" spans="1:24" ht="14.4">
      <c r="A135" s="4">
        <v>30802</v>
      </c>
      <c r="B135" s="8">
        <v>0</v>
      </c>
      <c r="C135" s="8">
        <v>0</v>
      </c>
      <c r="D135" s="8">
        <v>1</v>
      </c>
      <c r="E135" s="9">
        <f t="shared" si="50"/>
        <v>0</v>
      </c>
      <c r="F135" s="10" t="s">
        <v>22</v>
      </c>
      <c r="G135" s="10" t="s">
        <v>22</v>
      </c>
      <c r="H135" s="4">
        <v>30802</v>
      </c>
      <c r="I135" s="8">
        <v>0</v>
      </c>
      <c r="J135" s="8">
        <v>0</v>
      </c>
      <c r="K135" s="8">
        <v>10</v>
      </c>
      <c r="L135" s="10">
        <f t="shared" si="3"/>
        <v>0</v>
      </c>
      <c r="M135" s="11" t="s">
        <v>22</v>
      </c>
      <c r="N135" s="11" t="s">
        <v>22</v>
      </c>
      <c r="O135" s="12" t="s">
        <v>22</v>
      </c>
      <c r="Q135" s="17"/>
      <c r="X135" s="18"/>
    </row>
    <row r="136" spans="1:24" ht="14.4">
      <c r="A136" s="4">
        <v>30803</v>
      </c>
      <c r="B136" s="8">
        <v>0</v>
      </c>
      <c r="C136" s="8">
        <v>0</v>
      </c>
      <c r="D136" s="8">
        <v>5</v>
      </c>
      <c r="E136" s="9">
        <f t="shared" si="50"/>
        <v>0</v>
      </c>
      <c r="F136" s="10" t="s">
        <v>22</v>
      </c>
      <c r="G136" s="10" t="s">
        <v>22</v>
      </c>
      <c r="H136" s="4">
        <v>30803</v>
      </c>
      <c r="I136" s="8">
        <v>5</v>
      </c>
      <c r="J136" s="8">
        <v>1.7777778208255768</v>
      </c>
      <c r="K136" s="8">
        <v>28</v>
      </c>
      <c r="L136" s="10">
        <f t="shared" si="3"/>
        <v>0.17857142857142858</v>
      </c>
      <c r="M136" s="11">
        <f t="shared" ref="M136:M339" si="62">J136/I136</f>
        <v>0.35555556416511536</v>
      </c>
      <c r="N136" s="11">
        <f t="shared" ref="N136:N339" si="63">L136*M136</f>
        <v>6.3492065029484887E-2</v>
      </c>
      <c r="O136" s="12" t="s">
        <v>22</v>
      </c>
      <c r="Q136" s="17"/>
      <c r="X136" s="18"/>
    </row>
    <row r="137" spans="1:24" ht="14.4">
      <c r="A137" s="4">
        <v>30901</v>
      </c>
      <c r="B137" s="8">
        <v>14</v>
      </c>
      <c r="C137" s="8">
        <v>5.8888890743255615</v>
      </c>
      <c r="D137" s="8">
        <v>67</v>
      </c>
      <c r="E137" s="9">
        <f t="shared" si="50"/>
        <v>0.20895522388059701</v>
      </c>
      <c r="F137" s="10">
        <f t="shared" ref="F137:F157" si="64">C137/B137</f>
        <v>0.42063493388039724</v>
      </c>
      <c r="G137" s="10">
        <f t="shared" ref="G137:G157" si="65">E137*F137</f>
        <v>8.7893866780978519E-2</v>
      </c>
      <c r="H137" s="4">
        <v>30901</v>
      </c>
      <c r="I137" s="8">
        <v>140</v>
      </c>
      <c r="J137" s="8">
        <v>55.444445818662643</v>
      </c>
      <c r="K137" s="8">
        <v>558</v>
      </c>
      <c r="L137" s="10">
        <f t="shared" si="3"/>
        <v>0.25089605734767023</v>
      </c>
      <c r="M137" s="11">
        <f t="shared" si="62"/>
        <v>0.39603175584759032</v>
      </c>
      <c r="N137" s="11">
        <f t="shared" si="63"/>
        <v>9.9362806126635561E-2</v>
      </c>
      <c r="O137" s="12">
        <f t="shared" ref="O137:O147" si="66">N137/G137</f>
        <v>1.1304862303331851</v>
      </c>
      <c r="Q137" s="17"/>
      <c r="X137" s="18"/>
    </row>
    <row r="138" spans="1:24" ht="14.4">
      <c r="A138" s="4">
        <v>30902</v>
      </c>
      <c r="B138" s="8">
        <v>13</v>
      </c>
      <c r="C138" s="8">
        <v>5.8888890445232391</v>
      </c>
      <c r="D138" s="8">
        <v>52</v>
      </c>
      <c r="E138" s="9">
        <f t="shared" si="50"/>
        <v>0.25</v>
      </c>
      <c r="F138" s="10">
        <f t="shared" si="64"/>
        <v>0.4529914649633261</v>
      </c>
      <c r="G138" s="10">
        <f t="shared" si="65"/>
        <v>0.11324786624083152</v>
      </c>
      <c r="H138" s="4">
        <v>30902</v>
      </c>
      <c r="I138" s="8">
        <v>62</v>
      </c>
      <c r="J138" s="8">
        <v>27.222222805023193</v>
      </c>
      <c r="K138" s="8">
        <v>213</v>
      </c>
      <c r="L138" s="10">
        <f t="shared" si="3"/>
        <v>0.29107981220657275</v>
      </c>
      <c r="M138" s="11">
        <f t="shared" si="62"/>
        <v>0.43906810975843863</v>
      </c>
      <c r="N138" s="11">
        <f t="shared" si="63"/>
        <v>0.1278038629343812</v>
      </c>
      <c r="O138" s="12">
        <f t="shared" si="66"/>
        <v>1.1285321938216044</v>
      </c>
      <c r="Q138" s="17"/>
      <c r="X138" s="18"/>
    </row>
    <row r="139" spans="1:24" ht="14.4">
      <c r="A139" s="4">
        <v>30903</v>
      </c>
      <c r="B139" s="8">
        <v>12</v>
      </c>
      <c r="C139" s="8">
        <v>4.6666667759418488</v>
      </c>
      <c r="D139" s="8">
        <v>37</v>
      </c>
      <c r="E139" s="9">
        <f t="shared" si="50"/>
        <v>0.32432432432432434</v>
      </c>
      <c r="F139" s="10">
        <f t="shared" si="64"/>
        <v>0.38888889799515408</v>
      </c>
      <c r="G139" s="10">
        <f t="shared" si="65"/>
        <v>0.12612612907950943</v>
      </c>
      <c r="H139" s="4">
        <v>30903</v>
      </c>
      <c r="I139" s="8">
        <v>69</v>
      </c>
      <c r="J139" s="8">
        <v>27.666667461395264</v>
      </c>
      <c r="K139" s="8">
        <v>273</v>
      </c>
      <c r="L139" s="10">
        <f t="shared" si="3"/>
        <v>0.25274725274725274</v>
      </c>
      <c r="M139" s="11">
        <f t="shared" si="62"/>
        <v>0.400966195092685</v>
      </c>
      <c r="N139" s="11">
        <f t="shared" si="63"/>
        <v>0.1013431042541951</v>
      </c>
      <c r="O139" s="12">
        <f t="shared" si="66"/>
        <v>0.80350602205756105</v>
      </c>
      <c r="Q139" s="17"/>
      <c r="X139" s="18"/>
    </row>
    <row r="140" spans="1:24" ht="14.4">
      <c r="A140" s="4">
        <v>30904</v>
      </c>
      <c r="B140" s="8">
        <v>31</v>
      </c>
      <c r="C140" s="8">
        <v>11.333333611488342</v>
      </c>
      <c r="D140" s="8">
        <v>70</v>
      </c>
      <c r="E140" s="9">
        <f t="shared" si="50"/>
        <v>0.44285714285714284</v>
      </c>
      <c r="F140" s="10">
        <f t="shared" si="64"/>
        <v>0.36559140682220459</v>
      </c>
      <c r="G140" s="10">
        <f t="shared" si="65"/>
        <v>0.16190476587840488</v>
      </c>
      <c r="H140" s="4">
        <v>30904</v>
      </c>
      <c r="I140" s="8">
        <v>138</v>
      </c>
      <c r="J140" s="8">
        <v>57.888890236616135</v>
      </c>
      <c r="K140" s="8">
        <v>335</v>
      </c>
      <c r="L140" s="10">
        <f t="shared" si="3"/>
        <v>0.41194029850746267</v>
      </c>
      <c r="M140" s="11">
        <f t="shared" si="62"/>
        <v>0.41948471185953723</v>
      </c>
      <c r="N140" s="11">
        <f t="shared" si="63"/>
        <v>0.17280265742273473</v>
      </c>
      <c r="O140" s="12">
        <f t="shared" si="66"/>
        <v>1.0673105049453238</v>
      </c>
      <c r="Q140" s="17"/>
      <c r="X140" s="18"/>
    </row>
    <row r="141" spans="1:24" ht="14.4">
      <c r="A141" s="4">
        <v>30905</v>
      </c>
      <c r="B141" s="8">
        <v>5</v>
      </c>
      <c r="C141" s="8">
        <v>1.7777778208255768</v>
      </c>
      <c r="D141" s="8">
        <v>34</v>
      </c>
      <c r="E141" s="9">
        <f t="shared" si="50"/>
        <v>0.14705882352941177</v>
      </c>
      <c r="F141" s="10">
        <f t="shared" si="64"/>
        <v>0.35555556416511536</v>
      </c>
      <c r="G141" s="10">
        <f t="shared" si="65"/>
        <v>5.2287582965458143E-2</v>
      </c>
      <c r="H141" s="4">
        <v>30905</v>
      </c>
      <c r="I141" s="8">
        <v>32</v>
      </c>
      <c r="J141" s="8">
        <v>11.666667014360428</v>
      </c>
      <c r="K141" s="8">
        <v>321</v>
      </c>
      <c r="L141" s="10">
        <f t="shared" si="3"/>
        <v>9.9688473520249218E-2</v>
      </c>
      <c r="M141" s="11">
        <f t="shared" si="62"/>
        <v>0.36458334419876337</v>
      </c>
      <c r="N141" s="11">
        <f t="shared" si="63"/>
        <v>3.6344757054082327E-2</v>
      </c>
      <c r="O141" s="12">
        <f t="shared" si="66"/>
        <v>0.69509346182806242</v>
      </c>
      <c r="Q141" s="17"/>
      <c r="X141" s="18"/>
    </row>
    <row r="142" spans="1:24" ht="14.4">
      <c r="A142" s="4">
        <v>31001</v>
      </c>
      <c r="B142" s="8">
        <v>57</v>
      </c>
      <c r="C142" s="8">
        <v>24.444445103406906</v>
      </c>
      <c r="D142" s="8">
        <v>193</v>
      </c>
      <c r="E142" s="9">
        <f t="shared" si="50"/>
        <v>0.29533678756476683</v>
      </c>
      <c r="F142" s="10">
        <f t="shared" si="64"/>
        <v>0.42884991409485801</v>
      </c>
      <c r="G142" s="10">
        <f t="shared" si="65"/>
        <v>0.12665515597620158</v>
      </c>
      <c r="H142" s="4">
        <v>31001</v>
      </c>
      <c r="I142" s="8">
        <v>201</v>
      </c>
      <c r="J142" s="8">
        <v>83.777779966592789</v>
      </c>
      <c r="K142" s="8">
        <v>919</v>
      </c>
      <c r="L142" s="10">
        <f t="shared" si="3"/>
        <v>0.21871599564744287</v>
      </c>
      <c r="M142" s="11">
        <f t="shared" si="62"/>
        <v>0.41680487545568551</v>
      </c>
      <c r="N142" s="11">
        <f t="shared" si="63"/>
        <v>9.116189332599868E-2</v>
      </c>
      <c r="O142" s="12">
        <f t="shared" si="66"/>
        <v>0.71976456562990565</v>
      </c>
      <c r="Q142" s="17"/>
      <c r="X142" s="18"/>
    </row>
    <row r="143" spans="1:24" ht="14.4">
      <c r="A143" s="4">
        <v>31002</v>
      </c>
      <c r="B143" s="8">
        <v>15</v>
      </c>
      <c r="C143" s="8">
        <v>7.6666669249534607</v>
      </c>
      <c r="D143" s="8">
        <v>24</v>
      </c>
      <c r="E143" s="9">
        <f t="shared" si="50"/>
        <v>0.625</v>
      </c>
      <c r="F143" s="10">
        <f t="shared" si="64"/>
        <v>0.51111112833023076</v>
      </c>
      <c r="G143" s="10">
        <f t="shared" si="65"/>
        <v>0.3194444552063942</v>
      </c>
      <c r="H143" s="4">
        <v>31002</v>
      </c>
      <c r="I143" s="8">
        <v>56</v>
      </c>
      <c r="J143" s="8">
        <v>25.666667282581329</v>
      </c>
      <c r="K143" s="8">
        <v>91</v>
      </c>
      <c r="L143" s="10">
        <f t="shared" si="3"/>
        <v>0.61538461538461542</v>
      </c>
      <c r="M143" s="11">
        <f t="shared" si="62"/>
        <v>0.45833334433180944</v>
      </c>
      <c r="N143" s="11">
        <f t="shared" si="63"/>
        <v>0.28205128881957509</v>
      </c>
      <c r="O143" s="12">
        <f t="shared" si="66"/>
        <v>0.88294313525442392</v>
      </c>
      <c r="Q143" s="17"/>
      <c r="X143" s="18"/>
    </row>
    <row r="144" spans="1:24" ht="14.4">
      <c r="A144" s="4">
        <v>31003</v>
      </c>
      <c r="B144" s="8">
        <v>127</v>
      </c>
      <c r="C144" s="8">
        <v>58.333334803581238</v>
      </c>
      <c r="D144" s="8">
        <v>191</v>
      </c>
      <c r="E144" s="9">
        <f t="shared" si="50"/>
        <v>0.66492146596858637</v>
      </c>
      <c r="F144" s="10">
        <f t="shared" si="64"/>
        <v>0.45931759687859242</v>
      </c>
      <c r="G144" s="10">
        <f t="shared" si="65"/>
        <v>0.30541012986168187</v>
      </c>
      <c r="H144" s="4">
        <v>31003</v>
      </c>
      <c r="I144" s="8">
        <v>558</v>
      </c>
      <c r="J144" s="8">
        <v>248.77778345346451</v>
      </c>
      <c r="K144" s="8">
        <v>908</v>
      </c>
      <c r="L144" s="10">
        <f t="shared" si="3"/>
        <v>0.61453744493392071</v>
      </c>
      <c r="M144" s="11">
        <f t="shared" si="62"/>
        <v>0.44583832160119086</v>
      </c>
      <c r="N144" s="11">
        <f t="shared" si="63"/>
        <v>0.27398434301042346</v>
      </c>
      <c r="O144" s="12">
        <f t="shared" si="66"/>
        <v>0.89710299764617851</v>
      </c>
      <c r="Q144" s="17"/>
      <c r="X144" s="18"/>
    </row>
    <row r="145" spans="1:24" ht="14.4">
      <c r="A145" s="4">
        <v>31101</v>
      </c>
      <c r="B145" s="8">
        <v>7</v>
      </c>
      <c r="C145" s="8">
        <v>3.7777778804302216</v>
      </c>
      <c r="D145" s="8">
        <v>9</v>
      </c>
      <c r="E145" s="9">
        <f t="shared" si="50"/>
        <v>0.77777777777777779</v>
      </c>
      <c r="F145" s="10">
        <f t="shared" si="64"/>
        <v>0.53968255434717449</v>
      </c>
      <c r="G145" s="10">
        <f t="shared" si="65"/>
        <v>0.41975309782558018</v>
      </c>
      <c r="H145" s="4">
        <v>31101</v>
      </c>
      <c r="I145" s="8">
        <v>92</v>
      </c>
      <c r="J145" s="8">
        <v>44.666667759418488</v>
      </c>
      <c r="K145" s="8">
        <v>143</v>
      </c>
      <c r="L145" s="10">
        <f t="shared" si="3"/>
        <v>0.64335664335664333</v>
      </c>
      <c r="M145" s="11">
        <f t="shared" si="62"/>
        <v>0.48550725825454877</v>
      </c>
      <c r="N145" s="11">
        <f t="shared" si="63"/>
        <v>0.31235431999593344</v>
      </c>
      <c r="O145" s="12">
        <f t="shared" si="66"/>
        <v>0.74413821271123981</v>
      </c>
      <c r="Q145" s="17"/>
      <c r="X145" s="18"/>
    </row>
    <row r="146" spans="1:24" ht="14.4">
      <c r="A146" s="4">
        <v>31201</v>
      </c>
      <c r="B146" s="8">
        <v>7</v>
      </c>
      <c r="C146" s="8">
        <v>2.5555556118488312</v>
      </c>
      <c r="D146" s="8">
        <v>10</v>
      </c>
      <c r="E146" s="9">
        <f t="shared" si="50"/>
        <v>0.7</v>
      </c>
      <c r="F146" s="10">
        <f t="shared" si="64"/>
        <v>0.3650793731212616</v>
      </c>
      <c r="G146" s="10">
        <f t="shared" si="65"/>
        <v>0.2555555611848831</v>
      </c>
      <c r="H146" s="4">
        <v>31201</v>
      </c>
      <c r="I146" s="8">
        <v>45</v>
      </c>
      <c r="J146" s="8">
        <v>19.44444477558136</v>
      </c>
      <c r="K146" s="8">
        <v>104</v>
      </c>
      <c r="L146" s="10">
        <f t="shared" si="3"/>
        <v>0.43269230769230771</v>
      </c>
      <c r="M146" s="11">
        <f t="shared" si="62"/>
        <v>0.43209877279069686</v>
      </c>
      <c r="N146" s="11">
        <f t="shared" si="63"/>
        <v>0.18696581514982077</v>
      </c>
      <c r="O146" s="12">
        <f t="shared" si="66"/>
        <v>0.73160534751407469</v>
      </c>
      <c r="Q146" s="17"/>
      <c r="X146" s="18"/>
    </row>
    <row r="147" spans="1:24" ht="14.4">
      <c r="A147" s="4">
        <v>31202</v>
      </c>
      <c r="B147" s="8">
        <v>9</v>
      </c>
      <c r="C147" s="8">
        <v>4.333333432674408</v>
      </c>
      <c r="D147" s="8">
        <v>12</v>
      </c>
      <c r="E147" s="9">
        <f t="shared" si="50"/>
        <v>0.75</v>
      </c>
      <c r="F147" s="10">
        <f t="shared" si="64"/>
        <v>0.48148149251937866</v>
      </c>
      <c r="G147" s="10">
        <f t="shared" si="65"/>
        <v>0.361111119389534</v>
      </c>
      <c r="H147" s="4">
        <v>31202</v>
      </c>
      <c r="I147" s="8">
        <v>22</v>
      </c>
      <c r="J147" s="8">
        <v>10.000000178813934</v>
      </c>
      <c r="K147" s="8">
        <v>50</v>
      </c>
      <c r="L147" s="10">
        <f t="shared" si="3"/>
        <v>0.44</v>
      </c>
      <c r="M147" s="11">
        <f t="shared" si="62"/>
        <v>0.45454546267336066</v>
      </c>
      <c r="N147" s="11">
        <f t="shared" si="63"/>
        <v>0.2000000035762787</v>
      </c>
      <c r="O147" s="12">
        <f t="shared" si="66"/>
        <v>0.55384615105284751</v>
      </c>
      <c r="Q147" s="17"/>
      <c r="X147" s="18"/>
    </row>
    <row r="148" spans="1:24" ht="14.4">
      <c r="A148" s="4">
        <v>31203</v>
      </c>
      <c r="B148" s="8">
        <v>0</v>
      </c>
      <c r="C148" s="8">
        <v>0</v>
      </c>
      <c r="D148" s="8">
        <v>4</v>
      </c>
      <c r="E148" s="9">
        <f t="shared" si="50"/>
        <v>0</v>
      </c>
      <c r="F148" s="10" t="e">
        <f t="shared" si="64"/>
        <v>#DIV/0!</v>
      </c>
      <c r="G148" s="10" t="e">
        <f t="shared" si="65"/>
        <v>#DIV/0!</v>
      </c>
      <c r="H148" s="4">
        <v>31203</v>
      </c>
      <c r="I148" s="8">
        <v>28</v>
      </c>
      <c r="J148" s="8">
        <v>12.777778059244156</v>
      </c>
      <c r="K148" s="8">
        <v>89</v>
      </c>
      <c r="L148" s="10">
        <f t="shared" si="3"/>
        <v>0.3146067415730337</v>
      </c>
      <c r="M148" s="11">
        <f t="shared" si="62"/>
        <v>0.456349216401577</v>
      </c>
      <c r="N148" s="11">
        <f t="shared" si="63"/>
        <v>0.14357053999150737</v>
      </c>
      <c r="O148" s="12" t="s">
        <v>22</v>
      </c>
      <c r="Q148" s="17"/>
      <c r="X148" s="18"/>
    </row>
    <row r="149" spans="1:24" ht="14.4">
      <c r="A149" s="4">
        <v>31204</v>
      </c>
      <c r="B149" s="8">
        <v>19</v>
      </c>
      <c r="C149" s="8">
        <v>8.6666668653488159</v>
      </c>
      <c r="D149" s="8">
        <v>37</v>
      </c>
      <c r="E149" s="9">
        <f t="shared" si="50"/>
        <v>0.51351351351351349</v>
      </c>
      <c r="F149" s="10">
        <f t="shared" si="64"/>
        <v>0.4561403613341482</v>
      </c>
      <c r="G149" s="10">
        <f t="shared" si="65"/>
        <v>0.23423423960402204</v>
      </c>
      <c r="H149" s="4">
        <v>31204</v>
      </c>
      <c r="I149" s="8">
        <v>64</v>
      </c>
      <c r="J149" s="8">
        <v>27.333334058523178</v>
      </c>
      <c r="K149" s="8">
        <v>200</v>
      </c>
      <c r="L149" s="10">
        <f t="shared" si="3"/>
        <v>0.32</v>
      </c>
      <c r="M149" s="11">
        <f t="shared" si="62"/>
        <v>0.42708334466442466</v>
      </c>
      <c r="N149" s="11">
        <f t="shared" si="63"/>
        <v>0.13666667029261589</v>
      </c>
      <c r="O149" s="12">
        <f t="shared" ref="O149:O157" si="67">N149/G149</f>
        <v>0.58346154056577637</v>
      </c>
      <c r="Q149" s="17"/>
      <c r="X149" s="18"/>
    </row>
    <row r="150" spans="1:24" ht="14.4">
      <c r="A150" s="4">
        <v>31205</v>
      </c>
      <c r="B150" s="8">
        <v>46</v>
      </c>
      <c r="C150" s="8">
        <v>21.222222775220871</v>
      </c>
      <c r="D150" s="8">
        <v>85</v>
      </c>
      <c r="E150" s="9">
        <f t="shared" si="50"/>
        <v>0.54117647058823526</v>
      </c>
      <c r="F150" s="10">
        <f t="shared" si="64"/>
        <v>0.46135266902654065</v>
      </c>
      <c r="G150" s="10">
        <f t="shared" si="65"/>
        <v>0.24967320912024552</v>
      </c>
      <c r="H150" s="4">
        <v>31205</v>
      </c>
      <c r="I150" s="8">
        <v>167</v>
      </c>
      <c r="J150" s="8">
        <v>73.222224026918411</v>
      </c>
      <c r="K150" s="8">
        <v>335</v>
      </c>
      <c r="L150" s="10">
        <f t="shared" si="3"/>
        <v>0.49850746268656715</v>
      </c>
      <c r="M150" s="11">
        <f t="shared" si="62"/>
        <v>0.43845643129891265</v>
      </c>
      <c r="N150" s="11">
        <f t="shared" si="63"/>
        <v>0.21857380306542809</v>
      </c>
      <c r="O150" s="12">
        <f t="shared" si="67"/>
        <v>0.87543955491099734</v>
      </c>
      <c r="Q150" s="17"/>
      <c r="X150" s="18"/>
    </row>
    <row r="151" spans="1:24" ht="14.4">
      <c r="A151" s="4">
        <v>31206</v>
      </c>
      <c r="B151" s="8">
        <v>30</v>
      </c>
      <c r="C151" s="8">
        <v>13.555555909872055</v>
      </c>
      <c r="D151" s="8">
        <v>51</v>
      </c>
      <c r="E151" s="9">
        <f t="shared" si="50"/>
        <v>0.58823529411764708</v>
      </c>
      <c r="F151" s="10">
        <f t="shared" si="64"/>
        <v>0.45185186366240182</v>
      </c>
      <c r="G151" s="10">
        <f t="shared" si="65"/>
        <v>0.26579521391905991</v>
      </c>
      <c r="H151" s="4">
        <v>31206</v>
      </c>
      <c r="I151" s="8">
        <v>96</v>
      </c>
      <c r="J151" s="8">
        <v>42.111112117767334</v>
      </c>
      <c r="K151" s="8">
        <v>221</v>
      </c>
      <c r="L151" s="10">
        <f t="shared" si="3"/>
        <v>0.43438914027149322</v>
      </c>
      <c r="M151" s="11">
        <f t="shared" si="62"/>
        <v>0.43865741789340973</v>
      </c>
      <c r="N151" s="11">
        <f t="shared" si="63"/>
        <v>0.19054801863243137</v>
      </c>
      <c r="O151" s="12">
        <f t="shared" si="67"/>
        <v>0.71689785464104383</v>
      </c>
      <c r="Q151" s="17"/>
      <c r="X151" s="18"/>
    </row>
    <row r="152" spans="1:24" ht="14.4">
      <c r="A152" s="4">
        <v>31301</v>
      </c>
      <c r="B152" s="8">
        <v>1</v>
      </c>
      <c r="C152" s="8">
        <v>0.3333333432674408</v>
      </c>
      <c r="D152" s="8">
        <v>3</v>
      </c>
      <c r="E152" s="9">
        <f t="shared" si="50"/>
        <v>0.33333333333333331</v>
      </c>
      <c r="F152" s="10">
        <f t="shared" si="64"/>
        <v>0.3333333432674408</v>
      </c>
      <c r="G152" s="10">
        <f t="shared" si="65"/>
        <v>0.11111111442248026</v>
      </c>
      <c r="H152" s="4">
        <v>31301</v>
      </c>
      <c r="I152" s="8">
        <v>55</v>
      </c>
      <c r="J152" s="8">
        <v>26.88888943195343</v>
      </c>
      <c r="K152" s="8">
        <v>128</v>
      </c>
      <c r="L152" s="10">
        <f t="shared" si="3"/>
        <v>0.4296875</v>
      </c>
      <c r="M152" s="11">
        <f t="shared" si="62"/>
        <v>0.48888889876278963</v>
      </c>
      <c r="N152" s="11">
        <f t="shared" si="63"/>
        <v>0.21006944868713617</v>
      </c>
      <c r="O152" s="12">
        <f t="shared" si="67"/>
        <v>1.8906249818392105</v>
      </c>
      <c r="Q152" s="17"/>
      <c r="X152" s="18"/>
    </row>
    <row r="153" spans="1:24" ht="14.4">
      <c r="A153" s="4">
        <v>31302</v>
      </c>
      <c r="B153" s="8">
        <v>1</v>
      </c>
      <c r="C153" s="8">
        <v>0.55555558204650879</v>
      </c>
      <c r="D153" s="8">
        <v>2</v>
      </c>
      <c r="E153" s="9">
        <f t="shared" si="50"/>
        <v>0.5</v>
      </c>
      <c r="F153" s="10">
        <f t="shared" si="64"/>
        <v>0.55555558204650879</v>
      </c>
      <c r="G153" s="10">
        <f t="shared" si="65"/>
        <v>0.27777779102325439</v>
      </c>
      <c r="H153" s="4">
        <v>31302</v>
      </c>
      <c r="I153" s="8">
        <v>17</v>
      </c>
      <c r="J153" s="8">
        <v>7.6666668653488159</v>
      </c>
      <c r="K153" s="8">
        <v>23</v>
      </c>
      <c r="L153" s="10">
        <f t="shared" si="3"/>
        <v>0.73913043478260865</v>
      </c>
      <c r="M153" s="11">
        <f t="shared" si="62"/>
        <v>0.45098040384404797</v>
      </c>
      <c r="N153" s="11">
        <f t="shared" si="63"/>
        <v>0.33333334197168762</v>
      </c>
      <c r="O153" s="12">
        <f t="shared" si="67"/>
        <v>1.1999999738776177</v>
      </c>
      <c r="Q153" s="17"/>
      <c r="X153" s="18"/>
    </row>
    <row r="154" spans="1:24" ht="14.4">
      <c r="A154" s="4">
        <v>31303</v>
      </c>
      <c r="B154" s="8">
        <v>3</v>
      </c>
      <c r="C154" s="8">
        <v>1.444444477558136</v>
      </c>
      <c r="D154" s="8">
        <v>3</v>
      </c>
      <c r="E154" s="9">
        <f t="shared" si="50"/>
        <v>1</v>
      </c>
      <c r="F154" s="10">
        <f t="shared" si="64"/>
        <v>0.48148149251937866</v>
      </c>
      <c r="G154" s="10">
        <f t="shared" si="65"/>
        <v>0.48148149251937866</v>
      </c>
      <c r="H154" s="4">
        <v>31303</v>
      </c>
      <c r="I154" s="8">
        <v>32</v>
      </c>
      <c r="J154" s="8">
        <v>15.444444924592972</v>
      </c>
      <c r="K154" s="8">
        <v>38</v>
      </c>
      <c r="L154" s="10">
        <f t="shared" si="3"/>
        <v>0.84210526315789469</v>
      </c>
      <c r="M154" s="11">
        <f t="shared" si="62"/>
        <v>0.48263890389353037</v>
      </c>
      <c r="N154" s="11">
        <f t="shared" si="63"/>
        <v>0.40643276117349925</v>
      </c>
      <c r="O154" s="12">
        <f t="shared" si="67"/>
        <v>0.84412956154725127</v>
      </c>
      <c r="Q154" s="17"/>
      <c r="X154" s="18"/>
    </row>
    <row r="155" spans="1:24" ht="14.4">
      <c r="A155" s="4">
        <v>31401</v>
      </c>
      <c r="B155" s="8">
        <v>2</v>
      </c>
      <c r="C155" s="8">
        <v>0.77777779102325439</v>
      </c>
      <c r="D155" s="8">
        <v>10</v>
      </c>
      <c r="E155" s="9">
        <f t="shared" si="50"/>
        <v>0.2</v>
      </c>
      <c r="F155" s="10">
        <f t="shared" si="64"/>
        <v>0.3888888955116272</v>
      </c>
      <c r="G155" s="10">
        <f t="shared" si="65"/>
        <v>7.7777779102325445E-2</v>
      </c>
      <c r="H155" s="4">
        <v>31401</v>
      </c>
      <c r="I155" s="8">
        <v>12</v>
      </c>
      <c r="J155" s="8">
        <v>4.7777779102325439</v>
      </c>
      <c r="K155" s="8">
        <v>59</v>
      </c>
      <c r="L155" s="10">
        <f t="shared" si="3"/>
        <v>0.20338983050847459</v>
      </c>
      <c r="M155" s="11">
        <f t="shared" si="62"/>
        <v>0.39814815918604535</v>
      </c>
      <c r="N155" s="11">
        <f t="shared" si="63"/>
        <v>8.0979286614110926E-2</v>
      </c>
      <c r="O155" s="12">
        <f t="shared" si="67"/>
        <v>1.0411622387362531</v>
      </c>
      <c r="Q155" s="17"/>
      <c r="X155" s="18"/>
    </row>
    <row r="156" spans="1:24" ht="14.4">
      <c r="A156" s="4">
        <v>31402</v>
      </c>
      <c r="B156" s="8">
        <v>6</v>
      </c>
      <c r="C156" s="8">
        <v>2.3333333730697632</v>
      </c>
      <c r="D156" s="8">
        <v>13</v>
      </c>
      <c r="E156" s="9">
        <f t="shared" si="50"/>
        <v>0.46153846153846156</v>
      </c>
      <c r="F156" s="10">
        <f t="shared" si="64"/>
        <v>0.3888888955116272</v>
      </c>
      <c r="G156" s="10">
        <f t="shared" si="65"/>
        <v>0.17948718254382795</v>
      </c>
      <c r="H156" s="4">
        <v>31402</v>
      </c>
      <c r="I156" s="8">
        <v>31</v>
      </c>
      <c r="J156" s="8">
        <v>11.888889104127884</v>
      </c>
      <c r="K156" s="8">
        <v>96</v>
      </c>
      <c r="L156" s="10">
        <f t="shared" si="3"/>
        <v>0.32291666666666669</v>
      </c>
      <c r="M156" s="11">
        <f t="shared" si="62"/>
        <v>0.38351255174606075</v>
      </c>
      <c r="N156" s="11">
        <f t="shared" si="63"/>
        <v>0.12384259483466546</v>
      </c>
      <c r="O156" s="12">
        <f t="shared" si="67"/>
        <v>0.68998015947141544</v>
      </c>
      <c r="Q156" s="17"/>
      <c r="X156" s="18"/>
    </row>
    <row r="157" spans="1:24" ht="14.4">
      <c r="A157" s="4">
        <v>31403</v>
      </c>
      <c r="B157" s="8">
        <v>1</v>
      </c>
      <c r="C157" s="8">
        <v>0.4444444477558136</v>
      </c>
      <c r="D157" s="8">
        <v>1</v>
      </c>
      <c r="E157" s="9">
        <f t="shared" si="50"/>
        <v>1</v>
      </c>
      <c r="F157" s="10">
        <f t="shared" si="64"/>
        <v>0.4444444477558136</v>
      </c>
      <c r="G157" s="10">
        <f t="shared" si="65"/>
        <v>0.4444444477558136</v>
      </c>
      <c r="H157" s="4">
        <v>31403</v>
      </c>
      <c r="I157" s="8">
        <v>18</v>
      </c>
      <c r="J157" s="8">
        <v>7.5555557608604431</v>
      </c>
      <c r="K157" s="8">
        <v>49</v>
      </c>
      <c r="L157" s="10">
        <f t="shared" si="3"/>
        <v>0.36734693877551022</v>
      </c>
      <c r="M157" s="11">
        <f t="shared" si="62"/>
        <v>0.41975309782558018</v>
      </c>
      <c r="N157" s="11">
        <f t="shared" si="63"/>
        <v>0.15419501552776416</v>
      </c>
      <c r="O157" s="12">
        <f t="shared" si="67"/>
        <v>0.34693878235257397</v>
      </c>
      <c r="Q157" s="17"/>
      <c r="X157" s="18"/>
    </row>
    <row r="158" spans="1:24" ht="14.4">
      <c r="A158" s="4">
        <v>31404</v>
      </c>
      <c r="B158" s="20" t="s">
        <v>22</v>
      </c>
      <c r="C158" s="20" t="s">
        <v>22</v>
      </c>
      <c r="D158" s="20" t="s">
        <v>22</v>
      </c>
      <c r="E158" s="20" t="s">
        <v>22</v>
      </c>
      <c r="F158" s="20" t="s">
        <v>22</v>
      </c>
      <c r="G158" s="20" t="s">
        <v>22</v>
      </c>
      <c r="H158" s="4">
        <v>31404</v>
      </c>
      <c r="I158" s="8">
        <v>10</v>
      </c>
      <c r="J158" s="8">
        <v>4.8888890445232391</v>
      </c>
      <c r="K158" s="8">
        <v>16</v>
      </c>
      <c r="L158" s="10">
        <f t="shared" si="3"/>
        <v>0.625</v>
      </c>
      <c r="M158" s="11">
        <f t="shared" si="62"/>
        <v>0.48888890445232391</v>
      </c>
      <c r="N158" s="11">
        <f t="shared" si="63"/>
        <v>0.30555556528270245</v>
      </c>
      <c r="O158" s="12" t="s">
        <v>22</v>
      </c>
      <c r="Q158" s="17"/>
      <c r="X158" s="18"/>
    </row>
    <row r="159" spans="1:24" ht="14.4">
      <c r="A159" s="4">
        <v>31405</v>
      </c>
      <c r="B159" s="8">
        <v>1</v>
      </c>
      <c r="C159" s="8">
        <v>0.66666668653488159</v>
      </c>
      <c r="D159" s="8">
        <v>1</v>
      </c>
      <c r="E159" s="9">
        <f t="shared" ref="E159:E175" si="68">B159/D159</f>
        <v>1</v>
      </c>
      <c r="F159" s="10">
        <f t="shared" ref="F159:F175" si="69">C159/B159</f>
        <v>0.66666668653488159</v>
      </c>
      <c r="G159" s="10">
        <f t="shared" ref="G159:G175" si="70">E159*F159</f>
        <v>0.66666668653488159</v>
      </c>
      <c r="H159" s="4">
        <v>31405</v>
      </c>
      <c r="I159" s="8">
        <v>15</v>
      </c>
      <c r="J159" s="8">
        <v>6.7777779698371887</v>
      </c>
      <c r="K159" s="8">
        <v>31</v>
      </c>
      <c r="L159" s="10">
        <f t="shared" si="3"/>
        <v>0.4838709677419355</v>
      </c>
      <c r="M159" s="11">
        <f t="shared" si="62"/>
        <v>0.45185186465581256</v>
      </c>
      <c r="N159" s="11">
        <f t="shared" si="63"/>
        <v>0.21863799902700609</v>
      </c>
      <c r="O159" s="12">
        <f t="shared" ref="O159:O169" si="71">N159/G159</f>
        <v>0.32795698876662921</v>
      </c>
      <c r="Q159" s="17"/>
      <c r="X159" s="18"/>
    </row>
    <row r="160" spans="1:24" ht="14.4">
      <c r="A160" s="4">
        <v>31501</v>
      </c>
      <c r="B160" s="8">
        <v>5</v>
      </c>
      <c r="C160" s="8">
        <v>2.2222222983837128</v>
      </c>
      <c r="D160" s="8">
        <v>10</v>
      </c>
      <c r="E160" s="9">
        <f t="shared" si="68"/>
        <v>0.5</v>
      </c>
      <c r="F160" s="10">
        <f t="shared" si="69"/>
        <v>0.44444445967674256</v>
      </c>
      <c r="G160" s="10">
        <f t="shared" si="70"/>
        <v>0.22222222983837128</v>
      </c>
      <c r="H160" s="4">
        <v>31501</v>
      </c>
      <c r="I160" s="8">
        <v>56</v>
      </c>
      <c r="J160" s="8">
        <v>23.555556118488312</v>
      </c>
      <c r="K160" s="8">
        <v>98</v>
      </c>
      <c r="L160" s="10">
        <f t="shared" si="3"/>
        <v>0.5714285714285714</v>
      </c>
      <c r="M160" s="11">
        <f t="shared" si="62"/>
        <v>0.4206349306872913</v>
      </c>
      <c r="N160" s="11">
        <f t="shared" si="63"/>
        <v>0.24036281753559502</v>
      </c>
      <c r="O160" s="12">
        <f t="shared" si="71"/>
        <v>1.0816326418397382</v>
      </c>
      <c r="Q160" s="17"/>
      <c r="X160" s="18"/>
    </row>
    <row r="161" spans="1:24" ht="14.4">
      <c r="A161" s="4">
        <v>31601</v>
      </c>
      <c r="B161" s="8">
        <v>3</v>
      </c>
      <c r="C161" s="8">
        <v>1.222222238779068</v>
      </c>
      <c r="D161" s="8">
        <v>9</v>
      </c>
      <c r="E161" s="9">
        <f t="shared" si="68"/>
        <v>0.33333333333333331</v>
      </c>
      <c r="F161" s="10">
        <f t="shared" si="69"/>
        <v>0.40740741292635602</v>
      </c>
      <c r="G161" s="10">
        <f t="shared" si="70"/>
        <v>0.13580247097545201</v>
      </c>
      <c r="H161" s="4">
        <v>31601</v>
      </c>
      <c r="I161" s="8">
        <v>26</v>
      </c>
      <c r="J161" s="8">
        <v>10.777778059244156</v>
      </c>
      <c r="K161" s="8">
        <v>69</v>
      </c>
      <c r="L161" s="10">
        <f t="shared" si="3"/>
        <v>0.37681159420289856</v>
      </c>
      <c r="M161" s="11">
        <f t="shared" si="62"/>
        <v>0.41452992535554445</v>
      </c>
      <c r="N161" s="11">
        <f t="shared" si="63"/>
        <v>0.15619968201803125</v>
      </c>
      <c r="O161" s="12">
        <f t="shared" si="71"/>
        <v>1.1501976429152478</v>
      </c>
      <c r="Q161" s="17"/>
      <c r="X161" s="18"/>
    </row>
    <row r="162" spans="1:24" ht="14.4">
      <c r="A162" s="4">
        <v>31602</v>
      </c>
      <c r="B162" s="8">
        <v>44</v>
      </c>
      <c r="C162" s="8">
        <v>18.555555880069733</v>
      </c>
      <c r="D162" s="8">
        <v>79</v>
      </c>
      <c r="E162" s="9">
        <f t="shared" si="68"/>
        <v>0.55696202531645567</v>
      </c>
      <c r="F162" s="10">
        <f t="shared" si="69"/>
        <v>0.4217171790924939</v>
      </c>
      <c r="G162" s="10">
        <f t="shared" si="70"/>
        <v>0.23488045417809786</v>
      </c>
      <c r="H162" s="4">
        <v>31602</v>
      </c>
      <c r="I162" s="8">
        <v>129</v>
      </c>
      <c r="J162" s="8">
        <v>56.222223550081253</v>
      </c>
      <c r="K162" s="8">
        <v>253</v>
      </c>
      <c r="L162" s="10">
        <f t="shared" si="3"/>
        <v>0.50988142292490124</v>
      </c>
      <c r="M162" s="11">
        <f t="shared" si="62"/>
        <v>0.43583119031070738</v>
      </c>
      <c r="N162" s="11">
        <f t="shared" si="63"/>
        <v>0.22222222747067691</v>
      </c>
      <c r="O162" s="12">
        <f t="shared" si="71"/>
        <v>0.94610779023007652</v>
      </c>
      <c r="Q162" s="17"/>
      <c r="X162" s="18"/>
    </row>
    <row r="163" spans="1:24" ht="14.4">
      <c r="A163" s="4">
        <v>40101</v>
      </c>
      <c r="B163" s="8">
        <v>54</v>
      </c>
      <c r="C163" s="8">
        <v>22.77777835726738</v>
      </c>
      <c r="D163" s="8">
        <v>172</v>
      </c>
      <c r="E163" s="9">
        <f t="shared" si="68"/>
        <v>0.31395348837209303</v>
      </c>
      <c r="F163" s="10">
        <f t="shared" si="69"/>
        <v>0.4218107103197663</v>
      </c>
      <c r="G163" s="10">
        <f t="shared" si="70"/>
        <v>0.13242894393760105</v>
      </c>
      <c r="H163" s="4">
        <v>40101</v>
      </c>
      <c r="I163" s="8">
        <v>322</v>
      </c>
      <c r="J163" s="8">
        <v>135.88889238238335</v>
      </c>
      <c r="K163" s="8">
        <v>1622</v>
      </c>
      <c r="L163" s="10">
        <f t="shared" si="3"/>
        <v>0.19852034525277434</v>
      </c>
      <c r="M163" s="11">
        <f t="shared" si="62"/>
        <v>0.42201519373410978</v>
      </c>
      <c r="N163" s="11">
        <f t="shared" si="63"/>
        <v>8.3778601962011923E-2</v>
      </c>
      <c r="O163" s="12">
        <f t="shared" si="71"/>
        <v>0.63263059774521357</v>
      </c>
      <c r="Q163" s="17"/>
      <c r="X163" s="18"/>
    </row>
    <row r="164" spans="1:24" ht="14.4">
      <c r="A164" s="4">
        <v>40102</v>
      </c>
      <c r="B164" s="8">
        <v>47</v>
      </c>
      <c r="C164" s="8">
        <v>22.111111789941788</v>
      </c>
      <c r="D164" s="8">
        <v>52</v>
      </c>
      <c r="E164" s="9">
        <f t="shared" si="68"/>
        <v>0.90384615384615385</v>
      </c>
      <c r="F164" s="10">
        <f t="shared" si="69"/>
        <v>0.47044918702003802</v>
      </c>
      <c r="G164" s="10">
        <f t="shared" si="70"/>
        <v>0.42521368826811129</v>
      </c>
      <c r="H164" s="4">
        <v>40102</v>
      </c>
      <c r="I164" s="8">
        <v>330</v>
      </c>
      <c r="J164" s="8">
        <v>145.33333683013916</v>
      </c>
      <c r="K164" s="8">
        <v>525</v>
      </c>
      <c r="L164" s="10">
        <f t="shared" si="3"/>
        <v>0.62857142857142856</v>
      </c>
      <c r="M164" s="11">
        <f t="shared" si="62"/>
        <v>0.44040405100042168</v>
      </c>
      <c r="N164" s="11">
        <f t="shared" si="63"/>
        <v>0.27682540348597934</v>
      </c>
      <c r="O164" s="12">
        <f t="shared" si="71"/>
        <v>0.65102655705531232</v>
      </c>
      <c r="Q164" s="17"/>
      <c r="X164" s="18"/>
    </row>
    <row r="165" spans="1:24" ht="14.4">
      <c r="A165" s="4">
        <v>40103</v>
      </c>
      <c r="B165" s="8">
        <v>8</v>
      </c>
      <c r="C165" s="8">
        <v>3.666666716337204</v>
      </c>
      <c r="D165" s="8">
        <v>10</v>
      </c>
      <c r="E165" s="9">
        <f t="shared" si="68"/>
        <v>0.8</v>
      </c>
      <c r="F165" s="10">
        <f t="shared" si="69"/>
        <v>0.4583333395421505</v>
      </c>
      <c r="G165" s="10">
        <f t="shared" si="70"/>
        <v>0.36666667163372041</v>
      </c>
      <c r="H165" s="4">
        <v>40103</v>
      </c>
      <c r="I165" s="8">
        <v>80</v>
      </c>
      <c r="J165" s="8">
        <v>38.888889580965042</v>
      </c>
      <c r="K165" s="8">
        <v>82</v>
      </c>
      <c r="L165" s="10">
        <f t="shared" si="3"/>
        <v>0.97560975609756095</v>
      </c>
      <c r="M165" s="11">
        <f t="shared" si="62"/>
        <v>0.486111119762063</v>
      </c>
      <c r="N165" s="11">
        <f t="shared" si="63"/>
        <v>0.47425475098737851</v>
      </c>
      <c r="O165" s="12">
        <f t="shared" si="71"/>
        <v>1.2934220306260411</v>
      </c>
      <c r="Q165" s="17"/>
      <c r="X165" s="18"/>
    </row>
    <row r="166" spans="1:24" ht="14.4">
      <c r="A166" s="4">
        <v>40104</v>
      </c>
      <c r="B166" s="8">
        <v>1</v>
      </c>
      <c r="C166" s="8">
        <v>0.3333333432674408</v>
      </c>
      <c r="D166" s="8">
        <v>11</v>
      </c>
      <c r="E166" s="9">
        <f t="shared" si="68"/>
        <v>9.0909090909090912E-2</v>
      </c>
      <c r="F166" s="10">
        <f t="shared" si="69"/>
        <v>0.3333333432674408</v>
      </c>
      <c r="G166" s="10">
        <f t="shared" si="70"/>
        <v>3.0303031206130981E-2</v>
      </c>
      <c r="H166" s="4">
        <v>40104</v>
      </c>
      <c r="I166" s="8">
        <v>82</v>
      </c>
      <c r="J166" s="8">
        <v>36.55555647611618</v>
      </c>
      <c r="K166" s="8">
        <v>169</v>
      </c>
      <c r="L166" s="10">
        <f t="shared" si="3"/>
        <v>0.48520710059171596</v>
      </c>
      <c r="M166" s="11">
        <f t="shared" si="62"/>
        <v>0.44579946922092906</v>
      </c>
      <c r="N166" s="11">
        <f t="shared" si="63"/>
        <v>0.21630506790601289</v>
      </c>
      <c r="O166" s="12">
        <f t="shared" si="71"/>
        <v>7.138067028167451</v>
      </c>
      <c r="Q166" s="17"/>
      <c r="X166" s="18"/>
    </row>
    <row r="167" spans="1:24" ht="14.4">
      <c r="A167" s="4">
        <v>40201</v>
      </c>
      <c r="B167" s="8">
        <v>28</v>
      </c>
      <c r="C167" s="8">
        <v>13.111111372709274</v>
      </c>
      <c r="D167" s="8">
        <v>42</v>
      </c>
      <c r="E167" s="9">
        <f t="shared" si="68"/>
        <v>0.66666666666666663</v>
      </c>
      <c r="F167" s="10">
        <f t="shared" si="69"/>
        <v>0.4682539775967598</v>
      </c>
      <c r="G167" s="10">
        <f t="shared" si="70"/>
        <v>0.31216931839783985</v>
      </c>
      <c r="H167" s="4">
        <v>40201</v>
      </c>
      <c r="I167" s="8">
        <v>312</v>
      </c>
      <c r="J167" s="8">
        <v>131.22222554683685</v>
      </c>
      <c r="K167" s="8">
        <v>565</v>
      </c>
      <c r="L167" s="10">
        <f t="shared" si="3"/>
        <v>0.55221238938053097</v>
      </c>
      <c r="M167" s="11">
        <f t="shared" si="62"/>
        <v>0.42058405623986173</v>
      </c>
      <c r="N167" s="11">
        <f t="shared" si="63"/>
        <v>0.23225172663156965</v>
      </c>
      <c r="O167" s="12">
        <f t="shared" si="71"/>
        <v>0.7439928043651608</v>
      </c>
      <c r="Q167" s="17"/>
      <c r="X167" s="18"/>
    </row>
    <row r="168" spans="1:24" ht="14.4">
      <c r="A168" s="4">
        <v>40202</v>
      </c>
      <c r="B168" s="8">
        <v>4</v>
      </c>
      <c r="C168" s="8">
        <v>1.8888889253139496</v>
      </c>
      <c r="D168" s="8">
        <v>8</v>
      </c>
      <c r="E168" s="9">
        <f t="shared" si="68"/>
        <v>0.5</v>
      </c>
      <c r="F168" s="10">
        <f t="shared" si="69"/>
        <v>0.4722222313284874</v>
      </c>
      <c r="G168" s="10">
        <f t="shared" si="70"/>
        <v>0.2361111156642437</v>
      </c>
      <c r="H168" s="4">
        <v>40202</v>
      </c>
      <c r="I168" s="8">
        <v>57</v>
      </c>
      <c r="J168" s="8">
        <v>23.555556178092957</v>
      </c>
      <c r="K168" s="8">
        <v>147</v>
      </c>
      <c r="L168" s="10">
        <f t="shared" si="3"/>
        <v>0.38775510204081631</v>
      </c>
      <c r="M168" s="11">
        <f t="shared" si="62"/>
        <v>0.41325537154549047</v>
      </c>
      <c r="N168" s="11">
        <f t="shared" si="63"/>
        <v>0.16024187876253712</v>
      </c>
      <c r="O168" s="12">
        <f t="shared" si="71"/>
        <v>0.67867147343628387</v>
      </c>
      <c r="Q168" s="17"/>
      <c r="X168" s="18"/>
    </row>
    <row r="169" spans="1:24" ht="14.4">
      <c r="A169" s="4">
        <v>40301</v>
      </c>
      <c r="B169" s="8">
        <v>1</v>
      </c>
      <c r="C169" s="8">
        <v>0.4444444477558136</v>
      </c>
      <c r="D169" s="8">
        <v>4</v>
      </c>
      <c r="E169" s="9">
        <f t="shared" si="68"/>
        <v>0.25</v>
      </c>
      <c r="F169" s="10">
        <f t="shared" si="69"/>
        <v>0.4444444477558136</v>
      </c>
      <c r="G169" s="10">
        <f t="shared" si="70"/>
        <v>0.1111111119389534</v>
      </c>
      <c r="H169" s="4">
        <v>40301</v>
      </c>
      <c r="I169" s="8">
        <v>116</v>
      </c>
      <c r="J169" s="8">
        <v>52.777779132127762</v>
      </c>
      <c r="K169" s="8">
        <v>188</v>
      </c>
      <c r="L169" s="10">
        <f t="shared" si="3"/>
        <v>0.61702127659574468</v>
      </c>
      <c r="M169" s="11">
        <f t="shared" si="62"/>
        <v>0.4549808545873083</v>
      </c>
      <c r="N169" s="11">
        <f t="shared" si="63"/>
        <v>0.28073286772408385</v>
      </c>
      <c r="O169" s="12">
        <f t="shared" si="71"/>
        <v>2.526595790692149</v>
      </c>
      <c r="Q169" s="17"/>
      <c r="X169" s="18"/>
    </row>
    <row r="170" spans="1:24" ht="14.4">
      <c r="A170" s="4">
        <v>40302</v>
      </c>
      <c r="B170" s="8">
        <v>0</v>
      </c>
      <c r="C170" s="8">
        <v>0</v>
      </c>
      <c r="D170" s="8">
        <v>1</v>
      </c>
      <c r="E170" s="9">
        <f t="shared" si="68"/>
        <v>0</v>
      </c>
      <c r="F170" s="10" t="e">
        <f t="shared" si="69"/>
        <v>#DIV/0!</v>
      </c>
      <c r="G170" s="10" t="e">
        <f t="shared" si="70"/>
        <v>#DIV/0!</v>
      </c>
      <c r="H170" s="4">
        <v>40302</v>
      </c>
      <c r="I170" s="8">
        <v>2</v>
      </c>
      <c r="J170" s="8">
        <v>0.77777779102325439</v>
      </c>
      <c r="K170" s="8">
        <v>14</v>
      </c>
      <c r="L170" s="10">
        <f t="shared" si="3"/>
        <v>0.14285714285714285</v>
      </c>
      <c r="M170" s="11">
        <f t="shared" si="62"/>
        <v>0.3888888955116272</v>
      </c>
      <c r="N170" s="11">
        <f t="shared" si="63"/>
        <v>5.5555556501661024E-2</v>
      </c>
      <c r="O170" s="12" t="s">
        <v>22</v>
      </c>
      <c r="Q170" s="17"/>
      <c r="X170" s="18"/>
    </row>
    <row r="171" spans="1:24" ht="14.4">
      <c r="A171" s="4">
        <v>40401</v>
      </c>
      <c r="B171" s="8">
        <v>1</v>
      </c>
      <c r="C171" s="8">
        <v>0.4444444477558136</v>
      </c>
      <c r="D171" s="8">
        <v>2</v>
      </c>
      <c r="E171" s="9">
        <f t="shared" si="68"/>
        <v>0.5</v>
      </c>
      <c r="F171" s="10">
        <f t="shared" si="69"/>
        <v>0.4444444477558136</v>
      </c>
      <c r="G171" s="10">
        <f t="shared" si="70"/>
        <v>0.2222222238779068</v>
      </c>
      <c r="H171" s="4">
        <v>40401</v>
      </c>
      <c r="I171" s="8">
        <v>16</v>
      </c>
      <c r="J171" s="8">
        <v>6.5555557012557983</v>
      </c>
      <c r="K171" s="8">
        <v>45</v>
      </c>
      <c r="L171" s="10">
        <f t="shared" si="3"/>
        <v>0.35555555555555557</v>
      </c>
      <c r="M171" s="11">
        <f t="shared" si="62"/>
        <v>0.4097222313284874</v>
      </c>
      <c r="N171" s="11">
        <f t="shared" si="63"/>
        <v>0.14567901558346219</v>
      </c>
      <c r="O171" s="12">
        <f t="shared" ref="O171:O172" si="72">N171/G171</f>
        <v>0.65555556524131031</v>
      </c>
      <c r="Q171" s="17"/>
      <c r="X171" s="18"/>
    </row>
    <row r="172" spans="1:24" ht="14.4">
      <c r="A172" s="4">
        <v>40402</v>
      </c>
      <c r="B172" s="8">
        <v>10</v>
      </c>
      <c r="C172" s="8">
        <v>4.8888889849185944</v>
      </c>
      <c r="D172" s="8">
        <v>21</v>
      </c>
      <c r="E172" s="9">
        <f t="shared" si="68"/>
        <v>0.47619047619047616</v>
      </c>
      <c r="F172" s="10">
        <f t="shared" si="69"/>
        <v>0.48888889849185946</v>
      </c>
      <c r="G172" s="10">
        <f t="shared" si="70"/>
        <v>0.23280423737707592</v>
      </c>
      <c r="H172" s="4">
        <v>40402</v>
      </c>
      <c r="I172" s="8">
        <v>43</v>
      </c>
      <c r="J172" s="8">
        <v>18.333333730697632</v>
      </c>
      <c r="K172" s="8">
        <v>141</v>
      </c>
      <c r="L172" s="10">
        <f t="shared" si="3"/>
        <v>0.30496453900709219</v>
      </c>
      <c r="M172" s="11">
        <f t="shared" si="62"/>
        <v>0.42635659838831702</v>
      </c>
      <c r="N172" s="11">
        <f t="shared" si="63"/>
        <v>0.13002364348012505</v>
      </c>
      <c r="O172" s="12">
        <f t="shared" si="72"/>
        <v>0.55851063943275281</v>
      </c>
      <c r="Q172" s="17"/>
      <c r="X172" s="18"/>
    </row>
    <row r="173" spans="1:24" ht="14.4">
      <c r="A173" s="4">
        <v>40501</v>
      </c>
      <c r="B173" s="8">
        <v>0</v>
      </c>
      <c r="C173" s="8">
        <v>0</v>
      </c>
      <c r="D173" s="8">
        <v>1</v>
      </c>
      <c r="E173" s="9">
        <f t="shared" si="68"/>
        <v>0</v>
      </c>
      <c r="F173" s="10" t="e">
        <f t="shared" si="69"/>
        <v>#DIV/0!</v>
      </c>
      <c r="G173" s="10" t="e">
        <f t="shared" si="70"/>
        <v>#DIV/0!</v>
      </c>
      <c r="H173" s="4">
        <v>40501</v>
      </c>
      <c r="I173" s="8">
        <v>1</v>
      </c>
      <c r="J173" s="8">
        <v>0.3333333432674408</v>
      </c>
      <c r="K173" s="8">
        <v>18</v>
      </c>
      <c r="L173" s="10">
        <f t="shared" si="3"/>
        <v>5.5555555555555552E-2</v>
      </c>
      <c r="M173" s="11">
        <f t="shared" si="62"/>
        <v>0.3333333432674408</v>
      </c>
      <c r="N173" s="11">
        <f t="shared" si="63"/>
        <v>1.8518519070413377E-2</v>
      </c>
      <c r="O173" s="12" t="s">
        <v>22</v>
      </c>
      <c r="Q173" s="17"/>
      <c r="X173" s="18"/>
    </row>
    <row r="174" spans="1:24" ht="14.4">
      <c r="A174" s="4">
        <v>40502</v>
      </c>
      <c r="B174" s="8">
        <v>1</v>
      </c>
      <c r="C174" s="8">
        <v>0.3333333432674408</v>
      </c>
      <c r="D174" s="8">
        <v>3</v>
      </c>
      <c r="E174" s="9">
        <f t="shared" si="68"/>
        <v>0.33333333333333331</v>
      </c>
      <c r="F174" s="10">
        <f t="shared" si="69"/>
        <v>0.3333333432674408</v>
      </c>
      <c r="G174" s="10">
        <f t="shared" si="70"/>
        <v>0.11111111442248026</v>
      </c>
      <c r="H174" s="4">
        <v>40502</v>
      </c>
      <c r="I174" s="8">
        <v>78</v>
      </c>
      <c r="J174" s="8">
        <v>36.888889908790588</v>
      </c>
      <c r="K174" s="8">
        <v>121</v>
      </c>
      <c r="L174" s="10">
        <f t="shared" si="3"/>
        <v>0.64462809917355368</v>
      </c>
      <c r="M174" s="11">
        <f t="shared" si="62"/>
        <v>0.47293448601013577</v>
      </c>
      <c r="N174" s="11">
        <f t="shared" si="63"/>
        <v>0.30486685875033542</v>
      </c>
      <c r="O174" s="12">
        <f t="shared" ref="O174:O175" si="73">N174/G174</f>
        <v>2.7438016469813578</v>
      </c>
      <c r="Q174" s="17"/>
      <c r="X174" s="18"/>
    </row>
    <row r="175" spans="1:24" ht="14.4">
      <c r="A175" s="4">
        <v>40503</v>
      </c>
      <c r="B175" s="8">
        <v>12</v>
      </c>
      <c r="C175" s="8">
        <v>5.3333334028720856</v>
      </c>
      <c r="D175" s="8">
        <v>12</v>
      </c>
      <c r="E175" s="9">
        <f t="shared" si="68"/>
        <v>1</v>
      </c>
      <c r="F175" s="10">
        <f t="shared" si="69"/>
        <v>0.44444445023934048</v>
      </c>
      <c r="G175" s="10">
        <f t="shared" si="70"/>
        <v>0.44444445023934048</v>
      </c>
      <c r="H175" s="4">
        <v>40503</v>
      </c>
      <c r="I175" s="8">
        <v>8</v>
      </c>
      <c r="J175" s="8">
        <v>3.4444445073604584</v>
      </c>
      <c r="K175" s="8">
        <v>8</v>
      </c>
      <c r="L175" s="10">
        <f t="shared" si="3"/>
        <v>1</v>
      </c>
      <c r="M175" s="11">
        <f t="shared" si="62"/>
        <v>0.4305555634200573</v>
      </c>
      <c r="N175" s="11">
        <f t="shared" si="63"/>
        <v>0.4305555634200573</v>
      </c>
      <c r="O175" s="12">
        <f t="shared" si="73"/>
        <v>0.96875000506406639</v>
      </c>
      <c r="Q175" s="17"/>
      <c r="X175" s="18"/>
    </row>
    <row r="176" spans="1:24" ht="14.4">
      <c r="A176" s="4">
        <v>40504</v>
      </c>
      <c r="H176" s="4">
        <v>40504</v>
      </c>
      <c r="I176" s="8">
        <v>10</v>
      </c>
      <c r="J176" s="8">
        <v>4.3333333730697632</v>
      </c>
      <c r="K176" s="8">
        <v>11</v>
      </c>
      <c r="L176" s="10">
        <f t="shared" si="3"/>
        <v>0.90909090909090906</v>
      </c>
      <c r="M176" s="11">
        <f t="shared" si="62"/>
        <v>0.43333333730697632</v>
      </c>
      <c r="N176" s="11">
        <f t="shared" si="63"/>
        <v>0.39393939755179663</v>
      </c>
      <c r="O176" s="12" t="s">
        <v>22</v>
      </c>
      <c r="Q176" s="17"/>
      <c r="X176" s="18"/>
    </row>
    <row r="177" spans="1:24" ht="14.4">
      <c r="A177" s="4">
        <v>40505</v>
      </c>
      <c r="B177" s="8">
        <v>0</v>
      </c>
      <c r="C177" s="8">
        <v>0</v>
      </c>
      <c r="D177" s="8">
        <v>2</v>
      </c>
      <c r="E177" s="9">
        <f t="shared" ref="E177:E222" si="74">B177/D177</f>
        <v>0</v>
      </c>
      <c r="F177" s="10" t="e">
        <f t="shared" ref="F177:F222" si="75">C177/B177</f>
        <v>#DIV/0!</v>
      </c>
      <c r="G177" s="10" t="e">
        <f t="shared" ref="G177:G222" si="76">E177*F177</f>
        <v>#DIV/0!</v>
      </c>
      <c r="H177" s="4">
        <v>40505</v>
      </c>
      <c r="I177" s="8">
        <v>19</v>
      </c>
      <c r="J177" s="8">
        <v>7.1111112534999847</v>
      </c>
      <c r="K177" s="8">
        <v>55</v>
      </c>
      <c r="L177" s="10">
        <f t="shared" si="3"/>
        <v>0.34545454545454546</v>
      </c>
      <c r="M177" s="11">
        <f t="shared" si="62"/>
        <v>0.37426901334210444</v>
      </c>
      <c r="N177" s="11">
        <f t="shared" si="63"/>
        <v>0.1292929318818179</v>
      </c>
      <c r="O177" s="12" t="s">
        <v>22</v>
      </c>
      <c r="Q177" s="17"/>
      <c r="X177" s="18"/>
    </row>
    <row r="178" spans="1:24" ht="14.4">
      <c r="A178" s="4">
        <v>40601</v>
      </c>
      <c r="B178" s="8">
        <v>5</v>
      </c>
      <c r="C178" s="8">
        <v>1.7777778208255768</v>
      </c>
      <c r="D178" s="8">
        <v>8</v>
      </c>
      <c r="E178" s="9">
        <f t="shared" si="74"/>
        <v>0.625</v>
      </c>
      <c r="F178" s="10">
        <f t="shared" si="75"/>
        <v>0.35555556416511536</v>
      </c>
      <c r="G178" s="10">
        <f t="shared" si="76"/>
        <v>0.2222222276031971</v>
      </c>
      <c r="H178" s="4">
        <v>40601</v>
      </c>
      <c r="I178" s="8">
        <v>141</v>
      </c>
      <c r="J178" s="8">
        <v>58.888890147209167</v>
      </c>
      <c r="K178" s="8">
        <v>227</v>
      </c>
      <c r="L178" s="10">
        <f t="shared" si="3"/>
        <v>0.62114537444933926</v>
      </c>
      <c r="M178" s="11">
        <f t="shared" si="62"/>
        <v>0.4176517031716962</v>
      </c>
      <c r="N178" s="11">
        <f t="shared" si="63"/>
        <v>0.25942242355598755</v>
      </c>
      <c r="O178" s="12">
        <f t="shared" ref="O178:O181" si="77">N178/G178</f>
        <v>1.1674008777340474</v>
      </c>
      <c r="Q178" s="17"/>
      <c r="X178" s="18"/>
    </row>
    <row r="179" spans="1:24" ht="14.4">
      <c r="A179" s="4">
        <v>40602</v>
      </c>
      <c r="B179" s="8">
        <v>8</v>
      </c>
      <c r="C179" s="8">
        <v>3.4444445371627808</v>
      </c>
      <c r="D179" s="8">
        <v>16</v>
      </c>
      <c r="E179" s="9">
        <f t="shared" si="74"/>
        <v>0.5</v>
      </c>
      <c r="F179" s="10">
        <f t="shared" si="75"/>
        <v>0.4305555671453476</v>
      </c>
      <c r="G179" s="10">
        <f t="shared" si="76"/>
        <v>0.2152777835726738</v>
      </c>
      <c r="H179" s="4">
        <v>40602</v>
      </c>
      <c r="I179" s="8">
        <v>60</v>
      </c>
      <c r="J179" s="8">
        <v>25.000000596046448</v>
      </c>
      <c r="K179" s="8">
        <v>141</v>
      </c>
      <c r="L179" s="10">
        <f t="shared" si="3"/>
        <v>0.42553191489361702</v>
      </c>
      <c r="M179" s="11">
        <f t="shared" si="62"/>
        <v>0.41666667660077411</v>
      </c>
      <c r="N179" s="11">
        <f t="shared" si="63"/>
        <v>0.17730496876628685</v>
      </c>
      <c r="O179" s="12">
        <f t="shared" si="77"/>
        <v>0.82361015532488502</v>
      </c>
      <c r="Q179" s="17"/>
      <c r="X179" s="18"/>
    </row>
    <row r="180" spans="1:24" ht="14.4">
      <c r="A180" s="4">
        <v>40603</v>
      </c>
      <c r="B180" s="8">
        <v>6</v>
      </c>
      <c r="C180" s="8">
        <v>2.3333333730697632</v>
      </c>
      <c r="D180" s="8">
        <v>10</v>
      </c>
      <c r="E180" s="9">
        <f t="shared" si="74"/>
        <v>0.6</v>
      </c>
      <c r="F180" s="10">
        <f t="shared" si="75"/>
        <v>0.3888888955116272</v>
      </c>
      <c r="G180" s="10">
        <f t="shared" si="76"/>
        <v>0.23333333730697631</v>
      </c>
      <c r="H180" s="4">
        <v>40603</v>
      </c>
      <c r="I180" s="8">
        <v>37</v>
      </c>
      <c r="J180" s="8">
        <v>14.888889163732529</v>
      </c>
      <c r="K180" s="8">
        <v>88</v>
      </c>
      <c r="L180" s="10">
        <f t="shared" si="3"/>
        <v>0.42045454545454547</v>
      </c>
      <c r="M180" s="11">
        <f t="shared" si="62"/>
        <v>0.40240240983060888</v>
      </c>
      <c r="N180" s="11">
        <f t="shared" si="63"/>
        <v>0.16919192231514238</v>
      </c>
      <c r="O180" s="12">
        <f t="shared" si="77"/>
        <v>0.72510822614494785</v>
      </c>
      <c r="Q180" s="17"/>
      <c r="X180" s="18"/>
    </row>
    <row r="181" spans="1:24" ht="14.4">
      <c r="A181" s="4">
        <v>40701</v>
      </c>
      <c r="B181" s="8">
        <v>2</v>
      </c>
      <c r="C181" s="8">
        <v>0.77777779102325439</v>
      </c>
      <c r="D181" s="8">
        <v>14</v>
      </c>
      <c r="E181" s="9">
        <f t="shared" si="74"/>
        <v>0.14285714285714285</v>
      </c>
      <c r="F181" s="10">
        <f t="shared" si="75"/>
        <v>0.3888888955116272</v>
      </c>
      <c r="G181" s="10">
        <f t="shared" si="76"/>
        <v>5.5555556501661024E-2</v>
      </c>
      <c r="H181" s="4">
        <v>40701</v>
      </c>
      <c r="I181" s="8">
        <v>38</v>
      </c>
      <c r="J181" s="8">
        <v>15.444444745779037</v>
      </c>
      <c r="K181" s="8">
        <v>224</v>
      </c>
      <c r="L181" s="10">
        <f t="shared" si="3"/>
        <v>0.16964285714285715</v>
      </c>
      <c r="M181" s="11">
        <f t="shared" si="62"/>
        <v>0.40643275646786942</v>
      </c>
      <c r="N181" s="11">
        <f t="shared" si="63"/>
        <v>6.8948414043656425E-2</v>
      </c>
      <c r="O181" s="12">
        <f t="shared" si="77"/>
        <v>1.2410714316504952</v>
      </c>
      <c r="Q181" s="17"/>
      <c r="X181" s="18"/>
    </row>
    <row r="182" spans="1:24" ht="14.4">
      <c r="A182" s="4">
        <v>40702</v>
      </c>
      <c r="B182" s="8">
        <v>0</v>
      </c>
      <c r="C182" s="8">
        <v>0</v>
      </c>
      <c r="D182" s="8">
        <v>6</v>
      </c>
      <c r="E182" s="9">
        <f t="shared" si="74"/>
        <v>0</v>
      </c>
      <c r="F182" s="10" t="e">
        <f t="shared" si="75"/>
        <v>#DIV/0!</v>
      </c>
      <c r="G182" s="10" t="e">
        <f t="shared" si="76"/>
        <v>#DIV/0!</v>
      </c>
      <c r="H182" s="4">
        <v>40702</v>
      </c>
      <c r="I182" s="8">
        <v>10</v>
      </c>
      <c r="J182" s="8">
        <v>3.6666667759418488</v>
      </c>
      <c r="K182" s="8">
        <v>50</v>
      </c>
      <c r="L182" s="10">
        <f t="shared" si="3"/>
        <v>0.2</v>
      </c>
      <c r="M182" s="11">
        <f t="shared" si="62"/>
        <v>0.36666667759418486</v>
      </c>
      <c r="N182" s="11">
        <f t="shared" si="63"/>
        <v>7.3333335518836973E-2</v>
      </c>
      <c r="O182" s="12" t="s">
        <v>22</v>
      </c>
      <c r="Q182" s="17"/>
      <c r="X182" s="18"/>
    </row>
    <row r="183" spans="1:24" ht="14.4">
      <c r="A183" s="4">
        <v>40801</v>
      </c>
      <c r="B183" s="8">
        <v>20</v>
      </c>
      <c r="C183" s="8">
        <v>8.5555558502674103</v>
      </c>
      <c r="D183" s="8">
        <v>26</v>
      </c>
      <c r="E183" s="9">
        <f t="shared" si="74"/>
        <v>0.76923076923076927</v>
      </c>
      <c r="F183" s="10">
        <f t="shared" si="75"/>
        <v>0.4277777925133705</v>
      </c>
      <c r="G183" s="10">
        <f t="shared" si="76"/>
        <v>0.32905984039490038</v>
      </c>
      <c r="H183" s="4">
        <v>40801</v>
      </c>
      <c r="I183" s="8">
        <v>193</v>
      </c>
      <c r="J183" s="8">
        <v>76.555557399988174</v>
      </c>
      <c r="K183" s="8">
        <v>373</v>
      </c>
      <c r="L183" s="10">
        <f t="shared" si="3"/>
        <v>0.51742627345844505</v>
      </c>
      <c r="M183" s="11">
        <f t="shared" si="62"/>
        <v>0.39666091917092317</v>
      </c>
      <c r="N183" s="11">
        <f t="shared" si="63"/>
        <v>0.20524278123321227</v>
      </c>
      <c r="O183" s="12">
        <f t="shared" ref="O183:O185" si="78">N183/G183</f>
        <v>0.62372479421038773</v>
      </c>
      <c r="Q183" s="17"/>
      <c r="X183" s="18"/>
    </row>
    <row r="184" spans="1:24" ht="14.4">
      <c r="A184" s="4">
        <v>40802</v>
      </c>
      <c r="B184" s="8">
        <v>1</v>
      </c>
      <c r="C184" s="8">
        <v>0.4444444477558136</v>
      </c>
      <c r="D184" s="8">
        <v>1</v>
      </c>
      <c r="E184" s="9">
        <f t="shared" si="74"/>
        <v>1</v>
      </c>
      <c r="F184" s="10">
        <f t="shared" si="75"/>
        <v>0.4444444477558136</v>
      </c>
      <c r="G184" s="10">
        <f t="shared" si="76"/>
        <v>0.4444444477558136</v>
      </c>
      <c r="H184" s="4">
        <v>40802</v>
      </c>
      <c r="I184" s="8">
        <v>10</v>
      </c>
      <c r="J184" s="8">
        <v>4.6666668057441711</v>
      </c>
      <c r="K184" s="8">
        <v>29</v>
      </c>
      <c r="L184" s="10">
        <f t="shared" si="3"/>
        <v>0.34482758620689657</v>
      </c>
      <c r="M184" s="11">
        <f t="shared" si="62"/>
        <v>0.46666668057441713</v>
      </c>
      <c r="N184" s="11">
        <f t="shared" si="63"/>
        <v>0.16091954502566108</v>
      </c>
      <c r="O184" s="12">
        <f t="shared" si="78"/>
        <v>0.36206897361011336</v>
      </c>
      <c r="Q184" s="17"/>
      <c r="X184" s="18"/>
    </row>
    <row r="185" spans="1:24" ht="14.4">
      <c r="A185" s="4">
        <v>40901</v>
      </c>
      <c r="B185" s="8">
        <v>2</v>
      </c>
      <c r="C185" s="8">
        <v>0.77777779102325439</v>
      </c>
      <c r="D185" s="8">
        <v>17</v>
      </c>
      <c r="E185" s="9">
        <f t="shared" si="74"/>
        <v>0.11764705882352941</v>
      </c>
      <c r="F185" s="10">
        <f t="shared" si="75"/>
        <v>0.3888888955116272</v>
      </c>
      <c r="G185" s="10">
        <f t="shared" si="76"/>
        <v>4.5751634766073787E-2</v>
      </c>
      <c r="H185" s="4">
        <v>40901</v>
      </c>
      <c r="I185" s="8">
        <v>142</v>
      </c>
      <c r="J185" s="8">
        <v>55.555556952953339</v>
      </c>
      <c r="K185" s="8">
        <v>343</v>
      </c>
      <c r="L185" s="10">
        <f t="shared" si="3"/>
        <v>0.4139941690962099</v>
      </c>
      <c r="M185" s="11">
        <f t="shared" si="62"/>
        <v>0.39123631657009394</v>
      </c>
      <c r="N185" s="11">
        <f t="shared" si="63"/>
        <v>0.16196955379869779</v>
      </c>
      <c r="O185" s="12">
        <f t="shared" si="78"/>
        <v>3.5401916155967195</v>
      </c>
      <c r="Q185" s="17"/>
      <c r="X185" s="18"/>
    </row>
    <row r="186" spans="1:24" ht="14.4">
      <c r="A186" s="4">
        <v>40902</v>
      </c>
      <c r="B186" s="8">
        <v>0</v>
      </c>
      <c r="C186" s="8">
        <v>0</v>
      </c>
      <c r="D186" s="8">
        <v>2</v>
      </c>
      <c r="E186" s="9">
        <f t="shared" si="74"/>
        <v>0</v>
      </c>
      <c r="F186" s="10" t="e">
        <f t="shared" si="75"/>
        <v>#DIV/0!</v>
      </c>
      <c r="G186" s="10" t="e">
        <f t="shared" si="76"/>
        <v>#DIV/0!</v>
      </c>
      <c r="H186" s="4">
        <v>40902</v>
      </c>
      <c r="I186" s="8">
        <v>7</v>
      </c>
      <c r="J186" s="8">
        <v>2.7777778506278992</v>
      </c>
      <c r="K186" s="8">
        <v>35</v>
      </c>
      <c r="L186" s="10">
        <f t="shared" si="3"/>
        <v>0.2</v>
      </c>
      <c r="M186" s="11">
        <f t="shared" si="62"/>
        <v>0.39682540723255705</v>
      </c>
      <c r="N186" s="11">
        <f t="shared" si="63"/>
        <v>7.9365081446511415E-2</v>
      </c>
      <c r="O186" s="12" t="s">
        <v>22</v>
      </c>
      <c r="Q186" s="17"/>
      <c r="X186" s="18"/>
    </row>
    <row r="187" spans="1:24" ht="14.4">
      <c r="A187" s="4">
        <v>40903</v>
      </c>
      <c r="B187" s="8">
        <v>1</v>
      </c>
      <c r="C187" s="8">
        <v>0.55555558204650879</v>
      </c>
      <c r="D187" s="8">
        <v>2</v>
      </c>
      <c r="E187" s="9">
        <f t="shared" si="74"/>
        <v>0.5</v>
      </c>
      <c r="F187" s="10">
        <f t="shared" si="75"/>
        <v>0.55555558204650879</v>
      </c>
      <c r="G187" s="10">
        <f t="shared" si="76"/>
        <v>0.27777779102325439</v>
      </c>
      <c r="H187" s="4">
        <v>40903</v>
      </c>
      <c r="I187" s="8">
        <v>4</v>
      </c>
      <c r="J187" s="8">
        <v>1.5555555820465088</v>
      </c>
      <c r="K187" s="8">
        <v>12</v>
      </c>
      <c r="L187" s="10">
        <f t="shared" si="3"/>
        <v>0.33333333333333331</v>
      </c>
      <c r="M187" s="11">
        <f t="shared" si="62"/>
        <v>0.3888888955116272</v>
      </c>
      <c r="N187" s="11">
        <f t="shared" si="63"/>
        <v>0.12962963183720905</v>
      </c>
      <c r="O187" s="12">
        <f t="shared" ref="O187:O193" si="79">N187/G187</f>
        <v>0.46666665236155253</v>
      </c>
      <c r="Q187" s="17"/>
      <c r="X187" s="18"/>
    </row>
    <row r="188" spans="1:24" ht="14.4">
      <c r="A188" s="4">
        <v>41001</v>
      </c>
      <c r="B188" s="8">
        <v>7</v>
      </c>
      <c r="C188" s="8">
        <v>3.2222222983837128</v>
      </c>
      <c r="D188" s="8">
        <v>15</v>
      </c>
      <c r="E188" s="9">
        <f t="shared" si="74"/>
        <v>0.46666666666666667</v>
      </c>
      <c r="F188" s="10">
        <f t="shared" si="75"/>
        <v>0.46031747119767324</v>
      </c>
      <c r="G188" s="10">
        <f t="shared" si="76"/>
        <v>0.21481481989224752</v>
      </c>
      <c r="H188" s="4">
        <v>41001</v>
      </c>
      <c r="I188" s="8">
        <v>160</v>
      </c>
      <c r="J188" s="8">
        <v>72.222223579883575</v>
      </c>
      <c r="K188" s="8">
        <v>213</v>
      </c>
      <c r="L188" s="10">
        <f t="shared" si="3"/>
        <v>0.75117370892018775</v>
      </c>
      <c r="M188" s="11">
        <f t="shared" si="62"/>
        <v>0.45138889737427235</v>
      </c>
      <c r="N188" s="11">
        <f t="shared" si="63"/>
        <v>0.33907147220602618</v>
      </c>
      <c r="O188" s="12">
        <f t="shared" si="79"/>
        <v>1.5784361264092794</v>
      </c>
      <c r="Q188" s="17"/>
      <c r="X188" s="18"/>
    </row>
    <row r="189" spans="1:24" ht="14.4">
      <c r="A189" s="4">
        <v>41101</v>
      </c>
      <c r="B189" s="8">
        <v>3</v>
      </c>
      <c r="C189" s="8">
        <v>1.222222238779068</v>
      </c>
      <c r="D189" s="8">
        <v>7</v>
      </c>
      <c r="E189" s="9">
        <f t="shared" si="74"/>
        <v>0.42857142857142855</v>
      </c>
      <c r="F189" s="10">
        <f t="shared" si="75"/>
        <v>0.40740741292635602</v>
      </c>
      <c r="G189" s="10">
        <f t="shared" si="76"/>
        <v>0.17460317696843827</v>
      </c>
      <c r="H189" s="4">
        <v>41101</v>
      </c>
      <c r="I189" s="8">
        <v>52</v>
      </c>
      <c r="J189" s="8">
        <v>21.000000447034836</v>
      </c>
      <c r="K189" s="8">
        <v>166</v>
      </c>
      <c r="L189" s="10">
        <f t="shared" si="3"/>
        <v>0.31325301204819278</v>
      </c>
      <c r="M189" s="11">
        <f t="shared" si="62"/>
        <v>0.40384616244297761</v>
      </c>
      <c r="N189" s="11">
        <f t="shared" si="63"/>
        <v>0.12650602678936648</v>
      </c>
      <c r="O189" s="12">
        <f t="shared" si="79"/>
        <v>0.72453450725145763</v>
      </c>
      <c r="Q189" s="17"/>
      <c r="X189" s="18"/>
    </row>
    <row r="190" spans="1:24" ht="14.4">
      <c r="A190" s="4">
        <v>41201</v>
      </c>
      <c r="B190" s="8">
        <v>2</v>
      </c>
      <c r="C190" s="8">
        <v>0.8888888955116272</v>
      </c>
      <c r="D190" s="8">
        <v>3</v>
      </c>
      <c r="E190" s="9">
        <f t="shared" si="74"/>
        <v>0.66666666666666663</v>
      </c>
      <c r="F190" s="10">
        <f t="shared" si="75"/>
        <v>0.4444444477558136</v>
      </c>
      <c r="G190" s="10">
        <f t="shared" si="76"/>
        <v>0.29629629850387573</v>
      </c>
      <c r="H190" s="4">
        <v>41201</v>
      </c>
      <c r="I190" s="8">
        <v>95</v>
      </c>
      <c r="J190" s="8">
        <v>40.44444528222084</v>
      </c>
      <c r="K190" s="8">
        <v>127</v>
      </c>
      <c r="L190" s="10">
        <f t="shared" si="3"/>
        <v>0.74803149606299213</v>
      </c>
      <c r="M190" s="11">
        <f t="shared" si="62"/>
        <v>0.42573100297074568</v>
      </c>
      <c r="N190" s="11">
        <f t="shared" si="63"/>
        <v>0.31846019907260503</v>
      </c>
      <c r="O190" s="12">
        <f t="shared" si="79"/>
        <v>1.0748031638621345</v>
      </c>
      <c r="Q190" s="17"/>
      <c r="X190" s="18"/>
    </row>
    <row r="191" spans="1:24" ht="14.4">
      <c r="A191" s="4">
        <v>41202</v>
      </c>
      <c r="B191" s="8">
        <v>2</v>
      </c>
      <c r="C191" s="8">
        <v>0.88888892531394958</v>
      </c>
      <c r="D191" s="8">
        <v>2</v>
      </c>
      <c r="E191" s="9">
        <f t="shared" si="74"/>
        <v>1</v>
      </c>
      <c r="F191" s="10">
        <f t="shared" si="75"/>
        <v>0.44444446265697479</v>
      </c>
      <c r="G191" s="10">
        <f t="shared" si="76"/>
        <v>0.44444446265697479</v>
      </c>
      <c r="H191" s="4">
        <v>41202</v>
      </c>
      <c r="I191" s="8">
        <v>33</v>
      </c>
      <c r="J191" s="8">
        <v>12.55555585026741</v>
      </c>
      <c r="K191" s="8">
        <v>85</v>
      </c>
      <c r="L191" s="10">
        <f t="shared" si="3"/>
        <v>0.38823529411764707</v>
      </c>
      <c r="M191" s="11">
        <f t="shared" si="62"/>
        <v>0.38047138940204273</v>
      </c>
      <c r="N191" s="11">
        <f t="shared" si="63"/>
        <v>0.14771242176785188</v>
      </c>
      <c r="O191" s="12">
        <f t="shared" si="79"/>
        <v>0.3323529353584439</v>
      </c>
      <c r="Q191" s="17"/>
      <c r="X191" s="18"/>
    </row>
    <row r="192" spans="1:24" ht="14.4">
      <c r="A192" s="4">
        <v>41301</v>
      </c>
      <c r="B192" s="8">
        <v>1</v>
      </c>
      <c r="C192" s="8">
        <v>0.4444444477558136</v>
      </c>
      <c r="D192" s="8">
        <v>1</v>
      </c>
      <c r="E192" s="9">
        <f t="shared" si="74"/>
        <v>1</v>
      </c>
      <c r="F192" s="10">
        <f t="shared" si="75"/>
        <v>0.4444444477558136</v>
      </c>
      <c r="G192" s="10">
        <f t="shared" si="76"/>
        <v>0.4444444477558136</v>
      </c>
      <c r="H192" s="4">
        <v>41301</v>
      </c>
      <c r="I192" s="8">
        <v>29</v>
      </c>
      <c r="J192" s="8">
        <v>12.222222477197647</v>
      </c>
      <c r="K192" s="8">
        <v>60</v>
      </c>
      <c r="L192" s="10">
        <f t="shared" si="3"/>
        <v>0.48333333333333334</v>
      </c>
      <c r="M192" s="11">
        <f t="shared" si="62"/>
        <v>0.42145594748957405</v>
      </c>
      <c r="N192" s="11">
        <f t="shared" si="63"/>
        <v>0.20370370795329412</v>
      </c>
      <c r="O192" s="12">
        <f t="shared" si="79"/>
        <v>0.45833333948006227</v>
      </c>
      <c r="Q192" s="17"/>
      <c r="X192" s="18"/>
    </row>
    <row r="193" spans="1:24" ht="14.4">
      <c r="A193" s="4">
        <v>41401</v>
      </c>
      <c r="B193" s="8">
        <v>4</v>
      </c>
      <c r="C193" s="8">
        <v>1.5555555820465088</v>
      </c>
      <c r="D193" s="8">
        <v>19</v>
      </c>
      <c r="E193" s="9">
        <f t="shared" si="74"/>
        <v>0.21052631578947367</v>
      </c>
      <c r="F193" s="10">
        <f t="shared" si="75"/>
        <v>0.3888888955116272</v>
      </c>
      <c r="G193" s="10">
        <f t="shared" si="76"/>
        <v>8.1871346423500455E-2</v>
      </c>
      <c r="H193" s="4">
        <v>41401</v>
      </c>
      <c r="I193" s="8">
        <v>176</v>
      </c>
      <c r="J193" s="8">
        <v>73.555557101964951</v>
      </c>
      <c r="K193" s="8">
        <v>383</v>
      </c>
      <c r="L193" s="10">
        <f t="shared" si="3"/>
        <v>0.45953002610966059</v>
      </c>
      <c r="M193" s="11">
        <f t="shared" si="62"/>
        <v>0.41792930171570997</v>
      </c>
      <c r="N193" s="11">
        <f t="shared" si="63"/>
        <v>0.19205106292941243</v>
      </c>
      <c r="O193" s="12">
        <f t="shared" si="79"/>
        <v>2.3457665144039437</v>
      </c>
      <c r="Q193" s="17"/>
      <c r="X193" s="18"/>
    </row>
    <row r="194" spans="1:24" ht="14.4">
      <c r="A194" s="4">
        <v>41501</v>
      </c>
      <c r="B194" s="8">
        <v>0</v>
      </c>
      <c r="C194" s="8">
        <v>0</v>
      </c>
      <c r="D194" s="8">
        <v>1</v>
      </c>
      <c r="E194" s="9">
        <f t="shared" si="74"/>
        <v>0</v>
      </c>
      <c r="F194" s="10" t="e">
        <f t="shared" si="75"/>
        <v>#DIV/0!</v>
      </c>
      <c r="G194" s="10" t="e">
        <f t="shared" si="76"/>
        <v>#DIV/0!</v>
      </c>
      <c r="H194" s="4">
        <v>41501</v>
      </c>
      <c r="I194" s="8">
        <v>9</v>
      </c>
      <c r="J194" s="8">
        <v>4.11111119389534</v>
      </c>
      <c r="K194" s="8">
        <v>16</v>
      </c>
      <c r="L194" s="10">
        <f t="shared" si="3"/>
        <v>0.5625</v>
      </c>
      <c r="M194" s="11">
        <f t="shared" si="62"/>
        <v>0.45679013265503776</v>
      </c>
      <c r="N194" s="11">
        <f t="shared" si="63"/>
        <v>0.25694444961845875</v>
      </c>
      <c r="O194" s="12" t="s">
        <v>22</v>
      </c>
      <c r="Q194" s="17"/>
      <c r="X194" s="18"/>
    </row>
    <row r="195" spans="1:24" ht="14.4">
      <c r="A195" s="4">
        <v>41502</v>
      </c>
      <c r="B195" s="8">
        <v>0</v>
      </c>
      <c r="C195" s="8">
        <v>0</v>
      </c>
      <c r="D195" s="8">
        <v>1</v>
      </c>
      <c r="E195" s="9">
        <f t="shared" si="74"/>
        <v>0</v>
      </c>
      <c r="F195" s="10" t="e">
        <f t="shared" si="75"/>
        <v>#DIV/0!</v>
      </c>
      <c r="G195" s="10" t="e">
        <f t="shared" si="76"/>
        <v>#DIV/0!</v>
      </c>
      <c r="H195" s="4">
        <v>41502</v>
      </c>
      <c r="I195" s="8">
        <v>3</v>
      </c>
      <c r="J195" s="8">
        <v>1.222222238779068</v>
      </c>
      <c r="K195" s="8">
        <v>9</v>
      </c>
      <c r="L195" s="10">
        <f t="shared" si="3"/>
        <v>0.33333333333333331</v>
      </c>
      <c r="M195" s="11">
        <f t="shared" si="62"/>
        <v>0.40740741292635602</v>
      </c>
      <c r="N195" s="11">
        <f t="shared" si="63"/>
        <v>0.13580247097545201</v>
      </c>
      <c r="O195" s="12" t="s">
        <v>22</v>
      </c>
      <c r="Q195" s="17"/>
      <c r="X195" s="18"/>
    </row>
    <row r="196" spans="1:24" ht="14.4">
      <c r="A196" s="4">
        <v>41601</v>
      </c>
      <c r="B196" s="8">
        <v>1</v>
      </c>
      <c r="C196" s="8">
        <v>0.3333333432674408</v>
      </c>
      <c r="D196" s="8">
        <v>2</v>
      </c>
      <c r="E196" s="9">
        <f t="shared" si="74"/>
        <v>0.5</v>
      </c>
      <c r="F196" s="10">
        <f t="shared" si="75"/>
        <v>0.3333333432674408</v>
      </c>
      <c r="G196" s="10">
        <f t="shared" si="76"/>
        <v>0.1666666716337204</v>
      </c>
      <c r="H196" s="4">
        <v>41601</v>
      </c>
      <c r="I196" s="8">
        <v>76</v>
      </c>
      <c r="J196" s="8">
        <v>33.444445222616196</v>
      </c>
      <c r="K196" s="8">
        <v>105</v>
      </c>
      <c r="L196" s="10">
        <f t="shared" si="3"/>
        <v>0.72380952380952379</v>
      </c>
      <c r="M196" s="11">
        <f t="shared" si="62"/>
        <v>0.44005848977126572</v>
      </c>
      <c r="N196" s="11">
        <f t="shared" si="63"/>
        <v>0.31851852592967805</v>
      </c>
      <c r="O196" s="12">
        <f t="shared" ref="O196:O222" si="80">N196/G196</f>
        <v>1.9111110986225193</v>
      </c>
      <c r="Q196" s="17"/>
      <c r="X196" s="18"/>
    </row>
    <row r="197" spans="1:24" ht="14.4">
      <c r="A197" s="4">
        <v>50101</v>
      </c>
      <c r="B197" s="8">
        <v>38</v>
      </c>
      <c r="C197" s="8">
        <v>16.888889372348785</v>
      </c>
      <c r="D197" s="8">
        <v>124</v>
      </c>
      <c r="E197" s="9">
        <f t="shared" si="74"/>
        <v>0.30645161290322581</v>
      </c>
      <c r="F197" s="10">
        <f t="shared" si="75"/>
        <v>0.44444445716707331</v>
      </c>
      <c r="G197" s="10">
        <f t="shared" si="76"/>
        <v>0.13620072074474829</v>
      </c>
      <c r="H197" s="4">
        <v>50101</v>
      </c>
      <c r="I197" s="8">
        <v>355</v>
      </c>
      <c r="J197" s="8">
        <v>149.7777813076973</v>
      </c>
      <c r="K197" s="8">
        <v>1394</v>
      </c>
      <c r="L197" s="10">
        <f t="shared" si="3"/>
        <v>0.2546628407460545</v>
      </c>
      <c r="M197" s="11">
        <f t="shared" si="62"/>
        <v>0.42190924312027406</v>
      </c>
      <c r="N197" s="11">
        <f t="shared" si="63"/>
        <v>0.10744460639002675</v>
      </c>
      <c r="O197" s="12">
        <f t="shared" si="80"/>
        <v>0.78886958749202996</v>
      </c>
      <c r="Q197" s="17"/>
      <c r="X197" s="18"/>
    </row>
    <row r="198" spans="1:24" ht="14.4">
      <c r="A198" s="4">
        <v>50102</v>
      </c>
      <c r="B198" s="8">
        <v>13</v>
      </c>
      <c r="C198" s="8">
        <v>6.4444446563720703</v>
      </c>
      <c r="D198" s="8">
        <v>23</v>
      </c>
      <c r="E198" s="9">
        <f t="shared" si="74"/>
        <v>0.56521739130434778</v>
      </c>
      <c r="F198" s="10">
        <f t="shared" si="75"/>
        <v>0.49572651202862078</v>
      </c>
      <c r="G198" s="10">
        <f t="shared" si="76"/>
        <v>0.2801932459292204</v>
      </c>
      <c r="H198" s="4">
        <v>50102</v>
      </c>
      <c r="I198" s="8">
        <v>144</v>
      </c>
      <c r="J198" s="8">
        <v>70.000001668930054</v>
      </c>
      <c r="K198" s="8">
        <v>244</v>
      </c>
      <c r="L198" s="10">
        <f t="shared" si="3"/>
        <v>0.5901639344262295</v>
      </c>
      <c r="M198" s="11">
        <f t="shared" si="62"/>
        <v>0.48611112270090318</v>
      </c>
      <c r="N198" s="11">
        <f t="shared" si="63"/>
        <v>0.28688525274151661</v>
      </c>
      <c r="O198" s="12">
        <f t="shared" si="80"/>
        <v>1.0238835407688116</v>
      </c>
      <c r="Q198" s="17"/>
      <c r="X198" s="18"/>
    </row>
    <row r="199" spans="1:24" ht="14.4">
      <c r="A199" s="4">
        <v>50103</v>
      </c>
      <c r="B199" s="8">
        <v>2</v>
      </c>
      <c r="C199" s="8">
        <v>0.8888888955116272</v>
      </c>
      <c r="D199" s="8">
        <v>6</v>
      </c>
      <c r="E199" s="9">
        <f t="shared" si="74"/>
        <v>0.33333333333333331</v>
      </c>
      <c r="F199" s="10">
        <f t="shared" si="75"/>
        <v>0.4444444477558136</v>
      </c>
      <c r="G199" s="10">
        <f t="shared" si="76"/>
        <v>0.14814814925193787</v>
      </c>
      <c r="H199" s="4">
        <v>50103</v>
      </c>
      <c r="I199" s="8">
        <v>33</v>
      </c>
      <c r="J199" s="8">
        <v>12.888889133930206</v>
      </c>
      <c r="K199" s="8">
        <v>183</v>
      </c>
      <c r="L199" s="10">
        <f t="shared" si="3"/>
        <v>0.18032786885245902</v>
      </c>
      <c r="M199" s="11">
        <f t="shared" si="62"/>
        <v>0.39057239799788501</v>
      </c>
      <c r="N199" s="11">
        <f t="shared" si="63"/>
        <v>7.0431088163553035E-2</v>
      </c>
      <c r="O199" s="12">
        <f t="shared" si="80"/>
        <v>0.47540984156190363</v>
      </c>
      <c r="Q199" s="17"/>
      <c r="X199" s="18"/>
    </row>
    <row r="200" spans="1:24" ht="14.4">
      <c r="A200" s="4">
        <v>50104</v>
      </c>
      <c r="B200" s="8">
        <v>2</v>
      </c>
      <c r="C200" s="8">
        <v>0.66666668653488159</v>
      </c>
      <c r="D200" s="8">
        <v>3</v>
      </c>
      <c r="E200" s="9">
        <f t="shared" si="74"/>
        <v>0.66666666666666663</v>
      </c>
      <c r="F200" s="10">
        <f t="shared" si="75"/>
        <v>0.3333333432674408</v>
      </c>
      <c r="G200" s="10">
        <f t="shared" si="76"/>
        <v>0.22222222884496051</v>
      </c>
      <c r="H200" s="4">
        <v>50104</v>
      </c>
      <c r="I200" s="8">
        <v>8</v>
      </c>
      <c r="J200" s="8">
        <v>3.1111111640930176</v>
      </c>
      <c r="K200" s="8">
        <v>23</v>
      </c>
      <c r="L200" s="10">
        <f t="shared" si="3"/>
        <v>0.34782608695652173</v>
      </c>
      <c r="M200" s="11">
        <f t="shared" si="62"/>
        <v>0.3888888955116272</v>
      </c>
      <c r="N200" s="11">
        <f t="shared" si="63"/>
        <v>0.13526570278665292</v>
      </c>
      <c r="O200" s="12">
        <f t="shared" si="80"/>
        <v>0.60869564439939439</v>
      </c>
      <c r="Q200" s="17"/>
      <c r="X200" s="18"/>
    </row>
    <row r="201" spans="1:24" ht="14.4">
      <c r="A201" s="4">
        <v>50201</v>
      </c>
      <c r="B201" s="8">
        <v>5</v>
      </c>
      <c r="C201" s="8">
        <v>2.0000000596046448</v>
      </c>
      <c r="D201" s="8">
        <v>12</v>
      </c>
      <c r="E201" s="9">
        <f t="shared" si="74"/>
        <v>0.41666666666666669</v>
      </c>
      <c r="F201" s="10">
        <f t="shared" si="75"/>
        <v>0.40000001192092893</v>
      </c>
      <c r="G201" s="10">
        <f t="shared" si="76"/>
        <v>0.1666666716337204</v>
      </c>
      <c r="H201" s="4">
        <v>50201</v>
      </c>
      <c r="I201" s="8">
        <v>65</v>
      </c>
      <c r="J201" s="8">
        <v>28.666667252779007</v>
      </c>
      <c r="K201" s="8">
        <v>131</v>
      </c>
      <c r="L201" s="10">
        <f t="shared" si="3"/>
        <v>0.49618320610687022</v>
      </c>
      <c r="M201" s="11">
        <f t="shared" si="62"/>
        <v>0.44102565004275396</v>
      </c>
      <c r="N201" s="11">
        <f t="shared" si="63"/>
        <v>0.21882952101358022</v>
      </c>
      <c r="O201" s="12">
        <f t="shared" si="80"/>
        <v>1.3129770869517148</v>
      </c>
      <c r="Q201" s="17"/>
      <c r="X201" s="18"/>
    </row>
    <row r="202" spans="1:24" ht="14.4">
      <c r="A202" s="4">
        <v>50202</v>
      </c>
      <c r="B202" s="8">
        <v>12</v>
      </c>
      <c r="C202" s="8">
        <v>5.0000001192092896</v>
      </c>
      <c r="D202" s="8">
        <v>25</v>
      </c>
      <c r="E202" s="9">
        <f t="shared" si="74"/>
        <v>0.48</v>
      </c>
      <c r="F202" s="10">
        <f t="shared" si="75"/>
        <v>0.41666667660077411</v>
      </c>
      <c r="G202" s="10">
        <f t="shared" si="76"/>
        <v>0.20000000476837157</v>
      </c>
      <c r="H202" s="4">
        <v>50202</v>
      </c>
      <c r="I202" s="8">
        <v>56</v>
      </c>
      <c r="J202" s="8">
        <v>23.555556148290634</v>
      </c>
      <c r="K202" s="8">
        <v>127</v>
      </c>
      <c r="L202" s="10">
        <f t="shared" si="3"/>
        <v>0.44094488188976377</v>
      </c>
      <c r="M202" s="11">
        <f t="shared" si="62"/>
        <v>0.42063493121947559</v>
      </c>
      <c r="N202" s="11">
        <f t="shared" si="63"/>
        <v>0.18547682006528057</v>
      </c>
      <c r="O202" s="12">
        <f t="shared" si="80"/>
        <v>0.92738407821584345</v>
      </c>
      <c r="Q202" s="17"/>
      <c r="X202" s="18"/>
    </row>
    <row r="203" spans="1:24" ht="14.4">
      <c r="A203" s="4">
        <v>50203</v>
      </c>
      <c r="B203" s="8">
        <v>15</v>
      </c>
      <c r="C203" s="8">
        <v>6.4444446265697479</v>
      </c>
      <c r="D203" s="8">
        <v>44</v>
      </c>
      <c r="E203" s="9">
        <f t="shared" si="74"/>
        <v>0.34090909090909088</v>
      </c>
      <c r="F203" s="10">
        <f t="shared" si="75"/>
        <v>0.42962964177131652</v>
      </c>
      <c r="G203" s="10">
        <f t="shared" si="76"/>
        <v>0.14646465060385788</v>
      </c>
      <c r="H203" s="4">
        <v>50203</v>
      </c>
      <c r="I203" s="8">
        <v>94</v>
      </c>
      <c r="J203" s="8">
        <v>39.222223222255707</v>
      </c>
      <c r="K203" s="8">
        <v>348</v>
      </c>
      <c r="L203" s="10">
        <f t="shared" si="3"/>
        <v>0.27011494252873564</v>
      </c>
      <c r="M203" s="11">
        <f t="shared" si="62"/>
        <v>0.41725769385378414</v>
      </c>
      <c r="N203" s="11">
        <f t="shared" si="63"/>
        <v>0.11270753799498767</v>
      </c>
      <c r="O203" s="12">
        <f t="shared" si="80"/>
        <v>0.76952041008056693</v>
      </c>
      <c r="Q203" s="17"/>
      <c r="X203" s="18"/>
    </row>
    <row r="204" spans="1:24" ht="14.4">
      <c r="A204" s="4">
        <v>50204</v>
      </c>
      <c r="B204" s="8">
        <v>6</v>
      </c>
      <c r="C204" s="8">
        <v>2.4444445073604584</v>
      </c>
      <c r="D204" s="8">
        <v>13</v>
      </c>
      <c r="E204" s="9">
        <f t="shared" si="74"/>
        <v>0.46153846153846156</v>
      </c>
      <c r="F204" s="10">
        <f t="shared" si="75"/>
        <v>0.40740741789340973</v>
      </c>
      <c r="G204" s="10">
        <f t="shared" si="76"/>
        <v>0.18803419287388143</v>
      </c>
      <c r="H204" s="4">
        <v>50204</v>
      </c>
      <c r="I204" s="8">
        <v>14</v>
      </c>
      <c r="J204" s="8">
        <v>5.4444445669651031</v>
      </c>
      <c r="K204" s="8">
        <v>35</v>
      </c>
      <c r="L204" s="10">
        <f t="shared" si="3"/>
        <v>0.4</v>
      </c>
      <c r="M204" s="11">
        <f t="shared" si="62"/>
        <v>0.38888889764036449</v>
      </c>
      <c r="N204" s="11">
        <f t="shared" si="63"/>
        <v>0.15555555905614582</v>
      </c>
      <c r="O204" s="12">
        <f t="shared" si="80"/>
        <v>0.82727272459685175</v>
      </c>
      <c r="Q204" s="17"/>
      <c r="X204" s="18"/>
    </row>
    <row r="205" spans="1:24" ht="14.4">
      <c r="A205" s="4">
        <v>50301</v>
      </c>
      <c r="B205" s="8">
        <v>10</v>
      </c>
      <c r="C205" s="8">
        <v>4.11111119389534</v>
      </c>
      <c r="D205" s="8">
        <v>20</v>
      </c>
      <c r="E205" s="9">
        <f t="shared" si="74"/>
        <v>0.5</v>
      </c>
      <c r="F205" s="10">
        <f t="shared" si="75"/>
        <v>0.41111111938953399</v>
      </c>
      <c r="G205" s="10">
        <f t="shared" si="76"/>
        <v>0.20555555969476699</v>
      </c>
      <c r="H205" s="4">
        <v>50301</v>
      </c>
      <c r="I205" s="8">
        <v>192</v>
      </c>
      <c r="J205" s="8">
        <v>87.777780055999756</v>
      </c>
      <c r="K205" s="8">
        <v>377</v>
      </c>
      <c r="L205" s="10">
        <f t="shared" si="3"/>
        <v>0.50928381962864722</v>
      </c>
      <c r="M205" s="11">
        <f t="shared" si="62"/>
        <v>0.45717593779166538</v>
      </c>
      <c r="N205" s="11">
        <f t="shared" si="63"/>
        <v>0.23283230784084816</v>
      </c>
      <c r="O205" s="12">
        <f t="shared" si="80"/>
        <v>1.1326976910115438</v>
      </c>
      <c r="Q205" s="17"/>
      <c r="X205" s="18"/>
    </row>
    <row r="206" spans="1:24" ht="14.4">
      <c r="A206" s="4">
        <v>50302</v>
      </c>
      <c r="B206" s="8">
        <v>6</v>
      </c>
      <c r="C206" s="8">
        <v>3.11111119389534</v>
      </c>
      <c r="D206" s="8">
        <v>11</v>
      </c>
      <c r="E206" s="9">
        <f t="shared" si="74"/>
        <v>0.54545454545454541</v>
      </c>
      <c r="F206" s="10">
        <f t="shared" si="75"/>
        <v>0.51851853231588996</v>
      </c>
      <c r="G206" s="10">
        <f t="shared" si="76"/>
        <v>0.28282829035412177</v>
      </c>
      <c r="H206" s="4">
        <v>50302</v>
      </c>
      <c r="I206" s="8">
        <v>152</v>
      </c>
      <c r="J206" s="8">
        <v>68.777779340744019</v>
      </c>
      <c r="K206" s="8">
        <v>257</v>
      </c>
      <c r="L206" s="10">
        <f t="shared" si="3"/>
        <v>0.59143968871595332</v>
      </c>
      <c r="M206" s="11">
        <f t="shared" si="62"/>
        <v>0.4524853903996317</v>
      </c>
      <c r="N206" s="11">
        <f t="shared" si="63"/>
        <v>0.26761781844647481</v>
      </c>
      <c r="O206" s="12">
        <f t="shared" si="80"/>
        <v>0.94622011861471733</v>
      </c>
      <c r="Q206" s="17"/>
      <c r="X206" s="18"/>
    </row>
    <row r="207" spans="1:24" ht="14.4">
      <c r="A207" s="4">
        <v>50303</v>
      </c>
      <c r="B207" s="8">
        <v>10</v>
      </c>
      <c r="C207" s="8">
        <v>5.0000001788139343</v>
      </c>
      <c r="D207" s="8">
        <v>13</v>
      </c>
      <c r="E207" s="9">
        <f t="shared" si="74"/>
        <v>0.76923076923076927</v>
      </c>
      <c r="F207" s="10">
        <f t="shared" si="75"/>
        <v>0.50000001788139348</v>
      </c>
      <c r="G207" s="10">
        <f t="shared" si="76"/>
        <v>0.38461539837030267</v>
      </c>
      <c r="H207" s="4">
        <v>50303</v>
      </c>
      <c r="I207" s="8">
        <v>80</v>
      </c>
      <c r="J207" s="8">
        <v>40.111112266778946</v>
      </c>
      <c r="K207" s="8">
        <v>98</v>
      </c>
      <c r="L207" s="10">
        <f t="shared" si="3"/>
        <v>0.81632653061224492</v>
      </c>
      <c r="M207" s="11">
        <f t="shared" si="62"/>
        <v>0.50138890333473685</v>
      </c>
      <c r="N207" s="11">
        <f t="shared" si="63"/>
        <v>0.40929706394672394</v>
      </c>
      <c r="O207" s="12">
        <f t="shared" si="80"/>
        <v>1.0641723282037139</v>
      </c>
      <c r="Q207" s="17"/>
      <c r="X207" s="18"/>
    </row>
    <row r="208" spans="1:24" ht="14.4">
      <c r="A208" s="4">
        <v>50401</v>
      </c>
      <c r="B208" s="8">
        <v>28</v>
      </c>
      <c r="C208" s="8">
        <v>12.888889253139496</v>
      </c>
      <c r="D208" s="8">
        <v>37</v>
      </c>
      <c r="E208" s="9">
        <f t="shared" si="74"/>
        <v>0.7567567567567568</v>
      </c>
      <c r="F208" s="10">
        <f t="shared" si="75"/>
        <v>0.46031747332641054</v>
      </c>
      <c r="G208" s="10">
        <f t="shared" si="76"/>
        <v>0.34834835819295934</v>
      </c>
      <c r="H208" s="4">
        <v>50401</v>
      </c>
      <c r="I208" s="8">
        <v>239</v>
      </c>
      <c r="J208" s="8">
        <v>112.55555856227875</v>
      </c>
      <c r="K208" s="8">
        <v>348</v>
      </c>
      <c r="L208" s="10">
        <f t="shared" si="3"/>
        <v>0.68678160919540232</v>
      </c>
      <c r="M208" s="11">
        <f t="shared" si="62"/>
        <v>0.47094375967480645</v>
      </c>
      <c r="N208" s="11">
        <f t="shared" si="63"/>
        <v>0.32343551310999641</v>
      </c>
      <c r="O208" s="12">
        <f t="shared" si="80"/>
        <v>0.92848295536055592</v>
      </c>
      <c r="Q208" s="17"/>
      <c r="X208" s="18"/>
    </row>
    <row r="209" spans="1:24" ht="14.4">
      <c r="A209" s="4">
        <v>50402</v>
      </c>
      <c r="B209" s="8">
        <v>18</v>
      </c>
      <c r="C209" s="8">
        <v>8.5555557906627655</v>
      </c>
      <c r="D209" s="8">
        <v>23</v>
      </c>
      <c r="E209" s="9">
        <f t="shared" si="74"/>
        <v>0.78260869565217395</v>
      </c>
      <c r="F209" s="10">
        <f t="shared" si="75"/>
        <v>0.47530865503682029</v>
      </c>
      <c r="G209" s="10">
        <f t="shared" si="76"/>
        <v>0.37198068655055505</v>
      </c>
      <c r="H209" s="4">
        <v>50402</v>
      </c>
      <c r="I209" s="8">
        <v>259</v>
      </c>
      <c r="J209" s="8">
        <v>121.00000301003456</v>
      </c>
      <c r="K209" s="8">
        <v>390</v>
      </c>
      <c r="L209" s="10">
        <f t="shared" si="3"/>
        <v>0.66410256410256407</v>
      </c>
      <c r="M209" s="11">
        <f t="shared" si="62"/>
        <v>0.46718147880322225</v>
      </c>
      <c r="N209" s="11">
        <f t="shared" si="63"/>
        <v>0.31025641797444758</v>
      </c>
      <c r="O209" s="12">
        <f t="shared" si="80"/>
        <v>0.83406593189423917</v>
      </c>
      <c r="Q209" s="17"/>
      <c r="X209" s="18"/>
    </row>
    <row r="210" spans="1:24" ht="14.4">
      <c r="A210" s="4">
        <v>50403</v>
      </c>
      <c r="B210" s="8">
        <v>18</v>
      </c>
      <c r="C210" s="8">
        <v>8.5555557906627655</v>
      </c>
      <c r="D210" s="8">
        <v>22</v>
      </c>
      <c r="E210" s="9">
        <f t="shared" si="74"/>
        <v>0.81818181818181823</v>
      </c>
      <c r="F210" s="10">
        <f t="shared" si="75"/>
        <v>0.47530865503682029</v>
      </c>
      <c r="G210" s="10">
        <f t="shared" si="76"/>
        <v>0.38888889957558026</v>
      </c>
      <c r="H210" s="4">
        <v>50403</v>
      </c>
      <c r="I210" s="8">
        <v>175</v>
      </c>
      <c r="J210" s="8">
        <v>76.222223907709122</v>
      </c>
      <c r="K210" s="8">
        <v>231</v>
      </c>
      <c r="L210" s="10">
        <f t="shared" si="3"/>
        <v>0.75757575757575757</v>
      </c>
      <c r="M210" s="11">
        <f t="shared" si="62"/>
        <v>0.43555556518690924</v>
      </c>
      <c r="N210" s="11">
        <f t="shared" si="63"/>
        <v>0.32996633726281005</v>
      </c>
      <c r="O210" s="12">
        <f t="shared" si="80"/>
        <v>0.84848484393080847</v>
      </c>
      <c r="Q210" s="17"/>
      <c r="X210" s="18"/>
    </row>
    <row r="211" spans="1:24" ht="14.4">
      <c r="A211" s="4">
        <v>50404</v>
      </c>
      <c r="B211" s="8">
        <v>23</v>
      </c>
      <c r="C211" s="8">
        <v>10.888889104127884</v>
      </c>
      <c r="D211" s="8">
        <v>26</v>
      </c>
      <c r="E211" s="9">
        <f t="shared" si="74"/>
        <v>0.88461538461538458</v>
      </c>
      <c r="F211" s="10">
        <f t="shared" si="75"/>
        <v>0.47342996104903845</v>
      </c>
      <c r="G211" s="10">
        <f t="shared" si="76"/>
        <v>0.41880342708184171</v>
      </c>
      <c r="H211" s="4">
        <v>50404</v>
      </c>
      <c r="I211" s="8">
        <v>187</v>
      </c>
      <c r="J211" s="8">
        <v>89.777779817581177</v>
      </c>
      <c r="K211" s="8">
        <v>258</v>
      </c>
      <c r="L211" s="10">
        <f t="shared" si="3"/>
        <v>0.72480620155038755</v>
      </c>
      <c r="M211" s="11">
        <f t="shared" si="62"/>
        <v>0.480095079238402</v>
      </c>
      <c r="N211" s="11">
        <f t="shared" si="63"/>
        <v>0.34797589076581847</v>
      </c>
      <c r="O211" s="12">
        <f t="shared" si="80"/>
        <v>0.83088119213937983</v>
      </c>
      <c r="Q211" s="17"/>
      <c r="X211" s="18"/>
    </row>
    <row r="212" spans="1:24" ht="14.4">
      <c r="A212" s="4">
        <v>50501</v>
      </c>
      <c r="B212" s="8">
        <v>22</v>
      </c>
      <c r="C212" s="8">
        <v>9.6666668951511383</v>
      </c>
      <c r="D212" s="8">
        <v>34</v>
      </c>
      <c r="E212" s="9">
        <f t="shared" si="74"/>
        <v>0.6470588235294118</v>
      </c>
      <c r="F212" s="10">
        <f t="shared" si="75"/>
        <v>0.43939394977959717</v>
      </c>
      <c r="G212" s="10">
        <f t="shared" si="76"/>
        <v>0.28431373221032757</v>
      </c>
      <c r="H212" s="4">
        <v>50501</v>
      </c>
      <c r="I212" s="8">
        <v>181</v>
      </c>
      <c r="J212" s="8">
        <v>90.555557936429977</v>
      </c>
      <c r="K212" s="8">
        <v>245</v>
      </c>
      <c r="L212" s="10">
        <f t="shared" si="3"/>
        <v>0.73877551020408161</v>
      </c>
      <c r="M212" s="11">
        <f t="shared" si="62"/>
        <v>0.50030694992502744</v>
      </c>
      <c r="N212" s="11">
        <f t="shared" si="63"/>
        <v>0.36961452218951008</v>
      </c>
      <c r="O212" s="12">
        <f t="shared" si="80"/>
        <v>1.30002346111119</v>
      </c>
      <c r="Q212" s="17"/>
      <c r="X212" s="18"/>
    </row>
    <row r="213" spans="1:24" ht="14.4">
      <c r="A213" s="4">
        <v>50502</v>
      </c>
      <c r="B213" s="8">
        <v>23</v>
      </c>
      <c r="C213" s="8">
        <v>11.444444805383682</v>
      </c>
      <c r="D213" s="8">
        <v>28</v>
      </c>
      <c r="E213" s="9">
        <f t="shared" si="74"/>
        <v>0.8214285714285714</v>
      </c>
      <c r="F213" s="10">
        <f t="shared" si="75"/>
        <v>0.49758455675581226</v>
      </c>
      <c r="G213" s="10">
        <f t="shared" si="76"/>
        <v>0.40873017162084579</v>
      </c>
      <c r="H213" s="4">
        <v>50502</v>
      </c>
      <c r="I213" s="8">
        <v>104</v>
      </c>
      <c r="J213" s="8">
        <v>49.000001341104507</v>
      </c>
      <c r="K213" s="8">
        <v>228</v>
      </c>
      <c r="L213" s="10">
        <f t="shared" si="3"/>
        <v>0.45614035087719296</v>
      </c>
      <c r="M213" s="11">
        <f t="shared" si="62"/>
        <v>0.4711538590490818</v>
      </c>
      <c r="N213" s="11">
        <f t="shared" si="63"/>
        <v>0.21491228658379169</v>
      </c>
      <c r="O213" s="12">
        <f t="shared" si="80"/>
        <v>0.52580480107828398</v>
      </c>
      <c r="Q213" s="17"/>
      <c r="X213" s="18"/>
    </row>
    <row r="214" spans="1:24" ht="14.4">
      <c r="A214" s="4">
        <v>50601</v>
      </c>
      <c r="B214" s="8">
        <v>10</v>
      </c>
      <c r="C214" s="8">
        <v>4.333333432674408</v>
      </c>
      <c r="D214" s="8">
        <v>17</v>
      </c>
      <c r="E214" s="9">
        <f t="shared" si="74"/>
        <v>0.58823529411764708</v>
      </c>
      <c r="F214" s="10">
        <f t="shared" si="75"/>
        <v>0.43333334326744077</v>
      </c>
      <c r="G214" s="10">
        <f t="shared" si="76"/>
        <v>0.25490196662790637</v>
      </c>
      <c r="H214" s="4">
        <v>50601</v>
      </c>
      <c r="I214" s="8">
        <v>163</v>
      </c>
      <c r="J214" s="8">
        <v>67.666668325662613</v>
      </c>
      <c r="K214" s="8">
        <v>319</v>
      </c>
      <c r="L214" s="10">
        <f t="shared" si="3"/>
        <v>0.5109717868338558</v>
      </c>
      <c r="M214" s="11">
        <f t="shared" si="62"/>
        <v>0.41513293451326755</v>
      </c>
      <c r="N214" s="11">
        <f t="shared" si="63"/>
        <v>0.21212121732182637</v>
      </c>
      <c r="O214" s="12">
        <f t="shared" si="80"/>
        <v>0.8321678334929079</v>
      </c>
      <c r="Q214" s="17"/>
      <c r="X214" s="18"/>
    </row>
    <row r="215" spans="1:24" ht="14.4">
      <c r="A215" s="4">
        <v>50602</v>
      </c>
      <c r="B215" s="8">
        <v>9</v>
      </c>
      <c r="C215" s="8">
        <v>3.7777778506278992</v>
      </c>
      <c r="D215" s="8">
        <v>11</v>
      </c>
      <c r="E215" s="9">
        <f t="shared" si="74"/>
        <v>0.81818181818181823</v>
      </c>
      <c r="F215" s="10">
        <f t="shared" si="75"/>
        <v>0.419753094514211</v>
      </c>
      <c r="G215" s="10">
        <f t="shared" si="76"/>
        <v>0.34343435005708173</v>
      </c>
      <c r="H215" s="4">
        <v>50602</v>
      </c>
      <c r="I215" s="8">
        <v>19</v>
      </c>
      <c r="J215" s="8">
        <v>7.7777779996395111</v>
      </c>
      <c r="K215" s="8">
        <v>95</v>
      </c>
      <c r="L215" s="10">
        <f t="shared" si="3"/>
        <v>0.2</v>
      </c>
      <c r="M215" s="11">
        <f t="shared" si="62"/>
        <v>0.40935673682313217</v>
      </c>
      <c r="N215" s="11">
        <f t="shared" si="63"/>
        <v>8.1871347364626437E-2</v>
      </c>
      <c r="O215" s="12">
        <f t="shared" si="80"/>
        <v>0.23839009508227327</v>
      </c>
      <c r="Q215" s="17"/>
      <c r="X215" s="18"/>
    </row>
    <row r="216" spans="1:24" ht="14.4">
      <c r="A216" s="4">
        <v>50701</v>
      </c>
      <c r="B216" s="8">
        <v>9</v>
      </c>
      <c r="C216" s="8">
        <v>3.6666667759418488</v>
      </c>
      <c r="D216" s="8">
        <v>19</v>
      </c>
      <c r="E216" s="9">
        <f t="shared" si="74"/>
        <v>0.47368421052631576</v>
      </c>
      <c r="F216" s="10">
        <f t="shared" si="75"/>
        <v>0.40740741954909432</v>
      </c>
      <c r="G216" s="10">
        <f t="shared" si="76"/>
        <v>0.19298246189167625</v>
      </c>
      <c r="H216" s="4">
        <v>50701</v>
      </c>
      <c r="I216" s="8">
        <v>151</v>
      </c>
      <c r="J216" s="8">
        <v>65.222223848104477</v>
      </c>
      <c r="K216" s="8">
        <v>338</v>
      </c>
      <c r="L216" s="10">
        <f t="shared" si="3"/>
        <v>0.44674556213017752</v>
      </c>
      <c r="M216" s="11">
        <f t="shared" si="62"/>
        <v>0.4319352572722151</v>
      </c>
      <c r="N216" s="11">
        <f t="shared" si="63"/>
        <v>0.19296515931391858</v>
      </c>
      <c r="O216" s="12">
        <f t="shared" si="80"/>
        <v>0.99991034119065503</v>
      </c>
      <c r="Q216" s="17"/>
      <c r="X216" s="18"/>
    </row>
    <row r="217" spans="1:24" ht="14.4">
      <c r="A217" s="4">
        <v>50702</v>
      </c>
      <c r="B217" s="8">
        <v>12</v>
      </c>
      <c r="C217" s="8">
        <v>5.4444445371627808</v>
      </c>
      <c r="D217" s="8">
        <v>18</v>
      </c>
      <c r="E217" s="9">
        <f t="shared" si="74"/>
        <v>0.66666666666666663</v>
      </c>
      <c r="F217" s="10">
        <f t="shared" si="75"/>
        <v>0.45370371143023175</v>
      </c>
      <c r="G217" s="10">
        <f t="shared" si="76"/>
        <v>0.30246914095348781</v>
      </c>
      <c r="H217" s="4">
        <v>50702</v>
      </c>
      <c r="I217" s="8">
        <v>136</v>
      </c>
      <c r="J217" s="8">
        <v>56.111112594604492</v>
      </c>
      <c r="K217" s="8">
        <v>199</v>
      </c>
      <c r="L217" s="10">
        <f t="shared" si="3"/>
        <v>0.68341708542713564</v>
      </c>
      <c r="M217" s="11">
        <f t="shared" si="62"/>
        <v>0.41258171025444479</v>
      </c>
      <c r="N217" s="11">
        <f t="shared" si="63"/>
        <v>0.28196538992263565</v>
      </c>
      <c r="O217" s="12">
        <f t="shared" si="80"/>
        <v>0.93221208958303248</v>
      </c>
      <c r="Q217" s="17"/>
      <c r="X217" s="18"/>
    </row>
    <row r="218" spans="1:24" ht="14.4">
      <c r="A218" s="4">
        <v>50801</v>
      </c>
      <c r="B218" s="8">
        <v>20</v>
      </c>
      <c r="C218" s="8">
        <v>9.0000001788139343</v>
      </c>
      <c r="D218" s="8">
        <v>61</v>
      </c>
      <c r="E218" s="9">
        <f t="shared" si="74"/>
        <v>0.32786885245901637</v>
      </c>
      <c r="F218" s="10">
        <f t="shared" si="75"/>
        <v>0.45000000894069669</v>
      </c>
      <c r="G218" s="10">
        <f t="shared" si="76"/>
        <v>0.14754098653793332</v>
      </c>
      <c r="H218" s="4">
        <v>50801</v>
      </c>
      <c r="I218" s="8">
        <v>226</v>
      </c>
      <c r="J218" s="8">
        <v>102.55555820465088</v>
      </c>
      <c r="K218" s="8">
        <v>720</v>
      </c>
      <c r="L218" s="10">
        <f t="shared" si="3"/>
        <v>0.31388888888888888</v>
      </c>
      <c r="M218" s="11">
        <f t="shared" si="62"/>
        <v>0.45378565577279151</v>
      </c>
      <c r="N218" s="11">
        <f t="shared" si="63"/>
        <v>0.14243827528423733</v>
      </c>
      <c r="O218" s="12">
        <f t="shared" si="80"/>
        <v>0.96541495774542574</v>
      </c>
      <c r="Q218" s="17"/>
      <c r="X218" s="18"/>
    </row>
    <row r="219" spans="1:24" ht="14.4">
      <c r="A219" s="4">
        <v>50802</v>
      </c>
      <c r="B219" s="8">
        <v>8</v>
      </c>
      <c r="C219" s="8">
        <v>2.888888955116272</v>
      </c>
      <c r="D219" s="8">
        <v>31</v>
      </c>
      <c r="E219" s="9">
        <f t="shared" si="74"/>
        <v>0.25806451612903225</v>
      </c>
      <c r="F219" s="10">
        <f t="shared" si="75"/>
        <v>0.361111119389534</v>
      </c>
      <c r="G219" s="10">
        <f t="shared" si="76"/>
        <v>9.3189966294073293E-2</v>
      </c>
      <c r="H219" s="4">
        <v>50802</v>
      </c>
      <c r="I219" s="8">
        <v>52</v>
      </c>
      <c r="J219" s="8">
        <v>20.000000566244125</v>
      </c>
      <c r="K219" s="8">
        <v>216</v>
      </c>
      <c r="L219" s="10">
        <f t="shared" si="3"/>
        <v>0.24074074074074073</v>
      </c>
      <c r="M219" s="11">
        <f t="shared" si="62"/>
        <v>0.3846153955046947</v>
      </c>
      <c r="N219" s="11">
        <f t="shared" si="63"/>
        <v>9.259259521409316E-2</v>
      </c>
      <c r="O219" s="12">
        <f t="shared" si="80"/>
        <v>0.99358974894255192</v>
      </c>
      <c r="Q219" s="17"/>
      <c r="X219" s="18"/>
    </row>
    <row r="220" spans="1:24" ht="14.4">
      <c r="A220" s="4">
        <v>50901</v>
      </c>
      <c r="B220" s="8">
        <v>33</v>
      </c>
      <c r="C220" s="8">
        <v>13.222222477197647</v>
      </c>
      <c r="D220" s="8">
        <v>60</v>
      </c>
      <c r="E220" s="9">
        <f t="shared" si="74"/>
        <v>0.55000000000000004</v>
      </c>
      <c r="F220" s="10">
        <f t="shared" si="75"/>
        <v>0.40067340839992871</v>
      </c>
      <c r="G220" s="10">
        <f t="shared" si="76"/>
        <v>0.22037037461996081</v>
      </c>
      <c r="H220" s="4">
        <v>50901</v>
      </c>
      <c r="I220" s="8">
        <v>122</v>
      </c>
      <c r="J220" s="8">
        <v>52.111112356185913</v>
      </c>
      <c r="K220" s="8">
        <v>262</v>
      </c>
      <c r="L220" s="10">
        <f t="shared" si="3"/>
        <v>0.46564885496183206</v>
      </c>
      <c r="M220" s="11">
        <f t="shared" si="62"/>
        <v>0.42714026521463866</v>
      </c>
      <c r="N220" s="11">
        <f t="shared" si="63"/>
        <v>0.19889737540528976</v>
      </c>
      <c r="O220" s="12">
        <f t="shared" si="80"/>
        <v>0.90255950124102546</v>
      </c>
      <c r="Q220" s="17"/>
      <c r="X220" s="18"/>
    </row>
    <row r="221" spans="1:24" ht="14.4">
      <c r="A221" s="4">
        <v>50902</v>
      </c>
      <c r="B221" s="8">
        <v>2</v>
      </c>
      <c r="C221" s="8">
        <v>1.1111111640930176</v>
      </c>
      <c r="D221" s="8">
        <v>4</v>
      </c>
      <c r="E221" s="9">
        <f t="shared" si="74"/>
        <v>0.5</v>
      </c>
      <c r="F221" s="10">
        <f t="shared" si="75"/>
        <v>0.55555558204650879</v>
      </c>
      <c r="G221" s="10">
        <f t="shared" si="76"/>
        <v>0.27777779102325439</v>
      </c>
      <c r="H221" s="4">
        <v>50902</v>
      </c>
      <c r="I221" s="8">
        <v>4</v>
      </c>
      <c r="J221" s="8">
        <v>2.1111111640930176</v>
      </c>
      <c r="K221" s="8">
        <v>6</v>
      </c>
      <c r="L221" s="10">
        <f t="shared" si="3"/>
        <v>0.66666666666666663</v>
      </c>
      <c r="M221" s="11">
        <f t="shared" si="62"/>
        <v>0.52777779102325439</v>
      </c>
      <c r="N221" s="11">
        <f t="shared" si="63"/>
        <v>0.35185186068216956</v>
      </c>
      <c r="O221" s="12">
        <f t="shared" si="80"/>
        <v>1.2666666380564384</v>
      </c>
      <c r="Q221" s="17"/>
      <c r="X221" s="18"/>
    </row>
    <row r="222" spans="1:24" ht="14.4">
      <c r="A222" s="4">
        <v>51001</v>
      </c>
      <c r="B222" s="8">
        <v>5</v>
      </c>
      <c r="C222" s="8">
        <v>2.222222238779068</v>
      </c>
      <c r="D222" s="8">
        <v>5</v>
      </c>
      <c r="E222" s="9">
        <f t="shared" si="74"/>
        <v>1</v>
      </c>
      <c r="F222" s="10">
        <f t="shared" si="75"/>
        <v>0.4444444477558136</v>
      </c>
      <c r="G222" s="10">
        <f t="shared" si="76"/>
        <v>0.4444444477558136</v>
      </c>
      <c r="H222" s="4">
        <v>51001</v>
      </c>
      <c r="I222" s="8">
        <v>20</v>
      </c>
      <c r="J222" s="8">
        <v>9.2222225368022919</v>
      </c>
      <c r="K222" s="8">
        <v>29</v>
      </c>
      <c r="L222" s="10">
        <f t="shared" si="3"/>
        <v>0.68965517241379315</v>
      </c>
      <c r="M222" s="11">
        <f t="shared" si="62"/>
        <v>0.46111112684011457</v>
      </c>
      <c r="N222" s="11">
        <f t="shared" si="63"/>
        <v>0.31800767368283767</v>
      </c>
      <c r="O222" s="12">
        <f t="shared" si="80"/>
        <v>0.71551726045536568</v>
      </c>
      <c r="Q222" s="17"/>
      <c r="X222" s="18"/>
    </row>
    <row r="223" spans="1:24" ht="14.4">
      <c r="A223" s="4">
        <v>51002</v>
      </c>
      <c r="B223" s="20" t="s">
        <v>22</v>
      </c>
      <c r="C223" s="20" t="s">
        <v>22</v>
      </c>
      <c r="D223" s="20" t="s">
        <v>22</v>
      </c>
      <c r="E223" s="20" t="s">
        <v>22</v>
      </c>
      <c r="F223" s="20" t="s">
        <v>22</v>
      </c>
      <c r="G223" s="20" t="s">
        <v>22</v>
      </c>
      <c r="H223" s="4">
        <v>51002</v>
      </c>
      <c r="I223" s="8">
        <v>0</v>
      </c>
      <c r="J223" s="8">
        <v>0</v>
      </c>
      <c r="K223" s="8">
        <v>1</v>
      </c>
      <c r="L223" s="10">
        <f t="shared" si="3"/>
        <v>0</v>
      </c>
      <c r="M223" s="11" t="e">
        <f t="shared" si="62"/>
        <v>#DIV/0!</v>
      </c>
      <c r="N223" s="11" t="e">
        <f t="shared" si="63"/>
        <v>#DIV/0!</v>
      </c>
      <c r="O223" s="12" t="s">
        <v>22</v>
      </c>
      <c r="Q223" s="17"/>
      <c r="X223" s="18"/>
    </row>
    <row r="224" spans="1:24" ht="14.4">
      <c r="A224" s="4">
        <v>51003</v>
      </c>
      <c r="B224" s="8">
        <v>3</v>
      </c>
      <c r="C224" s="8">
        <v>1.3333333730697632</v>
      </c>
      <c r="D224" s="8">
        <v>3</v>
      </c>
      <c r="E224" s="9">
        <f t="shared" ref="E224:E339" si="81">B224/D224</f>
        <v>1</v>
      </c>
      <c r="F224" s="10">
        <f t="shared" ref="F224:F339" si="82">C224/B224</f>
        <v>0.44444445768992108</v>
      </c>
      <c r="G224" s="10">
        <f t="shared" ref="G224:G339" si="83">E224*F224</f>
        <v>0.44444445768992108</v>
      </c>
      <c r="H224" s="4">
        <v>51003</v>
      </c>
      <c r="I224" s="8">
        <v>6</v>
      </c>
      <c r="J224" s="8">
        <v>3.2222223281860352</v>
      </c>
      <c r="K224" s="8">
        <v>8</v>
      </c>
      <c r="L224" s="10">
        <f t="shared" si="3"/>
        <v>0.75</v>
      </c>
      <c r="M224" s="11">
        <f t="shared" si="62"/>
        <v>0.53703705469767249</v>
      </c>
      <c r="N224" s="11">
        <f t="shared" si="63"/>
        <v>0.40277779102325439</v>
      </c>
      <c r="O224" s="12">
        <f t="shared" ref="O224:O242" si="84">N224/G224</f>
        <v>0.90625000279396761</v>
      </c>
      <c r="Q224" s="17"/>
      <c r="X224" s="18"/>
    </row>
    <row r="225" spans="1:24" ht="14.4">
      <c r="A225" s="4">
        <v>51101</v>
      </c>
      <c r="B225" s="8">
        <v>17</v>
      </c>
      <c r="C225" s="8">
        <v>7.4444446265697479</v>
      </c>
      <c r="D225" s="8">
        <v>32</v>
      </c>
      <c r="E225" s="9">
        <f t="shared" si="81"/>
        <v>0.53125</v>
      </c>
      <c r="F225" s="10">
        <f t="shared" si="82"/>
        <v>0.43790850744527932</v>
      </c>
      <c r="G225" s="10">
        <f t="shared" si="83"/>
        <v>0.23263889458030462</v>
      </c>
      <c r="H225" s="4">
        <v>51101</v>
      </c>
      <c r="I225" s="8">
        <v>155</v>
      </c>
      <c r="J225" s="8">
        <v>66.888890624046326</v>
      </c>
      <c r="K225" s="8">
        <v>301</v>
      </c>
      <c r="L225" s="10">
        <f t="shared" si="3"/>
        <v>0.51495016611295685</v>
      </c>
      <c r="M225" s="11">
        <f t="shared" si="62"/>
        <v>0.43154122983255694</v>
      </c>
      <c r="N225" s="11">
        <f t="shared" si="63"/>
        <v>0.22222222798686489</v>
      </c>
      <c r="O225" s="12">
        <f t="shared" si="84"/>
        <v>0.95522388200721098</v>
      </c>
      <c r="Q225" s="17"/>
      <c r="X225" s="18"/>
    </row>
    <row r="226" spans="1:24" ht="14.4">
      <c r="A226" s="4">
        <v>51102</v>
      </c>
      <c r="B226" s="8">
        <v>10</v>
      </c>
      <c r="C226" s="8">
        <v>4.1111112236976624</v>
      </c>
      <c r="D226" s="8">
        <v>27</v>
      </c>
      <c r="E226" s="9">
        <f t="shared" si="81"/>
        <v>0.37037037037037035</v>
      </c>
      <c r="F226" s="10">
        <f t="shared" si="82"/>
        <v>0.41111112236976621</v>
      </c>
      <c r="G226" s="10">
        <f t="shared" si="83"/>
        <v>0.15226337865546896</v>
      </c>
      <c r="H226" s="4">
        <v>51102</v>
      </c>
      <c r="I226" s="8">
        <v>133</v>
      </c>
      <c r="J226" s="8">
        <v>56.777779251337051</v>
      </c>
      <c r="K226" s="8">
        <v>268</v>
      </c>
      <c r="L226" s="10">
        <f t="shared" si="3"/>
        <v>0.4962686567164179</v>
      </c>
      <c r="M226" s="11">
        <f t="shared" si="62"/>
        <v>0.42690059587471468</v>
      </c>
      <c r="N226" s="11">
        <f t="shared" si="63"/>
        <v>0.21185738526618303</v>
      </c>
      <c r="O226" s="12">
        <f t="shared" si="84"/>
        <v>1.3913876543194228</v>
      </c>
      <c r="Q226" s="17"/>
      <c r="X226" s="18"/>
    </row>
    <row r="227" spans="1:24" ht="14.4">
      <c r="A227" s="4">
        <v>51103</v>
      </c>
      <c r="B227" s="8">
        <v>6</v>
      </c>
      <c r="C227" s="8">
        <v>3.333333432674408</v>
      </c>
      <c r="D227" s="8">
        <v>11</v>
      </c>
      <c r="E227" s="9">
        <f t="shared" si="81"/>
        <v>0.54545454545454541</v>
      </c>
      <c r="F227" s="10">
        <f t="shared" si="82"/>
        <v>0.55555557211240136</v>
      </c>
      <c r="G227" s="10">
        <f t="shared" si="83"/>
        <v>0.30303031206130981</v>
      </c>
      <c r="H227" s="4">
        <v>51103</v>
      </c>
      <c r="I227" s="8">
        <v>115</v>
      </c>
      <c r="J227" s="8">
        <v>54.666667938232422</v>
      </c>
      <c r="K227" s="8">
        <v>155</v>
      </c>
      <c r="L227" s="10">
        <f t="shared" si="3"/>
        <v>0.74193548387096775</v>
      </c>
      <c r="M227" s="11">
        <f t="shared" si="62"/>
        <v>0.47536232989767324</v>
      </c>
      <c r="N227" s="11">
        <f t="shared" si="63"/>
        <v>0.35268818024666082</v>
      </c>
      <c r="O227" s="12">
        <f t="shared" si="84"/>
        <v>1.1638709601279231</v>
      </c>
      <c r="Q227" s="17"/>
      <c r="X227" s="18"/>
    </row>
    <row r="228" spans="1:24" ht="14.4">
      <c r="A228" s="4">
        <v>51201</v>
      </c>
      <c r="B228" s="8">
        <v>30</v>
      </c>
      <c r="C228" s="8">
        <v>11.777778059244156</v>
      </c>
      <c r="D228" s="8">
        <v>78</v>
      </c>
      <c r="E228" s="9">
        <f t="shared" si="81"/>
        <v>0.38461538461538464</v>
      </c>
      <c r="F228" s="10">
        <f t="shared" si="82"/>
        <v>0.39259260197480522</v>
      </c>
      <c r="G228" s="10">
        <f t="shared" si="83"/>
        <v>0.15099715460569432</v>
      </c>
      <c r="H228" s="4">
        <v>51201</v>
      </c>
      <c r="I228" s="8">
        <v>464</v>
      </c>
      <c r="J228" s="8">
        <v>203.00000473856926</v>
      </c>
      <c r="K228" s="8">
        <v>972</v>
      </c>
      <c r="L228" s="10">
        <f t="shared" si="3"/>
        <v>0.47736625514403291</v>
      </c>
      <c r="M228" s="11">
        <f t="shared" si="62"/>
        <v>0.43750001021243373</v>
      </c>
      <c r="N228" s="11">
        <f t="shared" si="63"/>
        <v>0.20884774150058566</v>
      </c>
      <c r="O228" s="12">
        <f t="shared" si="84"/>
        <v>1.3831236889592997</v>
      </c>
      <c r="Q228" s="17"/>
      <c r="X228" s="18"/>
    </row>
    <row r="229" spans="1:24" ht="14.4">
      <c r="A229" s="4">
        <v>51202</v>
      </c>
      <c r="B229" s="8">
        <v>64</v>
      </c>
      <c r="C229" s="8">
        <v>27.333334028720856</v>
      </c>
      <c r="D229" s="8">
        <v>81</v>
      </c>
      <c r="E229" s="9">
        <f t="shared" si="81"/>
        <v>0.79012345679012341</v>
      </c>
      <c r="F229" s="10">
        <f t="shared" si="82"/>
        <v>0.42708334419876337</v>
      </c>
      <c r="G229" s="10">
        <f t="shared" si="83"/>
        <v>0.33744856825581304</v>
      </c>
      <c r="H229" s="4">
        <v>51202</v>
      </c>
      <c r="I229" s="8">
        <v>388</v>
      </c>
      <c r="J229" s="8">
        <v>171.88889291882515</v>
      </c>
      <c r="K229" s="8">
        <v>561</v>
      </c>
      <c r="L229" s="10">
        <f t="shared" si="3"/>
        <v>0.69162210338680929</v>
      </c>
      <c r="M229" s="11">
        <f t="shared" si="62"/>
        <v>0.44301261061552871</v>
      </c>
      <c r="N229" s="11">
        <f t="shared" si="63"/>
        <v>0.30639731358079347</v>
      </c>
      <c r="O229" s="12">
        <f t="shared" si="84"/>
        <v>0.90798225982846603</v>
      </c>
      <c r="Q229" s="17"/>
      <c r="X229" s="18"/>
    </row>
    <row r="230" spans="1:24" ht="14.4">
      <c r="A230" s="4">
        <v>51203</v>
      </c>
      <c r="B230" s="8">
        <v>46</v>
      </c>
      <c r="C230" s="8">
        <v>21.66666704416275</v>
      </c>
      <c r="D230" s="8">
        <v>58</v>
      </c>
      <c r="E230" s="9">
        <f t="shared" si="81"/>
        <v>0.7931034482758621</v>
      </c>
      <c r="F230" s="10">
        <f t="shared" si="82"/>
        <v>0.47101450096005981</v>
      </c>
      <c r="G230" s="10">
        <f t="shared" si="83"/>
        <v>0.37356322489935778</v>
      </c>
      <c r="H230" s="4">
        <v>51203</v>
      </c>
      <c r="I230" s="8">
        <v>118</v>
      </c>
      <c r="J230" s="8">
        <v>58.22222375869751</v>
      </c>
      <c r="K230" s="8">
        <v>218</v>
      </c>
      <c r="L230" s="10">
        <f t="shared" si="3"/>
        <v>0.54128440366972475</v>
      </c>
      <c r="M230" s="11">
        <f t="shared" si="62"/>
        <v>0.49340867592116533</v>
      </c>
      <c r="N230" s="11">
        <f t="shared" si="63"/>
        <v>0.26707442091145644</v>
      </c>
      <c r="O230" s="12">
        <f t="shared" si="84"/>
        <v>0.71493766813746018</v>
      </c>
      <c r="Q230" s="17"/>
      <c r="X230" s="18"/>
    </row>
    <row r="231" spans="1:24" ht="14.4">
      <c r="A231" s="4">
        <v>51301</v>
      </c>
      <c r="B231" s="8">
        <v>6</v>
      </c>
      <c r="C231" s="8">
        <v>2.3333333730697632</v>
      </c>
      <c r="D231" s="8">
        <v>7</v>
      </c>
      <c r="E231" s="9">
        <f t="shared" si="81"/>
        <v>0.8571428571428571</v>
      </c>
      <c r="F231" s="10">
        <f t="shared" si="82"/>
        <v>0.3888888955116272</v>
      </c>
      <c r="G231" s="10">
        <f t="shared" si="83"/>
        <v>0.33333333900996615</v>
      </c>
      <c r="H231" s="4">
        <v>51301</v>
      </c>
      <c r="I231" s="8">
        <v>38</v>
      </c>
      <c r="J231" s="8">
        <v>19.222222656011581</v>
      </c>
      <c r="K231" s="8">
        <v>69</v>
      </c>
      <c r="L231" s="10">
        <f t="shared" si="3"/>
        <v>0.55072463768115942</v>
      </c>
      <c r="M231" s="11">
        <f t="shared" si="62"/>
        <v>0.50584796463188375</v>
      </c>
      <c r="N231" s="11">
        <f t="shared" si="63"/>
        <v>0.27858293704364612</v>
      </c>
      <c r="O231" s="12">
        <f t="shared" si="84"/>
        <v>0.83574879689822124</v>
      </c>
      <c r="Q231" s="17"/>
      <c r="X231" s="18"/>
    </row>
    <row r="232" spans="1:24" ht="14.4">
      <c r="A232" s="4">
        <v>51302</v>
      </c>
      <c r="B232" s="8">
        <v>16</v>
      </c>
      <c r="C232" s="8">
        <v>7.5555557012557983</v>
      </c>
      <c r="D232" s="8">
        <v>29</v>
      </c>
      <c r="E232" s="9">
        <f t="shared" si="81"/>
        <v>0.55172413793103448</v>
      </c>
      <c r="F232" s="10">
        <f t="shared" si="82"/>
        <v>0.4722222313284874</v>
      </c>
      <c r="G232" s="10">
        <f t="shared" si="83"/>
        <v>0.26053640349157925</v>
      </c>
      <c r="H232" s="4">
        <v>51302</v>
      </c>
      <c r="I232" s="8">
        <v>87</v>
      </c>
      <c r="J232" s="8">
        <v>37.666667371988297</v>
      </c>
      <c r="K232" s="8">
        <v>164</v>
      </c>
      <c r="L232" s="10">
        <f t="shared" si="3"/>
        <v>0.53048780487804881</v>
      </c>
      <c r="M232" s="11">
        <f t="shared" si="62"/>
        <v>0.43295019967802639</v>
      </c>
      <c r="N232" s="11">
        <f t="shared" si="63"/>
        <v>0.22967480104870913</v>
      </c>
      <c r="O232" s="12">
        <f t="shared" si="84"/>
        <v>0.88154591055500009</v>
      </c>
      <c r="Q232" s="17"/>
      <c r="X232" s="18"/>
    </row>
    <row r="233" spans="1:24" ht="14.4">
      <c r="A233" s="4">
        <v>51401</v>
      </c>
      <c r="B233" s="8">
        <v>5</v>
      </c>
      <c r="C233" s="8">
        <v>2.0000000298023224</v>
      </c>
      <c r="D233" s="8">
        <v>10</v>
      </c>
      <c r="E233" s="9">
        <f t="shared" si="81"/>
        <v>0.5</v>
      </c>
      <c r="F233" s="10">
        <f t="shared" si="82"/>
        <v>0.40000000596046448</v>
      </c>
      <c r="G233" s="10">
        <f t="shared" si="83"/>
        <v>0.20000000298023224</v>
      </c>
      <c r="H233" s="4">
        <v>51401</v>
      </c>
      <c r="I233" s="8">
        <v>124</v>
      </c>
      <c r="J233" s="8">
        <v>52.555556744337082</v>
      </c>
      <c r="K233" s="8">
        <v>202</v>
      </c>
      <c r="L233" s="10">
        <f t="shared" si="3"/>
        <v>0.61386138613861385</v>
      </c>
      <c r="M233" s="11">
        <f t="shared" si="62"/>
        <v>0.42383513503497644</v>
      </c>
      <c r="N233" s="11">
        <f t="shared" si="63"/>
        <v>0.26017602348681723</v>
      </c>
      <c r="O233" s="12">
        <f t="shared" si="84"/>
        <v>1.3008800980494621</v>
      </c>
      <c r="Q233" s="17"/>
      <c r="X233" s="18"/>
    </row>
    <row r="234" spans="1:24" ht="14.4">
      <c r="A234" s="4">
        <v>51402</v>
      </c>
      <c r="B234" s="8">
        <v>1</v>
      </c>
      <c r="C234" s="8">
        <v>0.3333333432674408</v>
      </c>
      <c r="D234" s="8">
        <v>2</v>
      </c>
      <c r="E234" s="9">
        <f t="shared" si="81"/>
        <v>0.5</v>
      </c>
      <c r="F234" s="10">
        <f t="shared" si="82"/>
        <v>0.3333333432674408</v>
      </c>
      <c r="G234" s="10">
        <f t="shared" si="83"/>
        <v>0.1666666716337204</v>
      </c>
      <c r="H234" s="4">
        <v>51402</v>
      </c>
      <c r="I234" s="8">
        <v>12</v>
      </c>
      <c r="J234" s="8">
        <v>4.6666667461395264</v>
      </c>
      <c r="K234" s="8">
        <v>19</v>
      </c>
      <c r="L234" s="10">
        <f t="shared" si="3"/>
        <v>0.63157894736842102</v>
      </c>
      <c r="M234" s="11">
        <f t="shared" si="62"/>
        <v>0.3888888955116272</v>
      </c>
      <c r="N234" s="11">
        <f t="shared" si="63"/>
        <v>0.24561403927050138</v>
      </c>
      <c r="O234" s="12">
        <f t="shared" si="84"/>
        <v>1.4736841917037968</v>
      </c>
      <c r="Q234" s="17"/>
      <c r="X234" s="18"/>
    </row>
    <row r="235" spans="1:24" ht="14.4">
      <c r="A235" s="4">
        <v>51501</v>
      </c>
      <c r="B235" s="8">
        <v>10</v>
      </c>
      <c r="C235" s="8">
        <v>4.3333334028720856</v>
      </c>
      <c r="D235" s="8">
        <v>34</v>
      </c>
      <c r="E235" s="9">
        <f t="shared" si="81"/>
        <v>0.29411764705882354</v>
      </c>
      <c r="F235" s="10">
        <f t="shared" si="82"/>
        <v>0.43333334028720855</v>
      </c>
      <c r="G235" s="10">
        <f t="shared" si="83"/>
        <v>0.12745098243741429</v>
      </c>
      <c r="H235" s="4">
        <v>51501</v>
      </c>
      <c r="I235" s="8">
        <v>74</v>
      </c>
      <c r="J235" s="8">
        <v>31.666667580604553</v>
      </c>
      <c r="K235" s="8">
        <v>324</v>
      </c>
      <c r="L235" s="10">
        <f t="shared" si="3"/>
        <v>0.22839506172839505</v>
      </c>
      <c r="M235" s="11">
        <f t="shared" si="62"/>
        <v>0.42792794027843989</v>
      </c>
      <c r="N235" s="11">
        <f t="shared" si="63"/>
        <v>9.7736628335199222E-2</v>
      </c>
      <c r="O235" s="12">
        <f t="shared" si="84"/>
        <v>0.76685661001627414</v>
      </c>
      <c r="Q235" s="17"/>
      <c r="X235" s="18"/>
    </row>
    <row r="236" spans="1:24" ht="14.4">
      <c r="A236" s="4">
        <v>51601</v>
      </c>
      <c r="B236" s="8">
        <v>2</v>
      </c>
      <c r="C236" s="8">
        <v>1.3333333730697632</v>
      </c>
      <c r="D236" s="8">
        <v>3</v>
      </c>
      <c r="E236" s="9">
        <f t="shared" si="81"/>
        <v>0.66666666666666663</v>
      </c>
      <c r="F236" s="10">
        <f t="shared" si="82"/>
        <v>0.66666668653488159</v>
      </c>
      <c r="G236" s="10">
        <f t="shared" si="83"/>
        <v>0.44444445768992102</v>
      </c>
      <c r="H236" s="4">
        <v>51601</v>
      </c>
      <c r="I236" s="8">
        <v>17</v>
      </c>
      <c r="J236" s="8">
        <v>7.1111112534999847</v>
      </c>
      <c r="K236" s="8">
        <v>31</v>
      </c>
      <c r="L236" s="10">
        <f t="shared" si="3"/>
        <v>0.54838709677419351</v>
      </c>
      <c r="M236" s="11">
        <f t="shared" si="62"/>
        <v>0.41830066197058735</v>
      </c>
      <c r="N236" s="11">
        <f t="shared" si="63"/>
        <v>0.2293906855967737</v>
      </c>
      <c r="O236" s="12">
        <f t="shared" si="84"/>
        <v>0.51612902721089715</v>
      </c>
      <c r="Q236" s="17"/>
      <c r="X236" s="18"/>
    </row>
    <row r="237" spans="1:24" ht="14.4">
      <c r="A237" s="4">
        <v>60101</v>
      </c>
      <c r="B237" s="8">
        <v>36</v>
      </c>
      <c r="C237" s="8">
        <v>14.66666704416275</v>
      </c>
      <c r="D237" s="8">
        <v>138</v>
      </c>
      <c r="E237" s="9">
        <f t="shared" si="81"/>
        <v>0.2608695652173913</v>
      </c>
      <c r="F237" s="10">
        <f t="shared" si="82"/>
        <v>0.40740741789340973</v>
      </c>
      <c r="G237" s="10">
        <f t="shared" si="83"/>
        <v>0.10628019597219383</v>
      </c>
      <c r="H237" s="4">
        <v>60101</v>
      </c>
      <c r="I237" s="8">
        <v>159</v>
      </c>
      <c r="J237" s="8">
        <v>67.222223997116089</v>
      </c>
      <c r="K237" s="8">
        <v>1313</v>
      </c>
      <c r="L237" s="10">
        <f t="shared" si="3"/>
        <v>0.1210967250571211</v>
      </c>
      <c r="M237" s="11">
        <f t="shared" si="62"/>
        <v>0.42278128300073015</v>
      </c>
      <c r="N237" s="11">
        <f t="shared" si="63"/>
        <v>5.1197428786836328E-2</v>
      </c>
      <c r="O237" s="12">
        <f t="shared" si="84"/>
        <v>0.48172124936833149</v>
      </c>
      <c r="Q237" s="17"/>
      <c r="X237" s="18"/>
    </row>
    <row r="238" spans="1:24" ht="14.4">
      <c r="A238" s="4">
        <v>60201</v>
      </c>
      <c r="B238" s="8">
        <v>12</v>
      </c>
      <c r="C238" s="8">
        <v>5.2222223579883575</v>
      </c>
      <c r="D238" s="8">
        <v>23</v>
      </c>
      <c r="E238" s="9">
        <f t="shared" si="81"/>
        <v>0.52173913043478259</v>
      </c>
      <c r="F238" s="10">
        <f t="shared" si="82"/>
        <v>0.43518519649902981</v>
      </c>
      <c r="G238" s="10">
        <f t="shared" si="83"/>
        <v>0.22705314599949381</v>
      </c>
      <c r="H238" s="4">
        <v>60201</v>
      </c>
      <c r="I238" s="8">
        <v>103</v>
      </c>
      <c r="J238" s="8">
        <v>45.000000864267349</v>
      </c>
      <c r="K238" s="8">
        <v>290</v>
      </c>
      <c r="L238" s="10">
        <f t="shared" si="3"/>
        <v>0.35517241379310344</v>
      </c>
      <c r="M238" s="11">
        <f t="shared" si="62"/>
        <v>0.43689321227444028</v>
      </c>
      <c r="N238" s="11">
        <f t="shared" si="63"/>
        <v>0.15517241677333568</v>
      </c>
      <c r="O238" s="12">
        <f t="shared" si="84"/>
        <v>0.68341892419179084</v>
      </c>
      <c r="Q238" s="17"/>
      <c r="X238" s="18"/>
    </row>
    <row r="239" spans="1:24" ht="14.4">
      <c r="A239" s="4">
        <v>60202</v>
      </c>
      <c r="B239" s="8">
        <v>12</v>
      </c>
      <c r="C239" s="8">
        <v>5.1111112534999847</v>
      </c>
      <c r="D239" s="8">
        <v>44</v>
      </c>
      <c r="E239" s="9">
        <f t="shared" si="81"/>
        <v>0.27272727272727271</v>
      </c>
      <c r="F239" s="10">
        <f t="shared" si="82"/>
        <v>0.42592593779166538</v>
      </c>
      <c r="G239" s="10">
        <f t="shared" si="83"/>
        <v>0.11616161939772691</v>
      </c>
      <c r="H239" s="4">
        <v>60202</v>
      </c>
      <c r="I239" s="8">
        <v>89</v>
      </c>
      <c r="J239" s="8">
        <v>35.777778804302216</v>
      </c>
      <c r="K239" s="8">
        <v>402</v>
      </c>
      <c r="L239" s="10">
        <f t="shared" si="3"/>
        <v>0.22139303482587064</v>
      </c>
      <c r="M239" s="11">
        <f t="shared" si="62"/>
        <v>0.4019975146550811</v>
      </c>
      <c r="N239" s="11">
        <f t="shared" si="63"/>
        <v>8.8999449761945806E-2</v>
      </c>
      <c r="O239" s="12">
        <f t="shared" si="84"/>
        <v>0.7661691548670625</v>
      </c>
      <c r="Q239" s="17"/>
      <c r="X239" s="18"/>
    </row>
    <row r="240" spans="1:24" ht="14.4">
      <c r="A240" s="4">
        <v>60301</v>
      </c>
      <c r="B240" s="8">
        <v>17</v>
      </c>
      <c r="C240" s="8">
        <v>7.4444446563720703</v>
      </c>
      <c r="D240" s="8">
        <v>80</v>
      </c>
      <c r="E240" s="9">
        <f t="shared" si="81"/>
        <v>0.21249999999999999</v>
      </c>
      <c r="F240" s="10">
        <f t="shared" si="82"/>
        <v>0.43790850919835705</v>
      </c>
      <c r="G240" s="10">
        <f t="shared" si="83"/>
        <v>9.3055558204650876E-2</v>
      </c>
      <c r="H240" s="4">
        <v>60301</v>
      </c>
      <c r="I240" s="8">
        <v>113</v>
      </c>
      <c r="J240" s="8">
        <v>46.111112326383591</v>
      </c>
      <c r="K240" s="8">
        <v>638</v>
      </c>
      <c r="L240" s="10">
        <f t="shared" si="3"/>
        <v>0.17711598746081506</v>
      </c>
      <c r="M240" s="11">
        <f t="shared" si="62"/>
        <v>0.40806294094144768</v>
      </c>
      <c r="N240" s="11">
        <f t="shared" si="63"/>
        <v>7.2274470731008761E-2</v>
      </c>
      <c r="O240" s="12">
        <f t="shared" si="84"/>
        <v>0.77668085738694237</v>
      </c>
      <c r="Q240" s="17"/>
      <c r="X240" s="18"/>
    </row>
    <row r="241" spans="1:24" ht="14.4">
      <c r="A241" s="4">
        <v>60302</v>
      </c>
      <c r="B241" s="8">
        <v>6</v>
      </c>
      <c r="C241" s="8">
        <v>2.2222222685813904</v>
      </c>
      <c r="D241" s="8">
        <v>33</v>
      </c>
      <c r="E241" s="9">
        <f t="shared" si="81"/>
        <v>0.18181818181818182</v>
      </c>
      <c r="F241" s="10">
        <f t="shared" si="82"/>
        <v>0.37037037809689838</v>
      </c>
      <c r="G241" s="10">
        <f t="shared" si="83"/>
        <v>6.734006874489061E-2</v>
      </c>
      <c r="H241" s="4">
        <v>60302</v>
      </c>
      <c r="I241" s="8">
        <v>27</v>
      </c>
      <c r="J241" s="8">
        <v>10.777778029441833</v>
      </c>
      <c r="K241" s="8">
        <v>186</v>
      </c>
      <c r="L241" s="10">
        <f t="shared" si="3"/>
        <v>0.14516129032258066</v>
      </c>
      <c r="M241" s="11">
        <f t="shared" si="62"/>
        <v>0.39917696405340125</v>
      </c>
      <c r="N241" s="11">
        <f t="shared" si="63"/>
        <v>5.7945043169042122E-2</v>
      </c>
      <c r="O241" s="12">
        <f t="shared" si="84"/>
        <v>0.86048387310918317</v>
      </c>
      <c r="Q241" s="17"/>
      <c r="X241" s="18"/>
    </row>
    <row r="242" spans="1:24" ht="14.4">
      <c r="A242" s="4">
        <v>60303</v>
      </c>
      <c r="B242" s="8">
        <v>11</v>
      </c>
      <c r="C242" s="8">
        <v>4.555555671453476</v>
      </c>
      <c r="D242" s="8">
        <v>46</v>
      </c>
      <c r="E242" s="9">
        <f t="shared" si="81"/>
        <v>0.2391304347826087</v>
      </c>
      <c r="F242" s="10">
        <f t="shared" si="82"/>
        <v>0.41414142467758874</v>
      </c>
      <c r="G242" s="10">
        <f t="shared" si="83"/>
        <v>9.9033818944640792E-2</v>
      </c>
      <c r="H242" s="4">
        <v>60303</v>
      </c>
      <c r="I242" s="8">
        <v>52</v>
      </c>
      <c r="J242" s="8">
        <v>20.111111640930176</v>
      </c>
      <c r="K242" s="8">
        <v>338</v>
      </c>
      <c r="L242" s="10">
        <f t="shared" si="3"/>
        <v>0.15384615384615385</v>
      </c>
      <c r="M242" s="11">
        <f t="shared" si="62"/>
        <v>0.38675214694096494</v>
      </c>
      <c r="N242" s="11">
        <f t="shared" si="63"/>
        <v>5.9500330298609995E-2</v>
      </c>
      <c r="O242" s="12">
        <f t="shared" si="84"/>
        <v>0.60080819797396945</v>
      </c>
      <c r="Q242" s="17"/>
      <c r="X242" s="18"/>
    </row>
    <row r="243" spans="1:24" ht="14.4">
      <c r="A243" s="4">
        <v>60401</v>
      </c>
      <c r="B243" s="8">
        <v>0</v>
      </c>
      <c r="C243" s="8">
        <v>0</v>
      </c>
      <c r="D243" s="8">
        <v>4</v>
      </c>
      <c r="E243" s="9">
        <f t="shared" si="81"/>
        <v>0</v>
      </c>
      <c r="F243" s="10" t="e">
        <f t="shared" si="82"/>
        <v>#DIV/0!</v>
      </c>
      <c r="G243" s="10" t="e">
        <f t="shared" si="83"/>
        <v>#DIV/0!</v>
      </c>
      <c r="H243" s="4">
        <v>60401</v>
      </c>
      <c r="I243" s="8">
        <v>40</v>
      </c>
      <c r="J243" s="8">
        <v>18.111111700534821</v>
      </c>
      <c r="K243" s="8">
        <v>98</v>
      </c>
      <c r="L243" s="10">
        <f t="shared" si="3"/>
        <v>0.40816326530612246</v>
      </c>
      <c r="M243" s="11">
        <f t="shared" si="62"/>
        <v>0.45277779251337053</v>
      </c>
      <c r="N243" s="11">
        <f t="shared" si="63"/>
        <v>0.18480726225035532</v>
      </c>
      <c r="O243" s="12" t="s">
        <v>22</v>
      </c>
      <c r="Q243" s="17"/>
      <c r="X243" s="18"/>
    </row>
    <row r="244" spans="1:24" ht="14.4">
      <c r="A244" s="4">
        <v>60402</v>
      </c>
      <c r="B244" s="8">
        <v>11</v>
      </c>
      <c r="C244" s="8">
        <v>4.8888890147209167</v>
      </c>
      <c r="D244" s="8">
        <v>20</v>
      </c>
      <c r="E244" s="9">
        <f t="shared" si="81"/>
        <v>0.55000000000000004</v>
      </c>
      <c r="F244" s="10">
        <f t="shared" si="82"/>
        <v>0.44444445588371972</v>
      </c>
      <c r="G244" s="10">
        <f t="shared" si="83"/>
        <v>0.24444445073604587</v>
      </c>
      <c r="H244" s="4">
        <v>60402</v>
      </c>
      <c r="I244" s="8">
        <v>72</v>
      </c>
      <c r="J244" s="8">
        <v>35.111112177371979</v>
      </c>
      <c r="K244" s="8">
        <v>102</v>
      </c>
      <c r="L244" s="10">
        <f t="shared" si="3"/>
        <v>0.70588235294117652</v>
      </c>
      <c r="M244" s="11">
        <f t="shared" si="62"/>
        <v>0.48765433579683304</v>
      </c>
      <c r="N244" s="11">
        <f t="shared" si="63"/>
        <v>0.34422658997423511</v>
      </c>
      <c r="O244" s="12">
        <f t="shared" ref="O244:O256" si="85">N244/G244</f>
        <v>1.4081996500134717</v>
      </c>
      <c r="Q244" s="17"/>
      <c r="X244" s="18"/>
    </row>
    <row r="245" spans="1:24" ht="14.4">
      <c r="A245" s="4">
        <v>60501</v>
      </c>
      <c r="B245" s="8">
        <v>8</v>
      </c>
      <c r="C245" s="8">
        <v>3.7777778804302216</v>
      </c>
      <c r="D245" s="8">
        <v>37</v>
      </c>
      <c r="E245" s="9">
        <f t="shared" si="81"/>
        <v>0.21621621621621623</v>
      </c>
      <c r="F245" s="10">
        <f t="shared" si="82"/>
        <v>0.47222223505377769</v>
      </c>
      <c r="G245" s="10">
        <f t="shared" si="83"/>
        <v>0.10210210487649247</v>
      </c>
      <c r="H245" s="4">
        <v>60501</v>
      </c>
      <c r="I245" s="8">
        <v>40</v>
      </c>
      <c r="J245" s="8">
        <v>16.000000417232513</v>
      </c>
      <c r="K245" s="8">
        <v>157</v>
      </c>
      <c r="L245" s="10">
        <f t="shared" si="3"/>
        <v>0.25477707006369427</v>
      </c>
      <c r="M245" s="11">
        <f t="shared" si="62"/>
        <v>0.40000001043081285</v>
      </c>
      <c r="N245" s="11">
        <f t="shared" si="63"/>
        <v>0.10191083068300964</v>
      </c>
      <c r="O245" s="12">
        <f t="shared" si="85"/>
        <v>0.99812663809708713</v>
      </c>
      <c r="Q245" s="17"/>
      <c r="X245" s="18"/>
    </row>
    <row r="246" spans="1:24" ht="14.4">
      <c r="A246" s="4">
        <v>60502</v>
      </c>
      <c r="B246" s="8">
        <v>5</v>
      </c>
      <c r="C246" s="8">
        <v>2.11111119389534</v>
      </c>
      <c r="D246" s="8">
        <v>25</v>
      </c>
      <c r="E246" s="9">
        <f t="shared" si="81"/>
        <v>0.2</v>
      </c>
      <c r="F246" s="10">
        <f t="shared" si="82"/>
        <v>0.422222238779068</v>
      </c>
      <c r="G246" s="10">
        <f t="shared" si="83"/>
        <v>8.4444447755813612E-2</v>
      </c>
      <c r="H246" s="4">
        <v>60502</v>
      </c>
      <c r="I246" s="8">
        <v>17</v>
      </c>
      <c r="J246" s="8">
        <v>6.8888890743255615</v>
      </c>
      <c r="K246" s="8">
        <v>93</v>
      </c>
      <c r="L246" s="10">
        <f t="shared" si="3"/>
        <v>0.18279569892473119</v>
      </c>
      <c r="M246" s="11">
        <f t="shared" si="62"/>
        <v>0.40522876907797423</v>
      </c>
      <c r="N246" s="11">
        <f t="shared" si="63"/>
        <v>7.4074076068016789E-2</v>
      </c>
      <c r="O246" s="12">
        <f t="shared" si="85"/>
        <v>0.87719297167074117</v>
      </c>
      <c r="Q246" s="17"/>
      <c r="X246" s="18"/>
    </row>
    <row r="247" spans="1:24" ht="14.4">
      <c r="A247" s="4">
        <v>60601</v>
      </c>
      <c r="B247" s="8">
        <v>6</v>
      </c>
      <c r="C247" s="8">
        <v>2.4444445073604584</v>
      </c>
      <c r="D247" s="8">
        <v>40</v>
      </c>
      <c r="E247" s="9">
        <f t="shared" si="81"/>
        <v>0.15</v>
      </c>
      <c r="F247" s="10">
        <f t="shared" si="82"/>
        <v>0.40740741789340973</v>
      </c>
      <c r="G247" s="10">
        <f t="shared" si="83"/>
        <v>6.1111112684011454E-2</v>
      </c>
      <c r="H247" s="4">
        <v>60601</v>
      </c>
      <c r="I247" s="8">
        <v>54</v>
      </c>
      <c r="J247" s="8">
        <v>23.444445133209229</v>
      </c>
      <c r="K247" s="8">
        <v>246</v>
      </c>
      <c r="L247" s="10">
        <f t="shared" si="3"/>
        <v>0.21951219512195122</v>
      </c>
      <c r="M247" s="11">
        <f t="shared" si="62"/>
        <v>0.43415639135572648</v>
      </c>
      <c r="N247" s="11">
        <f t="shared" si="63"/>
        <v>9.5302622492720451E-2</v>
      </c>
      <c r="O247" s="12">
        <f t="shared" si="85"/>
        <v>1.5594974188328687</v>
      </c>
      <c r="Q247" s="17"/>
      <c r="X247" s="18"/>
    </row>
    <row r="248" spans="1:24" ht="14.4">
      <c r="A248" s="4">
        <v>70101</v>
      </c>
      <c r="B248" s="8">
        <v>121</v>
      </c>
      <c r="C248" s="8">
        <v>45.222223341464996</v>
      </c>
      <c r="D248" s="8">
        <v>584</v>
      </c>
      <c r="E248" s="9">
        <f t="shared" si="81"/>
        <v>0.2071917808219178</v>
      </c>
      <c r="F248" s="10">
        <f t="shared" si="82"/>
        <v>0.37373738298731402</v>
      </c>
      <c r="G248" s="10">
        <f t="shared" si="83"/>
        <v>7.7435313940864711E-2</v>
      </c>
      <c r="H248" s="4">
        <v>70101</v>
      </c>
      <c r="I248" s="8">
        <v>731</v>
      </c>
      <c r="J248" s="8">
        <v>269.55556210875511</v>
      </c>
      <c r="K248" s="8">
        <v>5251</v>
      </c>
      <c r="L248" s="10">
        <f t="shared" si="3"/>
        <v>0.13921157874690535</v>
      </c>
      <c r="M248" s="11">
        <f t="shared" si="62"/>
        <v>0.3687490589723052</v>
      </c>
      <c r="N248" s="11">
        <f t="shared" si="63"/>
        <v>5.1334138660970308E-2</v>
      </c>
      <c r="O248" s="12">
        <f t="shared" si="85"/>
        <v>0.66292930251658599</v>
      </c>
      <c r="Q248" s="17"/>
      <c r="X248" s="18"/>
    </row>
    <row r="249" spans="1:24" ht="14.4">
      <c r="A249" s="4">
        <v>70102</v>
      </c>
      <c r="B249" s="8">
        <v>3</v>
      </c>
      <c r="C249" s="8">
        <v>1.0000000298023224</v>
      </c>
      <c r="D249" s="8">
        <v>19</v>
      </c>
      <c r="E249" s="9">
        <f t="shared" si="81"/>
        <v>0.15789473684210525</v>
      </c>
      <c r="F249" s="10">
        <f t="shared" si="82"/>
        <v>0.3333333432674408</v>
      </c>
      <c r="G249" s="10">
        <f t="shared" si="83"/>
        <v>5.26315805159117E-2</v>
      </c>
      <c r="H249" s="4">
        <v>70102</v>
      </c>
      <c r="I249" s="8">
        <v>41</v>
      </c>
      <c r="J249" s="8">
        <v>15.555555880069733</v>
      </c>
      <c r="K249" s="8">
        <v>158</v>
      </c>
      <c r="L249" s="10">
        <f t="shared" si="3"/>
        <v>0.25949367088607594</v>
      </c>
      <c r="M249" s="11">
        <f t="shared" si="62"/>
        <v>0.37940380195292028</v>
      </c>
      <c r="N249" s="11">
        <f t="shared" si="63"/>
        <v>9.845288531689704E-2</v>
      </c>
      <c r="O249" s="12">
        <f t="shared" si="85"/>
        <v>1.8706047652726776</v>
      </c>
      <c r="Q249" s="17"/>
      <c r="X249" s="18"/>
    </row>
    <row r="250" spans="1:24" ht="14.4">
      <c r="A250" s="4">
        <v>70103</v>
      </c>
      <c r="B250" s="8">
        <v>6</v>
      </c>
      <c r="C250" s="8">
        <v>2.6666667461395264</v>
      </c>
      <c r="D250" s="8">
        <v>15</v>
      </c>
      <c r="E250" s="9">
        <f t="shared" si="81"/>
        <v>0.4</v>
      </c>
      <c r="F250" s="10">
        <f t="shared" si="82"/>
        <v>0.44444445768992108</v>
      </c>
      <c r="G250" s="10">
        <f t="shared" si="83"/>
        <v>0.17777778307596845</v>
      </c>
      <c r="H250" s="4">
        <v>70103</v>
      </c>
      <c r="I250" s="8">
        <v>43</v>
      </c>
      <c r="J250" s="8">
        <v>18.444444805383682</v>
      </c>
      <c r="K250" s="8">
        <v>84</v>
      </c>
      <c r="L250" s="10">
        <f t="shared" si="3"/>
        <v>0.51190476190476186</v>
      </c>
      <c r="M250" s="11">
        <f t="shared" si="62"/>
        <v>0.42894057686938797</v>
      </c>
      <c r="N250" s="11">
        <f t="shared" si="63"/>
        <v>0.21957672387361526</v>
      </c>
      <c r="O250" s="12">
        <f t="shared" si="85"/>
        <v>1.2351190349796701</v>
      </c>
      <c r="Q250" s="17"/>
      <c r="X250" s="18"/>
    </row>
    <row r="251" spans="1:24" ht="14.4">
      <c r="A251" s="4">
        <v>70104</v>
      </c>
      <c r="B251" s="8">
        <v>19</v>
      </c>
      <c r="C251" s="8">
        <v>7.1111112833023071</v>
      </c>
      <c r="D251" s="8">
        <v>63</v>
      </c>
      <c r="E251" s="9">
        <f t="shared" si="81"/>
        <v>0.30158730158730157</v>
      </c>
      <c r="F251" s="10">
        <f t="shared" si="82"/>
        <v>0.37426901491064773</v>
      </c>
      <c r="G251" s="10">
        <f t="shared" si="83"/>
        <v>0.11287478227463979</v>
      </c>
      <c r="H251" s="4">
        <v>70104</v>
      </c>
      <c r="I251" s="8">
        <v>111</v>
      </c>
      <c r="J251" s="8">
        <v>45.55555671453476</v>
      </c>
      <c r="K251" s="8">
        <v>389</v>
      </c>
      <c r="L251" s="10">
        <f t="shared" si="3"/>
        <v>0.28534704370179947</v>
      </c>
      <c r="M251" s="11">
        <f t="shared" si="62"/>
        <v>0.41041042085166451</v>
      </c>
      <c r="N251" s="11">
        <f t="shared" si="63"/>
        <v>0.11710940029443383</v>
      </c>
      <c r="O251" s="12">
        <f t="shared" si="85"/>
        <v>1.0375160681106843</v>
      </c>
      <c r="Q251" s="17"/>
      <c r="X251" s="18"/>
    </row>
    <row r="252" spans="1:24" ht="14.4">
      <c r="A252" s="4">
        <v>70105</v>
      </c>
      <c r="B252" s="8">
        <v>15</v>
      </c>
      <c r="C252" s="8">
        <v>6.7777779400348663</v>
      </c>
      <c r="D252" s="8">
        <v>36</v>
      </c>
      <c r="E252" s="9">
        <f t="shared" si="81"/>
        <v>0.41666666666666669</v>
      </c>
      <c r="F252" s="10">
        <f t="shared" si="82"/>
        <v>0.45185186266899108</v>
      </c>
      <c r="G252" s="10">
        <f t="shared" si="83"/>
        <v>0.18827160944541296</v>
      </c>
      <c r="H252" s="4">
        <v>70105</v>
      </c>
      <c r="I252" s="8">
        <v>58</v>
      </c>
      <c r="J252" s="8">
        <v>23.222222745418549</v>
      </c>
      <c r="K252" s="8">
        <v>177</v>
      </c>
      <c r="L252" s="10">
        <f t="shared" si="3"/>
        <v>0.32768361581920902</v>
      </c>
      <c r="M252" s="11">
        <f t="shared" si="62"/>
        <v>0.4003831507830784</v>
      </c>
      <c r="N252" s="11">
        <f t="shared" si="63"/>
        <v>0.13119899856168671</v>
      </c>
      <c r="O252" s="12">
        <f t="shared" si="85"/>
        <v>0.69686023797298147</v>
      </c>
      <c r="Q252" s="17"/>
      <c r="X252" s="18"/>
    </row>
    <row r="253" spans="1:24" ht="14.4">
      <c r="A253" s="4">
        <v>70201</v>
      </c>
      <c r="B253" s="8">
        <v>36</v>
      </c>
      <c r="C253" s="8">
        <v>15.666667014360428</v>
      </c>
      <c r="D253" s="8">
        <v>74</v>
      </c>
      <c r="E253" s="9">
        <f t="shared" si="81"/>
        <v>0.48648648648648651</v>
      </c>
      <c r="F253" s="10">
        <f t="shared" si="82"/>
        <v>0.43518519484334522</v>
      </c>
      <c r="G253" s="10">
        <f t="shared" si="83"/>
        <v>0.21171171641027606</v>
      </c>
      <c r="H253" s="4">
        <v>70201</v>
      </c>
      <c r="I253" s="8">
        <v>142</v>
      </c>
      <c r="J253" s="8">
        <v>58.000001311302185</v>
      </c>
      <c r="K253" s="8">
        <v>555</v>
      </c>
      <c r="L253" s="10">
        <f t="shared" si="3"/>
        <v>0.25585585585585585</v>
      </c>
      <c r="M253" s="11">
        <f t="shared" si="62"/>
        <v>0.40845071345987455</v>
      </c>
      <c r="N253" s="11">
        <f t="shared" si="63"/>
        <v>0.10450450686721115</v>
      </c>
      <c r="O253" s="12">
        <f t="shared" si="85"/>
        <v>0.49361702148166381</v>
      </c>
      <c r="Q253" s="17"/>
      <c r="X253" s="18"/>
    </row>
    <row r="254" spans="1:24" ht="14.4">
      <c r="A254" s="4">
        <v>70202</v>
      </c>
      <c r="B254" s="8">
        <v>4</v>
      </c>
      <c r="C254" s="8">
        <v>1.666666716337204</v>
      </c>
      <c r="D254" s="8">
        <v>8</v>
      </c>
      <c r="E254" s="9">
        <f t="shared" si="81"/>
        <v>0.5</v>
      </c>
      <c r="F254" s="10">
        <f t="shared" si="82"/>
        <v>0.41666667908430099</v>
      </c>
      <c r="G254" s="10">
        <f t="shared" si="83"/>
        <v>0.2083333395421505</v>
      </c>
      <c r="H254" s="4">
        <v>70202</v>
      </c>
      <c r="I254" s="8">
        <v>12</v>
      </c>
      <c r="J254" s="8">
        <v>4.3333334624767303</v>
      </c>
      <c r="K254" s="8">
        <v>56</v>
      </c>
      <c r="L254" s="10">
        <f t="shared" si="3"/>
        <v>0.21428571428571427</v>
      </c>
      <c r="M254" s="11">
        <f t="shared" si="62"/>
        <v>0.36111112187306088</v>
      </c>
      <c r="N254" s="11">
        <f t="shared" si="63"/>
        <v>7.7380954687084474E-2</v>
      </c>
      <c r="O254" s="12">
        <f t="shared" si="85"/>
        <v>0.37142857142857144</v>
      </c>
      <c r="Q254" s="17"/>
      <c r="X254" s="18"/>
    </row>
    <row r="255" spans="1:24" ht="14.4">
      <c r="A255" s="4">
        <v>70301</v>
      </c>
      <c r="B255" s="8">
        <v>49</v>
      </c>
      <c r="C255" s="8">
        <v>20.666667103767395</v>
      </c>
      <c r="D255" s="8">
        <v>104</v>
      </c>
      <c r="E255" s="9">
        <f t="shared" si="81"/>
        <v>0.47115384615384615</v>
      </c>
      <c r="F255" s="10">
        <f t="shared" si="82"/>
        <v>0.42176871640341623</v>
      </c>
      <c r="G255" s="10">
        <f t="shared" si="83"/>
        <v>0.19871795292084032</v>
      </c>
      <c r="H255" s="4">
        <v>70301</v>
      </c>
      <c r="I255" s="8">
        <v>148</v>
      </c>
      <c r="J255" s="8">
        <v>61.000001460313797</v>
      </c>
      <c r="K255" s="8">
        <v>397</v>
      </c>
      <c r="L255" s="10">
        <f t="shared" si="3"/>
        <v>0.37279596977329976</v>
      </c>
      <c r="M255" s="11">
        <f t="shared" si="62"/>
        <v>0.41216217202914729</v>
      </c>
      <c r="N255" s="11">
        <f t="shared" si="63"/>
        <v>0.15365239662547556</v>
      </c>
      <c r="O255" s="12">
        <f t="shared" si="85"/>
        <v>0.77321849569718182</v>
      </c>
      <c r="Q255" s="17"/>
      <c r="X255" s="18"/>
    </row>
    <row r="256" spans="1:24" ht="14.4">
      <c r="A256" s="4">
        <v>70302</v>
      </c>
      <c r="B256" s="8">
        <v>22</v>
      </c>
      <c r="C256" s="8">
        <v>9.6666668653488159</v>
      </c>
      <c r="D256" s="8">
        <v>32</v>
      </c>
      <c r="E256" s="9">
        <f t="shared" si="81"/>
        <v>0.6875</v>
      </c>
      <c r="F256" s="10">
        <f t="shared" si="82"/>
        <v>0.43939394842494617</v>
      </c>
      <c r="G256" s="10">
        <f t="shared" si="83"/>
        <v>0.3020833395421505</v>
      </c>
      <c r="H256" s="4">
        <v>70302</v>
      </c>
      <c r="I256" s="8">
        <v>20</v>
      </c>
      <c r="J256" s="8">
        <v>7.7777779698371887</v>
      </c>
      <c r="K256" s="8">
        <v>57</v>
      </c>
      <c r="L256" s="10">
        <f t="shared" si="3"/>
        <v>0.35087719298245612</v>
      </c>
      <c r="M256" s="11">
        <f t="shared" si="62"/>
        <v>0.38888889849185942</v>
      </c>
      <c r="N256" s="11">
        <f t="shared" si="63"/>
        <v>0.13645224508486295</v>
      </c>
      <c r="O256" s="12">
        <f t="shared" si="85"/>
        <v>0.45170397444518257</v>
      </c>
      <c r="Q256" s="17"/>
      <c r="X256" s="18"/>
    </row>
    <row r="257" spans="1:24" ht="14.4">
      <c r="A257" s="4">
        <v>70303</v>
      </c>
      <c r="B257" s="8">
        <v>0</v>
      </c>
      <c r="C257" s="8">
        <v>0</v>
      </c>
      <c r="D257" s="8">
        <v>1</v>
      </c>
      <c r="E257" s="9">
        <f t="shared" si="81"/>
        <v>0</v>
      </c>
      <c r="F257" s="10" t="e">
        <f t="shared" si="82"/>
        <v>#DIV/0!</v>
      </c>
      <c r="G257" s="10" t="e">
        <f t="shared" si="83"/>
        <v>#DIV/0!</v>
      </c>
      <c r="H257" s="4">
        <v>70303</v>
      </c>
      <c r="I257" s="8">
        <v>2</v>
      </c>
      <c r="J257" s="8">
        <v>0.66666668653488159</v>
      </c>
      <c r="K257" s="8">
        <v>10</v>
      </c>
      <c r="L257" s="10">
        <f t="shared" ref="L257:L339" si="86">I257/K257</f>
        <v>0.2</v>
      </c>
      <c r="M257" s="11">
        <f t="shared" si="62"/>
        <v>0.3333333432674408</v>
      </c>
      <c r="N257" s="11">
        <f t="shared" si="63"/>
        <v>6.6666668653488165E-2</v>
      </c>
      <c r="O257" s="12" t="s">
        <v>22</v>
      </c>
      <c r="Q257" s="17"/>
      <c r="X257" s="18"/>
    </row>
    <row r="258" spans="1:24" ht="14.4">
      <c r="A258" s="4">
        <v>70401</v>
      </c>
      <c r="B258" s="8">
        <v>1</v>
      </c>
      <c r="C258" s="8">
        <v>0.4444444477558136</v>
      </c>
      <c r="D258" s="8">
        <v>4</v>
      </c>
      <c r="E258" s="9">
        <f t="shared" si="81"/>
        <v>0.25</v>
      </c>
      <c r="F258" s="10">
        <f t="shared" si="82"/>
        <v>0.4444444477558136</v>
      </c>
      <c r="G258" s="10">
        <f t="shared" si="83"/>
        <v>0.1111111119389534</v>
      </c>
      <c r="H258" s="4">
        <v>70401</v>
      </c>
      <c r="I258" s="8">
        <v>41</v>
      </c>
      <c r="J258" s="8">
        <v>15.333333700895309</v>
      </c>
      <c r="K258" s="8">
        <v>123</v>
      </c>
      <c r="L258" s="10">
        <f t="shared" si="86"/>
        <v>0.33333333333333331</v>
      </c>
      <c r="M258" s="11">
        <f t="shared" si="62"/>
        <v>0.3739837488023246</v>
      </c>
      <c r="N258" s="11">
        <f t="shared" si="63"/>
        <v>0.12466124960077486</v>
      </c>
      <c r="O258" s="12">
        <f t="shared" ref="O258:O266" si="87">N258/G258</f>
        <v>1.1219512380477856</v>
      </c>
      <c r="Q258" s="17"/>
      <c r="X258" s="18"/>
    </row>
    <row r="259" spans="1:24" ht="14.4">
      <c r="A259" s="4">
        <v>70402</v>
      </c>
      <c r="B259" s="8">
        <v>5</v>
      </c>
      <c r="C259" s="8">
        <v>2.4444445073604584</v>
      </c>
      <c r="D259" s="8">
        <v>17</v>
      </c>
      <c r="E259" s="9">
        <f t="shared" si="81"/>
        <v>0.29411764705882354</v>
      </c>
      <c r="F259" s="10">
        <f t="shared" si="82"/>
        <v>0.48888890147209169</v>
      </c>
      <c r="G259" s="10">
        <f t="shared" si="83"/>
        <v>0.14379085337414463</v>
      </c>
      <c r="H259" s="4">
        <v>70402</v>
      </c>
      <c r="I259" s="8">
        <v>44</v>
      </c>
      <c r="J259" s="8">
        <v>19.333333820104599</v>
      </c>
      <c r="K259" s="8">
        <v>94</v>
      </c>
      <c r="L259" s="10">
        <f t="shared" si="86"/>
        <v>0.46808510638297873</v>
      </c>
      <c r="M259" s="11">
        <f t="shared" si="62"/>
        <v>0.4393939504569227</v>
      </c>
      <c r="N259" s="11">
        <f t="shared" si="63"/>
        <v>0.20567376404366594</v>
      </c>
      <c r="O259" s="12">
        <f t="shared" si="87"/>
        <v>1.430367504033804</v>
      </c>
      <c r="Q259" s="17"/>
      <c r="X259" s="18"/>
    </row>
    <row r="260" spans="1:24" ht="14.4">
      <c r="A260" s="4">
        <v>70403</v>
      </c>
      <c r="B260" s="8">
        <v>49</v>
      </c>
      <c r="C260" s="8">
        <v>22.444444984197617</v>
      </c>
      <c r="D260" s="8">
        <v>73</v>
      </c>
      <c r="E260" s="9">
        <f t="shared" si="81"/>
        <v>0.67123287671232879</v>
      </c>
      <c r="F260" s="10">
        <f t="shared" si="82"/>
        <v>0.45804989763668608</v>
      </c>
      <c r="G260" s="10">
        <f t="shared" si="83"/>
        <v>0.30745815046846053</v>
      </c>
      <c r="H260" s="4">
        <v>70403</v>
      </c>
      <c r="I260" s="8">
        <v>146</v>
      </c>
      <c r="J260" s="8">
        <v>61.11111244559288</v>
      </c>
      <c r="K260" s="8">
        <v>306</v>
      </c>
      <c r="L260" s="10">
        <f t="shared" si="86"/>
        <v>0.47712418300653597</v>
      </c>
      <c r="M260" s="11">
        <f t="shared" si="62"/>
        <v>0.41856926332597866</v>
      </c>
      <c r="N260" s="11">
        <f t="shared" si="63"/>
        <v>0.1997095177960552</v>
      </c>
      <c r="O260" s="12">
        <f t="shared" si="87"/>
        <v>0.64955024770612368</v>
      </c>
      <c r="Q260" s="17"/>
      <c r="X260" s="18"/>
    </row>
    <row r="261" spans="1:24" ht="14.4">
      <c r="A261" s="4">
        <v>70404</v>
      </c>
      <c r="B261" s="8">
        <v>20</v>
      </c>
      <c r="C261" s="8">
        <v>9.3333335220813751</v>
      </c>
      <c r="D261" s="8">
        <v>28</v>
      </c>
      <c r="E261" s="9">
        <f t="shared" si="81"/>
        <v>0.7142857142857143</v>
      </c>
      <c r="F261" s="10">
        <f t="shared" si="82"/>
        <v>0.46666667610406876</v>
      </c>
      <c r="G261" s="10">
        <f t="shared" si="83"/>
        <v>0.33333334007433485</v>
      </c>
      <c r="H261" s="4">
        <v>70404</v>
      </c>
      <c r="I261" s="8">
        <v>14</v>
      </c>
      <c r="J261" s="8">
        <v>6.2222223877906799</v>
      </c>
      <c r="K261" s="8">
        <v>37</v>
      </c>
      <c r="L261" s="10">
        <f t="shared" si="86"/>
        <v>0.3783783783783784</v>
      </c>
      <c r="M261" s="11">
        <f t="shared" si="62"/>
        <v>0.44444445627076284</v>
      </c>
      <c r="N261" s="11">
        <f t="shared" si="63"/>
        <v>0.16816817264299136</v>
      </c>
      <c r="O261" s="12">
        <f t="shared" si="87"/>
        <v>0.50450450772637712</v>
      </c>
      <c r="Q261" s="17"/>
      <c r="X261" s="18"/>
    </row>
    <row r="262" spans="1:24" ht="14.4">
      <c r="A262" s="4">
        <v>70501</v>
      </c>
      <c r="B262" s="8">
        <v>11</v>
      </c>
      <c r="C262" s="8">
        <v>5.3333335220813751</v>
      </c>
      <c r="D262" s="8">
        <v>33</v>
      </c>
      <c r="E262" s="9">
        <f t="shared" si="81"/>
        <v>0.33333333333333331</v>
      </c>
      <c r="F262" s="10">
        <f t="shared" si="82"/>
        <v>0.48484850200739776</v>
      </c>
      <c r="G262" s="10">
        <f t="shared" si="83"/>
        <v>0.16161616733579925</v>
      </c>
      <c r="H262" s="4">
        <v>70501</v>
      </c>
      <c r="I262" s="8">
        <v>56</v>
      </c>
      <c r="J262" s="8">
        <v>21.222222715616226</v>
      </c>
      <c r="K262" s="8">
        <v>175</v>
      </c>
      <c r="L262" s="10">
        <f t="shared" si="86"/>
        <v>0.32</v>
      </c>
      <c r="M262" s="11">
        <f t="shared" si="62"/>
        <v>0.3789682627788612</v>
      </c>
      <c r="N262" s="11">
        <f t="shared" si="63"/>
        <v>0.12126984408923559</v>
      </c>
      <c r="O262" s="12">
        <f t="shared" si="87"/>
        <v>0.75035713374681279</v>
      </c>
      <c r="Q262" s="17"/>
      <c r="X262" s="18"/>
    </row>
    <row r="263" spans="1:24" ht="14.4">
      <c r="A263" s="4">
        <v>70502</v>
      </c>
      <c r="B263" s="8">
        <v>10</v>
      </c>
      <c r="C263" s="8">
        <v>4.5555556416511536</v>
      </c>
      <c r="D263" s="8">
        <v>31</v>
      </c>
      <c r="E263" s="9">
        <f t="shared" si="81"/>
        <v>0.32258064516129031</v>
      </c>
      <c r="F263" s="10">
        <f t="shared" si="82"/>
        <v>0.45555556416511533</v>
      </c>
      <c r="G263" s="10">
        <f t="shared" si="83"/>
        <v>0.1469534077951985</v>
      </c>
      <c r="H263" s="4">
        <v>70502</v>
      </c>
      <c r="I263" s="8">
        <v>71</v>
      </c>
      <c r="J263" s="8">
        <v>29.444445252418518</v>
      </c>
      <c r="K263" s="8">
        <v>201</v>
      </c>
      <c r="L263" s="10">
        <f t="shared" si="86"/>
        <v>0.35323383084577115</v>
      </c>
      <c r="M263" s="11">
        <f t="shared" si="62"/>
        <v>0.4147104965129369</v>
      </c>
      <c r="N263" s="11">
        <f t="shared" si="63"/>
        <v>0.14648977737521651</v>
      </c>
      <c r="O263" s="12">
        <f t="shared" si="87"/>
        <v>0.99684505159194314</v>
      </c>
      <c r="Q263" s="17"/>
      <c r="X263" s="18"/>
    </row>
    <row r="264" spans="1:24" ht="14.4">
      <c r="A264" s="4">
        <v>70503</v>
      </c>
      <c r="B264" s="8">
        <v>6</v>
      </c>
      <c r="C264" s="8">
        <v>3.1111111640930176</v>
      </c>
      <c r="D264" s="8">
        <v>11</v>
      </c>
      <c r="E264" s="9">
        <f t="shared" si="81"/>
        <v>0.54545454545454541</v>
      </c>
      <c r="F264" s="10">
        <f t="shared" si="82"/>
        <v>0.5185185273488363</v>
      </c>
      <c r="G264" s="10">
        <f t="shared" si="83"/>
        <v>0.28282828764481976</v>
      </c>
      <c r="H264" s="4">
        <v>70503</v>
      </c>
      <c r="I264" s="8">
        <v>17</v>
      </c>
      <c r="J264" s="8">
        <v>6.7777779102325439</v>
      </c>
      <c r="K264" s="8">
        <v>116</v>
      </c>
      <c r="L264" s="10">
        <f t="shared" si="86"/>
        <v>0.14655172413793102</v>
      </c>
      <c r="M264" s="11">
        <f t="shared" si="62"/>
        <v>0.39869281824897318</v>
      </c>
      <c r="N264" s="11">
        <f t="shared" si="63"/>
        <v>5.8429119915797786E-2</v>
      </c>
      <c r="O264" s="12">
        <f t="shared" si="87"/>
        <v>0.20658867046981524</v>
      </c>
      <c r="Q264" s="17"/>
      <c r="X264" s="18"/>
    </row>
    <row r="265" spans="1:24" ht="14.4">
      <c r="A265" s="4">
        <v>70601</v>
      </c>
      <c r="B265" s="8">
        <v>4</v>
      </c>
      <c r="C265" s="8">
        <v>1.8888889253139496</v>
      </c>
      <c r="D265" s="8">
        <v>10</v>
      </c>
      <c r="E265" s="9">
        <f t="shared" si="81"/>
        <v>0.4</v>
      </c>
      <c r="F265" s="10">
        <f t="shared" si="82"/>
        <v>0.4722222313284874</v>
      </c>
      <c r="G265" s="10">
        <f t="shared" si="83"/>
        <v>0.18888889253139496</v>
      </c>
      <c r="H265" s="4">
        <v>70601</v>
      </c>
      <c r="I265" s="8">
        <v>36</v>
      </c>
      <c r="J265" s="8">
        <v>15.555556088685989</v>
      </c>
      <c r="K265" s="8">
        <v>98</v>
      </c>
      <c r="L265" s="10">
        <f t="shared" si="86"/>
        <v>0.36734693877551022</v>
      </c>
      <c r="M265" s="11">
        <f t="shared" si="62"/>
        <v>0.43209878024127746</v>
      </c>
      <c r="N265" s="11">
        <f t="shared" si="63"/>
        <v>0.1587301641702652</v>
      </c>
      <c r="O265" s="12">
        <f t="shared" si="87"/>
        <v>0.84033614704942416</v>
      </c>
      <c r="Q265" s="17"/>
      <c r="X265" s="18"/>
    </row>
    <row r="266" spans="1:24" ht="14.4">
      <c r="A266" s="4">
        <v>70602</v>
      </c>
      <c r="B266" s="8">
        <v>36</v>
      </c>
      <c r="C266" s="8">
        <v>18.000000506639481</v>
      </c>
      <c r="D266" s="8">
        <v>57</v>
      </c>
      <c r="E266" s="9">
        <f t="shared" si="81"/>
        <v>0.63157894736842102</v>
      </c>
      <c r="F266" s="10">
        <f t="shared" si="82"/>
        <v>0.50000001407331895</v>
      </c>
      <c r="G266" s="10">
        <f t="shared" si="83"/>
        <v>0.31578948257262246</v>
      </c>
      <c r="H266" s="4">
        <v>70602</v>
      </c>
      <c r="I266" s="8">
        <v>80</v>
      </c>
      <c r="J266" s="8">
        <v>32.222223103046417</v>
      </c>
      <c r="K266" s="8">
        <v>182</v>
      </c>
      <c r="L266" s="10">
        <f t="shared" si="86"/>
        <v>0.43956043956043955</v>
      </c>
      <c r="M266" s="11">
        <f t="shared" si="62"/>
        <v>0.40277778878808024</v>
      </c>
      <c r="N266" s="11">
        <f t="shared" si="63"/>
        <v>0.17704518188487042</v>
      </c>
      <c r="O266" s="12">
        <f t="shared" si="87"/>
        <v>0.56064306018853916</v>
      </c>
      <c r="Q266" s="17"/>
      <c r="X266" s="18"/>
    </row>
    <row r="267" spans="1:24" ht="14.4">
      <c r="A267" s="4">
        <v>70603</v>
      </c>
      <c r="B267" s="8">
        <v>0</v>
      </c>
      <c r="C267" s="8">
        <v>0</v>
      </c>
      <c r="D267" s="8">
        <v>1</v>
      </c>
      <c r="E267" s="9">
        <f t="shared" si="81"/>
        <v>0</v>
      </c>
      <c r="F267" s="10" t="e">
        <f t="shared" si="82"/>
        <v>#DIV/0!</v>
      </c>
      <c r="G267" s="10" t="e">
        <f t="shared" si="83"/>
        <v>#DIV/0!</v>
      </c>
      <c r="H267" s="4">
        <v>70603</v>
      </c>
      <c r="I267" s="8">
        <v>19</v>
      </c>
      <c r="J267" s="8">
        <v>9.0000001788139343</v>
      </c>
      <c r="K267" s="8">
        <v>43</v>
      </c>
      <c r="L267" s="10">
        <f t="shared" si="86"/>
        <v>0.44186046511627908</v>
      </c>
      <c r="M267" s="11">
        <f t="shared" si="62"/>
        <v>0.47368421993757548</v>
      </c>
      <c r="N267" s="11">
        <f t="shared" si="63"/>
        <v>0.20930232973985893</v>
      </c>
      <c r="O267" s="12" t="s">
        <v>22</v>
      </c>
      <c r="Q267" s="17"/>
      <c r="X267" s="18"/>
    </row>
    <row r="268" spans="1:24" ht="14.4">
      <c r="A268" s="4">
        <v>70701</v>
      </c>
      <c r="B268" s="8">
        <v>3</v>
      </c>
      <c r="C268" s="8">
        <v>1.6666667461395264</v>
      </c>
      <c r="D268" s="8">
        <v>3</v>
      </c>
      <c r="E268" s="9">
        <f t="shared" si="81"/>
        <v>1</v>
      </c>
      <c r="F268" s="10">
        <f t="shared" si="82"/>
        <v>0.55555558204650879</v>
      </c>
      <c r="G268" s="10">
        <f t="shared" si="83"/>
        <v>0.55555558204650879</v>
      </c>
      <c r="H268" s="4">
        <v>70701</v>
      </c>
      <c r="I268" s="8">
        <v>7</v>
      </c>
      <c r="J268" s="8">
        <v>3.0000000894069672</v>
      </c>
      <c r="K268" s="8">
        <v>32</v>
      </c>
      <c r="L268" s="10">
        <f t="shared" si="86"/>
        <v>0.21875</v>
      </c>
      <c r="M268" s="11">
        <f t="shared" si="62"/>
        <v>0.42857144134385244</v>
      </c>
      <c r="N268" s="11">
        <f t="shared" si="63"/>
        <v>9.3750002793967724E-2</v>
      </c>
      <c r="O268" s="12">
        <f t="shared" ref="O268:O270" si="88">N268/G268</f>
        <v>0.168749996982515</v>
      </c>
      <c r="Q268" s="17"/>
      <c r="X268" s="18"/>
    </row>
    <row r="269" spans="1:24" ht="14.4">
      <c r="A269" s="4">
        <v>70702</v>
      </c>
      <c r="B269" s="8">
        <v>19</v>
      </c>
      <c r="C269" s="8">
        <v>7.6666668355464935</v>
      </c>
      <c r="D269" s="8">
        <v>39</v>
      </c>
      <c r="E269" s="9">
        <f t="shared" si="81"/>
        <v>0.48717948717948717</v>
      </c>
      <c r="F269" s="10">
        <f t="shared" si="82"/>
        <v>0.40350878081823649</v>
      </c>
      <c r="G269" s="10">
        <f t="shared" si="83"/>
        <v>0.19658120091144854</v>
      </c>
      <c r="H269" s="4">
        <v>70702</v>
      </c>
      <c r="I269" s="8">
        <v>75</v>
      </c>
      <c r="J269" s="8">
        <v>31.000000715255737</v>
      </c>
      <c r="K269" s="8">
        <v>148</v>
      </c>
      <c r="L269" s="10">
        <f t="shared" si="86"/>
        <v>0.5067567567567568</v>
      </c>
      <c r="M269" s="11">
        <f t="shared" si="62"/>
        <v>0.4133333428700765</v>
      </c>
      <c r="N269" s="11">
        <f t="shared" si="63"/>
        <v>0.20945946429226853</v>
      </c>
      <c r="O269" s="12">
        <f t="shared" si="88"/>
        <v>1.0655111644506694</v>
      </c>
      <c r="Q269" s="17"/>
      <c r="X269" s="18"/>
    </row>
    <row r="270" spans="1:24" ht="14.4">
      <c r="A270" s="4">
        <v>70703</v>
      </c>
      <c r="B270" s="8">
        <v>6</v>
      </c>
      <c r="C270" s="8">
        <v>2.3333333730697632</v>
      </c>
      <c r="D270" s="8">
        <v>20</v>
      </c>
      <c r="E270" s="9">
        <f t="shared" si="81"/>
        <v>0.3</v>
      </c>
      <c r="F270" s="10">
        <f t="shared" si="82"/>
        <v>0.3888888955116272</v>
      </c>
      <c r="G270" s="10">
        <f t="shared" si="83"/>
        <v>0.11666666865348815</v>
      </c>
      <c r="H270" s="4">
        <v>70703</v>
      </c>
      <c r="I270" s="8">
        <v>64</v>
      </c>
      <c r="J270" s="8">
        <v>30.666667580604553</v>
      </c>
      <c r="K270" s="8">
        <v>122</v>
      </c>
      <c r="L270" s="10">
        <f t="shared" si="86"/>
        <v>0.52459016393442626</v>
      </c>
      <c r="M270" s="11">
        <f t="shared" si="62"/>
        <v>0.47916668094694614</v>
      </c>
      <c r="N270" s="11">
        <f t="shared" si="63"/>
        <v>0.25136612770987338</v>
      </c>
      <c r="O270" s="12">
        <f t="shared" si="88"/>
        <v>2.1545667722497184</v>
      </c>
      <c r="Q270" s="17"/>
      <c r="X270" s="18"/>
    </row>
    <row r="271" spans="1:24" ht="14.4">
      <c r="A271" s="4">
        <v>70704</v>
      </c>
      <c r="B271" s="8">
        <v>0</v>
      </c>
      <c r="C271" s="8">
        <v>0</v>
      </c>
      <c r="D271" s="8">
        <v>1</v>
      </c>
      <c r="E271" s="9">
        <f t="shared" si="81"/>
        <v>0</v>
      </c>
      <c r="F271" s="10" t="e">
        <f t="shared" si="82"/>
        <v>#DIV/0!</v>
      </c>
      <c r="G271" s="10" t="e">
        <f t="shared" si="83"/>
        <v>#DIV/0!</v>
      </c>
      <c r="H271" s="4">
        <v>70704</v>
      </c>
      <c r="I271" s="8">
        <v>7</v>
      </c>
      <c r="J271" s="8">
        <v>2.7777778208255768</v>
      </c>
      <c r="K271" s="8">
        <v>22</v>
      </c>
      <c r="L271" s="10">
        <f t="shared" si="86"/>
        <v>0.31818181818181818</v>
      </c>
      <c r="M271" s="11">
        <f t="shared" si="62"/>
        <v>0.3968254029750824</v>
      </c>
      <c r="N271" s="11">
        <f t="shared" si="63"/>
        <v>0.12626262821934439</v>
      </c>
      <c r="O271" s="12" t="s">
        <v>22</v>
      </c>
      <c r="Q271" s="17"/>
      <c r="X271" s="18"/>
    </row>
    <row r="272" spans="1:24" ht="14.4">
      <c r="A272" s="4">
        <v>70705</v>
      </c>
      <c r="B272" s="8">
        <v>1</v>
      </c>
      <c r="C272" s="8">
        <v>0.55555558204650879</v>
      </c>
      <c r="D272" s="8">
        <v>4</v>
      </c>
      <c r="E272" s="9">
        <f t="shared" si="81"/>
        <v>0.25</v>
      </c>
      <c r="F272" s="10">
        <f t="shared" si="82"/>
        <v>0.55555558204650879</v>
      </c>
      <c r="G272" s="10">
        <f t="shared" si="83"/>
        <v>0.1388888955116272</v>
      </c>
      <c r="H272" s="4">
        <v>70705</v>
      </c>
      <c r="I272" s="8">
        <v>13</v>
      </c>
      <c r="J272" s="8">
        <v>5.1111112534999847</v>
      </c>
      <c r="K272" s="8">
        <v>27</v>
      </c>
      <c r="L272" s="10">
        <f t="shared" si="86"/>
        <v>0.48148148148148145</v>
      </c>
      <c r="M272" s="11">
        <f t="shared" si="62"/>
        <v>0.39316240411538345</v>
      </c>
      <c r="N272" s="11">
        <f t="shared" si="63"/>
        <v>0.18930041679629572</v>
      </c>
      <c r="O272" s="12">
        <f t="shared" ref="O272:O273" si="89">N272/G272</f>
        <v>1.362962935942192</v>
      </c>
      <c r="Q272" s="17"/>
      <c r="X272" s="18"/>
    </row>
    <row r="273" spans="1:24" ht="14.4">
      <c r="A273" s="4">
        <v>70706</v>
      </c>
      <c r="B273" s="8">
        <v>3</v>
      </c>
      <c r="C273" s="8">
        <v>1.3333333730697632</v>
      </c>
      <c r="D273" s="8">
        <v>32</v>
      </c>
      <c r="E273" s="9">
        <f t="shared" si="81"/>
        <v>9.375E-2</v>
      </c>
      <c r="F273" s="10">
        <f t="shared" si="82"/>
        <v>0.44444445768992108</v>
      </c>
      <c r="G273" s="10">
        <f t="shared" si="83"/>
        <v>4.1666667908430099E-2</v>
      </c>
      <c r="H273" s="4">
        <v>70706</v>
      </c>
      <c r="I273" s="8">
        <v>21</v>
      </c>
      <c r="J273" s="8">
        <v>8.7777779698371887</v>
      </c>
      <c r="K273" s="8">
        <v>283</v>
      </c>
      <c r="L273" s="10">
        <f t="shared" si="86"/>
        <v>7.4204946996466431E-2</v>
      </c>
      <c r="M273" s="11">
        <f t="shared" si="62"/>
        <v>0.41798942713510423</v>
      </c>
      <c r="N273" s="11">
        <f t="shared" si="63"/>
        <v>3.1016883285643778E-2</v>
      </c>
      <c r="O273" s="12">
        <f t="shared" si="89"/>
        <v>0.74440517667044759</v>
      </c>
      <c r="Q273" s="17"/>
      <c r="X273" s="18"/>
    </row>
    <row r="274" spans="1:24" ht="14.4">
      <c r="A274" s="4">
        <v>70707</v>
      </c>
      <c r="B274" s="8">
        <v>0</v>
      </c>
      <c r="C274" s="8">
        <v>0</v>
      </c>
      <c r="D274" s="8">
        <v>3</v>
      </c>
      <c r="E274" s="9">
        <f t="shared" si="81"/>
        <v>0</v>
      </c>
      <c r="F274" s="10" t="e">
        <f t="shared" si="82"/>
        <v>#DIV/0!</v>
      </c>
      <c r="G274" s="10" t="e">
        <f t="shared" si="83"/>
        <v>#DIV/0!</v>
      </c>
      <c r="H274" s="4">
        <v>70707</v>
      </c>
      <c r="I274" s="8">
        <v>4</v>
      </c>
      <c r="J274" s="8">
        <v>1.666666716337204</v>
      </c>
      <c r="K274" s="8">
        <v>19</v>
      </c>
      <c r="L274" s="10">
        <f t="shared" si="86"/>
        <v>0.21052631578947367</v>
      </c>
      <c r="M274" s="11">
        <f t="shared" si="62"/>
        <v>0.41666667908430099</v>
      </c>
      <c r="N274" s="11">
        <f t="shared" si="63"/>
        <v>8.7719300859852842E-2</v>
      </c>
      <c r="O274" s="12" t="s">
        <v>22</v>
      </c>
      <c r="Q274" s="17"/>
      <c r="X274" s="18"/>
    </row>
    <row r="275" spans="1:24" ht="14.4">
      <c r="A275" s="4">
        <v>70801</v>
      </c>
      <c r="B275" s="8">
        <v>6</v>
      </c>
      <c r="C275" s="8">
        <v>2.1111111640930176</v>
      </c>
      <c r="D275" s="8">
        <v>15</v>
      </c>
      <c r="E275" s="9">
        <f t="shared" si="81"/>
        <v>0.4</v>
      </c>
      <c r="F275" s="10">
        <f t="shared" si="82"/>
        <v>0.35185186068216961</v>
      </c>
      <c r="G275" s="10">
        <f t="shared" si="83"/>
        <v>0.14074074427286784</v>
      </c>
      <c r="H275" s="4">
        <v>70801</v>
      </c>
      <c r="I275" s="8">
        <v>120</v>
      </c>
      <c r="J275" s="8">
        <v>50.555556863546371</v>
      </c>
      <c r="K275" s="8">
        <v>259</v>
      </c>
      <c r="L275" s="10">
        <f t="shared" si="86"/>
        <v>0.46332046332046334</v>
      </c>
      <c r="M275" s="11">
        <f t="shared" si="62"/>
        <v>0.42129630719621974</v>
      </c>
      <c r="N275" s="11">
        <f t="shared" si="63"/>
        <v>0.19519520024535278</v>
      </c>
      <c r="O275" s="12">
        <f t="shared" ref="O275:O277" si="90">N275/G275</f>
        <v>1.3869132300942559</v>
      </c>
      <c r="Q275" s="17"/>
      <c r="X275" s="18"/>
    </row>
    <row r="276" spans="1:24" ht="14.4">
      <c r="A276" s="4">
        <v>70802</v>
      </c>
      <c r="B276" s="8">
        <v>2</v>
      </c>
      <c r="C276" s="8">
        <v>0.8888888955116272</v>
      </c>
      <c r="D276" s="8">
        <v>7</v>
      </c>
      <c r="E276" s="9">
        <f t="shared" si="81"/>
        <v>0.2857142857142857</v>
      </c>
      <c r="F276" s="10">
        <f t="shared" si="82"/>
        <v>0.4444444477558136</v>
      </c>
      <c r="G276" s="10">
        <f t="shared" si="83"/>
        <v>0.12698412793023245</v>
      </c>
      <c r="H276" s="4">
        <v>70802</v>
      </c>
      <c r="I276" s="8">
        <v>4</v>
      </c>
      <c r="J276" s="8">
        <v>1.8888889253139496</v>
      </c>
      <c r="K276" s="8">
        <v>38</v>
      </c>
      <c r="L276" s="10">
        <f t="shared" si="86"/>
        <v>0.10526315789473684</v>
      </c>
      <c r="M276" s="11">
        <f t="shared" si="62"/>
        <v>0.4722222313284874</v>
      </c>
      <c r="N276" s="11">
        <f t="shared" si="63"/>
        <v>4.9707603297735513E-2</v>
      </c>
      <c r="O276" s="12">
        <f t="shared" si="90"/>
        <v>0.39144737305315697</v>
      </c>
      <c r="Q276" s="17"/>
      <c r="X276" s="18"/>
    </row>
    <row r="277" spans="1:24" ht="14.4">
      <c r="A277" s="4">
        <v>70803</v>
      </c>
      <c r="B277" s="8">
        <v>3</v>
      </c>
      <c r="C277" s="8">
        <v>1.3333333730697632</v>
      </c>
      <c r="D277" s="8">
        <v>4</v>
      </c>
      <c r="E277" s="9">
        <f t="shared" si="81"/>
        <v>0.75</v>
      </c>
      <c r="F277" s="10">
        <f t="shared" si="82"/>
        <v>0.44444445768992108</v>
      </c>
      <c r="G277" s="10">
        <f t="shared" si="83"/>
        <v>0.3333333432674408</v>
      </c>
      <c r="H277" s="4">
        <v>70803</v>
      </c>
      <c r="I277" s="8">
        <v>7</v>
      </c>
      <c r="J277" s="8">
        <v>2.8888889849185944</v>
      </c>
      <c r="K277" s="8">
        <v>19</v>
      </c>
      <c r="L277" s="10">
        <f t="shared" si="86"/>
        <v>0.36842105263157893</v>
      </c>
      <c r="M277" s="11">
        <f t="shared" si="62"/>
        <v>0.41269842641694204</v>
      </c>
      <c r="N277" s="11">
        <f t="shared" si="63"/>
        <v>0.15204678867992602</v>
      </c>
      <c r="O277" s="12">
        <f t="shared" si="90"/>
        <v>0.4561403524457362</v>
      </c>
      <c r="Q277" s="17"/>
      <c r="X277" s="18"/>
    </row>
    <row r="278" spans="1:24" ht="14.4">
      <c r="A278" s="4">
        <v>70804</v>
      </c>
      <c r="B278" s="8">
        <v>0</v>
      </c>
      <c r="C278" s="8">
        <v>0</v>
      </c>
      <c r="D278" s="8">
        <v>1</v>
      </c>
      <c r="E278" s="9">
        <f t="shared" si="81"/>
        <v>0</v>
      </c>
      <c r="F278" s="10" t="e">
        <f t="shared" si="82"/>
        <v>#DIV/0!</v>
      </c>
      <c r="G278" s="10" t="e">
        <f t="shared" si="83"/>
        <v>#DIV/0!</v>
      </c>
      <c r="H278" s="4">
        <v>70804</v>
      </c>
      <c r="I278" s="8">
        <v>15</v>
      </c>
      <c r="J278" s="8">
        <v>7.8888892233371735</v>
      </c>
      <c r="K278" s="8">
        <v>50</v>
      </c>
      <c r="L278" s="10">
        <f t="shared" si="86"/>
        <v>0.3</v>
      </c>
      <c r="M278" s="11">
        <f t="shared" si="62"/>
        <v>0.52592594822247818</v>
      </c>
      <c r="N278" s="11">
        <f t="shared" si="63"/>
        <v>0.15777778446674345</v>
      </c>
      <c r="O278" s="12" t="s">
        <v>22</v>
      </c>
      <c r="Q278" s="17"/>
      <c r="X278" s="18"/>
    </row>
    <row r="279" spans="1:24" ht="14.4">
      <c r="A279" s="4">
        <v>70805</v>
      </c>
      <c r="B279" s="8">
        <v>1</v>
      </c>
      <c r="C279" s="8">
        <v>0.3333333432674408</v>
      </c>
      <c r="D279" s="8">
        <v>1</v>
      </c>
      <c r="E279" s="9">
        <f t="shared" si="81"/>
        <v>1</v>
      </c>
      <c r="F279" s="10">
        <f t="shared" si="82"/>
        <v>0.3333333432674408</v>
      </c>
      <c r="G279" s="10">
        <f t="shared" si="83"/>
        <v>0.3333333432674408</v>
      </c>
      <c r="H279" s="4">
        <v>70805</v>
      </c>
      <c r="I279" s="8">
        <v>8</v>
      </c>
      <c r="J279" s="8">
        <v>3.2222223281860352</v>
      </c>
      <c r="K279" s="8">
        <v>12</v>
      </c>
      <c r="L279" s="10">
        <f t="shared" si="86"/>
        <v>0.66666666666666663</v>
      </c>
      <c r="M279" s="11">
        <f t="shared" si="62"/>
        <v>0.40277779102325439</v>
      </c>
      <c r="N279" s="11">
        <f t="shared" si="63"/>
        <v>0.26851852734883624</v>
      </c>
      <c r="O279" s="12">
        <f t="shared" ref="O279:O282" si="91">N279/G279</f>
        <v>0.8055555580390823</v>
      </c>
      <c r="Q279" s="17"/>
      <c r="X279" s="18"/>
    </row>
    <row r="280" spans="1:24" ht="14.4">
      <c r="A280" s="4">
        <v>70901</v>
      </c>
      <c r="B280" s="8">
        <v>1</v>
      </c>
      <c r="C280" s="8">
        <v>0.55555558204650879</v>
      </c>
      <c r="D280" s="8">
        <v>3</v>
      </c>
      <c r="E280" s="9">
        <f t="shared" si="81"/>
        <v>0.33333333333333331</v>
      </c>
      <c r="F280" s="10">
        <f t="shared" si="82"/>
        <v>0.55555558204650879</v>
      </c>
      <c r="G280" s="10">
        <f t="shared" si="83"/>
        <v>0.18518519401550293</v>
      </c>
      <c r="H280" s="4">
        <v>70901</v>
      </c>
      <c r="I280" s="8">
        <v>46</v>
      </c>
      <c r="J280" s="8">
        <v>20.77777823805809</v>
      </c>
      <c r="K280" s="8">
        <v>130</v>
      </c>
      <c r="L280" s="10">
        <f t="shared" si="86"/>
        <v>0.35384615384615387</v>
      </c>
      <c r="M280" s="11">
        <f t="shared" si="62"/>
        <v>0.45169083126213239</v>
      </c>
      <c r="N280" s="11">
        <f t="shared" si="63"/>
        <v>0.15982906336967762</v>
      </c>
      <c r="O280" s="12">
        <f t="shared" si="91"/>
        <v>0.86307690104154544</v>
      </c>
      <c r="Q280" s="17"/>
      <c r="X280" s="18"/>
    </row>
    <row r="281" spans="1:24" ht="14.4">
      <c r="A281" s="4">
        <v>70902</v>
      </c>
      <c r="B281" s="8">
        <v>10</v>
      </c>
      <c r="C281" s="8">
        <v>5.0000001490116119</v>
      </c>
      <c r="D281" s="8">
        <v>15</v>
      </c>
      <c r="E281" s="9">
        <f t="shared" si="81"/>
        <v>0.66666666666666663</v>
      </c>
      <c r="F281" s="10">
        <f t="shared" si="82"/>
        <v>0.50000001490116119</v>
      </c>
      <c r="G281" s="10">
        <f t="shared" si="83"/>
        <v>0.3333333432674408</v>
      </c>
      <c r="H281" s="4">
        <v>70902</v>
      </c>
      <c r="I281" s="8">
        <v>17</v>
      </c>
      <c r="J281" s="8">
        <v>7.2222224175930023</v>
      </c>
      <c r="K281" s="8">
        <v>51</v>
      </c>
      <c r="L281" s="10">
        <f t="shared" si="86"/>
        <v>0.33333333333333331</v>
      </c>
      <c r="M281" s="11">
        <f t="shared" si="62"/>
        <v>0.4248366127995884</v>
      </c>
      <c r="N281" s="11">
        <f t="shared" si="63"/>
        <v>0.14161220426652946</v>
      </c>
      <c r="O281" s="12">
        <f t="shared" si="91"/>
        <v>0.42483660013847108</v>
      </c>
      <c r="Q281" s="17"/>
      <c r="X281" s="18"/>
    </row>
    <row r="282" spans="1:24" ht="14.4">
      <c r="A282" s="4">
        <v>70903</v>
      </c>
      <c r="B282" s="8">
        <v>4</v>
      </c>
      <c r="C282" s="8">
        <v>2.0000000894069672</v>
      </c>
      <c r="D282" s="8">
        <v>11</v>
      </c>
      <c r="E282" s="9">
        <f t="shared" si="81"/>
        <v>0.36363636363636365</v>
      </c>
      <c r="F282" s="10">
        <f t="shared" si="82"/>
        <v>0.50000002235174179</v>
      </c>
      <c r="G282" s="10">
        <f t="shared" si="83"/>
        <v>0.18181818994608792</v>
      </c>
      <c r="H282" s="4">
        <v>70903</v>
      </c>
      <c r="I282" s="8">
        <v>35</v>
      </c>
      <c r="J282" s="8">
        <v>13.555555880069733</v>
      </c>
      <c r="K282" s="8">
        <v>90</v>
      </c>
      <c r="L282" s="10">
        <f t="shared" si="86"/>
        <v>0.3888888888888889</v>
      </c>
      <c r="M282" s="11">
        <f t="shared" si="62"/>
        <v>0.38730159657342095</v>
      </c>
      <c r="N282" s="11">
        <f t="shared" si="63"/>
        <v>0.15061728755633036</v>
      </c>
      <c r="O282" s="12">
        <f t="shared" si="91"/>
        <v>0.82839504452767276</v>
      </c>
      <c r="Q282" s="17"/>
      <c r="X282" s="18"/>
    </row>
    <row r="283" spans="1:24" ht="14.4">
      <c r="A283" s="4">
        <v>70904</v>
      </c>
      <c r="B283" s="8">
        <v>0</v>
      </c>
      <c r="C283" s="8">
        <v>0</v>
      </c>
      <c r="D283" s="8">
        <v>3</v>
      </c>
      <c r="E283" s="9">
        <f t="shared" si="81"/>
        <v>0</v>
      </c>
      <c r="F283" s="10" t="e">
        <f t="shared" si="82"/>
        <v>#DIV/0!</v>
      </c>
      <c r="G283" s="10" t="e">
        <f t="shared" si="83"/>
        <v>#DIV/0!</v>
      </c>
      <c r="H283" s="4">
        <v>70904</v>
      </c>
      <c r="I283" s="8">
        <v>11</v>
      </c>
      <c r="J283" s="8">
        <v>5.11111119389534</v>
      </c>
      <c r="K283" s="8">
        <v>38</v>
      </c>
      <c r="L283" s="10">
        <f t="shared" si="86"/>
        <v>0.28947368421052633</v>
      </c>
      <c r="M283" s="11">
        <f t="shared" si="62"/>
        <v>0.46464647217230365</v>
      </c>
      <c r="N283" s="11">
        <f t="shared" si="63"/>
        <v>0.13450292615514053</v>
      </c>
      <c r="O283" s="12" t="s">
        <v>22</v>
      </c>
      <c r="Q283" s="17"/>
      <c r="X283" s="18"/>
    </row>
    <row r="284" spans="1:24" ht="14.4">
      <c r="A284" s="4">
        <v>71001</v>
      </c>
      <c r="B284" s="8">
        <v>20</v>
      </c>
      <c r="C284" s="8">
        <v>8.7777779698371887</v>
      </c>
      <c r="D284" s="8">
        <v>55</v>
      </c>
      <c r="E284" s="9">
        <f t="shared" si="81"/>
        <v>0.36363636363636365</v>
      </c>
      <c r="F284" s="10">
        <f t="shared" si="82"/>
        <v>0.43888889849185941</v>
      </c>
      <c r="G284" s="10">
        <f t="shared" si="83"/>
        <v>0.15959596308794888</v>
      </c>
      <c r="H284" s="4">
        <v>71001</v>
      </c>
      <c r="I284" s="8">
        <v>102</v>
      </c>
      <c r="J284" s="8">
        <v>40.888889908790588</v>
      </c>
      <c r="K284" s="8">
        <v>427</v>
      </c>
      <c r="L284" s="10">
        <f t="shared" si="86"/>
        <v>0.2388758782201405</v>
      </c>
      <c r="M284" s="11">
        <f t="shared" si="62"/>
        <v>0.40087146969402537</v>
      </c>
      <c r="N284" s="11">
        <f t="shared" si="63"/>
        <v>9.5758524376558754E-2</v>
      </c>
      <c r="O284" s="12">
        <f t="shared" ref="O284:O323" si="92">N284/G284</f>
        <v>0.60000593075019637</v>
      </c>
      <c r="Q284" s="17"/>
      <c r="X284" s="18"/>
    </row>
    <row r="285" spans="1:24" ht="14.4">
      <c r="A285" s="4">
        <v>71002</v>
      </c>
      <c r="B285" s="8">
        <v>9</v>
      </c>
      <c r="C285" s="8">
        <v>4.0000001490116119</v>
      </c>
      <c r="D285" s="8">
        <v>19</v>
      </c>
      <c r="E285" s="9">
        <f t="shared" si="81"/>
        <v>0.47368421052631576</v>
      </c>
      <c r="F285" s="10">
        <f t="shared" si="82"/>
        <v>0.4444444610012902</v>
      </c>
      <c r="G285" s="10">
        <f t="shared" si="83"/>
        <v>0.21052632363219009</v>
      </c>
      <c r="H285" s="4">
        <v>71002</v>
      </c>
      <c r="I285" s="8">
        <v>14</v>
      </c>
      <c r="J285" s="8">
        <v>5.6666668057441711</v>
      </c>
      <c r="K285" s="8">
        <v>64</v>
      </c>
      <c r="L285" s="10">
        <f t="shared" si="86"/>
        <v>0.21875</v>
      </c>
      <c r="M285" s="11">
        <f t="shared" si="62"/>
        <v>0.40476191469601225</v>
      </c>
      <c r="N285" s="11">
        <f t="shared" si="63"/>
        <v>8.8541668839752674E-2</v>
      </c>
      <c r="O285" s="12">
        <f t="shared" si="92"/>
        <v>0.42057291132126334</v>
      </c>
      <c r="Q285" s="17"/>
      <c r="X285" s="18"/>
    </row>
    <row r="286" spans="1:24" ht="14.4">
      <c r="A286" s="4">
        <v>71003</v>
      </c>
      <c r="B286" s="8">
        <v>12</v>
      </c>
      <c r="C286" s="8">
        <v>4.6666667759418488</v>
      </c>
      <c r="D286" s="8">
        <v>15</v>
      </c>
      <c r="E286" s="9">
        <f t="shared" si="81"/>
        <v>0.8</v>
      </c>
      <c r="F286" s="10">
        <f t="shared" si="82"/>
        <v>0.38888889799515408</v>
      </c>
      <c r="G286" s="10">
        <f t="shared" si="83"/>
        <v>0.31111111839612327</v>
      </c>
      <c r="H286" s="4">
        <v>71003</v>
      </c>
      <c r="I286" s="8">
        <v>23</v>
      </c>
      <c r="J286" s="8">
        <v>8.2222224175930023</v>
      </c>
      <c r="K286" s="8">
        <v>36</v>
      </c>
      <c r="L286" s="10">
        <f t="shared" si="86"/>
        <v>0.63888888888888884</v>
      </c>
      <c r="M286" s="11">
        <f t="shared" si="62"/>
        <v>0.35748793119969574</v>
      </c>
      <c r="N286" s="11">
        <f t="shared" si="63"/>
        <v>0.22839506715536115</v>
      </c>
      <c r="O286" s="12">
        <f t="shared" si="92"/>
        <v>0.73412698438040513</v>
      </c>
      <c r="Q286" s="17"/>
      <c r="X286" s="18"/>
    </row>
    <row r="287" spans="1:24" ht="14.4">
      <c r="A287" s="4">
        <v>71004</v>
      </c>
      <c r="B287" s="8">
        <v>13</v>
      </c>
      <c r="C287" s="8">
        <v>5.8888890743255615</v>
      </c>
      <c r="D287" s="8">
        <v>17</v>
      </c>
      <c r="E287" s="9">
        <f t="shared" si="81"/>
        <v>0.76470588235294112</v>
      </c>
      <c r="F287" s="10">
        <f t="shared" si="82"/>
        <v>0.45299146725581241</v>
      </c>
      <c r="G287" s="10">
        <f t="shared" si="83"/>
        <v>0.34640523966620945</v>
      </c>
      <c r="H287" s="4">
        <v>71004</v>
      </c>
      <c r="I287" s="8">
        <v>25</v>
      </c>
      <c r="J287" s="8">
        <v>9.3333335220813751</v>
      </c>
      <c r="K287" s="8">
        <v>58</v>
      </c>
      <c r="L287" s="10">
        <f t="shared" si="86"/>
        <v>0.43103448275862066</v>
      </c>
      <c r="M287" s="11">
        <f t="shared" si="62"/>
        <v>0.37333334088325498</v>
      </c>
      <c r="N287" s="11">
        <f t="shared" si="63"/>
        <v>0.16091954348416163</v>
      </c>
      <c r="O287" s="12">
        <f t="shared" si="92"/>
        <v>0.46454130901490154</v>
      </c>
      <c r="Q287" s="17"/>
      <c r="X287" s="18"/>
    </row>
    <row r="288" spans="1:24" ht="14.4">
      <c r="A288" s="4">
        <v>71005</v>
      </c>
      <c r="B288" s="8">
        <v>6</v>
      </c>
      <c r="C288" s="8">
        <v>2.4444445073604584</v>
      </c>
      <c r="D288" s="8">
        <v>29</v>
      </c>
      <c r="E288" s="9">
        <f t="shared" si="81"/>
        <v>0.20689655172413793</v>
      </c>
      <c r="F288" s="10">
        <f t="shared" si="82"/>
        <v>0.40740741789340973</v>
      </c>
      <c r="G288" s="10">
        <f t="shared" si="83"/>
        <v>8.4291189908981323E-2</v>
      </c>
      <c r="H288" s="4">
        <v>71005</v>
      </c>
      <c r="I288" s="8">
        <v>67</v>
      </c>
      <c r="J288" s="8">
        <v>26.555556088685989</v>
      </c>
      <c r="K288" s="8">
        <v>181</v>
      </c>
      <c r="L288" s="10">
        <f t="shared" si="86"/>
        <v>0.37016574585635359</v>
      </c>
      <c r="M288" s="11">
        <f t="shared" si="62"/>
        <v>0.39635158341322374</v>
      </c>
      <c r="N288" s="11">
        <f t="shared" si="63"/>
        <v>0.14671577949550271</v>
      </c>
      <c r="O288" s="12">
        <f t="shared" si="92"/>
        <v>1.7405826119423422</v>
      </c>
      <c r="Q288" s="17"/>
      <c r="X288" s="18"/>
    </row>
    <row r="289" spans="1:24" ht="14.4">
      <c r="A289" s="4">
        <v>71101</v>
      </c>
      <c r="B289" s="8">
        <v>11</v>
      </c>
      <c r="C289" s="8">
        <v>4.6666667461395264</v>
      </c>
      <c r="D289" s="8">
        <v>15</v>
      </c>
      <c r="E289" s="9">
        <f t="shared" si="81"/>
        <v>0.73333333333333328</v>
      </c>
      <c r="F289" s="10">
        <f t="shared" si="82"/>
        <v>0.42424243146722967</v>
      </c>
      <c r="G289" s="10">
        <f t="shared" si="83"/>
        <v>0.31111111640930172</v>
      </c>
      <c r="H289" s="4">
        <v>71101</v>
      </c>
      <c r="I289" s="8">
        <v>86</v>
      </c>
      <c r="J289" s="8">
        <v>37.000000953674316</v>
      </c>
      <c r="K289" s="8">
        <v>153</v>
      </c>
      <c r="L289" s="10">
        <f t="shared" si="86"/>
        <v>0.56209150326797386</v>
      </c>
      <c r="M289" s="11">
        <f t="shared" si="62"/>
        <v>0.43023256922877112</v>
      </c>
      <c r="N289" s="11">
        <f t="shared" si="63"/>
        <v>0.24183007159264258</v>
      </c>
      <c r="O289" s="12">
        <f t="shared" si="92"/>
        <v>0.77731093116739636</v>
      </c>
      <c r="Q289" s="17"/>
      <c r="X289" s="18"/>
    </row>
    <row r="290" spans="1:24" ht="14.4">
      <c r="A290" s="4">
        <v>71102</v>
      </c>
      <c r="B290" s="8">
        <v>12</v>
      </c>
      <c r="C290" s="8">
        <v>5.4444445371627808</v>
      </c>
      <c r="D290" s="8">
        <v>21</v>
      </c>
      <c r="E290" s="9">
        <f t="shared" si="81"/>
        <v>0.5714285714285714</v>
      </c>
      <c r="F290" s="10">
        <f t="shared" si="82"/>
        <v>0.45370371143023175</v>
      </c>
      <c r="G290" s="10">
        <f t="shared" si="83"/>
        <v>0.25925926367441815</v>
      </c>
      <c r="H290" s="4">
        <v>71102</v>
      </c>
      <c r="I290" s="8">
        <v>66</v>
      </c>
      <c r="J290" s="8">
        <v>28.666667312383652</v>
      </c>
      <c r="K290" s="8">
        <v>108</v>
      </c>
      <c r="L290" s="10">
        <f t="shared" si="86"/>
        <v>0.61111111111111116</v>
      </c>
      <c r="M290" s="11">
        <f t="shared" si="62"/>
        <v>0.43434344412702502</v>
      </c>
      <c r="N290" s="11">
        <f t="shared" si="63"/>
        <v>0.26543210474429307</v>
      </c>
      <c r="O290" s="12">
        <f t="shared" si="92"/>
        <v>1.0238095294354723</v>
      </c>
      <c r="Q290" s="17"/>
      <c r="X290" s="18"/>
    </row>
    <row r="291" spans="1:24" ht="14.4">
      <c r="A291" s="4">
        <v>71103</v>
      </c>
      <c r="B291" s="8">
        <v>5</v>
      </c>
      <c r="C291" s="8">
        <v>2.0000000596046448</v>
      </c>
      <c r="D291" s="8">
        <v>13</v>
      </c>
      <c r="E291" s="9">
        <f t="shared" si="81"/>
        <v>0.38461538461538464</v>
      </c>
      <c r="F291" s="10">
        <f t="shared" si="82"/>
        <v>0.40000001192092893</v>
      </c>
      <c r="G291" s="10">
        <f t="shared" si="83"/>
        <v>0.15384615843112653</v>
      </c>
      <c r="H291" s="4">
        <v>71103</v>
      </c>
      <c r="I291" s="8">
        <v>22</v>
      </c>
      <c r="J291" s="8">
        <v>8.0000002086162567</v>
      </c>
      <c r="K291" s="8">
        <v>60</v>
      </c>
      <c r="L291" s="10">
        <f t="shared" si="86"/>
        <v>0.36666666666666664</v>
      </c>
      <c r="M291" s="11">
        <f t="shared" si="62"/>
        <v>0.36363637311892077</v>
      </c>
      <c r="N291" s="11">
        <f t="shared" si="63"/>
        <v>0.13333333681027093</v>
      </c>
      <c r="O291" s="12">
        <f t="shared" si="92"/>
        <v>0.86666666343808163</v>
      </c>
      <c r="Q291" s="17"/>
      <c r="X291" s="18"/>
    </row>
    <row r="292" spans="1:24" ht="14.4">
      <c r="A292" s="4">
        <v>71104</v>
      </c>
      <c r="B292" s="8">
        <v>32</v>
      </c>
      <c r="C292" s="8">
        <v>12.33333358168602</v>
      </c>
      <c r="D292" s="8">
        <v>80</v>
      </c>
      <c r="E292" s="9">
        <f t="shared" si="81"/>
        <v>0.4</v>
      </c>
      <c r="F292" s="10">
        <f t="shared" si="82"/>
        <v>0.38541667442768812</v>
      </c>
      <c r="G292" s="10">
        <f t="shared" si="83"/>
        <v>0.15416666977107527</v>
      </c>
      <c r="H292" s="4">
        <v>71104</v>
      </c>
      <c r="I292" s="8">
        <v>100</v>
      </c>
      <c r="J292" s="8">
        <v>41.000000953674316</v>
      </c>
      <c r="K292" s="8">
        <v>258</v>
      </c>
      <c r="L292" s="10">
        <f t="shared" si="86"/>
        <v>0.38759689922480622</v>
      </c>
      <c r="M292" s="11">
        <f t="shared" si="62"/>
        <v>0.41000000953674315</v>
      </c>
      <c r="N292" s="11">
        <f t="shared" si="63"/>
        <v>0.15891473237858261</v>
      </c>
      <c r="O292" s="12">
        <f t="shared" si="92"/>
        <v>1.030798243320413</v>
      </c>
      <c r="Q292" s="17"/>
      <c r="X292" s="18"/>
    </row>
    <row r="293" spans="1:24" ht="14.4">
      <c r="A293" s="4">
        <v>71105</v>
      </c>
      <c r="B293" s="8">
        <v>1</v>
      </c>
      <c r="C293" s="8">
        <v>0.3333333432674408</v>
      </c>
      <c r="D293" s="8">
        <v>2</v>
      </c>
      <c r="E293" s="9">
        <f t="shared" si="81"/>
        <v>0.5</v>
      </c>
      <c r="F293" s="10">
        <f t="shared" si="82"/>
        <v>0.3333333432674408</v>
      </c>
      <c r="G293" s="10">
        <f t="shared" si="83"/>
        <v>0.1666666716337204</v>
      </c>
      <c r="H293" s="4">
        <v>71105</v>
      </c>
      <c r="I293" s="8">
        <v>10</v>
      </c>
      <c r="J293" s="8">
        <v>4.11111119389534</v>
      </c>
      <c r="K293" s="8">
        <v>26</v>
      </c>
      <c r="L293" s="10">
        <f t="shared" si="86"/>
        <v>0.38461538461538464</v>
      </c>
      <c r="M293" s="11">
        <f t="shared" si="62"/>
        <v>0.41111111938953399</v>
      </c>
      <c r="N293" s="11">
        <f t="shared" si="63"/>
        <v>0.15811966130366692</v>
      </c>
      <c r="O293" s="12">
        <f t="shared" si="92"/>
        <v>0.94871793954800365</v>
      </c>
      <c r="Q293" s="17"/>
      <c r="X293" s="18"/>
    </row>
    <row r="294" spans="1:24" ht="14.4">
      <c r="A294" s="4">
        <v>71106</v>
      </c>
      <c r="B294" s="8">
        <v>7</v>
      </c>
      <c r="C294" s="8">
        <v>3.4444445073604584</v>
      </c>
      <c r="D294" s="8">
        <v>22</v>
      </c>
      <c r="E294" s="9">
        <f t="shared" si="81"/>
        <v>0.31818181818181818</v>
      </c>
      <c r="F294" s="10">
        <f t="shared" si="82"/>
        <v>0.49206350105149405</v>
      </c>
      <c r="G294" s="10">
        <f t="shared" si="83"/>
        <v>0.15656565942547537</v>
      </c>
      <c r="H294" s="4">
        <v>71106</v>
      </c>
      <c r="I294" s="8">
        <v>22</v>
      </c>
      <c r="J294" s="8">
        <v>8.0000002086162567</v>
      </c>
      <c r="K294" s="8">
        <v>93</v>
      </c>
      <c r="L294" s="10">
        <f t="shared" si="86"/>
        <v>0.23655913978494625</v>
      </c>
      <c r="M294" s="11">
        <f t="shared" si="62"/>
        <v>0.36363637311892077</v>
      </c>
      <c r="N294" s="11">
        <f t="shared" si="63"/>
        <v>8.6021507619529647E-2</v>
      </c>
      <c r="O294" s="12">
        <f t="shared" si="92"/>
        <v>0.54942768379215068</v>
      </c>
      <c r="Q294" s="17"/>
      <c r="X294" s="18"/>
    </row>
    <row r="295" spans="1:24" ht="14.4">
      <c r="A295" s="4">
        <v>71201</v>
      </c>
      <c r="B295" s="8">
        <v>13</v>
      </c>
      <c r="C295" s="8">
        <v>4.8888889849185944</v>
      </c>
      <c r="D295" s="8">
        <v>30</v>
      </c>
      <c r="E295" s="9">
        <f t="shared" si="81"/>
        <v>0.43333333333333335</v>
      </c>
      <c r="F295" s="10">
        <f t="shared" si="82"/>
        <v>0.37606838345527649</v>
      </c>
      <c r="G295" s="10">
        <f t="shared" si="83"/>
        <v>0.16296296616395314</v>
      </c>
      <c r="H295" s="4">
        <v>71201</v>
      </c>
      <c r="I295" s="8">
        <v>72</v>
      </c>
      <c r="J295" s="8">
        <v>31.666667431592941</v>
      </c>
      <c r="K295" s="8">
        <v>158</v>
      </c>
      <c r="L295" s="10">
        <f t="shared" si="86"/>
        <v>0.45569620253164556</v>
      </c>
      <c r="M295" s="11">
        <f t="shared" si="62"/>
        <v>0.43981482543879086</v>
      </c>
      <c r="N295" s="11">
        <f t="shared" si="63"/>
        <v>0.20042194576957559</v>
      </c>
      <c r="O295" s="12">
        <f t="shared" si="92"/>
        <v>1.2298619157921797</v>
      </c>
      <c r="Q295" s="17"/>
      <c r="X295" s="18"/>
    </row>
    <row r="296" spans="1:24" ht="14.4">
      <c r="A296" s="4">
        <v>71301</v>
      </c>
      <c r="B296" s="8">
        <v>2</v>
      </c>
      <c r="C296" s="8">
        <v>1.1111111640930176</v>
      </c>
      <c r="D296" s="8">
        <v>7</v>
      </c>
      <c r="E296" s="9">
        <f t="shared" si="81"/>
        <v>0.2857142857142857</v>
      </c>
      <c r="F296" s="10">
        <f t="shared" si="82"/>
        <v>0.55555558204650879</v>
      </c>
      <c r="G296" s="10">
        <f t="shared" si="83"/>
        <v>0.1587301662990025</v>
      </c>
      <c r="H296" s="4">
        <v>71301</v>
      </c>
      <c r="I296" s="8">
        <v>52</v>
      </c>
      <c r="J296" s="8">
        <v>23.333333969116211</v>
      </c>
      <c r="K296" s="8">
        <v>132</v>
      </c>
      <c r="L296" s="10">
        <f t="shared" si="86"/>
        <v>0.39393939393939392</v>
      </c>
      <c r="M296" s="11">
        <f t="shared" si="62"/>
        <v>0.44871796094454253</v>
      </c>
      <c r="N296" s="11">
        <f t="shared" si="63"/>
        <v>0.17676768158421372</v>
      </c>
      <c r="O296" s="12">
        <f t="shared" si="92"/>
        <v>1.1136363408782277</v>
      </c>
      <c r="Q296" s="17"/>
      <c r="X296" s="18"/>
    </row>
    <row r="297" spans="1:24" ht="14.4">
      <c r="A297" s="4">
        <v>71302</v>
      </c>
      <c r="B297" s="8">
        <v>6</v>
      </c>
      <c r="C297" s="8">
        <v>2.2222222685813904</v>
      </c>
      <c r="D297" s="8">
        <v>17</v>
      </c>
      <c r="E297" s="9">
        <f t="shared" si="81"/>
        <v>0.35294117647058826</v>
      </c>
      <c r="F297" s="10">
        <f t="shared" si="82"/>
        <v>0.37037037809689838</v>
      </c>
      <c r="G297" s="10">
        <f t="shared" si="83"/>
        <v>0.13071895697537592</v>
      </c>
      <c r="H297" s="4">
        <v>71302</v>
      </c>
      <c r="I297" s="8">
        <v>34</v>
      </c>
      <c r="J297" s="8">
        <v>13.444444835186005</v>
      </c>
      <c r="K297" s="8">
        <v>104</v>
      </c>
      <c r="L297" s="10">
        <f t="shared" si="86"/>
        <v>0.32692307692307693</v>
      </c>
      <c r="M297" s="11">
        <f t="shared" si="62"/>
        <v>0.39542484809370604</v>
      </c>
      <c r="N297" s="11">
        <f t="shared" si="63"/>
        <v>0.12927350803063467</v>
      </c>
      <c r="O297" s="12">
        <f t="shared" si="92"/>
        <v>0.98894231580341074</v>
      </c>
      <c r="Q297" s="17"/>
      <c r="X297" s="18"/>
    </row>
    <row r="298" spans="1:24" ht="14.4">
      <c r="A298" s="4">
        <v>71401</v>
      </c>
      <c r="B298" s="8">
        <v>12</v>
      </c>
      <c r="C298" s="8">
        <v>5.2222222983837128</v>
      </c>
      <c r="D298" s="8">
        <v>15</v>
      </c>
      <c r="E298" s="9">
        <f t="shared" si="81"/>
        <v>0.8</v>
      </c>
      <c r="F298" s="10">
        <f t="shared" si="82"/>
        <v>0.43518519153197605</v>
      </c>
      <c r="G298" s="10">
        <f t="shared" si="83"/>
        <v>0.34814815322558085</v>
      </c>
      <c r="H298" s="4">
        <v>71401</v>
      </c>
      <c r="I298" s="8">
        <v>39</v>
      </c>
      <c r="J298" s="8">
        <v>14.444444835186005</v>
      </c>
      <c r="K298" s="8">
        <v>128</v>
      </c>
      <c r="L298" s="10">
        <f t="shared" si="86"/>
        <v>0.3046875</v>
      </c>
      <c r="M298" s="11">
        <f t="shared" si="62"/>
        <v>0.37037038038938475</v>
      </c>
      <c r="N298" s="11">
        <f t="shared" si="63"/>
        <v>0.11284722527489066</v>
      </c>
      <c r="O298" s="12">
        <f t="shared" si="92"/>
        <v>0.32413564233894376</v>
      </c>
      <c r="Q298" s="17"/>
      <c r="X298" s="18"/>
    </row>
    <row r="299" spans="1:24" ht="14.4">
      <c r="A299" s="4">
        <v>71402</v>
      </c>
      <c r="B299" s="8">
        <v>7</v>
      </c>
      <c r="C299" s="8">
        <v>2.666666716337204</v>
      </c>
      <c r="D299" s="8">
        <v>27</v>
      </c>
      <c r="E299" s="9">
        <f t="shared" si="81"/>
        <v>0.25925925925925924</v>
      </c>
      <c r="F299" s="10">
        <f t="shared" si="82"/>
        <v>0.380952388048172</v>
      </c>
      <c r="G299" s="10">
        <f t="shared" si="83"/>
        <v>9.8765433938414957E-2</v>
      </c>
      <c r="H299" s="4">
        <v>71402</v>
      </c>
      <c r="I299" s="8">
        <v>37</v>
      </c>
      <c r="J299" s="8">
        <v>13.555555880069733</v>
      </c>
      <c r="K299" s="8">
        <v>190</v>
      </c>
      <c r="L299" s="10">
        <f t="shared" si="86"/>
        <v>0.19473684210526315</v>
      </c>
      <c r="M299" s="11">
        <f t="shared" si="62"/>
        <v>0.36636637513701981</v>
      </c>
      <c r="N299" s="11">
        <f t="shared" si="63"/>
        <v>7.1345030947735436E-2</v>
      </c>
      <c r="O299" s="12">
        <f t="shared" si="92"/>
        <v>0.72236842489066089</v>
      </c>
      <c r="Q299" s="17"/>
      <c r="X299" s="18"/>
    </row>
    <row r="300" spans="1:24" ht="14.4">
      <c r="A300" s="4">
        <v>71403</v>
      </c>
      <c r="B300" s="8">
        <v>12</v>
      </c>
      <c r="C300" s="8">
        <v>5.0000001788139343</v>
      </c>
      <c r="D300" s="8">
        <v>19</v>
      </c>
      <c r="E300" s="9">
        <f t="shared" si="81"/>
        <v>0.63157894736842102</v>
      </c>
      <c r="F300" s="10">
        <f t="shared" si="82"/>
        <v>0.41666668156782788</v>
      </c>
      <c r="G300" s="10">
        <f t="shared" si="83"/>
        <v>0.26315790414810181</v>
      </c>
      <c r="H300" s="4">
        <v>71403</v>
      </c>
      <c r="I300" s="8">
        <v>20</v>
      </c>
      <c r="J300" s="8">
        <v>8.6666668653488159</v>
      </c>
      <c r="K300" s="8">
        <v>50</v>
      </c>
      <c r="L300" s="10">
        <f t="shared" si="86"/>
        <v>0.4</v>
      </c>
      <c r="M300" s="11">
        <f t="shared" si="62"/>
        <v>0.43333334326744077</v>
      </c>
      <c r="N300" s="11">
        <f t="shared" si="63"/>
        <v>0.17333333730697631</v>
      </c>
      <c r="O300" s="12">
        <f t="shared" si="92"/>
        <v>0.65866665821075465</v>
      </c>
      <c r="Q300" s="17"/>
      <c r="X300" s="18"/>
    </row>
    <row r="301" spans="1:24" ht="14.4">
      <c r="A301" s="4">
        <v>71501</v>
      </c>
      <c r="B301" s="8">
        <v>31</v>
      </c>
      <c r="C301" s="8">
        <v>13.111111432313919</v>
      </c>
      <c r="D301" s="8">
        <v>63</v>
      </c>
      <c r="E301" s="9">
        <f t="shared" si="81"/>
        <v>0.49206349206349204</v>
      </c>
      <c r="F301" s="10">
        <f t="shared" si="82"/>
        <v>0.42293907846173934</v>
      </c>
      <c r="G301" s="10">
        <f t="shared" si="83"/>
        <v>0.2081128798779987</v>
      </c>
      <c r="H301" s="4">
        <v>71501</v>
      </c>
      <c r="I301" s="8">
        <v>197</v>
      </c>
      <c r="J301" s="8">
        <v>83.444446533918381</v>
      </c>
      <c r="K301" s="8">
        <v>349</v>
      </c>
      <c r="L301" s="10">
        <f t="shared" si="86"/>
        <v>0.5644699140401146</v>
      </c>
      <c r="M301" s="11">
        <f t="shared" si="62"/>
        <v>0.42357587073055014</v>
      </c>
      <c r="N301" s="11">
        <f t="shared" si="63"/>
        <v>0.23909583534074033</v>
      </c>
      <c r="O301" s="12">
        <f t="shared" si="92"/>
        <v>1.1488757230254305</v>
      </c>
      <c r="Q301" s="17"/>
      <c r="X301" s="18"/>
    </row>
    <row r="302" spans="1:24" ht="14.4">
      <c r="A302" s="4">
        <v>71502</v>
      </c>
      <c r="B302" s="8">
        <v>2</v>
      </c>
      <c r="C302" s="8">
        <v>1.0000000298023224</v>
      </c>
      <c r="D302" s="8">
        <v>6</v>
      </c>
      <c r="E302" s="9">
        <f t="shared" si="81"/>
        <v>0.33333333333333331</v>
      </c>
      <c r="F302" s="10">
        <f t="shared" si="82"/>
        <v>0.50000001490116119</v>
      </c>
      <c r="G302" s="10">
        <f t="shared" si="83"/>
        <v>0.1666666716337204</v>
      </c>
      <c r="H302" s="4">
        <v>71502</v>
      </c>
      <c r="I302" s="8">
        <v>9</v>
      </c>
      <c r="J302" s="8">
        <v>3.6666667461395264</v>
      </c>
      <c r="K302" s="8">
        <v>24</v>
      </c>
      <c r="L302" s="10">
        <f t="shared" si="86"/>
        <v>0.375</v>
      </c>
      <c r="M302" s="11">
        <f t="shared" si="62"/>
        <v>0.40740741623772514</v>
      </c>
      <c r="N302" s="11">
        <f t="shared" si="63"/>
        <v>0.15277778108914691</v>
      </c>
      <c r="O302" s="12">
        <f t="shared" si="92"/>
        <v>0.91666665921608614</v>
      </c>
      <c r="Q302" s="17"/>
      <c r="X302" s="18"/>
    </row>
    <row r="303" spans="1:24" ht="14.4">
      <c r="A303" s="4">
        <v>71503</v>
      </c>
      <c r="B303" s="8">
        <v>30</v>
      </c>
      <c r="C303" s="8">
        <v>12.333333641290665</v>
      </c>
      <c r="D303" s="8">
        <v>37</v>
      </c>
      <c r="E303" s="9">
        <f t="shared" si="81"/>
        <v>0.81081081081081086</v>
      </c>
      <c r="F303" s="10">
        <f t="shared" si="82"/>
        <v>0.41111112137635547</v>
      </c>
      <c r="G303" s="10">
        <f t="shared" si="83"/>
        <v>0.33333334165650447</v>
      </c>
      <c r="H303" s="4">
        <v>71503</v>
      </c>
      <c r="I303" s="8">
        <v>84</v>
      </c>
      <c r="J303" s="8">
        <v>36.333334386348724</v>
      </c>
      <c r="K303" s="8">
        <v>116</v>
      </c>
      <c r="L303" s="10">
        <f t="shared" si="86"/>
        <v>0.72413793103448276</v>
      </c>
      <c r="M303" s="11">
        <f t="shared" si="62"/>
        <v>0.43253969507558004</v>
      </c>
      <c r="N303" s="11">
        <f t="shared" si="63"/>
        <v>0.31321839988231659</v>
      </c>
      <c r="O303" s="12">
        <f t="shared" si="92"/>
        <v>0.93965517618421723</v>
      </c>
      <c r="Q303" s="17"/>
      <c r="X303" s="18"/>
    </row>
    <row r="304" spans="1:24" ht="14.4">
      <c r="A304" s="4">
        <v>80101</v>
      </c>
      <c r="B304" s="8">
        <v>54</v>
      </c>
      <c r="C304" s="8">
        <v>20.888889372348785</v>
      </c>
      <c r="D304" s="8">
        <v>116</v>
      </c>
      <c r="E304" s="9">
        <f t="shared" si="81"/>
        <v>0.46551724137931033</v>
      </c>
      <c r="F304" s="10">
        <f t="shared" si="82"/>
        <v>0.38683128467312566</v>
      </c>
      <c r="G304" s="10">
        <f t="shared" si="83"/>
        <v>0.18007663252024814</v>
      </c>
      <c r="H304" s="4">
        <v>80101</v>
      </c>
      <c r="I304" s="8">
        <v>290</v>
      </c>
      <c r="J304" s="8">
        <v>113.77778089046478</v>
      </c>
      <c r="K304" s="8">
        <v>970</v>
      </c>
      <c r="L304" s="10">
        <f t="shared" si="86"/>
        <v>0.29896907216494845</v>
      </c>
      <c r="M304" s="11">
        <f t="shared" si="62"/>
        <v>0.39233717548436131</v>
      </c>
      <c r="N304" s="11">
        <f t="shared" si="63"/>
        <v>0.11729668133037606</v>
      </c>
      <c r="O304" s="12">
        <f t="shared" si="92"/>
        <v>0.65137091741865516</v>
      </c>
      <c r="Q304" s="17"/>
      <c r="X304" s="18"/>
    </row>
    <row r="305" spans="1:24" ht="14.4">
      <c r="A305" s="4">
        <v>80102</v>
      </c>
      <c r="B305" s="8">
        <v>41</v>
      </c>
      <c r="C305" s="8">
        <v>18.555556058883667</v>
      </c>
      <c r="D305" s="8">
        <v>82</v>
      </c>
      <c r="E305" s="9">
        <f t="shared" si="81"/>
        <v>0.5</v>
      </c>
      <c r="F305" s="10">
        <f t="shared" si="82"/>
        <v>0.45257453802155284</v>
      </c>
      <c r="G305" s="10">
        <f t="shared" si="83"/>
        <v>0.22628726901077642</v>
      </c>
      <c r="H305" s="4">
        <v>80102</v>
      </c>
      <c r="I305" s="8">
        <v>41</v>
      </c>
      <c r="J305" s="8">
        <v>19.444444984197617</v>
      </c>
      <c r="K305" s="8">
        <v>52</v>
      </c>
      <c r="L305" s="10">
        <f t="shared" si="86"/>
        <v>0.78846153846153844</v>
      </c>
      <c r="M305" s="11">
        <f t="shared" si="62"/>
        <v>0.47425475571213699</v>
      </c>
      <c r="N305" s="11">
        <f t="shared" si="63"/>
        <v>0.37393163431149262</v>
      </c>
      <c r="O305" s="12">
        <f t="shared" si="92"/>
        <v>1.6524643032113528</v>
      </c>
      <c r="Q305" s="17"/>
      <c r="X305" s="18"/>
    </row>
    <row r="306" spans="1:24" ht="14.4">
      <c r="A306" s="4">
        <v>80201</v>
      </c>
      <c r="B306" s="8">
        <v>57</v>
      </c>
      <c r="C306" s="8">
        <v>24.333333969116211</v>
      </c>
      <c r="D306" s="8">
        <v>86</v>
      </c>
      <c r="E306" s="9">
        <f t="shared" si="81"/>
        <v>0.66279069767441856</v>
      </c>
      <c r="F306" s="10">
        <f t="shared" si="82"/>
        <v>0.42690059594940721</v>
      </c>
      <c r="G306" s="10">
        <f t="shared" si="83"/>
        <v>0.28294574382693266</v>
      </c>
      <c r="H306" s="4">
        <v>80201</v>
      </c>
      <c r="I306" s="8">
        <v>423</v>
      </c>
      <c r="J306" s="8">
        <v>200.88889461755753</v>
      </c>
      <c r="K306" s="8">
        <v>636</v>
      </c>
      <c r="L306" s="10">
        <f t="shared" si="86"/>
        <v>0.66509433962264153</v>
      </c>
      <c r="M306" s="11">
        <f t="shared" si="62"/>
        <v>0.47491464448595161</v>
      </c>
      <c r="N306" s="11">
        <f t="shared" si="63"/>
        <v>0.31586304185150554</v>
      </c>
      <c r="O306" s="12">
        <f t="shared" si="92"/>
        <v>1.1163378447731915</v>
      </c>
      <c r="Q306" s="17"/>
      <c r="X306" s="18"/>
    </row>
    <row r="307" spans="1:24" ht="14.4">
      <c r="A307" s="4">
        <v>80202</v>
      </c>
      <c r="B307" s="8">
        <v>35</v>
      </c>
      <c r="C307" s="8">
        <v>16.111111462116241</v>
      </c>
      <c r="D307" s="8">
        <v>44</v>
      </c>
      <c r="E307" s="9">
        <f t="shared" si="81"/>
        <v>0.79545454545454541</v>
      </c>
      <c r="F307" s="10">
        <f t="shared" si="82"/>
        <v>0.46031747034617831</v>
      </c>
      <c r="G307" s="10">
        <f t="shared" si="83"/>
        <v>0.36616162413900544</v>
      </c>
      <c r="H307" s="4">
        <v>80202</v>
      </c>
      <c r="I307" s="8">
        <v>117</v>
      </c>
      <c r="J307" s="8">
        <v>50.444445639848709</v>
      </c>
      <c r="K307" s="8">
        <v>258</v>
      </c>
      <c r="L307" s="10">
        <f t="shared" si="86"/>
        <v>0.45348837209302323</v>
      </c>
      <c r="M307" s="11">
        <f t="shared" si="62"/>
        <v>0.43114910803289497</v>
      </c>
      <c r="N307" s="11">
        <f t="shared" si="63"/>
        <v>0.19552110713119655</v>
      </c>
      <c r="O307" s="12">
        <f t="shared" si="92"/>
        <v>0.53397487404898325</v>
      </c>
      <c r="Q307" s="17"/>
      <c r="X307" s="18"/>
    </row>
    <row r="308" spans="1:24" ht="14.4">
      <c r="A308" s="4">
        <v>80301</v>
      </c>
      <c r="B308" s="8">
        <v>12</v>
      </c>
      <c r="C308" s="8">
        <v>4.5555556416511536</v>
      </c>
      <c r="D308" s="8">
        <v>14</v>
      </c>
      <c r="E308" s="9">
        <f t="shared" si="81"/>
        <v>0.8571428571428571</v>
      </c>
      <c r="F308" s="10">
        <f t="shared" si="82"/>
        <v>0.37962963680426282</v>
      </c>
      <c r="G308" s="10">
        <f t="shared" si="83"/>
        <v>0.32539683154651095</v>
      </c>
      <c r="H308" s="4">
        <v>80301</v>
      </c>
      <c r="I308" s="8">
        <v>64</v>
      </c>
      <c r="J308" s="8">
        <v>27.888889670372009</v>
      </c>
      <c r="K308" s="8">
        <v>98</v>
      </c>
      <c r="L308" s="10">
        <f t="shared" si="86"/>
        <v>0.65306122448979587</v>
      </c>
      <c r="M308" s="11">
        <f t="shared" si="62"/>
        <v>0.43576390109956264</v>
      </c>
      <c r="N308" s="11">
        <f t="shared" si="63"/>
        <v>0.28458050684053071</v>
      </c>
      <c r="O308" s="12">
        <f t="shared" si="92"/>
        <v>0.87456446790832965</v>
      </c>
      <c r="Q308" s="17"/>
      <c r="X308" s="18"/>
    </row>
    <row r="309" spans="1:24" ht="14.4">
      <c r="A309" s="4">
        <v>80302</v>
      </c>
      <c r="B309" s="8">
        <v>166</v>
      </c>
      <c r="C309" s="8">
        <v>97.111113458871841</v>
      </c>
      <c r="D309" s="8">
        <v>195</v>
      </c>
      <c r="E309" s="9">
        <f t="shared" si="81"/>
        <v>0.85128205128205126</v>
      </c>
      <c r="F309" s="10">
        <f t="shared" si="82"/>
        <v>0.58500670758356532</v>
      </c>
      <c r="G309" s="10">
        <f t="shared" si="83"/>
        <v>0.4980057100454966</v>
      </c>
      <c r="H309" s="4">
        <v>80302</v>
      </c>
      <c r="I309" s="8">
        <v>198</v>
      </c>
      <c r="J309" s="8">
        <v>94.555557727813721</v>
      </c>
      <c r="K309" s="8">
        <v>345</v>
      </c>
      <c r="L309" s="10">
        <f t="shared" si="86"/>
        <v>0.57391304347826089</v>
      </c>
      <c r="M309" s="11">
        <f t="shared" si="62"/>
        <v>0.47755332185764504</v>
      </c>
      <c r="N309" s="11">
        <f t="shared" si="63"/>
        <v>0.27407408037047454</v>
      </c>
      <c r="O309" s="12">
        <f t="shared" si="92"/>
        <v>0.5503432487660348</v>
      </c>
      <c r="Q309" s="17"/>
      <c r="X309" s="18"/>
    </row>
    <row r="310" spans="1:24" ht="14.4">
      <c r="A310" s="4">
        <v>80303</v>
      </c>
      <c r="B310" s="8">
        <v>18</v>
      </c>
      <c r="C310" s="8">
        <v>7.7777779400348663</v>
      </c>
      <c r="D310" s="8">
        <v>32</v>
      </c>
      <c r="E310" s="9">
        <f t="shared" si="81"/>
        <v>0.5625</v>
      </c>
      <c r="F310" s="10">
        <f t="shared" si="82"/>
        <v>0.43209877444638145</v>
      </c>
      <c r="G310" s="10">
        <f t="shared" si="83"/>
        <v>0.24305556062608957</v>
      </c>
      <c r="H310" s="4">
        <v>80303</v>
      </c>
      <c r="I310" s="8">
        <v>54</v>
      </c>
      <c r="J310" s="8">
        <v>23.000000596046448</v>
      </c>
      <c r="K310" s="8">
        <v>77</v>
      </c>
      <c r="L310" s="10">
        <f t="shared" si="86"/>
        <v>0.70129870129870131</v>
      </c>
      <c r="M310" s="11">
        <f t="shared" si="62"/>
        <v>0.42592593696382308</v>
      </c>
      <c r="N310" s="11">
        <f t="shared" si="63"/>
        <v>0.29870130644216164</v>
      </c>
      <c r="O310" s="12">
        <f t="shared" si="92"/>
        <v>1.2289424922957268</v>
      </c>
      <c r="Q310" s="17"/>
      <c r="X310" s="18"/>
    </row>
    <row r="311" spans="1:24" ht="14.4">
      <c r="A311" s="4">
        <v>80304</v>
      </c>
      <c r="B311" s="8">
        <v>15</v>
      </c>
      <c r="C311" s="8">
        <v>6.8888890147209167</v>
      </c>
      <c r="D311" s="8">
        <v>36</v>
      </c>
      <c r="E311" s="9">
        <f t="shared" si="81"/>
        <v>0.41666666666666669</v>
      </c>
      <c r="F311" s="10">
        <f t="shared" si="82"/>
        <v>0.45925926764806113</v>
      </c>
      <c r="G311" s="10">
        <f t="shared" si="83"/>
        <v>0.19135802818669215</v>
      </c>
      <c r="H311" s="4">
        <v>80304</v>
      </c>
      <c r="I311" s="8">
        <v>29</v>
      </c>
      <c r="J311" s="8">
        <v>12.000000327825546</v>
      </c>
      <c r="K311" s="8">
        <v>145</v>
      </c>
      <c r="L311" s="10">
        <f t="shared" si="86"/>
        <v>0.2</v>
      </c>
      <c r="M311" s="11">
        <f t="shared" si="62"/>
        <v>0.41379311475260505</v>
      </c>
      <c r="N311" s="11">
        <f t="shared" si="63"/>
        <v>8.2758622950521013E-2</v>
      </c>
      <c r="O311" s="12">
        <f t="shared" si="92"/>
        <v>0.43248053784176899</v>
      </c>
      <c r="Q311" s="17"/>
      <c r="X311" s="18"/>
    </row>
    <row r="312" spans="1:24" ht="14.4">
      <c r="A312" s="4">
        <v>80401</v>
      </c>
      <c r="B312" s="8">
        <v>17</v>
      </c>
      <c r="C312" s="8">
        <v>7.6666669249534607</v>
      </c>
      <c r="D312" s="8">
        <v>32</v>
      </c>
      <c r="E312" s="9">
        <f t="shared" si="81"/>
        <v>0.53125</v>
      </c>
      <c r="F312" s="10">
        <f t="shared" si="82"/>
        <v>0.45098040735020356</v>
      </c>
      <c r="G312" s="10">
        <f t="shared" si="83"/>
        <v>0.23958334140479565</v>
      </c>
      <c r="H312" s="4">
        <v>80401</v>
      </c>
      <c r="I312" s="8">
        <v>142</v>
      </c>
      <c r="J312" s="8">
        <v>59.555557161569595</v>
      </c>
      <c r="K312" s="8">
        <v>251</v>
      </c>
      <c r="L312" s="10">
        <f t="shared" si="86"/>
        <v>0.56573705179282874</v>
      </c>
      <c r="M312" s="11">
        <f t="shared" si="62"/>
        <v>0.41940533212372955</v>
      </c>
      <c r="N312" s="11">
        <f t="shared" si="63"/>
        <v>0.23727313610187092</v>
      </c>
      <c r="O312" s="12">
        <f t="shared" si="92"/>
        <v>0.99035740427786489</v>
      </c>
      <c r="Q312" s="17"/>
      <c r="X312" s="18"/>
    </row>
    <row r="313" spans="1:24" ht="14.4">
      <c r="A313" s="4">
        <v>80402</v>
      </c>
      <c r="B313" s="8">
        <v>10</v>
      </c>
      <c r="C313" s="8">
        <v>3.7777778804302216</v>
      </c>
      <c r="D313" s="8">
        <v>14</v>
      </c>
      <c r="E313" s="9">
        <f t="shared" si="81"/>
        <v>0.7142857142857143</v>
      </c>
      <c r="F313" s="10">
        <f t="shared" si="82"/>
        <v>0.37777778804302214</v>
      </c>
      <c r="G313" s="10">
        <f t="shared" si="83"/>
        <v>0.26984127717358725</v>
      </c>
      <c r="H313" s="4">
        <v>80402</v>
      </c>
      <c r="I313" s="8">
        <v>67</v>
      </c>
      <c r="J313" s="8">
        <v>31.333334147930145</v>
      </c>
      <c r="K313" s="8">
        <v>98</v>
      </c>
      <c r="L313" s="10">
        <f t="shared" si="86"/>
        <v>0.68367346938775508</v>
      </c>
      <c r="M313" s="11">
        <f t="shared" si="62"/>
        <v>0.4676617037004499</v>
      </c>
      <c r="N313" s="11">
        <f t="shared" si="63"/>
        <v>0.31972789946867491</v>
      </c>
      <c r="O313" s="12">
        <f t="shared" si="92"/>
        <v>1.1848739481876818</v>
      </c>
      <c r="Q313" s="17"/>
      <c r="X313" s="18"/>
    </row>
    <row r="314" spans="1:24" ht="14.4">
      <c r="A314" s="4">
        <v>80501</v>
      </c>
      <c r="B314" s="8">
        <v>94</v>
      </c>
      <c r="C314" s="8">
        <v>45.000001043081284</v>
      </c>
      <c r="D314" s="8">
        <v>138</v>
      </c>
      <c r="E314" s="9">
        <f t="shared" si="81"/>
        <v>0.6811594202898551</v>
      </c>
      <c r="F314" s="10">
        <f t="shared" si="82"/>
        <v>0.47872341535192853</v>
      </c>
      <c r="G314" s="10">
        <f t="shared" si="83"/>
        <v>0.32608696408029914</v>
      </c>
      <c r="H314" s="4">
        <v>80501</v>
      </c>
      <c r="I314" s="8">
        <v>156</v>
      </c>
      <c r="J314" s="8">
        <v>68.333334982395172</v>
      </c>
      <c r="K314" s="8">
        <v>273</v>
      </c>
      <c r="L314" s="10">
        <f t="shared" si="86"/>
        <v>0.5714285714285714</v>
      </c>
      <c r="M314" s="11">
        <f t="shared" si="62"/>
        <v>0.43803419860509724</v>
      </c>
      <c r="N314" s="11">
        <f t="shared" si="63"/>
        <v>0.25030525634576983</v>
      </c>
      <c r="O314" s="12">
        <f t="shared" si="92"/>
        <v>0.76760276833431462</v>
      </c>
      <c r="Q314" s="17"/>
      <c r="X314" s="18"/>
    </row>
    <row r="315" spans="1:24" ht="14.4">
      <c r="A315" s="4">
        <v>80601</v>
      </c>
      <c r="B315" s="8">
        <v>4</v>
      </c>
      <c r="C315" s="8">
        <v>1.7777778208255768</v>
      </c>
      <c r="D315" s="8">
        <v>10</v>
      </c>
      <c r="E315" s="9">
        <f t="shared" si="81"/>
        <v>0.4</v>
      </c>
      <c r="F315" s="10">
        <f t="shared" si="82"/>
        <v>0.4444444552063942</v>
      </c>
      <c r="G315" s="10">
        <f t="shared" si="83"/>
        <v>0.17777778208255768</v>
      </c>
      <c r="H315" s="4">
        <v>80601</v>
      </c>
      <c r="I315" s="8">
        <v>6</v>
      </c>
      <c r="J315" s="8">
        <v>2.1111111640930176</v>
      </c>
      <c r="K315" s="8">
        <v>14</v>
      </c>
      <c r="L315" s="10">
        <f t="shared" si="86"/>
        <v>0.42857142857142855</v>
      </c>
      <c r="M315" s="11">
        <f t="shared" si="62"/>
        <v>0.35185186068216961</v>
      </c>
      <c r="N315" s="11">
        <f t="shared" si="63"/>
        <v>0.15079365457807267</v>
      </c>
      <c r="O315" s="12">
        <f t="shared" si="92"/>
        <v>0.84821428646266983</v>
      </c>
      <c r="Q315" s="17"/>
      <c r="X315" s="18"/>
    </row>
    <row r="316" spans="1:24" ht="14.4">
      <c r="A316" s="4">
        <v>80602</v>
      </c>
      <c r="B316" s="8">
        <v>29</v>
      </c>
      <c r="C316" s="8">
        <v>11.333333641290665</v>
      </c>
      <c r="D316" s="8">
        <v>74</v>
      </c>
      <c r="E316" s="9">
        <f t="shared" si="81"/>
        <v>0.39189189189189189</v>
      </c>
      <c r="F316" s="10">
        <f t="shared" si="82"/>
        <v>0.39080460832036773</v>
      </c>
      <c r="G316" s="10">
        <f t="shared" si="83"/>
        <v>0.15315315731473869</v>
      </c>
      <c r="H316" s="4">
        <v>80602</v>
      </c>
      <c r="I316" s="8">
        <v>56</v>
      </c>
      <c r="J316" s="8">
        <v>21.555556118488312</v>
      </c>
      <c r="K316" s="8">
        <v>123</v>
      </c>
      <c r="L316" s="10">
        <f t="shared" si="86"/>
        <v>0.45528455284552843</v>
      </c>
      <c r="M316" s="11">
        <f t="shared" si="62"/>
        <v>0.38492064497300554</v>
      </c>
      <c r="N316" s="11">
        <f t="shared" si="63"/>
        <v>0.17524842372754723</v>
      </c>
      <c r="O316" s="12">
        <f t="shared" si="92"/>
        <v>1.1442690885399214</v>
      </c>
      <c r="Q316" s="17"/>
      <c r="X316" s="18"/>
    </row>
    <row r="317" spans="1:24" ht="14.4">
      <c r="A317" s="4">
        <v>80701</v>
      </c>
      <c r="B317" s="8">
        <v>6</v>
      </c>
      <c r="C317" s="8">
        <v>2.3333334028720856</v>
      </c>
      <c r="D317" s="8">
        <v>22</v>
      </c>
      <c r="E317" s="9">
        <f t="shared" si="81"/>
        <v>0.27272727272727271</v>
      </c>
      <c r="F317" s="10">
        <f t="shared" si="82"/>
        <v>0.38888890047868091</v>
      </c>
      <c r="G317" s="10">
        <f t="shared" si="83"/>
        <v>0.10606060922145842</v>
      </c>
      <c r="H317" s="4">
        <v>80701</v>
      </c>
      <c r="I317" s="8">
        <v>19</v>
      </c>
      <c r="J317" s="8">
        <v>9.2222224175930023</v>
      </c>
      <c r="K317" s="8">
        <v>33</v>
      </c>
      <c r="L317" s="10">
        <f t="shared" si="86"/>
        <v>0.5757575757575758</v>
      </c>
      <c r="M317" s="11">
        <f t="shared" si="62"/>
        <v>0.48538012724173696</v>
      </c>
      <c r="N317" s="11">
        <f t="shared" si="63"/>
        <v>0.27946128538160614</v>
      </c>
      <c r="O317" s="12">
        <f t="shared" si="92"/>
        <v>2.6349206122141049</v>
      </c>
      <c r="Q317" s="17"/>
      <c r="X317" s="18"/>
    </row>
    <row r="318" spans="1:24" ht="14.4">
      <c r="A318" s="4">
        <v>80702</v>
      </c>
      <c r="B318" s="8">
        <v>19</v>
      </c>
      <c r="C318" s="8">
        <v>6.4444446265697479</v>
      </c>
      <c r="D318" s="8">
        <v>28</v>
      </c>
      <c r="E318" s="9">
        <f t="shared" si="81"/>
        <v>0.6785714285714286</v>
      </c>
      <c r="F318" s="10">
        <f t="shared" si="82"/>
        <v>0.33918129613524989</v>
      </c>
      <c r="G318" s="10">
        <f t="shared" si="83"/>
        <v>0.2301587366632053</v>
      </c>
      <c r="H318" s="4">
        <v>80702</v>
      </c>
      <c r="I318" s="8">
        <v>34</v>
      </c>
      <c r="J318" s="8">
        <v>15.222222685813904</v>
      </c>
      <c r="K318" s="8">
        <v>55</v>
      </c>
      <c r="L318" s="10">
        <f t="shared" si="86"/>
        <v>0.61818181818181817</v>
      </c>
      <c r="M318" s="11">
        <f t="shared" si="62"/>
        <v>0.44771243193570304</v>
      </c>
      <c r="N318" s="11">
        <f t="shared" si="63"/>
        <v>0.27676768519661643</v>
      </c>
      <c r="O318" s="12">
        <f t="shared" si="92"/>
        <v>1.2025078396290239</v>
      </c>
      <c r="Q318" s="17"/>
      <c r="X318" s="18"/>
    </row>
    <row r="319" spans="1:24" ht="14.4">
      <c r="A319" s="4">
        <v>80703</v>
      </c>
      <c r="B319" s="8">
        <v>4</v>
      </c>
      <c r="C319" s="8">
        <v>2.11111119389534</v>
      </c>
      <c r="D319" s="8">
        <v>8</v>
      </c>
      <c r="E319" s="9">
        <f t="shared" si="81"/>
        <v>0.5</v>
      </c>
      <c r="F319" s="10">
        <f t="shared" si="82"/>
        <v>0.52777779847383499</v>
      </c>
      <c r="G319" s="10">
        <f t="shared" si="83"/>
        <v>0.2638888992369175</v>
      </c>
      <c r="H319" s="4">
        <v>80703</v>
      </c>
      <c r="I319" s="8">
        <v>10</v>
      </c>
      <c r="J319" s="8">
        <v>4.6666668057441711</v>
      </c>
      <c r="K319" s="8">
        <v>11</v>
      </c>
      <c r="L319" s="10">
        <f t="shared" si="86"/>
        <v>0.90909090909090906</v>
      </c>
      <c r="M319" s="11">
        <f t="shared" si="62"/>
        <v>0.46666668057441713</v>
      </c>
      <c r="N319" s="11">
        <f t="shared" si="63"/>
        <v>0.42424243688583374</v>
      </c>
      <c r="O319" s="12">
        <f t="shared" si="92"/>
        <v>1.6076554872622817</v>
      </c>
      <c r="Q319" s="17"/>
      <c r="X319" s="18"/>
    </row>
    <row r="320" spans="1:24" ht="14.4">
      <c r="A320" s="4">
        <v>80801</v>
      </c>
      <c r="B320" s="8">
        <v>14</v>
      </c>
      <c r="C320" s="8">
        <v>6.4444446265697479</v>
      </c>
      <c r="D320" s="8">
        <v>31</v>
      </c>
      <c r="E320" s="9">
        <f t="shared" si="81"/>
        <v>0.45161290322580644</v>
      </c>
      <c r="F320" s="10">
        <f t="shared" si="82"/>
        <v>0.46031747332641054</v>
      </c>
      <c r="G320" s="10">
        <f t="shared" si="83"/>
        <v>0.20788531053450798</v>
      </c>
      <c r="H320" s="4">
        <v>80801</v>
      </c>
      <c r="I320" s="8">
        <v>67</v>
      </c>
      <c r="J320" s="8">
        <v>28.555556356906891</v>
      </c>
      <c r="K320" s="8">
        <v>120</v>
      </c>
      <c r="L320" s="10">
        <f t="shared" si="86"/>
        <v>0.55833333333333335</v>
      </c>
      <c r="M320" s="11">
        <f t="shared" si="62"/>
        <v>0.42620233368517746</v>
      </c>
      <c r="N320" s="11">
        <f t="shared" si="63"/>
        <v>0.23796296964089075</v>
      </c>
      <c r="O320" s="12">
        <f t="shared" si="92"/>
        <v>1.1446839078194033</v>
      </c>
      <c r="Q320" s="17"/>
      <c r="X320" s="18"/>
    </row>
    <row r="321" spans="1:24" ht="14.4">
      <c r="A321" s="4">
        <v>80802</v>
      </c>
      <c r="B321" s="8">
        <v>3</v>
      </c>
      <c r="C321" s="8">
        <v>1.222222238779068</v>
      </c>
      <c r="D321" s="8">
        <v>12</v>
      </c>
      <c r="E321" s="9">
        <f t="shared" si="81"/>
        <v>0.25</v>
      </c>
      <c r="F321" s="10">
        <f t="shared" si="82"/>
        <v>0.40740741292635602</v>
      </c>
      <c r="G321" s="10">
        <f t="shared" si="83"/>
        <v>0.101851853231589</v>
      </c>
      <c r="H321" s="4">
        <v>80802</v>
      </c>
      <c r="I321" s="8">
        <v>39</v>
      </c>
      <c r="J321" s="8">
        <v>16.111111611127853</v>
      </c>
      <c r="K321" s="8">
        <v>63</v>
      </c>
      <c r="L321" s="10">
        <f t="shared" si="86"/>
        <v>0.61904761904761907</v>
      </c>
      <c r="M321" s="11">
        <f t="shared" si="62"/>
        <v>0.41310542592635524</v>
      </c>
      <c r="N321" s="11">
        <f t="shared" si="63"/>
        <v>0.25573193033536279</v>
      </c>
      <c r="O321" s="12">
        <f t="shared" si="92"/>
        <v>2.510822554734315</v>
      </c>
      <c r="Q321" s="17"/>
      <c r="X321" s="18"/>
    </row>
    <row r="322" spans="1:24" ht="14.4">
      <c r="A322" s="4">
        <v>80803</v>
      </c>
      <c r="B322" s="8">
        <v>1</v>
      </c>
      <c r="C322" s="8">
        <v>0.4444444477558136</v>
      </c>
      <c r="D322" s="8">
        <v>2</v>
      </c>
      <c r="E322" s="9">
        <f t="shared" si="81"/>
        <v>0.5</v>
      </c>
      <c r="F322" s="10">
        <f t="shared" si="82"/>
        <v>0.4444444477558136</v>
      </c>
      <c r="G322" s="10">
        <f t="shared" si="83"/>
        <v>0.2222222238779068</v>
      </c>
      <c r="H322" s="4">
        <v>80803</v>
      </c>
      <c r="I322" s="8">
        <v>3</v>
      </c>
      <c r="J322" s="8">
        <v>1.0000000298023224</v>
      </c>
      <c r="K322" s="8">
        <v>12</v>
      </c>
      <c r="L322" s="10">
        <f t="shared" si="86"/>
        <v>0.25</v>
      </c>
      <c r="M322" s="11">
        <f t="shared" si="62"/>
        <v>0.3333333432674408</v>
      </c>
      <c r="N322" s="11">
        <f t="shared" si="63"/>
        <v>8.3333335816860199E-2</v>
      </c>
      <c r="O322" s="12">
        <f t="shared" si="92"/>
        <v>0.37500000838190312</v>
      </c>
      <c r="Q322" s="17"/>
      <c r="X322" s="18"/>
    </row>
    <row r="323" spans="1:24" ht="14.4">
      <c r="A323" s="4">
        <v>90101</v>
      </c>
      <c r="B323" s="8">
        <v>10</v>
      </c>
      <c r="C323" s="8">
        <v>4.6666668355464935</v>
      </c>
      <c r="D323" s="8">
        <v>22</v>
      </c>
      <c r="E323" s="9">
        <f t="shared" si="81"/>
        <v>0.45454545454545453</v>
      </c>
      <c r="F323" s="10">
        <f t="shared" si="82"/>
        <v>0.46666668355464935</v>
      </c>
      <c r="G323" s="10">
        <f t="shared" si="83"/>
        <v>0.21212121979756787</v>
      </c>
      <c r="H323" s="4">
        <v>90101</v>
      </c>
      <c r="I323" s="8">
        <v>72</v>
      </c>
      <c r="J323" s="8">
        <v>30.1111119389534</v>
      </c>
      <c r="K323" s="8">
        <v>283</v>
      </c>
      <c r="L323" s="10">
        <f t="shared" si="86"/>
        <v>0.25441696113074203</v>
      </c>
      <c r="M323" s="11">
        <f t="shared" si="62"/>
        <v>0.41820988804101944</v>
      </c>
      <c r="N323" s="11">
        <f t="shared" si="63"/>
        <v>0.10639968883022402</v>
      </c>
      <c r="O323" s="12">
        <f t="shared" si="92"/>
        <v>0.50159851490465535</v>
      </c>
      <c r="Q323" s="17"/>
      <c r="X323" s="18"/>
    </row>
    <row r="324" spans="1:24" ht="14.4">
      <c r="A324" s="4">
        <v>90102</v>
      </c>
      <c r="B324" s="8">
        <v>0</v>
      </c>
      <c r="C324" s="8">
        <v>0</v>
      </c>
      <c r="D324" s="8">
        <v>1</v>
      </c>
      <c r="E324" s="9">
        <f t="shared" si="81"/>
        <v>0</v>
      </c>
      <c r="F324" s="10" t="e">
        <f t="shared" si="82"/>
        <v>#DIV/0!</v>
      </c>
      <c r="G324" s="10" t="e">
        <f t="shared" si="83"/>
        <v>#DIV/0!</v>
      </c>
      <c r="H324" s="4">
        <v>90102</v>
      </c>
      <c r="I324" s="8">
        <v>4</v>
      </c>
      <c r="J324" s="8">
        <v>1.444444477558136</v>
      </c>
      <c r="K324" s="8">
        <v>15</v>
      </c>
      <c r="L324" s="10">
        <f t="shared" si="86"/>
        <v>0.26666666666666666</v>
      </c>
      <c r="M324" s="11">
        <f t="shared" si="62"/>
        <v>0.361111119389534</v>
      </c>
      <c r="N324" s="11">
        <f t="shared" si="63"/>
        <v>9.6296298503875735E-2</v>
      </c>
      <c r="O324" s="12" t="s">
        <v>22</v>
      </c>
      <c r="Q324" s="17"/>
      <c r="X324" s="18"/>
    </row>
    <row r="325" spans="1:24" ht="14.4">
      <c r="A325" s="4">
        <v>90103</v>
      </c>
      <c r="B325" s="8">
        <v>1</v>
      </c>
      <c r="C325" s="8">
        <v>0.55555558204650879</v>
      </c>
      <c r="D325" s="8">
        <v>1</v>
      </c>
      <c r="E325" s="9">
        <f t="shared" si="81"/>
        <v>1</v>
      </c>
      <c r="F325" s="10">
        <f t="shared" si="82"/>
        <v>0.55555558204650879</v>
      </c>
      <c r="G325" s="10">
        <f t="shared" si="83"/>
        <v>0.55555558204650879</v>
      </c>
      <c r="H325" s="4">
        <v>90103</v>
      </c>
      <c r="I325" s="8">
        <v>14</v>
      </c>
      <c r="J325" s="8">
        <v>6.0000001788139343</v>
      </c>
      <c r="K325" s="8">
        <v>21</v>
      </c>
      <c r="L325" s="10">
        <f t="shared" si="86"/>
        <v>0.66666666666666663</v>
      </c>
      <c r="M325" s="11">
        <f t="shared" si="62"/>
        <v>0.42857144134385244</v>
      </c>
      <c r="N325" s="11">
        <f t="shared" si="63"/>
        <v>0.28571429422923494</v>
      </c>
      <c r="O325" s="12">
        <f t="shared" ref="O325:O339" si="93">N325/G325</f>
        <v>0.5142857050895695</v>
      </c>
      <c r="Q325" s="17"/>
      <c r="X325" s="18"/>
    </row>
    <row r="326" spans="1:24" ht="14.4">
      <c r="A326" s="4">
        <v>90104</v>
      </c>
      <c r="B326" s="8">
        <v>3</v>
      </c>
      <c r="C326" s="8">
        <v>1.2222222685813904</v>
      </c>
      <c r="D326" s="8">
        <v>6</v>
      </c>
      <c r="E326" s="9">
        <f t="shared" si="81"/>
        <v>0.5</v>
      </c>
      <c r="F326" s="10">
        <f t="shared" si="82"/>
        <v>0.40740742286046344</v>
      </c>
      <c r="G326" s="10">
        <f t="shared" si="83"/>
        <v>0.20370371143023172</v>
      </c>
      <c r="H326" s="4">
        <v>90104</v>
      </c>
      <c r="I326" s="8">
        <v>25</v>
      </c>
      <c r="J326" s="8">
        <v>10.222222536802292</v>
      </c>
      <c r="K326" s="8">
        <v>44</v>
      </c>
      <c r="L326" s="10">
        <f t="shared" si="86"/>
        <v>0.56818181818181823</v>
      </c>
      <c r="M326" s="11">
        <f t="shared" si="62"/>
        <v>0.40888890147209167</v>
      </c>
      <c r="N326" s="11">
        <f t="shared" si="63"/>
        <v>0.23232323947277939</v>
      </c>
      <c r="O326" s="12">
        <f t="shared" si="93"/>
        <v>1.1404958596071031</v>
      </c>
      <c r="Q326" s="17"/>
      <c r="X326" s="18"/>
    </row>
    <row r="327" spans="1:24" ht="14.4">
      <c r="A327" s="4">
        <v>90201</v>
      </c>
      <c r="B327" s="8">
        <v>8</v>
      </c>
      <c r="C327" s="8">
        <v>3.0000000596046448</v>
      </c>
      <c r="D327" s="8">
        <v>12</v>
      </c>
      <c r="E327" s="9">
        <f t="shared" si="81"/>
        <v>0.66666666666666663</v>
      </c>
      <c r="F327" s="10">
        <f t="shared" si="82"/>
        <v>0.3750000074505806</v>
      </c>
      <c r="G327" s="10">
        <f t="shared" si="83"/>
        <v>0.25000000496705371</v>
      </c>
      <c r="H327" s="4">
        <v>90201</v>
      </c>
      <c r="I327" s="8">
        <v>51</v>
      </c>
      <c r="J327" s="8">
        <v>22.888889491558075</v>
      </c>
      <c r="K327" s="8">
        <v>86</v>
      </c>
      <c r="L327" s="10">
        <f t="shared" si="86"/>
        <v>0.59302325581395354</v>
      </c>
      <c r="M327" s="11">
        <f t="shared" si="62"/>
        <v>0.44880175473643286</v>
      </c>
      <c r="N327" s="11">
        <f t="shared" si="63"/>
        <v>0.26614987780881488</v>
      </c>
      <c r="O327" s="12">
        <f t="shared" si="93"/>
        <v>1.064599490083568</v>
      </c>
      <c r="Q327" s="17"/>
      <c r="X327" s="18"/>
    </row>
    <row r="328" spans="1:24" ht="14.4">
      <c r="A328" s="4">
        <v>90202</v>
      </c>
      <c r="B328" s="8">
        <v>3</v>
      </c>
      <c r="C328" s="8">
        <v>1.5555556118488312</v>
      </c>
      <c r="D328" s="8">
        <v>3</v>
      </c>
      <c r="E328" s="9">
        <f t="shared" si="81"/>
        <v>1</v>
      </c>
      <c r="F328" s="10">
        <f t="shared" si="82"/>
        <v>0.51851853728294373</v>
      </c>
      <c r="G328" s="10">
        <f t="shared" si="83"/>
        <v>0.51851853728294373</v>
      </c>
      <c r="H328" s="4">
        <v>90202</v>
      </c>
      <c r="I328" s="8">
        <v>12</v>
      </c>
      <c r="J328" s="8">
        <v>6.2222223877906799</v>
      </c>
      <c r="K328" s="8">
        <v>14</v>
      </c>
      <c r="L328" s="10">
        <f t="shared" si="86"/>
        <v>0.8571428571428571</v>
      </c>
      <c r="M328" s="11">
        <f t="shared" si="62"/>
        <v>0.51851853231588996</v>
      </c>
      <c r="N328" s="11">
        <f t="shared" si="63"/>
        <v>0.44444445627076279</v>
      </c>
      <c r="O328" s="12">
        <f t="shared" si="93"/>
        <v>0.85714284893201342</v>
      </c>
      <c r="Q328" s="17"/>
      <c r="X328" s="18"/>
    </row>
    <row r="329" spans="1:24" ht="14.4">
      <c r="A329" s="4">
        <v>90203</v>
      </c>
      <c r="B329" s="8">
        <v>11</v>
      </c>
      <c r="C329" s="8">
        <v>4.4444445967674255</v>
      </c>
      <c r="D329" s="8">
        <v>18</v>
      </c>
      <c r="E329" s="9">
        <f t="shared" si="81"/>
        <v>0.61111111111111116</v>
      </c>
      <c r="F329" s="10">
        <f t="shared" si="82"/>
        <v>0.40404041788794776</v>
      </c>
      <c r="G329" s="10">
        <f t="shared" si="83"/>
        <v>0.24691358870930141</v>
      </c>
      <c r="H329" s="4">
        <v>90203</v>
      </c>
      <c r="I329" s="8">
        <v>39</v>
      </c>
      <c r="J329" s="8">
        <v>16.333333849906921</v>
      </c>
      <c r="K329" s="8">
        <v>73</v>
      </c>
      <c r="L329" s="10">
        <f t="shared" si="86"/>
        <v>0.53424657534246578</v>
      </c>
      <c r="M329" s="11">
        <f t="shared" si="62"/>
        <v>0.41880343204889542</v>
      </c>
      <c r="N329" s="11">
        <f t="shared" si="63"/>
        <v>0.22374429931379344</v>
      </c>
      <c r="O329" s="12">
        <f t="shared" si="93"/>
        <v>0.90616438116418996</v>
      </c>
      <c r="Q329" s="17"/>
      <c r="X329" s="18"/>
    </row>
    <row r="330" spans="1:24" ht="14.4">
      <c r="A330" s="4">
        <v>90301</v>
      </c>
      <c r="B330" s="8">
        <v>1</v>
      </c>
      <c r="C330" s="8">
        <v>0.4444444477558136</v>
      </c>
      <c r="D330" s="8">
        <v>1</v>
      </c>
      <c r="E330" s="9">
        <f t="shared" si="81"/>
        <v>1</v>
      </c>
      <c r="F330" s="10">
        <f t="shared" si="82"/>
        <v>0.4444444477558136</v>
      </c>
      <c r="G330" s="10">
        <f t="shared" si="83"/>
        <v>0.4444444477558136</v>
      </c>
      <c r="H330" s="4">
        <v>90301</v>
      </c>
      <c r="I330" s="8">
        <v>19</v>
      </c>
      <c r="J330" s="8">
        <v>10.111111402511597</v>
      </c>
      <c r="K330" s="8">
        <v>27</v>
      </c>
      <c r="L330" s="10">
        <f t="shared" si="86"/>
        <v>0.70370370370370372</v>
      </c>
      <c r="M330" s="11">
        <f t="shared" si="62"/>
        <v>0.53216375802692617</v>
      </c>
      <c r="N330" s="11">
        <f t="shared" si="63"/>
        <v>0.37448560750042953</v>
      </c>
      <c r="O330" s="12">
        <f t="shared" si="93"/>
        <v>0.84259261059816226</v>
      </c>
      <c r="Q330" s="17"/>
      <c r="X330" s="18"/>
    </row>
    <row r="331" spans="1:24" ht="14.4">
      <c r="A331" s="4">
        <v>90302</v>
      </c>
      <c r="B331" s="8">
        <v>7</v>
      </c>
      <c r="C331" s="8">
        <v>2.888888955116272</v>
      </c>
      <c r="D331" s="8">
        <v>9</v>
      </c>
      <c r="E331" s="9">
        <f t="shared" si="81"/>
        <v>0.77777777777777779</v>
      </c>
      <c r="F331" s="10">
        <f t="shared" si="82"/>
        <v>0.41269842215946745</v>
      </c>
      <c r="G331" s="10">
        <f t="shared" si="83"/>
        <v>0.32098766167958581</v>
      </c>
      <c r="H331" s="4">
        <v>90302</v>
      </c>
      <c r="I331" s="8">
        <v>49</v>
      </c>
      <c r="J331" s="8">
        <v>21.666667073965073</v>
      </c>
      <c r="K331" s="8">
        <v>63</v>
      </c>
      <c r="L331" s="10">
        <f t="shared" si="86"/>
        <v>0.77777777777777779</v>
      </c>
      <c r="M331" s="11">
        <f t="shared" si="62"/>
        <v>0.44217687906051167</v>
      </c>
      <c r="N331" s="11">
        <f t="shared" si="63"/>
        <v>0.343915350380398</v>
      </c>
      <c r="O331" s="12">
        <f t="shared" si="93"/>
        <v>1.0714285670073478</v>
      </c>
      <c r="Q331" s="17"/>
      <c r="X331" s="18"/>
    </row>
    <row r="332" spans="1:24" ht="14.4">
      <c r="A332" s="4">
        <v>90303</v>
      </c>
      <c r="B332" s="8">
        <v>24</v>
      </c>
      <c r="C332" s="8">
        <v>11.222222596406937</v>
      </c>
      <c r="D332" s="8">
        <v>25</v>
      </c>
      <c r="E332" s="9">
        <f t="shared" si="81"/>
        <v>0.96</v>
      </c>
      <c r="F332" s="10">
        <f t="shared" si="82"/>
        <v>0.46759260818362236</v>
      </c>
      <c r="G332" s="10">
        <f t="shared" si="83"/>
        <v>0.44888890385627744</v>
      </c>
      <c r="H332" s="4">
        <v>90303</v>
      </c>
      <c r="I332" s="8">
        <v>68</v>
      </c>
      <c r="J332" s="8">
        <v>33.333334237337112</v>
      </c>
      <c r="K332" s="8">
        <v>73</v>
      </c>
      <c r="L332" s="10">
        <f t="shared" si="86"/>
        <v>0.93150684931506844</v>
      </c>
      <c r="M332" s="11">
        <f t="shared" si="62"/>
        <v>0.49019609172554579</v>
      </c>
      <c r="N332" s="11">
        <f t="shared" si="63"/>
        <v>0.45662101694982343</v>
      </c>
      <c r="O332" s="12">
        <f t="shared" si="93"/>
        <v>1.0172250038419788</v>
      </c>
      <c r="Q332" s="17"/>
      <c r="X332" s="18"/>
    </row>
    <row r="333" spans="1:24" ht="14.4">
      <c r="A333" s="4">
        <v>90401</v>
      </c>
      <c r="B333" s="8">
        <v>2</v>
      </c>
      <c r="C333" s="8">
        <v>0.88888892531394958</v>
      </c>
      <c r="D333" s="8">
        <v>3</v>
      </c>
      <c r="E333" s="9">
        <f t="shared" si="81"/>
        <v>0.66666666666666663</v>
      </c>
      <c r="F333" s="10">
        <f t="shared" si="82"/>
        <v>0.44444446265697479</v>
      </c>
      <c r="G333" s="10">
        <f t="shared" si="83"/>
        <v>0.29629630843798316</v>
      </c>
      <c r="H333" s="4">
        <v>90401</v>
      </c>
      <c r="I333" s="8">
        <v>3</v>
      </c>
      <c r="J333" s="8">
        <v>1.222222238779068</v>
      </c>
      <c r="K333" s="8">
        <v>13</v>
      </c>
      <c r="L333" s="10">
        <f t="shared" si="86"/>
        <v>0.23076923076923078</v>
      </c>
      <c r="M333" s="11">
        <f t="shared" si="62"/>
        <v>0.40740741292635602</v>
      </c>
      <c r="N333" s="11">
        <f t="shared" si="63"/>
        <v>9.4017095290697544E-2</v>
      </c>
      <c r="O333" s="12">
        <f t="shared" si="93"/>
        <v>0.31730768360340866</v>
      </c>
      <c r="Q333" s="17"/>
      <c r="X333" s="18"/>
    </row>
    <row r="334" spans="1:24" ht="14.4">
      <c r="A334" s="4">
        <v>90402</v>
      </c>
      <c r="B334" s="8">
        <v>7</v>
      </c>
      <c r="C334" s="8">
        <v>2.7777778208255768</v>
      </c>
      <c r="D334" s="8">
        <v>7</v>
      </c>
      <c r="E334" s="9">
        <f t="shared" si="81"/>
        <v>1</v>
      </c>
      <c r="F334" s="10">
        <f t="shared" si="82"/>
        <v>0.3968254029750824</v>
      </c>
      <c r="G334" s="10">
        <f t="shared" si="83"/>
        <v>0.3968254029750824</v>
      </c>
      <c r="H334" s="4">
        <v>90402</v>
      </c>
      <c r="I334" s="8">
        <v>7</v>
      </c>
      <c r="J334" s="8">
        <v>3.11111119389534</v>
      </c>
      <c r="K334" s="8">
        <v>11</v>
      </c>
      <c r="L334" s="10">
        <f t="shared" si="86"/>
        <v>0.63636363636363635</v>
      </c>
      <c r="M334" s="11">
        <f t="shared" si="62"/>
        <v>0.44444445627076284</v>
      </c>
      <c r="N334" s="11">
        <f t="shared" si="63"/>
        <v>0.28282829035412183</v>
      </c>
      <c r="O334" s="12">
        <f t="shared" si="93"/>
        <v>0.71272728064710433</v>
      </c>
      <c r="Q334" s="17"/>
      <c r="X334" s="18"/>
    </row>
    <row r="335" spans="1:24" ht="14.4">
      <c r="A335" s="4">
        <v>90501</v>
      </c>
      <c r="B335" s="8">
        <v>5</v>
      </c>
      <c r="C335" s="8">
        <v>2.555555671453476</v>
      </c>
      <c r="D335" s="8">
        <v>5</v>
      </c>
      <c r="E335" s="9">
        <f t="shared" si="81"/>
        <v>1</v>
      </c>
      <c r="F335" s="10">
        <f t="shared" si="82"/>
        <v>0.51111113429069521</v>
      </c>
      <c r="G335" s="10">
        <f t="shared" si="83"/>
        <v>0.51111113429069521</v>
      </c>
      <c r="H335" s="4">
        <v>90501</v>
      </c>
      <c r="I335" s="8">
        <v>37</v>
      </c>
      <c r="J335" s="8">
        <v>17.77777835726738</v>
      </c>
      <c r="K335" s="8">
        <v>43</v>
      </c>
      <c r="L335" s="10">
        <f t="shared" si="86"/>
        <v>0.86046511627906974</v>
      </c>
      <c r="M335" s="11">
        <f t="shared" si="62"/>
        <v>0.4804804961423616</v>
      </c>
      <c r="N335" s="11">
        <f t="shared" si="63"/>
        <v>0.41343670598296228</v>
      </c>
      <c r="O335" s="12">
        <f t="shared" si="93"/>
        <v>0.80889786632552507</v>
      </c>
      <c r="Q335" s="17"/>
      <c r="X335" s="18"/>
    </row>
    <row r="336" spans="1:24" ht="14.4">
      <c r="A336" s="4">
        <v>90502</v>
      </c>
      <c r="B336" s="8">
        <v>9</v>
      </c>
      <c r="C336" s="8">
        <v>5.1111112236976624</v>
      </c>
      <c r="D336" s="8">
        <v>9</v>
      </c>
      <c r="E336" s="9">
        <f t="shared" si="81"/>
        <v>1</v>
      </c>
      <c r="F336" s="10">
        <f t="shared" si="82"/>
        <v>0.56790124707751799</v>
      </c>
      <c r="G336" s="10">
        <f t="shared" si="83"/>
        <v>0.56790124707751799</v>
      </c>
      <c r="H336" s="4">
        <v>90502</v>
      </c>
      <c r="I336" s="8">
        <v>40</v>
      </c>
      <c r="J336" s="8">
        <v>19.444444984197617</v>
      </c>
      <c r="K336" s="8">
        <v>45</v>
      </c>
      <c r="L336" s="10">
        <f t="shared" si="86"/>
        <v>0.88888888888888884</v>
      </c>
      <c r="M336" s="11">
        <f t="shared" si="62"/>
        <v>0.48611112460494044</v>
      </c>
      <c r="N336" s="11">
        <f t="shared" si="63"/>
        <v>0.43209877742661368</v>
      </c>
      <c r="O336" s="12">
        <f t="shared" si="93"/>
        <v>0.76086956957788221</v>
      </c>
      <c r="Q336" s="17"/>
      <c r="X336" s="18"/>
    </row>
    <row r="337" spans="1:24" ht="14.4">
      <c r="A337" s="4">
        <v>90503</v>
      </c>
      <c r="B337" s="8">
        <v>20</v>
      </c>
      <c r="C337" s="8">
        <v>9.5555557906627655</v>
      </c>
      <c r="D337" s="8">
        <v>20</v>
      </c>
      <c r="E337" s="9">
        <f t="shared" si="81"/>
        <v>1</v>
      </c>
      <c r="F337" s="10">
        <f t="shared" si="82"/>
        <v>0.47777778953313826</v>
      </c>
      <c r="G337" s="10">
        <f t="shared" si="83"/>
        <v>0.47777778953313826</v>
      </c>
      <c r="H337" s="4">
        <v>90503</v>
      </c>
      <c r="I337" s="8">
        <v>20</v>
      </c>
      <c r="J337" s="8">
        <v>8.8888890147209167</v>
      </c>
      <c r="K337" s="8">
        <v>20</v>
      </c>
      <c r="L337" s="10">
        <f t="shared" si="86"/>
        <v>1</v>
      </c>
      <c r="M337" s="11">
        <f t="shared" si="62"/>
        <v>0.44444445073604583</v>
      </c>
      <c r="N337" s="11">
        <f t="shared" si="63"/>
        <v>0.44444445073604583</v>
      </c>
      <c r="O337" s="12">
        <f t="shared" si="93"/>
        <v>0.93023254842033531</v>
      </c>
      <c r="Q337" s="17"/>
      <c r="X337" s="18"/>
    </row>
    <row r="338" spans="1:24" ht="14.4">
      <c r="A338" s="17">
        <v>10</v>
      </c>
      <c r="B338" s="21">
        <f t="shared" ref="B338:D338" si="94">SUM(B240:B242)</f>
        <v>34</v>
      </c>
      <c r="C338" s="21">
        <f t="shared" si="94"/>
        <v>14.222222596406937</v>
      </c>
      <c r="D338" s="21">
        <f t="shared" si="94"/>
        <v>159</v>
      </c>
      <c r="E338" s="9">
        <f t="shared" si="81"/>
        <v>0.21383647798742139</v>
      </c>
      <c r="F338" s="10">
        <f t="shared" si="82"/>
        <v>0.41830066460020404</v>
      </c>
      <c r="G338" s="10">
        <f t="shared" si="83"/>
        <v>8.9447940857905264E-2</v>
      </c>
      <c r="I338" s="21">
        <f t="shared" ref="I338:K338" si="95">SUM(I240:I242)</f>
        <v>192</v>
      </c>
      <c r="J338" s="21">
        <f t="shared" si="95"/>
        <v>77.0000019967556</v>
      </c>
      <c r="K338" s="21">
        <f t="shared" si="95"/>
        <v>1162</v>
      </c>
      <c r="L338" s="10">
        <f t="shared" si="86"/>
        <v>0.16523235800344235</v>
      </c>
      <c r="M338" s="11">
        <f t="shared" si="62"/>
        <v>0.4010416770664354</v>
      </c>
      <c r="N338" s="11">
        <f t="shared" si="63"/>
        <v>6.6265061959342175E-2</v>
      </c>
      <c r="O338" s="12">
        <f t="shared" si="93"/>
        <v>0.74082266538264052</v>
      </c>
      <c r="Q338" s="17"/>
      <c r="X338" s="18"/>
    </row>
    <row r="339" spans="1:24" ht="14.4">
      <c r="A339" s="17">
        <v>11</v>
      </c>
      <c r="B339" s="21">
        <f t="shared" ref="B339:D339" si="96">SUM(B3:B337)</f>
        <v>3879</v>
      </c>
      <c r="C339" s="21">
        <f t="shared" si="96"/>
        <v>1728.6667093932629</v>
      </c>
      <c r="D339" s="21">
        <f t="shared" si="96"/>
        <v>8428</v>
      </c>
      <c r="E339" s="9">
        <f t="shared" si="81"/>
        <v>0.46025154247745609</v>
      </c>
      <c r="F339" s="10">
        <f t="shared" si="82"/>
        <v>0.44564751466699221</v>
      </c>
      <c r="G339" s="10">
        <f t="shared" si="83"/>
        <v>0.20510995602672791</v>
      </c>
      <c r="I339" s="21">
        <f t="shared" ref="I339:K339" si="97">SUM(I3:I337)</f>
        <v>24131</v>
      </c>
      <c r="J339" s="21">
        <f t="shared" si="97"/>
        <v>10470.778036981821</v>
      </c>
      <c r="K339" s="21">
        <f t="shared" si="97"/>
        <v>65882</v>
      </c>
      <c r="L339" s="10">
        <f t="shared" si="86"/>
        <v>0.36627606933608575</v>
      </c>
      <c r="M339" s="11">
        <f t="shared" si="62"/>
        <v>0.43391397111523855</v>
      </c>
      <c r="N339" s="11">
        <f t="shared" si="63"/>
        <v>0.15893230377010142</v>
      </c>
      <c r="O339" s="12">
        <f t="shared" si="93"/>
        <v>0.77486391615914996</v>
      </c>
      <c r="Q339" s="17"/>
      <c r="X339" s="18"/>
    </row>
    <row r="340" spans="1:24" ht="13.2">
      <c r="A340" s="17"/>
      <c r="E340" s="11"/>
      <c r="F340" s="11"/>
      <c r="G340" s="11"/>
      <c r="H340" s="17"/>
      <c r="L340" s="11"/>
      <c r="M340" s="11"/>
      <c r="N340" s="11"/>
      <c r="O340" s="18"/>
      <c r="Q340" s="17"/>
      <c r="X340" s="18"/>
    </row>
    <row r="341" spans="1:24" ht="13.2">
      <c r="A341" s="17"/>
      <c r="E341" s="11"/>
      <c r="F341" s="11"/>
      <c r="G341" s="11"/>
      <c r="H341" s="17"/>
      <c r="L341" s="11"/>
      <c r="M341" s="11"/>
      <c r="N341" s="11"/>
      <c r="O341" s="18"/>
      <c r="Q341" s="17"/>
      <c r="X341" s="18"/>
    </row>
    <row r="342" spans="1:24" ht="13.2">
      <c r="A342" s="17"/>
      <c r="E342" s="11"/>
      <c r="F342" s="11"/>
      <c r="G342" s="11"/>
      <c r="H342" s="17"/>
      <c r="L342" s="11"/>
      <c r="M342" s="11"/>
      <c r="N342" s="11"/>
      <c r="O342" s="18"/>
      <c r="Q342" s="17"/>
      <c r="X342" s="18"/>
    </row>
    <row r="343" spans="1:24" ht="13.2">
      <c r="A343" s="17"/>
      <c r="E343" s="11"/>
      <c r="F343" s="11"/>
      <c r="G343" s="11"/>
      <c r="H343" s="17"/>
      <c r="L343" s="11"/>
      <c r="M343" s="11"/>
      <c r="N343" s="11"/>
      <c r="O343" s="18"/>
      <c r="Q343" s="17"/>
      <c r="X343" s="18"/>
    </row>
    <row r="344" spans="1:24" ht="13.2">
      <c r="A344" s="17"/>
      <c r="E344" s="11"/>
      <c r="F344" s="11"/>
      <c r="G344" s="11"/>
      <c r="H344" s="17"/>
      <c r="L344" s="11"/>
      <c r="M344" s="11"/>
      <c r="N344" s="11"/>
      <c r="O344" s="18"/>
      <c r="Q344" s="17"/>
      <c r="X344" s="18"/>
    </row>
    <row r="345" spans="1:24" ht="13.2">
      <c r="A345" s="17"/>
      <c r="E345" s="11"/>
      <c r="F345" s="11"/>
      <c r="G345" s="11"/>
      <c r="H345" s="17"/>
      <c r="L345" s="11"/>
      <c r="M345" s="11"/>
      <c r="N345" s="11"/>
      <c r="O345" s="18"/>
      <c r="Q345" s="17"/>
      <c r="X345" s="18"/>
    </row>
    <row r="346" spans="1:24" ht="13.2">
      <c r="A346" s="17"/>
      <c r="E346" s="11"/>
      <c r="F346" s="11"/>
      <c r="G346" s="11"/>
      <c r="H346" s="17"/>
      <c r="L346" s="11"/>
      <c r="M346" s="11"/>
      <c r="N346" s="11"/>
      <c r="O346" s="18"/>
      <c r="Q346" s="17"/>
      <c r="X346" s="18"/>
    </row>
    <row r="347" spans="1:24" ht="13.2">
      <c r="A347" s="17"/>
      <c r="E347" s="11"/>
      <c r="F347" s="11"/>
      <c r="G347" s="11"/>
      <c r="H347" s="17"/>
      <c r="L347" s="11"/>
      <c r="M347" s="11"/>
      <c r="N347" s="11"/>
      <c r="O347" s="18"/>
      <c r="Q347" s="17"/>
      <c r="X347" s="18"/>
    </row>
    <row r="348" spans="1:24" ht="13.2">
      <c r="A348" s="17"/>
      <c r="E348" s="11"/>
      <c r="F348" s="11"/>
      <c r="G348" s="11"/>
      <c r="H348" s="17"/>
      <c r="L348" s="11"/>
      <c r="M348" s="11"/>
      <c r="N348" s="11"/>
      <c r="O348" s="18"/>
      <c r="Q348" s="17"/>
      <c r="X348" s="18"/>
    </row>
    <row r="349" spans="1:24" ht="13.2">
      <c r="A349" s="17"/>
      <c r="E349" s="11"/>
      <c r="F349" s="11"/>
      <c r="G349" s="11"/>
      <c r="H349" s="17"/>
      <c r="L349" s="11"/>
      <c r="M349" s="11"/>
      <c r="N349" s="11"/>
      <c r="O349" s="18"/>
      <c r="Q349" s="17"/>
      <c r="X349" s="18"/>
    </row>
    <row r="350" spans="1:24" ht="13.2">
      <c r="A350" s="17"/>
      <c r="E350" s="11"/>
      <c r="F350" s="11"/>
      <c r="G350" s="11"/>
      <c r="H350" s="17"/>
      <c r="L350" s="11"/>
      <c r="M350" s="11"/>
      <c r="N350" s="11"/>
      <c r="O350" s="18"/>
      <c r="Q350" s="17"/>
      <c r="X350" s="18"/>
    </row>
    <row r="351" spans="1:24" ht="13.2">
      <c r="A351" s="17"/>
      <c r="E351" s="11"/>
      <c r="F351" s="11"/>
      <c r="G351" s="11"/>
      <c r="H351" s="17"/>
      <c r="L351" s="11"/>
      <c r="M351" s="11"/>
      <c r="N351" s="11"/>
      <c r="O351" s="18"/>
      <c r="Q351" s="17"/>
      <c r="X351" s="18"/>
    </row>
    <row r="352" spans="1:24" ht="13.2">
      <c r="A352" s="17"/>
      <c r="E352" s="11"/>
      <c r="F352" s="11"/>
      <c r="G352" s="11"/>
      <c r="H352" s="17"/>
      <c r="L352" s="11"/>
      <c r="M352" s="11"/>
      <c r="N352" s="11"/>
      <c r="O352" s="18"/>
      <c r="Q352" s="17"/>
      <c r="X352" s="18"/>
    </row>
    <row r="353" spans="1:24" ht="13.2">
      <c r="A353" s="17"/>
      <c r="E353" s="11"/>
      <c r="F353" s="11"/>
      <c r="G353" s="11"/>
      <c r="H353" s="17"/>
      <c r="L353" s="11"/>
      <c r="M353" s="11"/>
      <c r="N353" s="11"/>
      <c r="O353" s="18"/>
      <c r="Q353" s="17"/>
      <c r="X353" s="18"/>
    </row>
    <row r="354" spans="1:24" ht="13.2">
      <c r="A354" s="17"/>
      <c r="E354" s="11"/>
      <c r="F354" s="11"/>
      <c r="G354" s="11"/>
      <c r="H354" s="17"/>
      <c r="L354" s="11"/>
      <c r="M354" s="11"/>
      <c r="N354" s="11"/>
      <c r="O354" s="18"/>
      <c r="Q354" s="17"/>
      <c r="X354" s="18"/>
    </row>
    <row r="355" spans="1:24" ht="13.2">
      <c r="A355" s="17"/>
      <c r="E355" s="11"/>
      <c r="F355" s="11"/>
      <c r="G355" s="11"/>
      <c r="H355" s="17"/>
      <c r="L355" s="11"/>
      <c r="M355" s="11"/>
      <c r="N355" s="11"/>
      <c r="O355" s="18"/>
      <c r="Q355" s="17"/>
      <c r="X355" s="18"/>
    </row>
    <row r="356" spans="1:24" ht="13.2">
      <c r="A356" s="17"/>
      <c r="E356" s="11"/>
      <c r="F356" s="11"/>
      <c r="G356" s="11"/>
      <c r="H356" s="17"/>
      <c r="L356" s="11"/>
      <c r="M356" s="11"/>
      <c r="N356" s="11"/>
      <c r="O356" s="18"/>
      <c r="Q356" s="17"/>
      <c r="X356" s="18"/>
    </row>
    <row r="357" spans="1:24" ht="13.2">
      <c r="A357" s="17"/>
      <c r="E357" s="11"/>
      <c r="F357" s="11"/>
      <c r="G357" s="11"/>
      <c r="H357" s="17"/>
      <c r="L357" s="11"/>
      <c r="M357" s="11"/>
      <c r="N357" s="11"/>
      <c r="O357" s="18"/>
      <c r="Q357" s="17"/>
      <c r="X357" s="18"/>
    </row>
    <row r="358" spans="1:24" ht="13.2">
      <c r="A358" s="17"/>
      <c r="E358" s="11"/>
      <c r="F358" s="11"/>
      <c r="G358" s="11"/>
      <c r="H358" s="17"/>
      <c r="L358" s="11"/>
      <c r="M358" s="11"/>
      <c r="N358" s="11"/>
      <c r="O358" s="18"/>
      <c r="Q358" s="17"/>
      <c r="X358" s="18"/>
    </row>
    <row r="359" spans="1:24" ht="13.2">
      <c r="A359" s="17"/>
      <c r="E359" s="11"/>
      <c r="F359" s="11"/>
      <c r="G359" s="11"/>
      <c r="H359" s="17"/>
      <c r="L359" s="11"/>
      <c r="M359" s="11"/>
      <c r="N359" s="11"/>
      <c r="O359" s="18"/>
      <c r="Q359" s="17"/>
      <c r="X359" s="18"/>
    </row>
    <row r="360" spans="1:24" ht="13.2">
      <c r="A360" s="17"/>
      <c r="E360" s="11"/>
      <c r="F360" s="11"/>
      <c r="G360" s="11"/>
      <c r="H360" s="17"/>
      <c r="L360" s="11"/>
      <c r="M360" s="11"/>
      <c r="N360" s="11"/>
      <c r="O360" s="18"/>
      <c r="Q360" s="17"/>
      <c r="X360" s="18"/>
    </row>
    <row r="361" spans="1:24" ht="13.2">
      <c r="A361" s="17"/>
      <c r="E361" s="11"/>
      <c r="F361" s="11"/>
      <c r="G361" s="11"/>
      <c r="H361" s="17"/>
      <c r="L361" s="11"/>
      <c r="M361" s="11"/>
      <c r="N361" s="11"/>
      <c r="O361" s="18"/>
      <c r="Q361" s="17"/>
      <c r="X361" s="18"/>
    </row>
    <row r="362" spans="1:24" ht="13.2">
      <c r="A362" s="17"/>
      <c r="E362" s="11"/>
      <c r="F362" s="11"/>
      <c r="G362" s="11"/>
      <c r="H362" s="17"/>
      <c r="L362" s="11"/>
      <c r="M362" s="11"/>
      <c r="N362" s="11"/>
      <c r="O362" s="18"/>
      <c r="Q362" s="17"/>
      <c r="X362" s="18"/>
    </row>
    <row r="363" spans="1:24" ht="13.2">
      <c r="A363" s="17"/>
      <c r="E363" s="11"/>
      <c r="F363" s="11"/>
      <c r="G363" s="11"/>
      <c r="H363" s="17"/>
      <c r="L363" s="11"/>
      <c r="M363" s="11"/>
      <c r="N363" s="11"/>
      <c r="O363" s="18"/>
      <c r="Q363" s="17"/>
      <c r="X363" s="18"/>
    </row>
    <row r="364" spans="1:24" ht="13.2">
      <c r="A364" s="17"/>
      <c r="E364" s="11"/>
      <c r="F364" s="11"/>
      <c r="G364" s="11"/>
      <c r="H364" s="17"/>
      <c r="L364" s="11"/>
      <c r="M364" s="11"/>
      <c r="N364" s="11"/>
      <c r="O364" s="18"/>
      <c r="Q364" s="17"/>
      <c r="X364" s="18"/>
    </row>
    <row r="365" spans="1:24" ht="13.2">
      <c r="A365" s="17"/>
      <c r="E365" s="11"/>
      <c r="F365" s="11"/>
      <c r="G365" s="11"/>
      <c r="H365" s="17"/>
      <c r="L365" s="11"/>
      <c r="M365" s="11"/>
      <c r="N365" s="11"/>
      <c r="O365" s="18"/>
      <c r="Q365" s="17"/>
      <c r="X365" s="18"/>
    </row>
    <row r="366" spans="1:24" ht="13.2">
      <c r="A366" s="17"/>
      <c r="E366" s="11"/>
      <c r="F366" s="11"/>
      <c r="G366" s="11"/>
      <c r="H366" s="17"/>
      <c r="L366" s="11"/>
      <c r="M366" s="11"/>
      <c r="N366" s="11"/>
      <c r="O366" s="18"/>
      <c r="Q366" s="17"/>
      <c r="X366" s="18"/>
    </row>
    <row r="367" spans="1:24" ht="13.2">
      <c r="A367" s="17"/>
      <c r="E367" s="11"/>
      <c r="F367" s="11"/>
      <c r="G367" s="11"/>
      <c r="H367" s="17"/>
      <c r="L367" s="11"/>
      <c r="M367" s="11"/>
      <c r="N367" s="11"/>
      <c r="O367" s="18"/>
      <c r="Q367" s="17"/>
      <c r="X367" s="18"/>
    </row>
    <row r="368" spans="1:24" ht="13.2">
      <c r="A368" s="17"/>
      <c r="E368" s="11"/>
      <c r="F368" s="11"/>
      <c r="G368" s="11"/>
      <c r="H368" s="17"/>
      <c r="L368" s="11"/>
      <c r="M368" s="11"/>
      <c r="N368" s="11"/>
      <c r="O368" s="18"/>
      <c r="Q368" s="17"/>
      <c r="X368" s="18"/>
    </row>
    <row r="369" spans="1:24" ht="13.2">
      <c r="A369" s="17"/>
      <c r="E369" s="11"/>
      <c r="F369" s="11"/>
      <c r="G369" s="11"/>
      <c r="H369" s="17"/>
      <c r="L369" s="11"/>
      <c r="M369" s="11"/>
      <c r="N369" s="11"/>
      <c r="O369" s="18"/>
      <c r="Q369" s="17"/>
      <c r="X369" s="18"/>
    </row>
    <row r="370" spans="1:24" ht="13.2">
      <c r="A370" s="17"/>
      <c r="E370" s="11"/>
      <c r="F370" s="11"/>
      <c r="G370" s="11"/>
      <c r="H370" s="17"/>
      <c r="L370" s="11"/>
      <c r="M370" s="11"/>
      <c r="N370" s="11"/>
      <c r="O370" s="18"/>
      <c r="Q370" s="17"/>
      <c r="X370" s="18"/>
    </row>
    <row r="371" spans="1:24" ht="13.2">
      <c r="A371" s="17"/>
      <c r="E371" s="11"/>
      <c r="F371" s="11"/>
      <c r="G371" s="11"/>
      <c r="H371" s="17"/>
      <c r="L371" s="11"/>
      <c r="M371" s="11"/>
      <c r="N371" s="11"/>
      <c r="O371" s="18"/>
      <c r="Q371" s="17"/>
      <c r="X371" s="18"/>
    </row>
    <row r="372" spans="1:24" ht="13.2">
      <c r="A372" s="17"/>
      <c r="E372" s="11"/>
      <c r="F372" s="11"/>
      <c r="G372" s="11"/>
      <c r="H372" s="17"/>
      <c r="L372" s="11"/>
      <c r="M372" s="11"/>
      <c r="N372" s="11"/>
      <c r="O372" s="18"/>
      <c r="Q372" s="17"/>
      <c r="X372" s="18"/>
    </row>
    <row r="373" spans="1:24" ht="13.2">
      <c r="A373" s="17"/>
      <c r="E373" s="11"/>
      <c r="F373" s="11"/>
      <c r="G373" s="11"/>
      <c r="H373" s="17"/>
      <c r="L373" s="11"/>
      <c r="M373" s="11"/>
      <c r="N373" s="11"/>
      <c r="O373" s="18"/>
      <c r="Q373" s="17"/>
      <c r="X373" s="18"/>
    </row>
    <row r="374" spans="1:24" ht="13.2">
      <c r="A374" s="17"/>
      <c r="E374" s="11"/>
      <c r="F374" s="11"/>
      <c r="G374" s="11"/>
      <c r="H374" s="17"/>
      <c r="L374" s="11"/>
      <c r="M374" s="11"/>
      <c r="N374" s="11"/>
      <c r="O374" s="18"/>
      <c r="Q374" s="17"/>
      <c r="X374" s="18"/>
    </row>
    <row r="375" spans="1:24" ht="13.2">
      <c r="A375" s="17"/>
      <c r="E375" s="11"/>
      <c r="F375" s="11"/>
      <c r="G375" s="11"/>
      <c r="H375" s="17"/>
      <c r="L375" s="11"/>
      <c r="M375" s="11"/>
      <c r="N375" s="11"/>
      <c r="O375" s="18"/>
      <c r="Q375" s="17"/>
      <c r="X375" s="18"/>
    </row>
    <row r="376" spans="1:24" ht="13.2">
      <c r="A376" s="17"/>
      <c r="E376" s="11"/>
      <c r="F376" s="11"/>
      <c r="G376" s="11"/>
      <c r="H376" s="17"/>
      <c r="L376" s="11"/>
      <c r="M376" s="11"/>
      <c r="N376" s="11"/>
      <c r="O376" s="18"/>
      <c r="Q376" s="17"/>
      <c r="X376" s="18"/>
    </row>
    <row r="377" spans="1:24" ht="13.2">
      <c r="A377" s="17"/>
      <c r="E377" s="11"/>
      <c r="F377" s="11"/>
      <c r="G377" s="11"/>
      <c r="H377" s="17"/>
      <c r="L377" s="11"/>
      <c r="M377" s="11"/>
      <c r="N377" s="11"/>
      <c r="O377" s="18"/>
      <c r="Q377" s="17"/>
      <c r="X377" s="18"/>
    </row>
    <row r="378" spans="1:24" ht="13.2">
      <c r="A378" s="17"/>
      <c r="E378" s="11"/>
      <c r="F378" s="11"/>
      <c r="G378" s="11"/>
      <c r="H378" s="17"/>
      <c r="L378" s="11"/>
      <c r="M378" s="11"/>
      <c r="N378" s="11"/>
      <c r="O378" s="18"/>
      <c r="Q378" s="17"/>
      <c r="X378" s="18"/>
    </row>
    <row r="379" spans="1:24" ht="13.2">
      <c r="A379" s="17"/>
      <c r="E379" s="11"/>
      <c r="F379" s="11"/>
      <c r="G379" s="11"/>
      <c r="H379" s="17"/>
      <c r="L379" s="11"/>
      <c r="M379" s="11"/>
      <c r="N379" s="11"/>
      <c r="O379" s="18"/>
      <c r="Q379" s="17"/>
      <c r="X379" s="18"/>
    </row>
    <row r="380" spans="1:24" ht="13.2">
      <c r="A380" s="17"/>
      <c r="E380" s="11"/>
      <c r="F380" s="11"/>
      <c r="G380" s="11"/>
      <c r="H380" s="17"/>
      <c r="L380" s="11"/>
      <c r="M380" s="11"/>
      <c r="N380" s="11"/>
      <c r="O380" s="18"/>
      <c r="Q380" s="17"/>
      <c r="X380" s="18"/>
    </row>
    <row r="381" spans="1:24" ht="13.2">
      <c r="A381" s="17"/>
      <c r="E381" s="11"/>
      <c r="F381" s="11"/>
      <c r="G381" s="11"/>
      <c r="H381" s="17"/>
      <c r="L381" s="11"/>
      <c r="M381" s="11"/>
      <c r="N381" s="11"/>
      <c r="O381" s="18"/>
      <c r="Q381" s="17"/>
      <c r="X381" s="18"/>
    </row>
    <row r="382" spans="1:24" ht="13.2">
      <c r="A382" s="17"/>
      <c r="E382" s="11"/>
      <c r="F382" s="11"/>
      <c r="G382" s="11"/>
      <c r="H382" s="17"/>
      <c r="L382" s="11"/>
      <c r="M382" s="11"/>
      <c r="N382" s="11"/>
      <c r="O382" s="18"/>
      <c r="Q382" s="17"/>
      <c r="X382" s="18"/>
    </row>
    <row r="383" spans="1:24" ht="13.2">
      <c r="A383" s="17"/>
      <c r="E383" s="11"/>
      <c r="F383" s="11"/>
      <c r="G383" s="11"/>
      <c r="H383" s="17"/>
      <c r="L383" s="11"/>
      <c r="M383" s="11"/>
      <c r="N383" s="11"/>
      <c r="O383" s="18"/>
      <c r="Q383" s="17"/>
      <c r="X383" s="18"/>
    </row>
    <row r="384" spans="1:24" ht="13.2">
      <c r="A384" s="17"/>
      <c r="E384" s="11"/>
      <c r="F384" s="11"/>
      <c r="G384" s="11"/>
      <c r="H384" s="17"/>
      <c r="L384" s="11"/>
      <c r="M384" s="11"/>
      <c r="N384" s="11"/>
      <c r="O384" s="18"/>
      <c r="Q384" s="17"/>
      <c r="X384" s="18"/>
    </row>
    <row r="385" spans="1:24" ht="13.2">
      <c r="A385" s="17"/>
      <c r="E385" s="11"/>
      <c r="F385" s="11"/>
      <c r="G385" s="11"/>
      <c r="H385" s="17"/>
      <c r="L385" s="11"/>
      <c r="M385" s="11"/>
      <c r="N385" s="11"/>
      <c r="O385" s="18"/>
      <c r="Q385" s="17"/>
      <c r="X385" s="18"/>
    </row>
    <row r="386" spans="1:24" ht="13.2">
      <c r="A386" s="17"/>
      <c r="E386" s="11"/>
      <c r="F386" s="11"/>
      <c r="G386" s="11"/>
      <c r="H386" s="17"/>
      <c r="L386" s="11"/>
      <c r="M386" s="11"/>
      <c r="N386" s="11"/>
      <c r="O386" s="18"/>
      <c r="Q386" s="17"/>
      <c r="X386" s="18"/>
    </row>
    <row r="387" spans="1:24" ht="13.2">
      <c r="A387" s="17"/>
      <c r="E387" s="11"/>
      <c r="F387" s="11"/>
      <c r="G387" s="11"/>
      <c r="H387" s="17"/>
      <c r="L387" s="11"/>
      <c r="M387" s="11"/>
      <c r="N387" s="11"/>
      <c r="O387" s="18"/>
      <c r="Q387" s="17"/>
      <c r="X387" s="18"/>
    </row>
    <row r="388" spans="1:24" ht="13.2">
      <c r="A388" s="17"/>
      <c r="E388" s="11"/>
      <c r="F388" s="11"/>
      <c r="G388" s="11"/>
      <c r="H388" s="17"/>
      <c r="L388" s="11"/>
      <c r="M388" s="11"/>
      <c r="N388" s="11"/>
      <c r="O388" s="18"/>
      <c r="Q388" s="17"/>
      <c r="X388" s="18"/>
    </row>
    <row r="389" spans="1:24" ht="13.2">
      <c r="A389" s="17"/>
      <c r="E389" s="11"/>
      <c r="F389" s="11"/>
      <c r="G389" s="11"/>
      <c r="H389" s="17"/>
      <c r="L389" s="11"/>
      <c r="M389" s="11"/>
      <c r="N389" s="11"/>
      <c r="O389" s="18"/>
      <c r="Q389" s="17"/>
      <c r="X389" s="18"/>
    </row>
    <row r="390" spans="1:24" ht="13.2">
      <c r="A390" s="17"/>
      <c r="E390" s="11"/>
      <c r="F390" s="11"/>
      <c r="G390" s="11"/>
      <c r="H390" s="17"/>
      <c r="L390" s="11"/>
      <c r="M390" s="11"/>
      <c r="N390" s="11"/>
      <c r="O390" s="18"/>
      <c r="Q390" s="17"/>
      <c r="X390" s="18"/>
    </row>
    <row r="391" spans="1:24" ht="13.2">
      <c r="A391" s="17"/>
      <c r="E391" s="11"/>
      <c r="F391" s="11"/>
      <c r="G391" s="11"/>
      <c r="H391" s="17"/>
      <c r="L391" s="11"/>
      <c r="M391" s="11"/>
      <c r="N391" s="11"/>
      <c r="O391" s="18"/>
      <c r="Q391" s="17"/>
      <c r="X391" s="18"/>
    </row>
    <row r="392" spans="1:24" ht="13.2">
      <c r="A392" s="17"/>
      <c r="E392" s="11"/>
      <c r="F392" s="11"/>
      <c r="G392" s="11"/>
      <c r="H392" s="17"/>
      <c r="L392" s="11"/>
      <c r="M392" s="11"/>
      <c r="N392" s="11"/>
      <c r="O392" s="18"/>
      <c r="Q392" s="17"/>
      <c r="X392" s="18"/>
    </row>
    <row r="393" spans="1:24" ht="13.2">
      <c r="A393" s="17"/>
      <c r="E393" s="11"/>
      <c r="F393" s="11"/>
      <c r="G393" s="11"/>
      <c r="H393" s="17"/>
      <c r="L393" s="11"/>
      <c r="M393" s="11"/>
      <c r="N393" s="11"/>
      <c r="O393" s="18"/>
      <c r="Q393" s="17"/>
      <c r="X393" s="18"/>
    </row>
    <row r="394" spans="1:24" ht="13.2">
      <c r="A394" s="17"/>
      <c r="E394" s="11"/>
      <c r="F394" s="11"/>
      <c r="G394" s="11"/>
      <c r="H394" s="17"/>
      <c r="L394" s="11"/>
      <c r="M394" s="11"/>
      <c r="N394" s="11"/>
      <c r="O394" s="18"/>
      <c r="Q394" s="17"/>
      <c r="X394" s="18"/>
    </row>
    <row r="395" spans="1:24" ht="13.2">
      <c r="A395" s="17"/>
      <c r="E395" s="11"/>
      <c r="F395" s="11"/>
      <c r="G395" s="11"/>
      <c r="H395" s="17"/>
      <c r="L395" s="11"/>
      <c r="M395" s="11"/>
      <c r="N395" s="11"/>
      <c r="O395" s="18"/>
      <c r="Q395" s="17"/>
      <c r="X395" s="18"/>
    </row>
    <row r="396" spans="1:24" ht="13.2">
      <c r="A396" s="17"/>
      <c r="E396" s="11"/>
      <c r="F396" s="11"/>
      <c r="G396" s="11"/>
      <c r="H396" s="17"/>
      <c r="L396" s="11"/>
      <c r="M396" s="11"/>
      <c r="N396" s="11"/>
      <c r="O396" s="18"/>
      <c r="Q396" s="17"/>
      <c r="X396" s="18"/>
    </row>
    <row r="397" spans="1:24" ht="13.2">
      <c r="A397" s="17"/>
      <c r="E397" s="11"/>
      <c r="F397" s="11"/>
      <c r="G397" s="11"/>
      <c r="H397" s="17"/>
      <c r="L397" s="11"/>
      <c r="M397" s="11"/>
      <c r="N397" s="11"/>
      <c r="O397" s="18"/>
      <c r="Q397" s="17"/>
      <c r="X397" s="18"/>
    </row>
    <row r="398" spans="1:24" ht="13.2">
      <c r="A398" s="17"/>
      <c r="E398" s="11"/>
      <c r="F398" s="11"/>
      <c r="G398" s="11"/>
      <c r="H398" s="17"/>
      <c r="L398" s="11"/>
      <c r="M398" s="11"/>
      <c r="N398" s="11"/>
      <c r="O398" s="18"/>
      <c r="Q398" s="17"/>
      <c r="X398" s="18"/>
    </row>
    <row r="399" spans="1:24" ht="13.2">
      <c r="A399" s="17"/>
      <c r="E399" s="11"/>
      <c r="F399" s="11"/>
      <c r="G399" s="11"/>
      <c r="H399" s="17"/>
      <c r="L399" s="11"/>
      <c r="M399" s="11"/>
      <c r="N399" s="11"/>
      <c r="O399" s="18"/>
      <c r="Q399" s="17"/>
      <c r="X399" s="18"/>
    </row>
    <row r="400" spans="1:24" ht="13.2">
      <c r="A400" s="17"/>
      <c r="E400" s="11"/>
      <c r="F400" s="11"/>
      <c r="G400" s="11"/>
      <c r="H400" s="17"/>
      <c r="L400" s="11"/>
      <c r="M400" s="11"/>
      <c r="N400" s="11"/>
      <c r="O400" s="18"/>
      <c r="Q400" s="17"/>
      <c r="X400" s="18"/>
    </row>
    <row r="401" spans="1:24" ht="13.2">
      <c r="A401" s="17"/>
      <c r="E401" s="11"/>
      <c r="F401" s="11"/>
      <c r="G401" s="11"/>
      <c r="H401" s="17"/>
      <c r="L401" s="11"/>
      <c r="M401" s="11"/>
      <c r="N401" s="11"/>
      <c r="O401" s="18"/>
      <c r="Q401" s="17"/>
      <c r="X401" s="18"/>
    </row>
    <row r="402" spans="1:24" ht="13.2">
      <c r="A402" s="17"/>
      <c r="E402" s="11"/>
      <c r="F402" s="11"/>
      <c r="G402" s="11"/>
      <c r="H402" s="17"/>
      <c r="L402" s="11"/>
      <c r="M402" s="11"/>
      <c r="N402" s="11"/>
      <c r="O402" s="18"/>
      <c r="Q402" s="17"/>
      <c r="X402" s="18"/>
    </row>
    <row r="403" spans="1:24" ht="13.2">
      <c r="A403" s="17"/>
      <c r="E403" s="11"/>
      <c r="F403" s="11"/>
      <c r="G403" s="11"/>
      <c r="H403" s="17"/>
      <c r="L403" s="11"/>
      <c r="M403" s="11"/>
      <c r="N403" s="11"/>
      <c r="O403" s="18"/>
      <c r="Q403" s="17"/>
      <c r="X403" s="18"/>
    </row>
    <row r="404" spans="1:24" ht="13.2">
      <c r="A404" s="17"/>
      <c r="E404" s="11"/>
      <c r="F404" s="11"/>
      <c r="G404" s="11"/>
      <c r="H404" s="17"/>
      <c r="L404" s="11"/>
      <c r="M404" s="11"/>
      <c r="N404" s="11"/>
      <c r="O404" s="18"/>
      <c r="Q404" s="17"/>
      <c r="X404" s="18"/>
    </row>
    <row r="405" spans="1:24" ht="13.2">
      <c r="A405" s="17"/>
      <c r="E405" s="11"/>
      <c r="F405" s="11"/>
      <c r="G405" s="11"/>
      <c r="H405" s="17"/>
      <c r="L405" s="11"/>
      <c r="M405" s="11"/>
      <c r="N405" s="11"/>
      <c r="O405" s="18"/>
      <c r="Q405" s="17"/>
      <c r="X405" s="18"/>
    </row>
    <row r="406" spans="1:24" ht="13.2">
      <c r="A406" s="17"/>
      <c r="E406" s="11"/>
      <c r="F406" s="11"/>
      <c r="G406" s="11"/>
      <c r="H406" s="17"/>
      <c r="L406" s="11"/>
      <c r="M406" s="11"/>
      <c r="N406" s="11"/>
      <c r="O406" s="18"/>
      <c r="Q406" s="17"/>
      <c r="X406" s="18"/>
    </row>
    <row r="407" spans="1:24" ht="13.2">
      <c r="A407" s="17"/>
      <c r="E407" s="11"/>
      <c r="F407" s="11"/>
      <c r="G407" s="11"/>
      <c r="H407" s="17"/>
      <c r="L407" s="11"/>
      <c r="M407" s="11"/>
      <c r="N407" s="11"/>
      <c r="O407" s="18"/>
      <c r="Q407" s="17"/>
      <c r="X407" s="18"/>
    </row>
    <row r="408" spans="1:24" ht="13.2">
      <c r="A408" s="17"/>
      <c r="E408" s="11"/>
      <c r="F408" s="11"/>
      <c r="G408" s="11"/>
      <c r="H408" s="17"/>
      <c r="L408" s="11"/>
      <c r="M408" s="11"/>
      <c r="N408" s="11"/>
      <c r="O408" s="18"/>
      <c r="Q408" s="17"/>
      <c r="X408" s="18"/>
    </row>
    <row r="409" spans="1:24" ht="13.2">
      <c r="A409" s="17"/>
      <c r="E409" s="11"/>
      <c r="F409" s="11"/>
      <c r="G409" s="11"/>
      <c r="H409" s="17"/>
      <c r="L409" s="11"/>
      <c r="M409" s="11"/>
      <c r="N409" s="11"/>
      <c r="O409" s="18"/>
      <c r="Q409" s="17"/>
      <c r="X409" s="18"/>
    </row>
    <row r="410" spans="1:24" ht="13.2">
      <c r="A410" s="17"/>
      <c r="E410" s="11"/>
      <c r="F410" s="11"/>
      <c r="G410" s="11"/>
      <c r="H410" s="17"/>
      <c r="L410" s="11"/>
      <c r="M410" s="11"/>
      <c r="N410" s="11"/>
      <c r="O410" s="18"/>
      <c r="Q410" s="17"/>
      <c r="X410" s="18"/>
    </row>
    <row r="411" spans="1:24" ht="13.2">
      <c r="A411" s="17"/>
      <c r="E411" s="11"/>
      <c r="F411" s="11"/>
      <c r="G411" s="11"/>
      <c r="H411" s="17"/>
      <c r="L411" s="11"/>
      <c r="M411" s="11"/>
      <c r="N411" s="11"/>
      <c r="O411" s="18"/>
      <c r="Q411" s="17"/>
      <c r="X411" s="18"/>
    </row>
    <row r="412" spans="1:24" ht="13.2">
      <c r="A412" s="17"/>
      <c r="E412" s="11"/>
      <c r="F412" s="11"/>
      <c r="G412" s="11"/>
      <c r="H412" s="17"/>
      <c r="L412" s="11"/>
      <c r="M412" s="11"/>
      <c r="N412" s="11"/>
      <c r="O412" s="18"/>
      <c r="Q412" s="17"/>
      <c r="X412" s="18"/>
    </row>
    <row r="413" spans="1:24" ht="13.2">
      <c r="A413" s="17"/>
      <c r="E413" s="11"/>
      <c r="F413" s="11"/>
      <c r="G413" s="11"/>
      <c r="H413" s="17"/>
      <c r="L413" s="11"/>
      <c r="M413" s="11"/>
      <c r="N413" s="11"/>
      <c r="O413" s="18"/>
      <c r="Q413" s="17"/>
      <c r="X413" s="18"/>
    </row>
    <row r="414" spans="1:24" ht="13.2">
      <c r="A414" s="17"/>
      <c r="E414" s="11"/>
      <c r="F414" s="11"/>
      <c r="G414" s="11"/>
      <c r="H414" s="17"/>
      <c r="L414" s="11"/>
      <c r="M414" s="11"/>
      <c r="N414" s="11"/>
      <c r="O414" s="18"/>
      <c r="Q414" s="17"/>
      <c r="X414" s="18"/>
    </row>
    <row r="415" spans="1:24" ht="13.2">
      <c r="A415" s="17"/>
      <c r="E415" s="11"/>
      <c r="F415" s="11"/>
      <c r="G415" s="11"/>
      <c r="H415" s="17"/>
      <c r="L415" s="11"/>
      <c r="M415" s="11"/>
      <c r="N415" s="11"/>
      <c r="O415" s="18"/>
      <c r="Q415" s="17"/>
      <c r="X415" s="18"/>
    </row>
    <row r="416" spans="1:24" ht="13.2">
      <c r="A416" s="17"/>
      <c r="E416" s="11"/>
      <c r="F416" s="11"/>
      <c r="G416" s="11"/>
      <c r="H416" s="17"/>
      <c r="L416" s="11"/>
      <c r="M416" s="11"/>
      <c r="N416" s="11"/>
      <c r="O416" s="18"/>
      <c r="Q416" s="17"/>
      <c r="X416" s="18"/>
    </row>
    <row r="417" spans="1:24" ht="13.2">
      <c r="A417" s="17"/>
      <c r="E417" s="11"/>
      <c r="F417" s="11"/>
      <c r="G417" s="11"/>
      <c r="H417" s="17"/>
      <c r="L417" s="11"/>
      <c r="M417" s="11"/>
      <c r="N417" s="11"/>
      <c r="O417" s="18"/>
      <c r="Q417" s="17"/>
      <c r="X417" s="18"/>
    </row>
    <row r="418" spans="1:24" ht="13.2">
      <c r="A418" s="17"/>
      <c r="E418" s="11"/>
      <c r="F418" s="11"/>
      <c r="G418" s="11"/>
      <c r="H418" s="17"/>
      <c r="L418" s="11"/>
      <c r="M418" s="11"/>
      <c r="N418" s="11"/>
      <c r="O418" s="18"/>
      <c r="Q418" s="17"/>
      <c r="X418" s="18"/>
    </row>
    <row r="419" spans="1:24" ht="13.2">
      <c r="A419" s="17"/>
      <c r="E419" s="11"/>
      <c r="F419" s="11"/>
      <c r="G419" s="11"/>
      <c r="H419" s="17"/>
      <c r="L419" s="11"/>
      <c r="M419" s="11"/>
      <c r="N419" s="11"/>
      <c r="O419" s="18"/>
      <c r="Q419" s="17"/>
      <c r="X419" s="18"/>
    </row>
    <row r="420" spans="1:24" ht="13.2">
      <c r="A420" s="17"/>
      <c r="E420" s="11"/>
      <c r="F420" s="11"/>
      <c r="G420" s="11"/>
      <c r="H420" s="17"/>
      <c r="L420" s="11"/>
      <c r="M420" s="11"/>
      <c r="N420" s="11"/>
      <c r="O420" s="18"/>
      <c r="Q420" s="17"/>
      <c r="X420" s="18"/>
    </row>
    <row r="421" spans="1:24" ht="13.2">
      <c r="A421" s="17"/>
      <c r="E421" s="11"/>
      <c r="F421" s="11"/>
      <c r="G421" s="11"/>
      <c r="H421" s="17"/>
      <c r="L421" s="11"/>
      <c r="M421" s="11"/>
      <c r="N421" s="11"/>
      <c r="O421" s="18"/>
      <c r="Q421" s="17"/>
      <c r="X421" s="18"/>
    </row>
    <row r="422" spans="1:24" ht="13.2">
      <c r="A422" s="17"/>
      <c r="E422" s="11"/>
      <c r="F422" s="11"/>
      <c r="G422" s="11"/>
      <c r="H422" s="17"/>
      <c r="L422" s="11"/>
      <c r="M422" s="11"/>
      <c r="N422" s="11"/>
      <c r="O422" s="18"/>
      <c r="Q422" s="17"/>
      <c r="X422" s="18"/>
    </row>
    <row r="423" spans="1:24" ht="13.2">
      <c r="A423" s="17"/>
      <c r="E423" s="11"/>
      <c r="F423" s="11"/>
      <c r="G423" s="11"/>
      <c r="H423" s="17"/>
      <c r="L423" s="11"/>
      <c r="M423" s="11"/>
      <c r="N423" s="11"/>
      <c r="O423" s="18"/>
      <c r="Q423" s="17"/>
      <c r="X423" s="18"/>
    </row>
    <row r="424" spans="1:24" ht="13.2">
      <c r="A424" s="17"/>
      <c r="E424" s="11"/>
      <c r="F424" s="11"/>
      <c r="G424" s="11"/>
      <c r="H424" s="17"/>
      <c r="L424" s="11"/>
      <c r="M424" s="11"/>
      <c r="N424" s="11"/>
      <c r="O424" s="18"/>
      <c r="Q424" s="17"/>
      <c r="X424" s="18"/>
    </row>
    <row r="425" spans="1:24" ht="13.2">
      <c r="A425" s="17"/>
      <c r="E425" s="11"/>
      <c r="F425" s="11"/>
      <c r="G425" s="11"/>
      <c r="H425" s="17"/>
      <c r="L425" s="11"/>
      <c r="M425" s="11"/>
      <c r="N425" s="11"/>
      <c r="O425" s="18"/>
      <c r="Q425" s="17"/>
      <c r="X425" s="18"/>
    </row>
    <row r="426" spans="1:24" ht="13.2">
      <c r="A426" s="17"/>
      <c r="E426" s="11"/>
      <c r="F426" s="11"/>
      <c r="G426" s="11"/>
      <c r="H426" s="17"/>
      <c r="L426" s="11"/>
      <c r="M426" s="11"/>
      <c r="N426" s="11"/>
      <c r="O426" s="18"/>
      <c r="Q426" s="17"/>
      <c r="X426" s="18"/>
    </row>
    <row r="427" spans="1:24" ht="13.2">
      <c r="A427" s="17"/>
      <c r="E427" s="11"/>
      <c r="F427" s="11"/>
      <c r="G427" s="11"/>
      <c r="H427" s="17"/>
      <c r="L427" s="11"/>
      <c r="M427" s="11"/>
      <c r="N427" s="11"/>
      <c r="O427" s="18"/>
      <c r="Q427" s="17"/>
      <c r="X427" s="18"/>
    </row>
    <row r="428" spans="1:24" ht="13.2">
      <c r="A428" s="17"/>
      <c r="E428" s="11"/>
      <c r="F428" s="11"/>
      <c r="G428" s="11"/>
      <c r="H428" s="17"/>
      <c r="L428" s="11"/>
      <c r="M428" s="11"/>
      <c r="N428" s="11"/>
      <c r="O428" s="18"/>
      <c r="Q428" s="17"/>
      <c r="X428" s="18"/>
    </row>
    <row r="429" spans="1:24" ht="13.2">
      <c r="A429" s="17"/>
      <c r="E429" s="11"/>
      <c r="F429" s="11"/>
      <c r="G429" s="11"/>
      <c r="H429" s="17"/>
      <c r="L429" s="11"/>
      <c r="M429" s="11"/>
      <c r="N429" s="11"/>
      <c r="O429" s="18"/>
      <c r="Q429" s="17"/>
      <c r="X429" s="18"/>
    </row>
    <row r="430" spans="1:24" ht="13.2">
      <c r="A430" s="17"/>
      <c r="E430" s="11"/>
      <c r="F430" s="11"/>
      <c r="G430" s="11"/>
      <c r="H430" s="17"/>
      <c r="L430" s="11"/>
      <c r="M430" s="11"/>
      <c r="N430" s="11"/>
      <c r="O430" s="18"/>
      <c r="Q430" s="17"/>
      <c r="X430" s="18"/>
    </row>
    <row r="431" spans="1:24" ht="13.2">
      <c r="A431" s="17"/>
      <c r="E431" s="11"/>
      <c r="F431" s="11"/>
      <c r="G431" s="11"/>
      <c r="H431" s="17"/>
      <c r="L431" s="11"/>
      <c r="M431" s="11"/>
      <c r="N431" s="11"/>
      <c r="O431" s="18"/>
      <c r="Q431" s="17"/>
      <c r="X431" s="18"/>
    </row>
    <row r="432" spans="1:24" ht="13.2">
      <c r="A432" s="17"/>
      <c r="E432" s="11"/>
      <c r="F432" s="11"/>
      <c r="G432" s="11"/>
      <c r="H432" s="17"/>
      <c r="L432" s="11"/>
      <c r="M432" s="11"/>
      <c r="N432" s="11"/>
      <c r="O432" s="18"/>
      <c r="Q432" s="17"/>
      <c r="X432" s="18"/>
    </row>
    <row r="433" spans="1:24" ht="13.2">
      <c r="A433" s="17"/>
      <c r="E433" s="11"/>
      <c r="F433" s="11"/>
      <c r="G433" s="11"/>
      <c r="H433" s="17"/>
      <c r="L433" s="11"/>
      <c r="M433" s="11"/>
      <c r="N433" s="11"/>
      <c r="O433" s="18"/>
      <c r="Q433" s="17"/>
      <c r="X433" s="18"/>
    </row>
    <row r="434" spans="1:24" ht="13.2">
      <c r="A434" s="17"/>
      <c r="E434" s="11"/>
      <c r="F434" s="11"/>
      <c r="G434" s="11"/>
      <c r="H434" s="17"/>
      <c r="L434" s="11"/>
      <c r="M434" s="11"/>
      <c r="N434" s="11"/>
      <c r="O434" s="18"/>
      <c r="Q434" s="17"/>
      <c r="X434" s="18"/>
    </row>
    <row r="435" spans="1:24" ht="13.2">
      <c r="A435" s="17"/>
      <c r="E435" s="11"/>
      <c r="F435" s="11"/>
      <c r="G435" s="11"/>
      <c r="H435" s="17"/>
      <c r="L435" s="11"/>
      <c r="M435" s="11"/>
      <c r="N435" s="11"/>
      <c r="O435" s="18"/>
      <c r="Q435" s="17"/>
      <c r="X435" s="18"/>
    </row>
    <row r="436" spans="1:24" ht="13.2">
      <c r="A436" s="17"/>
      <c r="E436" s="11"/>
      <c r="F436" s="11"/>
      <c r="G436" s="11"/>
      <c r="H436" s="17"/>
      <c r="L436" s="11"/>
      <c r="M436" s="11"/>
      <c r="N436" s="11"/>
      <c r="O436" s="18"/>
      <c r="Q436" s="17"/>
      <c r="X436" s="18"/>
    </row>
    <row r="437" spans="1:24" ht="13.2">
      <c r="A437" s="17"/>
      <c r="E437" s="11"/>
      <c r="F437" s="11"/>
      <c r="G437" s="11"/>
      <c r="H437" s="17"/>
      <c r="L437" s="11"/>
      <c r="M437" s="11"/>
      <c r="N437" s="11"/>
      <c r="O437" s="18"/>
      <c r="Q437" s="17"/>
      <c r="X437" s="18"/>
    </row>
    <row r="438" spans="1:24" ht="13.2">
      <c r="A438" s="17"/>
      <c r="E438" s="11"/>
      <c r="F438" s="11"/>
      <c r="G438" s="11"/>
      <c r="H438" s="17"/>
      <c r="L438" s="11"/>
      <c r="M438" s="11"/>
      <c r="N438" s="11"/>
      <c r="O438" s="18"/>
      <c r="Q438" s="17"/>
      <c r="X438" s="18"/>
    </row>
    <row r="439" spans="1:24" ht="13.2">
      <c r="A439" s="17"/>
      <c r="E439" s="11"/>
      <c r="F439" s="11"/>
      <c r="G439" s="11"/>
      <c r="H439" s="17"/>
      <c r="L439" s="11"/>
      <c r="M439" s="11"/>
      <c r="N439" s="11"/>
      <c r="O439" s="18"/>
      <c r="Q439" s="17"/>
      <c r="X439" s="18"/>
    </row>
    <row r="440" spans="1:24" ht="13.2">
      <c r="A440" s="17"/>
      <c r="E440" s="11"/>
      <c r="F440" s="11"/>
      <c r="G440" s="11"/>
      <c r="H440" s="17"/>
      <c r="L440" s="11"/>
      <c r="M440" s="11"/>
      <c r="N440" s="11"/>
      <c r="O440" s="18"/>
      <c r="Q440" s="17"/>
      <c r="X440" s="18"/>
    </row>
    <row r="441" spans="1:24" ht="13.2">
      <c r="A441" s="17"/>
      <c r="E441" s="11"/>
      <c r="F441" s="11"/>
      <c r="G441" s="11"/>
      <c r="H441" s="17"/>
      <c r="L441" s="11"/>
      <c r="M441" s="11"/>
      <c r="N441" s="11"/>
      <c r="O441" s="18"/>
      <c r="Q441" s="17"/>
      <c r="X441" s="18"/>
    </row>
    <row r="442" spans="1:24" ht="13.2">
      <c r="A442" s="17"/>
      <c r="E442" s="11"/>
      <c r="F442" s="11"/>
      <c r="G442" s="11"/>
      <c r="H442" s="17"/>
      <c r="L442" s="11"/>
      <c r="M442" s="11"/>
      <c r="N442" s="11"/>
      <c r="O442" s="18"/>
      <c r="Q442" s="17"/>
      <c r="X442" s="18"/>
    </row>
    <row r="443" spans="1:24" ht="13.2">
      <c r="A443" s="17"/>
      <c r="E443" s="11"/>
      <c r="F443" s="11"/>
      <c r="G443" s="11"/>
      <c r="H443" s="17"/>
      <c r="L443" s="11"/>
      <c r="M443" s="11"/>
      <c r="N443" s="11"/>
      <c r="O443" s="18"/>
      <c r="Q443" s="17"/>
      <c r="X443" s="18"/>
    </row>
    <row r="444" spans="1:24" ht="13.2">
      <c r="A444" s="17"/>
      <c r="E444" s="11"/>
      <c r="F444" s="11"/>
      <c r="G444" s="11"/>
      <c r="H444" s="17"/>
      <c r="L444" s="11"/>
      <c r="M444" s="11"/>
      <c r="N444" s="11"/>
      <c r="O444" s="18"/>
      <c r="Q444" s="17"/>
      <c r="X444" s="18"/>
    </row>
    <row r="445" spans="1:24" ht="13.2">
      <c r="A445" s="17"/>
      <c r="E445" s="11"/>
      <c r="F445" s="11"/>
      <c r="G445" s="11"/>
      <c r="H445" s="17"/>
      <c r="L445" s="11"/>
      <c r="M445" s="11"/>
      <c r="N445" s="11"/>
      <c r="O445" s="18"/>
      <c r="Q445" s="17"/>
      <c r="X445" s="18"/>
    </row>
    <row r="446" spans="1:24" ht="13.2">
      <c r="A446" s="17"/>
      <c r="E446" s="11"/>
      <c r="F446" s="11"/>
      <c r="G446" s="11"/>
      <c r="H446" s="17"/>
      <c r="L446" s="11"/>
      <c r="M446" s="11"/>
      <c r="N446" s="11"/>
      <c r="O446" s="18"/>
      <c r="Q446" s="17"/>
      <c r="X446" s="18"/>
    </row>
    <row r="447" spans="1:24" ht="13.2">
      <c r="A447" s="17"/>
      <c r="E447" s="11"/>
      <c r="F447" s="11"/>
      <c r="G447" s="11"/>
      <c r="H447" s="17"/>
      <c r="L447" s="11"/>
      <c r="M447" s="11"/>
      <c r="N447" s="11"/>
      <c r="O447" s="18"/>
      <c r="Q447" s="17"/>
      <c r="X447" s="18"/>
    </row>
    <row r="448" spans="1:24" ht="13.2">
      <c r="A448" s="17"/>
      <c r="E448" s="11"/>
      <c r="F448" s="11"/>
      <c r="G448" s="11"/>
      <c r="H448" s="17"/>
      <c r="L448" s="11"/>
      <c r="M448" s="11"/>
      <c r="N448" s="11"/>
      <c r="O448" s="18"/>
      <c r="Q448" s="17"/>
      <c r="X448" s="18"/>
    </row>
    <row r="449" spans="1:24" ht="13.2">
      <c r="A449" s="17"/>
      <c r="E449" s="11"/>
      <c r="F449" s="11"/>
      <c r="G449" s="11"/>
      <c r="H449" s="17"/>
      <c r="L449" s="11"/>
      <c r="M449" s="11"/>
      <c r="N449" s="11"/>
      <c r="O449" s="18"/>
      <c r="Q449" s="17"/>
      <c r="X449" s="18"/>
    </row>
    <row r="450" spans="1:24" ht="13.2">
      <c r="A450" s="17"/>
      <c r="E450" s="11"/>
      <c r="F450" s="11"/>
      <c r="G450" s="11"/>
      <c r="H450" s="17"/>
      <c r="L450" s="11"/>
      <c r="M450" s="11"/>
      <c r="N450" s="11"/>
      <c r="O450" s="18"/>
      <c r="Q450" s="17"/>
      <c r="X450" s="18"/>
    </row>
    <row r="451" spans="1:24" ht="13.2">
      <c r="A451" s="17"/>
      <c r="E451" s="11"/>
      <c r="F451" s="11"/>
      <c r="G451" s="11"/>
      <c r="H451" s="17"/>
      <c r="L451" s="11"/>
      <c r="M451" s="11"/>
      <c r="N451" s="11"/>
      <c r="O451" s="18"/>
      <c r="Q451" s="17"/>
      <c r="X451" s="18"/>
    </row>
    <row r="452" spans="1:24" ht="13.2">
      <c r="A452" s="17"/>
      <c r="E452" s="11"/>
      <c r="F452" s="11"/>
      <c r="G452" s="11"/>
      <c r="H452" s="17"/>
      <c r="L452" s="11"/>
      <c r="M452" s="11"/>
      <c r="N452" s="11"/>
      <c r="O452" s="18"/>
      <c r="Q452" s="17"/>
      <c r="X452" s="18"/>
    </row>
    <row r="453" spans="1:24" ht="13.2">
      <c r="A453" s="17"/>
      <c r="E453" s="11"/>
      <c r="F453" s="11"/>
      <c r="G453" s="11"/>
      <c r="H453" s="17"/>
      <c r="L453" s="11"/>
      <c r="M453" s="11"/>
      <c r="N453" s="11"/>
      <c r="O453" s="18"/>
      <c r="Q453" s="17"/>
      <c r="X453" s="18"/>
    </row>
    <row r="454" spans="1:24" ht="13.2">
      <c r="A454" s="17"/>
      <c r="E454" s="11"/>
      <c r="F454" s="11"/>
      <c r="G454" s="11"/>
      <c r="H454" s="17"/>
      <c r="L454" s="11"/>
      <c r="M454" s="11"/>
      <c r="N454" s="11"/>
      <c r="O454" s="18"/>
      <c r="Q454" s="17"/>
      <c r="X454" s="18"/>
    </row>
    <row r="455" spans="1:24" ht="13.2">
      <c r="A455" s="17"/>
      <c r="E455" s="11"/>
      <c r="F455" s="11"/>
      <c r="G455" s="11"/>
      <c r="H455" s="17"/>
      <c r="L455" s="11"/>
      <c r="M455" s="11"/>
      <c r="N455" s="11"/>
      <c r="O455" s="18"/>
      <c r="Q455" s="17"/>
      <c r="X455" s="18"/>
    </row>
    <row r="456" spans="1:24" ht="13.2">
      <c r="A456" s="17"/>
      <c r="E456" s="11"/>
      <c r="F456" s="11"/>
      <c r="G456" s="11"/>
      <c r="H456" s="17"/>
      <c r="L456" s="11"/>
      <c r="M456" s="11"/>
      <c r="N456" s="11"/>
      <c r="O456" s="18"/>
      <c r="Q456" s="17"/>
      <c r="X456" s="18"/>
    </row>
    <row r="457" spans="1:24" ht="13.2">
      <c r="A457" s="17"/>
      <c r="E457" s="11"/>
      <c r="F457" s="11"/>
      <c r="G457" s="11"/>
      <c r="H457" s="17"/>
      <c r="L457" s="11"/>
      <c r="M457" s="11"/>
      <c r="N457" s="11"/>
      <c r="O457" s="18"/>
      <c r="Q457" s="17"/>
      <c r="X457" s="18"/>
    </row>
    <row r="458" spans="1:24" ht="13.2">
      <c r="A458" s="17"/>
      <c r="E458" s="11"/>
      <c r="F458" s="11"/>
      <c r="G458" s="11"/>
      <c r="H458" s="17"/>
      <c r="L458" s="11"/>
      <c r="M458" s="11"/>
      <c r="N458" s="11"/>
      <c r="O458" s="18"/>
      <c r="Q458" s="17"/>
      <c r="X458" s="18"/>
    </row>
    <row r="459" spans="1:24" ht="13.2">
      <c r="A459" s="17"/>
      <c r="E459" s="11"/>
      <c r="F459" s="11"/>
      <c r="G459" s="11"/>
      <c r="H459" s="17"/>
      <c r="L459" s="11"/>
      <c r="M459" s="11"/>
      <c r="N459" s="11"/>
      <c r="O459" s="18"/>
      <c r="Q459" s="17"/>
      <c r="X459" s="18"/>
    </row>
    <row r="460" spans="1:24" ht="13.2">
      <c r="A460" s="17"/>
      <c r="E460" s="11"/>
      <c r="F460" s="11"/>
      <c r="G460" s="11"/>
      <c r="H460" s="17"/>
      <c r="L460" s="11"/>
      <c r="M460" s="11"/>
      <c r="N460" s="11"/>
      <c r="O460" s="18"/>
      <c r="Q460" s="17"/>
      <c r="X460" s="18"/>
    </row>
    <row r="461" spans="1:24" ht="13.2">
      <c r="A461" s="17"/>
      <c r="E461" s="11"/>
      <c r="F461" s="11"/>
      <c r="G461" s="11"/>
      <c r="H461" s="17"/>
      <c r="L461" s="11"/>
      <c r="M461" s="11"/>
      <c r="N461" s="11"/>
      <c r="O461" s="18"/>
      <c r="Q461" s="17"/>
      <c r="X461" s="18"/>
    </row>
    <row r="462" spans="1:24" ht="13.2">
      <c r="A462" s="17"/>
      <c r="E462" s="11"/>
      <c r="F462" s="11"/>
      <c r="G462" s="11"/>
      <c r="H462" s="17"/>
      <c r="L462" s="11"/>
      <c r="M462" s="11"/>
      <c r="N462" s="11"/>
      <c r="O462" s="18"/>
      <c r="Q462" s="17"/>
      <c r="X462" s="18"/>
    </row>
    <row r="463" spans="1:24" ht="13.2">
      <c r="A463" s="17"/>
      <c r="E463" s="11"/>
      <c r="F463" s="11"/>
      <c r="G463" s="11"/>
      <c r="H463" s="17"/>
      <c r="L463" s="11"/>
      <c r="M463" s="11"/>
      <c r="N463" s="11"/>
      <c r="O463" s="18"/>
      <c r="Q463" s="17"/>
      <c r="X463" s="18"/>
    </row>
    <row r="464" spans="1:24" ht="13.2">
      <c r="A464" s="17"/>
      <c r="E464" s="11"/>
      <c r="F464" s="11"/>
      <c r="G464" s="11"/>
      <c r="H464" s="17"/>
      <c r="L464" s="11"/>
      <c r="M464" s="11"/>
      <c r="N464" s="11"/>
      <c r="O464" s="18"/>
      <c r="Q464" s="17"/>
      <c r="X464" s="18"/>
    </row>
    <row r="465" spans="1:24" ht="13.2">
      <c r="A465" s="17"/>
      <c r="E465" s="11"/>
      <c r="F465" s="11"/>
      <c r="G465" s="11"/>
      <c r="H465" s="17"/>
      <c r="L465" s="11"/>
      <c r="M465" s="11"/>
      <c r="N465" s="11"/>
      <c r="O465" s="18"/>
      <c r="Q465" s="17"/>
      <c r="X465" s="18"/>
    </row>
    <row r="466" spans="1:24" ht="13.2">
      <c r="A466" s="17"/>
      <c r="E466" s="11"/>
      <c r="F466" s="11"/>
      <c r="G466" s="11"/>
      <c r="H466" s="17"/>
      <c r="L466" s="11"/>
      <c r="M466" s="11"/>
      <c r="N466" s="11"/>
      <c r="O466" s="18"/>
      <c r="Q466" s="17"/>
      <c r="X466" s="18"/>
    </row>
    <row r="467" spans="1:24" ht="13.2">
      <c r="A467" s="17"/>
      <c r="E467" s="11"/>
      <c r="F467" s="11"/>
      <c r="G467" s="11"/>
      <c r="H467" s="17"/>
      <c r="L467" s="11"/>
      <c r="M467" s="11"/>
      <c r="N467" s="11"/>
      <c r="O467" s="18"/>
      <c r="Q467" s="17"/>
      <c r="X467" s="18"/>
    </row>
    <row r="468" spans="1:24" ht="13.2">
      <c r="A468" s="17"/>
      <c r="E468" s="11"/>
      <c r="F468" s="11"/>
      <c r="G468" s="11"/>
      <c r="H468" s="17"/>
      <c r="L468" s="11"/>
      <c r="M468" s="11"/>
      <c r="N468" s="11"/>
      <c r="O468" s="18"/>
      <c r="Q468" s="17"/>
      <c r="X468" s="18"/>
    </row>
    <row r="469" spans="1:24" ht="13.2">
      <c r="A469" s="17"/>
      <c r="E469" s="11"/>
      <c r="F469" s="11"/>
      <c r="G469" s="11"/>
      <c r="H469" s="17"/>
      <c r="L469" s="11"/>
      <c r="M469" s="11"/>
      <c r="N469" s="11"/>
      <c r="O469" s="18"/>
      <c r="Q469" s="17"/>
      <c r="X469" s="18"/>
    </row>
    <row r="470" spans="1:24" ht="13.2">
      <c r="A470" s="17"/>
      <c r="E470" s="11"/>
      <c r="F470" s="11"/>
      <c r="G470" s="11"/>
      <c r="H470" s="17"/>
      <c r="L470" s="11"/>
      <c r="M470" s="11"/>
      <c r="N470" s="11"/>
      <c r="O470" s="18"/>
      <c r="Q470" s="17"/>
      <c r="X470" s="18"/>
    </row>
    <row r="471" spans="1:24" ht="13.2">
      <c r="A471" s="17"/>
      <c r="E471" s="11"/>
      <c r="F471" s="11"/>
      <c r="G471" s="11"/>
      <c r="H471" s="17"/>
      <c r="L471" s="11"/>
      <c r="M471" s="11"/>
      <c r="N471" s="11"/>
      <c r="O471" s="18"/>
      <c r="Q471" s="17"/>
      <c r="X471" s="18"/>
    </row>
    <row r="472" spans="1:24" ht="13.2">
      <c r="A472" s="17"/>
      <c r="E472" s="11"/>
      <c r="F472" s="11"/>
      <c r="G472" s="11"/>
      <c r="H472" s="17"/>
      <c r="L472" s="11"/>
      <c r="M472" s="11"/>
      <c r="N472" s="11"/>
      <c r="O472" s="18"/>
      <c r="Q472" s="17"/>
      <c r="X472" s="18"/>
    </row>
    <row r="473" spans="1:24" ht="13.2">
      <c r="A473" s="17"/>
      <c r="E473" s="11"/>
      <c r="F473" s="11"/>
      <c r="G473" s="11"/>
      <c r="H473" s="17"/>
      <c r="L473" s="11"/>
      <c r="M473" s="11"/>
      <c r="N473" s="11"/>
      <c r="O473" s="18"/>
      <c r="Q473" s="17"/>
      <c r="X473" s="18"/>
    </row>
    <row r="474" spans="1:24" ht="13.2">
      <c r="A474" s="17"/>
      <c r="E474" s="11"/>
      <c r="F474" s="11"/>
      <c r="G474" s="11"/>
      <c r="H474" s="17"/>
      <c r="L474" s="11"/>
      <c r="M474" s="11"/>
      <c r="N474" s="11"/>
      <c r="O474" s="18"/>
      <c r="Q474" s="17"/>
      <c r="X474" s="18"/>
    </row>
    <row r="475" spans="1:24" ht="13.2">
      <c r="A475" s="17"/>
      <c r="E475" s="11"/>
      <c r="F475" s="11"/>
      <c r="G475" s="11"/>
      <c r="H475" s="17"/>
      <c r="L475" s="11"/>
      <c r="M475" s="11"/>
      <c r="N475" s="11"/>
      <c r="O475" s="18"/>
      <c r="Q475" s="17"/>
      <c r="X475" s="18"/>
    </row>
    <row r="476" spans="1:24" ht="13.2">
      <c r="A476" s="17"/>
      <c r="E476" s="11"/>
      <c r="F476" s="11"/>
      <c r="G476" s="11"/>
      <c r="H476" s="17"/>
      <c r="L476" s="11"/>
      <c r="M476" s="11"/>
      <c r="N476" s="11"/>
      <c r="O476" s="18"/>
      <c r="Q476" s="17"/>
      <c r="X476" s="18"/>
    </row>
    <row r="477" spans="1:24" ht="13.2">
      <c r="A477" s="17"/>
      <c r="E477" s="11"/>
      <c r="F477" s="11"/>
      <c r="G477" s="11"/>
      <c r="H477" s="17"/>
      <c r="L477" s="11"/>
      <c r="M477" s="11"/>
      <c r="N477" s="11"/>
      <c r="O477" s="18"/>
      <c r="Q477" s="17"/>
      <c r="X477" s="18"/>
    </row>
    <row r="478" spans="1:24" ht="13.2">
      <c r="A478" s="17"/>
      <c r="E478" s="11"/>
      <c r="F478" s="11"/>
      <c r="G478" s="11"/>
      <c r="H478" s="17"/>
      <c r="L478" s="11"/>
      <c r="M478" s="11"/>
      <c r="N478" s="11"/>
      <c r="O478" s="18"/>
      <c r="Q478" s="17"/>
      <c r="X478" s="18"/>
    </row>
    <row r="479" spans="1:24" ht="13.2">
      <c r="A479" s="17"/>
      <c r="E479" s="11"/>
      <c r="F479" s="11"/>
      <c r="G479" s="11"/>
      <c r="H479" s="17"/>
      <c r="L479" s="11"/>
      <c r="M479" s="11"/>
      <c r="N479" s="11"/>
      <c r="O479" s="18"/>
      <c r="Q479" s="17"/>
      <c r="X479" s="18"/>
    </row>
    <row r="480" spans="1:24" ht="13.2">
      <c r="A480" s="17"/>
      <c r="E480" s="11"/>
      <c r="F480" s="11"/>
      <c r="G480" s="11"/>
      <c r="H480" s="17"/>
      <c r="L480" s="11"/>
      <c r="M480" s="11"/>
      <c r="N480" s="11"/>
      <c r="O480" s="18"/>
      <c r="Q480" s="17"/>
      <c r="X480" s="18"/>
    </row>
    <row r="481" spans="1:24" ht="13.2">
      <c r="A481" s="17"/>
      <c r="E481" s="11"/>
      <c r="F481" s="11"/>
      <c r="G481" s="11"/>
      <c r="H481" s="17"/>
      <c r="L481" s="11"/>
      <c r="M481" s="11"/>
      <c r="N481" s="11"/>
      <c r="O481" s="18"/>
      <c r="Q481" s="17"/>
      <c r="X481" s="18"/>
    </row>
    <row r="482" spans="1:24" ht="13.2">
      <c r="A482" s="17"/>
      <c r="E482" s="11"/>
      <c r="F482" s="11"/>
      <c r="G482" s="11"/>
      <c r="H482" s="17"/>
      <c r="L482" s="11"/>
      <c r="M482" s="11"/>
      <c r="N482" s="11"/>
      <c r="O482" s="18"/>
      <c r="Q482" s="17"/>
      <c r="X482" s="18"/>
    </row>
    <row r="483" spans="1:24" ht="13.2">
      <c r="A483" s="17"/>
      <c r="E483" s="11"/>
      <c r="F483" s="11"/>
      <c r="G483" s="11"/>
      <c r="H483" s="17"/>
      <c r="L483" s="11"/>
      <c r="M483" s="11"/>
      <c r="N483" s="11"/>
      <c r="O483" s="18"/>
      <c r="Q483" s="17"/>
      <c r="X483" s="18"/>
    </row>
    <row r="484" spans="1:24" ht="13.2">
      <c r="A484" s="17"/>
      <c r="E484" s="11"/>
      <c r="F484" s="11"/>
      <c r="G484" s="11"/>
      <c r="H484" s="17"/>
      <c r="L484" s="11"/>
      <c r="M484" s="11"/>
      <c r="N484" s="11"/>
      <c r="O484" s="18"/>
      <c r="Q484" s="17"/>
      <c r="X484" s="18"/>
    </row>
    <row r="485" spans="1:24" ht="13.2">
      <c r="A485" s="17"/>
      <c r="E485" s="11"/>
      <c r="F485" s="11"/>
      <c r="G485" s="11"/>
      <c r="H485" s="17"/>
      <c r="L485" s="11"/>
      <c r="M485" s="11"/>
      <c r="N485" s="11"/>
      <c r="O485" s="18"/>
      <c r="Q485" s="17"/>
      <c r="X485" s="18"/>
    </row>
    <row r="486" spans="1:24" ht="13.2">
      <c r="A486" s="17"/>
      <c r="E486" s="11"/>
      <c r="F486" s="11"/>
      <c r="G486" s="11"/>
      <c r="H486" s="17"/>
      <c r="L486" s="11"/>
      <c r="M486" s="11"/>
      <c r="N486" s="11"/>
      <c r="O486" s="18"/>
      <c r="Q486" s="17"/>
      <c r="X486" s="18"/>
    </row>
    <row r="487" spans="1:24" ht="13.2">
      <c r="A487" s="17"/>
      <c r="E487" s="11"/>
      <c r="F487" s="11"/>
      <c r="G487" s="11"/>
      <c r="H487" s="17"/>
      <c r="L487" s="11"/>
      <c r="M487" s="11"/>
      <c r="N487" s="11"/>
      <c r="O487" s="18"/>
      <c r="Q487" s="17"/>
      <c r="X487" s="18"/>
    </row>
    <row r="488" spans="1:24" ht="13.2">
      <c r="A488" s="17"/>
      <c r="E488" s="11"/>
      <c r="F488" s="11"/>
      <c r="G488" s="11"/>
      <c r="H488" s="17"/>
      <c r="L488" s="11"/>
      <c r="M488" s="11"/>
      <c r="N488" s="11"/>
      <c r="O488" s="18"/>
      <c r="Q488" s="17"/>
      <c r="X488" s="18"/>
    </row>
    <row r="489" spans="1:24" ht="13.2">
      <c r="A489" s="17"/>
      <c r="E489" s="11"/>
      <c r="F489" s="11"/>
      <c r="G489" s="11"/>
      <c r="H489" s="17"/>
      <c r="L489" s="11"/>
      <c r="M489" s="11"/>
      <c r="N489" s="11"/>
      <c r="O489" s="18"/>
      <c r="Q489" s="17"/>
      <c r="X489" s="18"/>
    </row>
    <row r="490" spans="1:24" ht="13.2">
      <c r="A490" s="17"/>
      <c r="E490" s="11"/>
      <c r="F490" s="11"/>
      <c r="G490" s="11"/>
      <c r="H490" s="17"/>
      <c r="L490" s="11"/>
      <c r="M490" s="11"/>
      <c r="N490" s="11"/>
      <c r="O490" s="18"/>
      <c r="Q490" s="17"/>
      <c r="X490" s="18"/>
    </row>
    <row r="491" spans="1:24" ht="13.2">
      <c r="A491" s="17"/>
      <c r="E491" s="11"/>
      <c r="F491" s="11"/>
      <c r="G491" s="11"/>
      <c r="H491" s="17"/>
      <c r="L491" s="11"/>
      <c r="M491" s="11"/>
      <c r="N491" s="11"/>
      <c r="O491" s="18"/>
      <c r="Q491" s="17"/>
      <c r="X491" s="18"/>
    </row>
    <row r="492" spans="1:24" ht="13.2">
      <c r="A492" s="17"/>
      <c r="E492" s="11"/>
      <c r="F492" s="11"/>
      <c r="G492" s="11"/>
      <c r="H492" s="17"/>
      <c r="L492" s="11"/>
      <c r="M492" s="11"/>
      <c r="N492" s="11"/>
      <c r="O492" s="18"/>
      <c r="Q492" s="17"/>
      <c r="X492" s="18"/>
    </row>
    <row r="493" spans="1:24" ht="13.2">
      <c r="A493" s="17"/>
      <c r="E493" s="11"/>
      <c r="F493" s="11"/>
      <c r="G493" s="11"/>
      <c r="H493" s="17"/>
      <c r="L493" s="11"/>
      <c r="M493" s="11"/>
      <c r="N493" s="11"/>
      <c r="O493" s="18"/>
      <c r="Q493" s="17"/>
      <c r="X493" s="18"/>
    </row>
    <row r="494" spans="1:24" ht="13.2">
      <c r="A494" s="17"/>
      <c r="E494" s="11"/>
      <c r="F494" s="11"/>
      <c r="G494" s="11"/>
      <c r="H494" s="17"/>
      <c r="L494" s="11"/>
      <c r="M494" s="11"/>
      <c r="N494" s="11"/>
      <c r="O494" s="18"/>
      <c r="Q494" s="17"/>
      <c r="X494" s="18"/>
    </row>
    <row r="495" spans="1:24" ht="13.2">
      <c r="A495" s="17"/>
      <c r="E495" s="11"/>
      <c r="F495" s="11"/>
      <c r="G495" s="11"/>
      <c r="H495" s="17"/>
      <c r="L495" s="11"/>
      <c r="M495" s="11"/>
      <c r="N495" s="11"/>
      <c r="O495" s="18"/>
      <c r="Q495" s="17"/>
      <c r="X495" s="18"/>
    </row>
    <row r="496" spans="1:24" ht="13.2">
      <c r="A496" s="17"/>
      <c r="E496" s="11"/>
      <c r="F496" s="11"/>
      <c r="G496" s="11"/>
      <c r="H496" s="17"/>
      <c r="L496" s="11"/>
      <c r="M496" s="11"/>
      <c r="N496" s="11"/>
      <c r="O496" s="18"/>
      <c r="Q496" s="17"/>
      <c r="X496" s="18"/>
    </row>
    <row r="497" spans="1:24" ht="13.2">
      <c r="A497" s="17"/>
      <c r="E497" s="11"/>
      <c r="F497" s="11"/>
      <c r="G497" s="11"/>
      <c r="H497" s="17"/>
      <c r="L497" s="11"/>
      <c r="M497" s="11"/>
      <c r="N497" s="11"/>
      <c r="O497" s="18"/>
      <c r="Q497" s="17"/>
      <c r="X497" s="18"/>
    </row>
    <row r="498" spans="1:24" ht="13.2">
      <c r="A498" s="17"/>
      <c r="E498" s="11"/>
      <c r="F498" s="11"/>
      <c r="G498" s="11"/>
      <c r="H498" s="17"/>
      <c r="L498" s="11"/>
      <c r="M498" s="11"/>
      <c r="N498" s="11"/>
      <c r="O498" s="18"/>
      <c r="Q498" s="17"/>
      <c r="X498" s="18"/>
    </row>
    <row r="499" spans="1:24" ht="13.2">
      <c r="A499" s="17"/>
      <c r="E499" s="11"/>
      <c r="F499" s="11"/>
      <c r="G499" s="11"/>
      <c r="H499" s="17"/>
      <c r="L499" s="11"/>
      <c r="M499" s="11"/>
      <c r="N499" s="11"/>
      <c r="O499" s="18"/>
      <c r="Q499" s="17"/>
      <c r="X499" s="18"/>
    </row>
    <row r="500" spans="1:24" ht="13.2">
      <c r="A500" s="17"/>
      <c r="E500" s="11"/>
      <c r="F500" s="11"/>
      <c r="G500" s="11"/>
      <c r="H500" s="17"/>
      <c r="L500" s="11"/>
      <c r="M500" s="11"/>
      <c r="N500" s="11"/>
      <c r="O500" s="18"/>
      <c r="Q500" s="17"/>
      <c r="X500" s="18"/>
    </row>
    <row r="501" spans="1:24" ht="13.2">
      <c r="A501" s="17"/>
      <c r="E501" s="11"/>
      <c r="F501" s="11"/>
      <c r="G501" s="11"/>
      <c r="H501" s="17"/>
      <c r="L501" s="11"/>
      <c r="M501" s="11"/>
      <c r="N501" s="11"/>
      <c r="O501" s="18"/>
      <c r="Q501" s="17"/>
      <c r="X501" s="18"/>
    </row>
    <row r="502" spans="1:24" ht="13.2">
      <c r="A502" s="17"/>
      <c r="E502" s="11"/>
      <c r="F502" s="11"/>
      <c r="G502" s="11"/>
      <c r="H502" s="17"/>
      <c r="L502" s="11"/>
      <c r="M502" s="11"/>
      <c r="N502" s="11"/>
      <c r="O502" s="18"/>
      <c r="Q502" s="17"/>
      <c r="X502" s="18"/>
    </row>
    <row r="503" spans="1:24" ht="13.2">
      <c r="A503" s="17"/>
      <c r="E503" s="11"/>
      <c r="F503" s="11"/>
      <c r="G503" s="11"/>
      <c r="H503" s="17"/>
      <c r="L503" s="11"/>
      <c r="M503" s="11"/>
      <c r="N503" s="11"/>
      <c r="O503" s="18"/>
      <c r="Q503" s="17"/>
      <c r="X503" s="18"/>
    </row>
    <row r="504" spans="1:24" ht="13.2">
      <c r="A504" s="17"/>
      <c r="E504" s="11"/>
      <c r="F504" s="11"/>
      <c r="G504" s="11"/>
      <c r="H504" s="17"/>
      <c r="L504" s="11"/>
      <c r="M504" s="11"/>
      <c r="N504" s="11"/>
      <c r="O504" s="18"/>
      <c r="Q504" s="17"/>
      <c r="X504" s="18"/>
    </row>
    <row r="505" spans="1:24" ht="13.2">
      <c r="A505" s="17"/>
      <c r="E505" s="11"/>
      <c r="F505" s="11"/>
      <c r="G505" s="11"/>
      <c r="H505" s="17"/>
      <c r="L505" s="11"/>
      <c r="M505" s="11"/>
      <c r="N505" s="11"/>
      <c r="O505" s="18"/>
      <c r="Q505" s="17"/>
      <c r="X505" s="18"/>
    </row>
    <row r="506" spans="1:24" ht="13.2">
      <c r="A506" s="17"/>
      <c r="E506" s="11"/>
      <c r="F506" s="11"/>
      <c r="G506" s="11"/>
      <c r="H506" s="17"/>
      <c r="L506" s="11"/>
      <c r="M506" s="11"/>
      <c r="N506" s="11"/>
      <c r="O506" s="18"/>
      <c r="Q506" s="17"/>
      <c r="X506" s="18"/>
    </row>
    <row r="507" spans="1:24" ht="13.2">
      <c r="A507" s="17"/>
      <c r="E507" s="11"/>
      <c r="F507" s="11"/>
      <c r="G507" s="11"/>
      <c r="H507" s="17"/>
      <c r="L507" s="11"/>
      <c r="M507" s="11"/>
      <c r="N507" s="11"/>
      <c r="O507" s="18"/>
      <c r="Q507" s="17"/>
      <c r="X507" s="18"/>
    </row>
    <row r="508" spans="1:24" ht="13.2">
      <c r="A508" s="17"/>
      <c r="E508" s="11"/>
      <c r="F508" s="11"/>
      <c r="G508" s="11"/>
      <c r="H508" s="17"/>
      <c r="L508" s="11"/>
      <c r="M508" s="11"/>
      <c r="N508" s="11"/>
      <c r="O508" s="18"/>
      <c r="Q508" s="17"/>
      <c r="X508" s="18"/>
    </row>
    <row r="509" spans="1:24" ht="13.2">
      <c r="A509" s="17"/>
      <c r="E509" s="11"/>
      <c r="F509" s="11"/>
      <c r="G509" s="11"/>
      <c r="H509" s="17"/>
      <c r="L509" s="11"/>
      <c r="M509" s="11"/>
      <c r="N509" s="11"/>
      <c r="O509" s="18"/>
      <c r="Q509" s="17"/>
      <c r="X509" s="18"/>
    </row>
    <row r="510" spans="1:24" ht="13.2">
      <c r="A510" s="17"/>
      <c r="E510" s="11"/>
      <c r="F510" s="11"/>
      <c r="G510" s="11"/>
      <c r="H510" s="17"/>
      <c r="L510" s="11"/>
      <c r="M510" s="11"/>
      <c r="N510" s="11"/>
      <c r="O510" s="18"/>
      <c r="Q510" s="17"/>
      <c r="X510" s="18"/>
    </row>
    <row r="511" spans="1:24" ht="13.2">
      <c r="A511" s="17"/>
      <c r="E511" s="11"/>
      <c r="F511" s="11"/>
      <c r="G511" s="11"/>
      <c r="H511" s="17"/>
      <c r="L511" s="11"/>
      <c r="M511" s="11"/>
      <c r="N511" s="11"/>
      <c r="O511" s="18"/>
      <c r="Q511" s="17"/>
      <c r="X511" s="18"/>
    </row>
    <row r="512" spans="1:24" ht="13.2">
      <c r="A512" s="17"/>
      <c r="E512" s="11"/>
      <c r="F512" s="11"/>
      <c r="G512" s="11"/>
      <c r="H512" s="17"/>
      <c r="L512" s="11"/>
      <c r="M512" s="11"/>
      <c r="N512" s="11"/>
      <c r="O512" s="18"/>
      <c r="Q512" s="17"/>
      <c r="X512" s="18"/>
    </row>
    <row r="513" spans="1:24" ht="13.2">
      <c r="A513" s="17"/>
      <c r="E513" s="11"/>
      <c r="F513" s="11"/>
      <c r="G513" s="11"/>
      <c r="H513" s="17"/>
      <c r="L513" s="11"/>
      <c r="M513" s="11"/>
      <c r="N513" s="11"/>
      <c r="O513" s="18"/>
      <c r="Q513" s="17"/>
      <c r="X513" s="18"/>
    </row>
    <row r="514" spans="1:24" ht="13.2">
      <c r="A514" s="17"/>
      <c r="E514" s="11"/>
      <c r="F514" s="11"/>
      <c r="G514" s="11"/>
      <c r="H514" s="17"/>
      <c r="L514" s="11"/>
      <c r="M514" s="11"/>
      <c r="N514" s="11"/>
      <c r="O514" s="18"/>
      <c r="Q514" s="17"/>
      <c r="X514" s="18"/>
    </row>
    <row r="515" spans="1:24" ht="13.2">
      <c r="A515" s="17"/>
      <c r="E515" s="11"/>
      <c r="F515" s="11"/>
      <c r="G515" s="11"/>
      <c r="H515" s="17"/>
      <c r="L515" s="11"/>
      <c r="M515" s="11"/>
      <c r="N515" s="11"/>
      <c r="O515" s="18"/>
      <c r="Q515" s="17"/>
      <c r="X515" s="18"/>
    </row>
    <row r="516" spans="1:24" ht="13.2">
      <c r="A516" s="17"/>
      <c r="E516" s="11"/>
      <c r="F516" s="11"/>
      <c r="G516" s="11"/>
      <c r="H516" s="17"/>
      <c r="L516" s="11"/>
      <c r="M516" s="11"/>
      <c r="N516" s="11"/>
      <c r="O516" s="18"/>
      <c r="Q516" s="17"/>
      <c r="X516" s="18"/>
    </row>
    <row r="517" spans="1:24" ht="13.2">
      <c r="A517" s="17"/>
      <c r="E517" s="11"/>
      <c r="F517" s="11"/>
      <c r="G517" s="11"/>
      <c r="H517" s="17"/>
      <c r="L517" s="11"/>
      <c r="M517" s="11"/>
      <c r="N517" s="11"/>
      <c r="O517" s="18"/>
      <c r="Q517" s="17"/>
      <c r="X517" s="18"/>
    </row>
    <row r="518" spans="1:24" ht="13.2">
      <c r="A518" s="17"/>
      <c r="E518" s="11"/>
      <c r="F518" s="11"/>
      <c r="G518" s="11"/>
      <c r="H518" s="17"/>
      <c r="L518" s="11"/>
      <c r="M518" s="11"/>
      <c r="N518" s="11"/>
      <c r="O518" s="18"/>
      <c r="Q518" s="17"/>
      <c r="X518" s="18"/>
    </row>
    <row r="519" spans="1:24" ht="13.2">
      <c r="A519" s="17"/>
      <c r="E519" s="11"/>
      <c r="F519" s="11"/>
      <c r="G519" s="11"/>
      <c r="H519" s="17"/>
      <c r="L519" s="11"/>
      <c r="M519" s="11"/>
      <c r="N519" s="11"/>
      <c r="O519" s="18"/>
      <c r="Q519" s="17"/>
      <c r="X519" s="18"/>
    </row>
    <row r="520" spans="1:24" ht="13.2">
      <c r="A520" s="17"/>
      <c r="E520" s="11"/>
      <c r="F520" s="11"/>
      <c r="G520" s="11"/>
      <c r="H520" s="17"/>
      <c r="L520" s="11"/>
      <c r="M520" s="11"/>
      <c r="N520" s="11"/>
      <c r="O520" s="18"/>
      <c r="Q520" s="17"/>
      <c r="X520" s="18"/>
    </row>
    <row r="521" spans="1:24" ht="13.2">
      <c r="A521" s="17"/>
      <c r="E521" s="11"/>
      <c r="F521" s="11"/>
      <c r="G521" s="11"/>
      <c r="H521" s="17"/>
      <c r="L521" s="11"/>
      <c r="M521" s="11"/>
      <c r="N521" s="11"/>
      <c r="O521" s="18"/>
      <c r="Q521" s="17"/>
      <c r="X521" s="18"/>
    </row>
    <row r="522" spans="1:24" ht="13.2">
      <c r="A522" s="17"/>
      <c r="E522" s="11"/>
      <c r="F522" s="11"/>
      <c r="G522" s="11"/>
      <c r="H522" s="17"/>
      <c r="L522" s="11"/>
      <c r="M522" s="11"/>
      <c r="N522" s="11"/>
      <c r="O522" s="18"/>
      <c r="Q522" s="17"/>
      <c r="X522" s="18"/>
    </row>
    <row r="523" spans="1:24" ht="13.2">
      <c r="A523" s="17"/>
      <c r="E523" s="11"/>
      <c r="F523" s="11"/>
      <c r="G523" s="11"/>
      <c r="H523" s="17"/>
      <c r="L523" s="11"/>
      <c r="M523" s="11"/>
      <c r="N523" s="11"/>
      <c r="O523" s="18"/>
      <c r="Q523" s="17"/>
      <c r="X523" s="18"/>
    </row>
    <row r="524" spans="1:24" ht="13.2">
      <c r="A524" s="17"/>
      <c r="E524" s="11"/>
      <c r="F524" s="11"/>
      <c r="G524" s="11"/>
      <c r="H524" s="17"/>
      <c r="L524" s="11"/>
      <c r="M524" s="11"/>
      <c r="N524" s="11"/>
      <c r="O524" s="18"/>
      <c r="Q524" s="17"/>
      <c r="X524" s="18"/>
    </row>
    <row r="525" spans="1:24" ht="13.2">
      <c r="A525" s="17"/>
      <c r="E525" s="11"/>
      <c r="F525" s="11"/>
      <c r="G525" s="11"/>
      <c r="H525" s="17"/>
      <c r="L525" s="11"/>
      <c r="M525" s="11"/>
      <c r="N525" s="11"/>
      <c r="O525" s="18"/>
      <c r="Q525" s="17"/>
      <c r="X525" s="18"/>
    </row>
    <row r="526" spans="1:24" ht="13.2">
      <c r="A526" s="17"/>
      <c r="E526" s="11"/>
      <c r="F526" s="11"/>
      <c r="G526" s="11"/>
      <c r="H526" s="17"/>
      <c r="L526" s="11"/>
      <c r="M526" s="11"/>
      <c r="N526" s="11"/>
      <c r="O526" s="18"/>
      <c r="Q526" s="17"/>
      <c r="X526" s="18"/>
    </row>
    <row r="527" spans="1:24" ht="13.2">
      <c r="A527" s="17"/>
      <c r="E527" s="11"/>
      <c r="F527" s="11"/>
      <c r="G527" s="11"/>
      <c r="H527" s="17"/>
      <c r="L527" s="11"/>
      <c r="M527" s="11"/>
      <c r="N527" s="11"/>
      <c r="O527" s="18"/>
      <c r="Q527" s="17"/>
      <c r="X527" s="18"/>
    </row>
    <row r="528" spans="1:24" ht="13.2">
      <c r="A528" s="17"/>
      <c r="E528" s="11"/>
      <c r="F528" s="11"/>
      <c r="G528" s="11"/>
      <c r="H528" s="17"/>
      <c r="L528" s="11"/>
      <c r="M528" s="11"/>
      <c r="N528" s="11"/>
      <c r="O528" s="18"/>
      <c r="Q528" s="17"/>
      <c r="X528" s="18"/>
    </row>
    <row r="529" spans="1:24" ht="13.2">
      <c r="A529" s="17"/>
      <c r="E529" s="11"/>
      <c r="F529" s="11"/>
      <c r="G529" s="11"/>
      <c r="H529" s="17"/>
      <c r="L529" s="11"/>
      <c r="M529" s="11"/>
      <c r="N529" s="11"/>
      <c r="O529" s="18"/>
      <c r="Q529" s="17"/>
      <c r="X529" s="18"/>
    </row>
    <row r="530" spans="1:24" ht="13.2">
      <c r="A530" s="17"/>
      <c r="E530" s="11"/>
      <c r="F530" s="11"/>
      <c r="G530" s="11"/>
      <c r="H530" s="17"/>
      <c r="L530" s="11"/>
      <c r="M530" s="11"/>
      <c r="N530" s="11"/>
      <c r="O530" s="18"/>
      <c r="Q530" s="17"/>
      <c r="X530" s="18"/>
    </row>
    <row r="531" spans="1:24" ht="13.2">
      <c r="A531" s="17"/>
      <c r="E531" s="11"/>
      <c r="F531" s="11"/>
      <c r="G531" s="11"/>
      <c r="H531" s="17"/>
      <c r="L531" s="11"/>
      <c r="M531" s="11"/>
      <c r="N531" s="11"/>
      <c r="O531" s="18"/>
      <c r="Q531" s="17"/>
      <c r="X531" s="18"/>
    </row>
    <row r="532" spans="1:24" ht="13.2">
      <c r="A532" s="17"/>
      <c r="E532" s="11"/>
      <c r="F532" s="11"/>
      <c r="G532" s="11"/>
      <c r="H532" s="17"/>
      <c r="L532" s="11"/>
      <c r="M532" s="11"/>
      <c r="N532" s="11"/>
      <c r="O532" s="18"/>
      <c r="Q532" s="17"/>
      <c r="X532" s="18"/>
    </row>
    <row r="533" spans="1:24" ht="13.2">
      <c r="A533" s="17"/>
      <c r="E533" s="11"/>
      <c r="F533" s="11"/>
      <c r="G533" s="11"/>
      <c r="H533" s="17"/>
      <c r="L533" s="11"/>
      <c r="M533" s="11"/>
      <c r="N533" s="11"/>
      <c r="O533" s="18"/>
      <c r="Q533" s="17"/>
      <c r="X533" s="18"/>
    </row>
    <row r="534" spans="1:24" ht="13.2">
      <c r="A534" s="17"/>
      <c r="E534" s="11"/>
      <c r="F534" s="11"/>
      <c r="G534" s="11"/>
      <c r="H534" s="17"/>
      <c r="L534" s="11"/>
      <c r="M534" s="11"/>
      <c r="N534" s="11"/>
      <c r="O534" s="18"/>
      <c r="Q534" s="17"/>
      <c r="X534" s="18"/>
    </row>
    <row r="535" spans="1:24" ht="13.2">
      <c r="A535" s="17"/>
      <c r="E535" s="11"/>
      <c r="F535" s="11"/>
      <c r="G535" s="11"/>
      <c r="H535" s="17"/>
      <c r="L535" s="11"/>
      <c r="M535" s="11"/>
      <c r="N535" s="11"/>
      <c r="O535" s="18"/>
      <c r="Q535" s="17"/>
      <c r="X535" s="18"/>
    </row>
    <row r="536" spans="1:24" ht="13.2">
      <c r="A536" s="17"/>
      <c r="E536" s="11"/>
      <c r="F536" s="11"/>
      <c r="G536" s="11"/>
      <c r="H536" s="17"/>
      <c r="L536" s="11"/>
      <c r="M536" s="11"/>
      <c r="N536" s="11"/>
      <c r="O536" s="18"/>
      <c r="Q536" s="17"/>
      <c r="X536" s="18"/>
    </row>
    <row r="537" spans="1:24" ht="13.2">
      <c r="A537" s="17"/>
      <c r="E537" s="11"/>
      <c r="F537" s="11"/>
      <c r="G537" s="11"/>
      <c r="H537" s="17"/>
      <c r="L537" s="11"/>
      <c r="M537" s="11"/>
      <c r="N537" s="11"/>
      <c r="O537" s="18"/>
      <c r="Q537" s="17"/>
      <c r="X537" s="18"/>
    </row>
    <row r="538" spans="1:24" ht="13.2">
      <c r="A538" s="17"/>
      <c r="E538" s="11"/>
      <c r="F538" s="11"/>
      <c r="G538" s="11"/>
      <c r="H538" s="17"/>
      <c r="L538" s="11"/>
      <c r="M538" s="11"/>
      <c r="N538" s="11"/>
      <c r="O538" s="18"/>
      <c r="Q538" s="17"/>
      <c r="X538" s="18"/>
    </row>
    <row r="539" spans="1:24" ht="13.2">
      <c r="A539" s="17"/>
      <c r="E539" s="11"/>
      <c r="F539" s="11"/>
      <c r="G539" s="11"/>
      <c r="H539" s="17"/>
      <c r="L539" s="11"/>
      <c r="M539" s="11"/>
      <c r="N539" s="11"/>
      <c r="O539" s="18"/>
      <c r="Q539" s="17"/>
      <c r="X539" s="18"/>
    </row>
    <row r="540" spans="1:24" ht="13.2">
      <c r="A540" s="17"/>
      <c r="E540" s="11"/>
      <c r="F540" s="11"/>
      <c r="G540" s="11"/>
      <c r="H540" s="17"/>
      <c r="L540" s="11"/>
      <c r="M540" s="11"/>
      <c r="N540" s="11"/>
      <c r="O540" s="18"/>
      <c r="Q540" s="17"/>
      <c r="X540" s="18"/>
    </row>
    <row r="541" spans="1:24" ht="13.2">
      <c r="A541" s="17"/>
      <c r="E541" s="11"/>
      <c r="F541" s="11"/>
      <c r="G541" s="11"/>
      <c r="H541" s="17"/>
      <c r="L541" s="11"/>
      <c r="M541" s="11"/>
      <c r="N541" s="11"/>
      <c r="O541" s="18"/>
      <c r="Q541" s="17"/>
      <c r="X541" s="18"/>
    </row>
    <row r="542" spans="1:24" ht="13.2">
      <c r="A542" s="17"/>
      <c r="E542" s="11"/>
      <c r="F542" s="11"/>
      <c r="G542" s="11"/>
      <c r="H542" s="17"/>
      <c r="L542" s="11"/>
      <c r="M542" s="11"/>
      <c r="N542" s="11"/>
      <c r="O542" s="18"/>
      <c r="Q542" s="17"/>
      <c r="X542" s="18"/>
    </row>
    <row r="543" spans="1:24" ht="13.2">
      <c r="A543" s="17"/>
      <c r="E543" s="11"/>
      <c r="F543" s="11"/>
      <c r="G543" s="11"/>
      <c r="H543" s="17"/>
      <c r="L543" s="11"/>
      <c r="M543" s="11"/>
      <c r="N543" s="11"/>
      <c r="O543" s="18"/>
      <c r="Q543" s="17"/>
      <c r="X543" s="18"/>
    </row>
    <row r="544" spans="1:24" ht="13.2">
      <c r="A544" s="17"/>
      <c r="E544" s="11"/>
      <c r="F544" s="11"/>
      <c r="G544" s="11"/>
      <c r="H544" s="17"/>
      <c r="L544" s="11"/>
      <c r="M544" s="11"/>
      <c r="N544" s="11"/>
      <c r="O544" s="18"/>
      <c r="Q544" s="17"/>
      <c r="X544" s="18"/>
    </row>
    <row r="545" spans="1:24" ht="13.2">
      <c r="A545" s="17"/>
      <c r="E545" s="11"/>
      <c r="F545" s="11"/>
      <c r="G545" s="11"/>
      <c r="H545" s="17"/>
      <c r="L545" s="11"/>
      <c r="M545" s="11"/>
      <c r="N545" s="11"/>
      <c r="O545" s="18"/>
      <c r="Q545" s="17"/>
      <c r="X545" s="18"/>
    </row>
    <row r="546" spans="1:24" ht="13.2">
      <c r="A546" s="17"/>
      <c r="E546" s="11"/>
      <c r="F546" s="11"/>
      <c r="G546" s="11"/>
      <c r="H546" s="17"/>
      <c r="L546" s="11"/>
      <c r="M546" s="11"/>
      <c r="N546" s="11"/>
      <c r="O546" s="18"/>
      <c r="Q546" s="17"/>
      <c r="X546" s="18"/>
    </row>
    <row r="547" spans="1:24" ht="13.2">
      <c r="A547" s="17"/>
      <c r="E547" s="11"/>
      <c r="F547" s="11"/>
      <c r="G547" s="11"/>
      <c r="H547" s="17"/>
      <c r="L547" s="11"/>
      <c r="M547" s="11"/>
      <c r="N547" s="11"/>
      <c r="O547" s="18"/>
      <c r="Q547" s="17"/>
      <c r="X547" s="18"/>
    </row>
    <row r="548" spans="1:24" ht="13.2">
      <c r="A548" s="17"/>
      <c r="E548" s="11"/>
      <c r="F548" s="11"/>
      <c r="G548" s="11"/>
      <c r="H548" s="17"/>
      <c r="L548" s="11"/>
      <c r="M548" s="11"/>
      <c r="N548" s="11"/>
      <c r="O548" s="18"/>
      <c r="Q548" s="17"/>
      <c r="X548" s="18"/>
    </row>
    <row r="549" spans="1:24" ht="13.2">
      <c r="A549" s="17"/>
      <c r="E549" s="11"/>
      <c r="F549" s="11"/>
      <c r="G549" s="11"/>
      <c r="H549" s="17"/>
      <c r="L549" s="11"/>
      <c r="M549" s="11"/>
      <c r="N549" s="11"/>
      <c r="O549" s="18"/>
      <c r="Q549" s="17"/>
      <c r="X549" s="18"/>
    </row>
    <row r="550" spans="1:24" ht="13.2">
      <c r="A550" s="17"/>
      <c r="E550" s="11"/>
      <c r="F550" s="11"/>
      <c r="G550" s="11"/>
      <c r="H550" s="17"/>
      <c r="L550" s="11"/>
      <c r="M550" s="11"/>
      <c r="N550" s="11"/>
      <c r="O550" s="18"/>
      <c r="Q550" s="17"/>
      <c r="X550" s="18"/>
    </row>
    <row r="551" spans="1:24" ht="13.2">
      <c r="A551" s="17"/>
      <c r="E551" s="11"/>
      <c r="F551" s="11"/>
      <c r="G551" s="11"/>
      <c r="H551" s="17"/>
      <c r="L551" s="11"/>
      <c r="M551" s="11"/>
      <c r="N551" s="11"/>
      <c r="O551" s="18"/>
      <c r="Q551" s="17"/>
      <c r="X551" s="18"/>
    </row>
    <row r="552" spans="1:24" ht="13.2">
      <c r="A552" s="17"/>
      <c r="E552" s="11"/>
      <c r="F552" s="11"/>
      <c r="G552" s="11"/>
      <c r="H552" s="17"/>
      <c r="L552" s="11"/>
      <c r="M552" s="11"/>
      <c r="N552" s="11"/>
      <c r="O552" s="18"/>
      <c r="Q552" s="17"/>
      <c r="X552" s="18"/>
    </row>
    <row r="553" spans="1:24" ht="13.2">
      <c r="A553" s="17"/>
      <c r="E553" s="11"/>
      <c r="F553" s="11"/>
      <c r="G553" s="11"/>
      <c r="H553" s="17"/>
      <c r="L553" s="11"/>
      <c r="M553" s="11"/>
      <c r="N553" s="11"/>
      <c r="O553" s="18"/>
      <c r="Q553" s="17"/>
      <c r="X553" s="18"/>
    </row>
    <row r="554" spans="1:24" ht="13.2">
      <c r="A554" s="17"/>
      <c r="E554" s="11"/>
      <c r="F554" s="11"/>
      <c r="G554" s="11"/>
      <c r="H554" s="17"/>
      <c r="L554" s="11"/>
      <c r="M554" s="11"/>
      <c r="N554" s="11"/>
      <c r="O554" s="18"/>
      <c r="Q554" s="17"/>
      <c r="X554" s="18"/>
    </row>
    <row r="555" spans="1:24" ht="13.2">
      <c r="A555" s="17"/>
      <c r="E555" s="11"/>
      <c r="F555" s="11"/>
      <c r="G555" s="11"/>
      <c r="H555" s="17"/>
      <c r="L555" s="11"/>
      <c r="M555" s="11"/>
      <c r="N555" s="11"/>
      <c r="O555" s="18"/>
      <c r="Q555" s="17"/>
      <c r="X555" s="18"/>
    </row>
    <row r="556" spans="1:24" ht="13.2">
      <c r="A556" s="17"/>
      <c r="E556" s="11"/>
      <c r="F556" s="11"/>
      <c r="G556" s="11"/>
      <c r="H556" s="17"/>
      <c r="L556" s="11"/>
      <c r="M556" s="11"/>
      <c r="N556" s="11"/>
      <c r="O556" s="18"/>
      <c r="Q556" s="17"/>
      <c r="X556" s="18"/>
    </row>
    <row r="557" spans="1:24" ht="13.2">
      <c r="A557" s="17"/>
      <c r="E557" s="11"/>
      <c r="F557" s="11"/>
      <c r="G557" s="11"/>
      <c r="H557" s="17"/>
      <c r="L557" s="11"/>
      <c r="M557" s="11"/>
      <c r="N557" s="11"/>
      <c r="O557" s="18"/>
      <c r="Q557" s="17"/>
      <c r="X557" s="18"/>
    </row>
    <row r="558" spans="1:24" ht="13.2">
      <c r="A558" s="17"/>
      <c r="E558" s="11"/>
      <c r="F558" s="11"/>
      <c r="G558" s="11"/>
      <c r="H558" s="17"/>
      <c r="L558" s="11"/>
      <c r="M558" s="11"/>
      <c r="N558" s="11"/>
      <c r="O558" s="18"/>
      <c r="Q558" s="17"/>
      <c r="X558" s="18"/>
    </row>
    <row r="559" spans="1:24" ht="13.2">
      <c r="A559" s="17"/>
      <c r="E559" s="11"/>
      <c r="F559" s="11"/>
      <c r="G559" s="11"/>
      <c r="H559" s="17"/>
      <c r="L559" s="11"/>
      <c r="M559" s="11"/>
      <c r="N559" s="11"/>
      <c r="O559" s="18"/>
      <c r="Q559" s="17"/>
      <c r="X559" s="18"/>
    </row>
    <row r="560" spans="1:24" ht="13.2">
      <c r="A560" s="17"/>
      <c r="E560" s="11"/>
      <c r="F560" s="11"/>
      <c r="G560" s="11"/>
      <c r="H560" s="17"/>
      <c r="L560" s="11"/>
      <c r="M560" s="11"/>
      <c r="N560" s="11"/>
      <c r="O560" s="18"/>
      <c r="Q560" s="17"/>
      <c r="X560" s="18"/>
    </row>
    <row r="561" spans="1:24" ht="13.2">
      <c r="A561" s="17"/>
      <c r="E561" s="11"/>
      <c r="F561" s="11"/>
      <c r="G561" s="11"/>
      <c r="H561" s="17"/>
      <c r="L561" s="11"/>
      <c r="M561" s="11"/>
      <c r="N561" s="11"/>
      <c r="O561" s="18"/>
      <c r="Q561" s="17"/>
      <c r="X561" s="18"/>
    </row>
    <row r="562" spans="1:24" ht="13.2">
      <c r="A562" s="17"/>
      <c r="E562" s="11"/>
      <c r="F562" s="11"/>
      <c r="G562" s="11"/>
      <c r="H562" s="17"/>
      <c r="L562" s="11"/>
      <c r="M562" s="11"/>
      <c r="N562" s="11"/>
      <c r="O562" s="18"/>
      <c r="Q562" s="17"/>
      <c r="X562" s="18"/>
    </row>
    <row r="563" spans="1:24" ht="13.2">
      <c r="A563" s="17"/>
      <c r="E563" s="11"/>
      <c r="F563" s="11"/>
      <c r="G563" s="11"/>
      <c r="H563" s="17"/>
      <c r="L563" s="11"/>
      <c r="M563" s="11"/>
      <c r="N563" s="11"/>
      <c r="O563" s="18"/>
      <c r="Q563" s="17"/>
      <c r="X563" s="18"/>
    </row>
    <row r="564" spans="1:24" ht="13.2">
      <c r="A564" s="17"/>
      <c r="E564" s="11"/>
      <c r="F564" s="11"/>
      <c r="G564" s="11"/>
      <c r="H564" s="17"/>
      <c r="L564" s="11"/>
      <c r="M564" s="11"/>
      <c r="N564" s="11"/>
      <c r="O564" s="18"/>
      <c r="Q564" s="17"/>
      <c r="X564" s="18"/>
    </row>
    <row r="565" spans="1:24" ht="13.2">
      <c r="A565" s="17"/>
      <c r="E565" s="11"/>
      <c r="F565" s="11"/>
      <c r="G565" s="11"/>
      <c r="H565" s="17"/>
      <c r="L565" s="11"/>
      <c r="M565" s="11"/>
      <c r="N565" s="11"/>
      <c r="O565" s="18"/>
      <c r="Q565" s="17"/>
      <c r="X565" s="18"/>
    </row>
    <row r="566" spans="1:24" ht="13.2">
      <c r="A566" s="17"/>
      <c r="E566" s="11"/>
      <c r="F566" s="11"/>
      <c r="G566" s="11"/>
      <c r="H566" s="17"/>
      <c r="L566" s="11"/>
      <c r="M566" s="11"/>
      <c r="N566" s="11"/>
      <c r="O566" s="18"/>
      <c r="Q566" s="17"/>
      <c r="X566" s="18"/>
    </row>
    <row r="567" spans="1:24" ht="13.2">
      <c r="A567" s="17"/>
      <c r="E567" s="11"/>
      <c r="F567" s="11"/>
      <c r="G567" s="11"/>
      <c r="H567" s="17"/>
      <c r="L567" s="11"/>
      <c r="M567" s="11"/>
      <c r="N567" s="11"/>
      <c r="O567" s="18"/>
      <c r="Q567" s="17"/>
      <c r="X567" s="18"/>
    </row>
    <row r="568" spans="1:24" ht="13.2">
      <c r="A568" s="17"/>
      <c r="E568" s="11"/>
      <c r="F568" s="11"/>
      <c r="G568" s="11"/>
      <c r="H568" s="17"/>
      <c r="L568" s="11"/>
      <c r="M568" s="11"/>
      <c r="N568" s="11"/>
      <c r="O568" s="18"/>
      <c r="Q568" s="17"/>
      <c r="X568" s="18"/>
    </row>
    <row r="569" spans="1:24" ht="13.2">
      <c r="A569" s="17"/>
      <c r="E569" s="11"/>
      <c r="F569" s="11"/>
      <c r="G569" s="11"/>
      <c r="H569" s="17"/>
      <c r="L569" s="11"/>
      <c r="M569" s="11"/>
      <c r="N569" s="11"/>
      <c r="O569" s="18"/>
      <c r="Q569" s="17"/>
      <c r="X569" s="18"/>
    </row>
    <row r="570" spans="1:24" ht="13.2">
      <c r="A570" s="17"/>
      <c r="E570" s="11"/>
      <c r="F570" s="11"/>
      <c r="G570" s="11"/>
      <c r="H570" s="17"/>
      <c r="L570" s="11"/>
      <c r="M570" s="11"/>
      <c r="N570" s="11"/>
      <c r="O570" s="18"/>
      <c r="Q570" s="17"/>
      <c r="X570" s="18"/>
    </row>
    <row r="571" spans="1:24" ht="13.2">
      <c r="A571" s="17"/>
      <c r="E571" s="11"/>
      <c r="F571" s="11"/>
      <c r="G571" s="11"/>
      <c r="H571" s="17"/>
      <c r="L571" s="11"/>
      <c r="M571" s="11"/>
      <c r="N571" s="11"/>
      <c r="O571" s="18"/>
      <c r="Q571" s="17"/>
      <c r="X571" s="18"/>
    </row>
    <row r="572" spans="1:24" ht="13.2">
      <c r="A572" s="17"/>
      <c r="E572" s="11"/>
      <c r="F572" s="11"/>
      <c r="G572" s="11"/>
      <c r="H572" s="17"/>
      <c r="L572" s="11"/>
      <c r="M572" s="11"/>
      <c r="N572" s="11"/>
      <c r="O572" s="18"/>
      <c r="Q572" s="17"/>
      <c r="X572" s="18"/>
    </row>
    <row r="573" spans="1:24" ht="13.2">
      <c r="A573" s="17"/>
      <c r="E573" s="11"/>
      <c r="F573" s="11"/>
      <c r="G573" s="11"/>
      <c r="H573" s="17"/>
      <c r="L573" s="11"/>
      <c r="M573" s="11"/>
      <c r="N573" s="11"/>
      <c r="O573" s="18"/>
      <c r="Q573" s="17"/>
      <c r="X573" s="18"/>
    </row>
    <row r="574" spans="1:24" ht="13.2">
      <c r="A574" s="17"/>
      <c r="E574" s="11"/>
      <c r="F574" s="11"/>
      <c r="G574" s="11"/>
      <c r="H574" s="17"/>
      <c r="L574" s="11"/>
      <c r="M574" s="11"/>
      <c r="N574" s="11"/>
      <c r="O574" s="18"/>
      <c r="Q574" s="17"/>
      <c r="X574" s="18"/>
    </row>
    <row r="575" spans="1:24" ht="13.2">
      <c r="A575" s="17"/>
      <c r="E575" s="11"/>
      <c r="F575" s="11"/>
      <c r="G575" s="11"/>
      <c r="H575" s="17"/>
      <c r="L575" s="11"/>
      <c r="M575" s="11"/>
      <c r="N575" s="11"/>
      <c r="O575" s="18"/>
      <c r="Q575" s="17"/>
      <c r="X575" s="18"/>
    </row>
    <row r="576" spans="1:24" ht="13.2">
      <c r="A576" s="17"/>
      <c r="E576" s="11"/>
      <c r="F576" s="11"/>
      <c r="G576" s="11"/>
      <c r="H576" s="17"/>
      <c r="L576" s="11"/>
      <c r="M576" s="11"/>
      <c r="N576" s="11"/>
      <c r="O576" s="18"/>
      <c r="Q576" s="17"/>
      <c r="X576" s="18"/>
    </row>
    <row r="577" spans="1:24" ht="13.2">
      <c r="A577" s="17"/>
      <c r="E577" s="11"/>
      <c r="F577" s="11"/>
      <c r="G577" s="11"/>
      <c r="H577" s="17"/>
      <c r="L577" s="11"/>
      <c r="M577" s="11"/>
      <c r="N577" s="11"/>
      <c r="O577" s="18"/>
      <c r="Q577" s="17"/>
      <c r="X577" s="18"/>
    </row>
    <row r="578" spans="1:24" ht="13.2">
      <c r="A578" s="17"/>
      <c r="E578" s="11"/>
      <c r="F578" s="11"/>
      <c r="G578" s="11"/>
      <c r="H578" s="17"/>
      <c r="L578" s="11"/>
      <c r="M578" s="11"/>
      <c r="N578" s="11"/>
      <c r="O578" s="18"/>
      <c r="Q578" s="17"/>
      <c r="X578" s="18"/>
    </row>
    <row r="579" spans="1:24" ht="13.2">
      <c r="A579" s="17"/>
      <c r="E579" s="11"/>
      <c r="F579" s="11"/>
      <c r="G579" s="11"/>
      <c r="H579" s="17"/>
      <c r="L579" s="11"/>
      <c r="M579" s="11"/>
      <c r="N579" s="11"/>
      <c r="O579" s="18"/>
      <c r="Q579" s="17"/>
      <c r="X579" s="18"/>
    </row>
    <row r="580" spans="1:24" ht="13.2">
      <c r="A580" s="17"/>
      <c r="E580" s="11"/>
      <c r="F580" s="11"/>
      <c r="G580" s="11"/>
      <c r="H580" s="17"/>
      <c r="L580" s="11"/>
      <c r="M580" s="11"/>
      <c r="N580" s="11"/>
      <c r="O580" s="18"/>
      <c r="Q580" s="17"/>
      <c r="X580" s="18"/>
    </row>
    <row r="581" spans="1:24" ht="13.2">
      <c r="A581" s="17"/>
      <c r="E581" s="11"/>
      <c r="F581" s="11"/>
      <c r="G581" s="11"/>
      <c r="H581" s="17"/>
      <c r="L581" s="11"/>
      <c r="M581" s="11"/>
      <c r="N581" s="11"/>
      <c r="O581" s="18"/>
      <c r="Q581" s="17"/>
      <c r="X581" s="18"/>
    </row>
    <row r="582" spans="1:24" ht="13.2">
      <c r="A582" s="17"/>
      <c r="E582" s="11"/>
      <c r="F582" s="11"/>
      <c r="G582" s="11"/>
      <c r="H582" s="17"/>
      <c r="L582" s="11"/>
      <c r="M582" s="11"/>
      <c r="N582" s="11"/>
      <c r="O582" s="18"/>
      <c r="Q582" s="17"/>
      <c r="X582" s="18"/>
    </row>
    <row r="583" spans="1:24" ht="13.2">
      <c r="A583" s="17"/>
      <c r="E583" s="11"/>
      <c r="F583" s="11"/>
      <c r="G583" s="11"/>
      <c r="H583" s="17"/>
      <c r="L583" s="11"/>
      <c r="M583" s="11"/>
      <c r="N583" s="11"/>
      <c r="O583" s="18"/>
      <c r="Q583" s="17"/>
      <c r="X583" s="18"/>
    </row>
    <row r="584" spans="1:24" ht="13.2">
      <c r="A584" s="17"/>
      <c r="E584" s="11"/>
      <c r="F584" s="11"/>
      <c r="G584" s="11"/>
      <c r="H584" s="17"/>
      <c r="L584" s="11"/>
      <c r="M584" s="11"/>
      <c r="N584" s="11"/>
      <c r="O584" s="18"/>
      <c r="Q584" s="17"/>
      <c r="X584" s="18"/>
    </row>
    <row r="585" spans="1:24" ht="13.2">
      <c r="A585" s="17"/>
      <c r="E585" s="11"/>
      <c r="F585" s="11"/>
      <c r="G585" s="11"/>
      <c r="H585" s="17"/>
      <c r="L585" s="11"/>
      <c r="M585" s="11"/>
      <c r="N585" s="11"/>
      <c r="O585" s="18"/>
      <c r="Q585" s="17"/>
      <c r="X585" s="18"/>
    </row>
    <row r="586" spans="1:24" ht="13.2">
      <c r="A586" s="17"/>
      <c r="E586" s="11"/>
      <c r="F586" s="11"/>
      <c r="G586" s="11"/>
      <c r="H586" s="17"/>
      <c r="L586" s="11"/>
      <c r="M586" s="11"/>
      <c r="N586" s="11"/>
      <c r="O586" s="18"/>
      <c r="Q586" s="17"/>
      <c r="X586" s="18"/>
    </row>
    <row r="587" spans="1:24" ht="13.2">
      <c r="A587" s="17"/>
      <c r="E587" s="11"/>
      <c r="F587" s="11"/>
      <c r="G587" s="11"/>
      <c r="H587" s="17"/>
      <c r="L587" s="11"/>
      <c r="M587" s="11"/>
      <c r="N587" s="11"/>
      <c r="O587" s="18"/>
      <c r="Q587" s="17"/>
      <c r="X587" s="18"/>
    </row>
    <row r="588" spans="1:24" ht="13.2">
      <c r="A588" s="17"/>
      <c r="E588" s="11"/>
      <c r="F588" s="11"/>
      <c r="G588" s="11"/>
      <c r="H588" s="17"/>
      <c r="L588" s="11"/>
      <c r="M588" s="11"/>
      <c r="N588" s="11"/>
      <c r="O588" s="18"/>
      <c r="Q588" s="17"/>
      <c r="X588" s="18"/>
    </row>
    <row r="589" spans="1:24" ht="13.2">
      <c r="A589" s="17"/>
      <c r="E589" s="11"/>
      <c r="F589" s="11"/>
      <c r="G589" s="11"/>
      <c r="H589" s="17"/>
      <c r="L589" s="11"/>
      <c r="M589" s="11"/>
      <c r="N589" s="11"/>
      <c r="O589" s="18"/>
      <c r="Q589" s="17"/>
      <c r="X589" s="18"/>
    </row>
    <row r="590" spans="1:24" ht="13.2">
      <c r="A590" s="17"/>
      <c r="E590" s="11"/>
      <c r="F590" s="11"/>
      <c r="G590" s="11"/>
      <c r="H590" s="17"/>
      <c r="L590" s="11"/>
      <c r="M590" s="11"/>
      <c r="N590" s="11"/>
      <c r="O590" s="18"/>
      <c r="Q590" s="17"/>
      <c r="X590" s="18"/>
    </row>
    <row r="591" spans="1:24" ht="13.2">
      <c r="A591" s="17"/>
      <c r="E591" s="11"/>
      <c r="F591" s="11"/>
      <c r="G591" s="11"/>
      <c r="H591" s="17"/>
      <c r="L591" s="11"/>
      <c r="M591" s="11"/>
      <c r="N591" s="11"/>
      <c r="O591" s="18"/>
      <c r="Q591" s="17"/>
      <c r="X591" s="18"/>
    </row>
    <row r="592" spans="1:24" ht="13.2">
      <c r="A592" s="17"/>
      <c r="E592" s="11"/>
      <c r="F592" s="11"/>
      <c r="G592" s="11"/>
      <c r="H592" s="17"/>
      <c r="L592" s="11"/>
      <c r="M592" s="11"/>
      <c r="N592" s="11"/>
      <c r="O592" s="18"/>
      <c r="Q592" s="17"/>
      <c r="X592" s="18"/>
    </row>
    <row r="593" spans="1:24" ht="13.2">
      <c r="A593" s="17"/>
      <c r="E593" s="11"/>
      <c r="F593" s="11"/>
      <c r="G593" s="11"/>
      <c r="H593" s="17"/>
      <c r="L593" s="11"/>
      <c r="M593" s="11"/>
      <c r="N593" s="11"/>
      <c r="O593" s="18"/>
      <c r="Q593" s="17"/>
      <c r="X593" s="18"/>
    </row>
    <row r="594" spans="1:24" ht="13.2">
      <c r="A594" s="17"/>
      <c r="E594" s="11"/>
      <c r="F594" s="11"/>
      <c r="G594" s="11"/>
      <c r="H594" s="17"/>
      <c r="L594" s="11"/>
      <c r="M594" s="11"/>
      <c r="N594" s="11"/>
      <c r="O594" s="18"/>
      <c r="Q594" s="17"/>
      <c r="X594" s="18"/>
    </row>
    <row r="595" spans="1:24" ht="13.2">
      <c r="A595" s="17"/>
      <c r="E595" s="11"/>
      <c r="F595" s="11"/>
      <c r="G595" s="11"/>
      <c r="H595" s="17"/>
      <c r="L595" s="11"/>
      <c r="M595" s="11"/>
      <c r="N595" s="11"/>
      <c r="O595" s="18"/>
      <c r="Q595" s="17"/>
      <c r="X595" s="18"/>
    </row>
    <row r="596" spans="1:24" ht="13.2">
      <c r="A596" s="17"/>
      <c r="E596" s="11"/>
      <c r="F596" s="11"/>
      <c r="G596" s="11"/>
      <c r="H596" s="17"/>
      <c r="L596" s="11"/>
      <c r="M596" s="11"/>
      <c r="N596" s="11"/>
      <c r="O596" s="18"/>
      <c r="Q596" s="17"/>
      <c r="X596" s="18"/>
    </row>
    <row r="597" spans="1:24" ht="13.2">
      <c r="A597" s="17"/>
      <c r="E597" s="11"/>
      <c r="F597" s="11"/>
      <c r="G597" s="11"/>
      <c r="H597" s="17"/>
      <c r="L597" s="11"/>
      <c r="M597" s="11"/>
      <c r="N597" s="11"/>
      <c r="O597" s="18"/>
      <c r="Q597" s="17"/>
      <c r="X597" s="18"/>
    </row>
    <row r="598" spans="1:24" ht="13.2">
      <c r="A598" s="17"/>
      <c r="E598" s="11"/>
      <c r="F598" s="11"/>
      <c r="G598" s="11"/>
      <c r="H598" s="17"/>
      <c r="L598" s="11"/>
      <c r="M598" s="11"/>
      <c r="N598" s="11"/>
      <c r="O598" s="18"/>
      <c r="Q598" s="17"/>
      <c r="X598" s="18"/>
    </row>
    <row r="599" spans="1:24" ht="13.2">
      <c r="A599" s="17"/>
      <c r="E599" s="11"/>
      <c r="F599" s="11"/>
      <c r="G599" s="11"/>
      <c r="H599" s="17"/>
      <c r="L599" s="11"/>
      <c r="M599" s="11"/>
      <c r="N599" s="11"/>
      <c r="O599" s="18"/>
      <c r="Q599" s="17"/>
      <c r="X599" s="18"/>
    </row>
    <row r="600" spans="1:24" ht="13.2">
      <c r="A600" s="17"/>
      <c r="E600" s="11"/>
      <c r="F600" s="11"/>
      <c r="G600" s="11"/>
      <c r="H600" s="17"/>
      <c r="L600" s="11"/>
      <c r="M600" s="11"/>
      <c r="N600" s="11"/>
      <c r="O600" s="18"/>
      <c r="Q600" s="17"/>
      <c r="X600" s="18"/>
    </row>
    <row r="601" spans="1:24" ht="13.2">
      <c r="A601" s="17"/>
      <c r="E601" s="11"/>
      <c r="F601" s="11"/>
      <c r="G601" s="11"/>
      <c r="H601" s="17"/>
      <c r="L601" s="11"/>
      <c r="M601" s="11"/>
      <c r="N601" s="11"/>
      <c r="O601" s="18"/>
      <c r="Q601" s="17"/>
      <c r="X601" s="18"/>
    </row>
    <row r="602" spans="1:24" ht="13.2">
      <c r="A602" s="17"/>
      <c r="E602" s="11"/>
      <c r="F602" s="11"/>
      <c r="G602" s="11"/>
      <c r="H602" s="17"/>
      <c r="L602" s="11"/>
      <c r="M602" s="11"/>
      <c r="N602" s="11"/>
      <c r="O602" s="18"/>
      <c r="Q602" s="17"/>
      <c r="X602" s="18"/>
    </row>
    <row r="603" spans="1:24" ht="13.2">
      <c r="A603" s="17"/>
      <c r="E603" s="11"/>
      <c r="F603" s="11"/>
      <c r="G603" s="11"/>
      <c r="H603" s="17"/>
      <c r="L603" s="11"/>
      <c r="M603" s="11"/>
      <c r="N603" s="11"/>
      <c r="O603" s="18"/>
      <c r="Q603" s="17"/>
      <c r="X603" s="18"/>
    </row>
    <row r="604" spans="1:24" ht="13.2">
      <c r="A604" s="17"/>
      <c r="E604" s="11"/>
      <c r="F604" s="11"/>
      <c r="G604" s="11"/>
      <c r="H604" s="17"/>
      <c r="L604" s="11"/>
      <c r="M604" s="11"/>
      <c r="N604" s="11"/>
      <c r="O604" s="18"/>
      <c r="Q604" s="17"/>
      <c r="X604" s="18"/>
    </row>
    <row r="605" spans="1:24" ht="13.2">
      <c r="A605" s="17"/>
      <c r="E605" s="11"/>
      <c r="F605" s="11"/>
      <c r="G605" s="11"/>
      <c r="H605" s="17"/>
      <c r="L605" s="11"/>
      <c r="M605" s="11"/>
      <c r="N605" s="11"/>
      <c r="O605" s="18"/>
      <c r="Q605" s="17"/>
      <c r="X605" s="18"/>
    </row>
    <row r="606" spans="1:24" ht="13.2">
      <c r="A606" s="17"/>
      <c r="E606" s="11"/>
      <c r="F606" s="11"/>
      <c r="G606" s="11"/>
      <c r="H606" s="17"/>
      <c r="L606" s="11"/>
      <c r="M606" s="11"/>
      <c r="N606" s="11"/>
      <c r="O606" s="18"/>
      <c r="Q606" s="17"/>
      <c r="X606" s="18"/>
    </row>
    <row r="607" spans="1:24" ht="13.2">
      <c r="A607" s="17"/>
      <c r="E607" s="11"/>
      <c r="F607" s="11"/>
      <c r="G607" s="11"/>
      <c r="H607" s="17"/>
      <c r="L607" s="11"/>
      <c r="M607" s="11"/>
      <c r="N607" s="11"/>
      <c r="O607" s="18"/>
      <c r="Q607" s="17"/>
      <c r="X607" s="18"/>
    </row>
    <row r="608" spans="1:24" ht="13.2">
      <c r="A608" s="17"/>
      <c r="E608" s="11"/>
      <c r="F608" s="11"/>
      <c r="G608" s="11"/>
      <c r="H608" s="17"/>
      <c r="L608" s="11"/>
      <c r="M608" s="11"/>
      <c r="N608" s="11"/>
      <c r="O608" s="18"/>
      <c r="Q608" s="17"/>
      <c r="X608" s="18"/>
    </row>
    <row r="609" spans="1:24" ht="13.2">
      <c r="A609" s="17"/>
      <c r="E609" s="11"/>
      <c r="F609" s="11"/>
      <c r="G609" s="11"/>
      <c r="H609" s="17"/>
      <c r="L609" s="11"/>
      <c r="M609" s="11"/>
      <c r="N609" s="11"/>
      <c r="O609" s="18"/>
      <c r="Q609" s="17"/>
      <c r="X609" s="18"/>
    </row>
    <row r="610" spans="1:24" ht="13.2">
      <c r="A610" s="17"/>
      <c r="E610" s="11"/>
      <c r="F610" s="11"/>
      <c r="G610" s="11"/>
      <c r="H610" s="17"/>
      <c r="L610" s="11"/>
      <c r="M610" s="11"/>
      <c r="N610" s="11"/>
      <c r="O610" s="18"/>
      <c r="Q610" s="17"/>
      <c r="X610" s="18"/>
    </row>
    <row r="611" spans="1:24" ht="13.2">
      <c r="A611" s="17"/>
      <c r="E611" s="11"/>
      <c r="F611" s="11"/>
      <c r="G611" s="11"/>
      <c r="H611" s="17"/>
      <c r="L611" s="11"/>
      <c r="M611" s="11"/>
      <c r="N611" s="11"/>
      <c r="O611" s="18"/>
      <c r="Q611" s="17"/>
      <c r="X611" s="18"/>
    </row>
    <row r="612" spans="1:24" ht="13.2">
      <c r="A612" s="17"/>
      <c r="E612" s="11"/>
      <c r="F612" s="11"/>
      <c r="G612" s="11"/>
      <c r="H612" s="17"/>
      <c r="L612" s="11"/>
      <c r="M612" s="11"/>
      <c r="N612" s="11"/>
      <c r="O612" s="18"/>
      <c r="Q612" s="17"/>
      <c r="X612" s="18"/>
    </row>
    <row r="613" spans="1:24" ht="13.2">
      <c r="A613" s="17"/>
      <c r="E613" s="11"/>
      <c r="F613" s="11"/>
      <c r="G613" s="11"/>
      <c r="H613" s="17"/>
      <c r="L613" s="11"/>
      <c r="M613" s="11"/>
      <c r="N613" s="11"/>
      <c r="O613" s="18"/>
      <c r="Q613" s="17"/>
      <c r="X613" s="18"/>
    </row>
    <row r="614" spans="1:24" ht="13.2">
      <c r="A614" s="17"/>
      <c r="E614" s="11"/>
      <c r="F614" s="11"/>
      <c r="G614" s="11"/>
      <c r="H614" s="17"/>
      <c r="L614" s="11"/>
      <c r="M614" s="11"/>
      <c r="N614" s="11"/>
      <c r="O614" s="18"/>
      <c r="Q614" s="17"/>
      <c r="X614" s="18"/>
    </row>
    <row r="615" spans="1:24" ht="13.2">
      <c r="A615" s="17"/>
      <c r="E615" s="11"/>
      <c r="F615" s="11"/>
      <c r="G615" s="11"/>
      <c r="H615" s="17"/>
      <c r="L615" s="11"/>
      <c r="M615" s="11"/>
      <c r="N615" s="11"/>
      <c r="O615" s="18"/>
      <c r="Q615" s="17"/>
      <c r="X615" s="18"/>
    </row>
    <row r="616" spans="1:24" ht="13.2">
      <c r="A616" s="17"/>
      <c r="E616" s="11"/>
      <c r="F616" s="11"/>
      <c r="G616" s="11"/>
      <c r="H616" s="17"/>
      <c r="L616" s="11"/>
      <c r="M616" s="11"/>
      <c r="N616" s="11"/>
      <c r="O616" s="18"/>
      <c r="Q616" s="17"/>
      <c r="X616" s="18"/>
    </row>
    <row r="617" spans="1:24" ht="13.2">
      <c r="A617" s="17"/>
      <c r="E617" s="11"/>
      <c r="F617" s="11"/>
      <c r="G617" s="11"/>
      <c r="H617" s="17"/>
      <c r="L617" s="11"/>
      <c r="M617" s="11"/>
      <c r="N617" s="11"/>
      <c r="O617" s="18"/>
      <c r="Q617" s="17"/>
      <c r="X617" s="18"/>
    </row>
    <row r="618" spans="1:24" ht="13.2">
      <c r="A618" s="17"/>
      <c r="E618" s="11"/>
      <c r="F618" s="11"/>
      <c r="G618" s="11"/>
      <c r="H618" s="17"/>
      <c r="L618" s="11"/>
      <c r="M618" s="11"/>
      <c r="N618" s="11"/>
      <c r="O618" s="18"/>
      <c r="Q618" s="17"/>
      <c r="X618" s="18"/>
    </row>
    <row r="619" spans="1:24" ht="13.2">
      <c r="A619" s="17"/>
      <c r="E619" s="11"/>
      <c r="F619" s="11"/>
      <c r="G619" s="11"/>
      <c r="H619" s="17"/>
      <c r="L619" s="11"/>
      <c r="M619" s="11"/>
      <c r="N619" s="11"/>
      <c r="O619" s="18"/>
      <c r="Q619" s="17"/>
      <c r="X619" s="18"/>
    </row>
    <row r="620" spans="1:24" ht="13.2">
      <c r="A620" s="17"/>
      <c r="E620" s="11"/>
      <c r="F620" s="11"/>
      <c r="G620" s="11"/>
      <c r="H620" s="17"/>
      <c r="L620" s="11"/>
      <c r="M620" s="11"/>
      <c r="N620" s="11"/>
      <c r="O620" s="18"/>
      <c r="Q620" s="17"/>
      <c r="X620" s="18"/>
    </row>
    <row r="621" spans="1:24" ht="13.2">
      <c r="A621" s="17"/>
      <c r="E621" s="11"/>
      <c r="F621" s="11"/>
      <c r="G621" s="11"/>
      <c r="H621" s="17"/>
      <c r="L621" s="11"/>
      <c r="M621" s="11"/>
      <c r="N621" s="11"/>
      <c r="O621" s="18"/>
      <c r="Q621" s="17"/>
      <c r="X621" s="18"/>
    </row>
    <row r="622" spans="1:24" ht="13.2">
      <c r="A622" s="17"/>
      <c r="E622" s="11"/>
      <c r="F622" s="11"/>
      <c r="G622" s="11"/>
      <c r="H622" s="17"/>
      <c r="L622" s="11"/>
      <c r="M622" s="11"/>
      <c r="N622" s="11"/>
      <c r="O622" s="18"/>
      <c r="Q622" s="17"/>
      <c r="X622" s="18"/>
    </row>
    <row r="623" spans="1:24" ht="13.2">
      <c r="A623" s="17"/>
      <c r="E623" s="11"/>
      <c r="F623" s="11"/>
      <c r="G623" s="11"/>
      <c r="H623" s="17"/>
      <c r="L623" s="11"/>
      <c r="M623" s="11"/>
      <c r="N623" s="11"/>
      <c r="O623" s="18"/>
      <c r="Q623" s="17"/>
      <c r="X623" s="18"/>
    </row>
    <row r="624" spans="1:24" ht="13.2">
      <c r="A624" s="17"/>
      <c r="E624" s="11"/>
      <c r="F624" s="11"/>
      <c r="G624" s="11"/>
      <c r="H624" s="17"/>
      <c r="L624" s="11"/>
      <c r="M624" s="11"/>
      <c r="N624" s="11"/>
      <c r="O624" s="18"/>
      <c r="Q624" s="17"/>
      <c r="X624" s="18"/>
    </row>
    <row r="625" spans="1:24" ht="13.2">
      <c r="A625" s="17"/>
      <c r="E625" s="11"/>
      <c r="F625" s="11"/>
      <c r="G625" s="11"/>
      <c r="H625" s="17"/>
      <c r="L625" s="11"/>
      <c r="M625" s="11"/>
      <c r="N625" s="11"/>
      <c r="O625" s="18"/>
      <c r="Q625" s="17"/>
      <c r="X625" s="18"/>
    </row>
    <row r="626" spans="1:24" ht="13.2">
      <c r="A626" s="17"/>
      <c r="E626" s="11"/>
      <c r="F626" s="11"/>
      <c r="G626" s="11"/>
      <c r="H626" s="17"/>
      <c r="L626" s="11"/>
      <c r="M626" s="11"/>
      <c r="N626" s="11"/>
      <c r="O626" s="18"/>
      <c r="Q626" s="17"/>
      <c r="X626" s="18"/>
    </row>
    <row r="627" spans="1:24" ht="13.2">
      <c r="A627" s="17"/>
      <c r="E627" s="11"/>
      <c r="F627" s="11"/>
      <c r="G627" s="11"/>
      <c r="H627" s="17"/>
      <c r="L627" s="11"/>
      <c r="M627" s="11"/>
      <c r="N627" s="11"/>
      <c r="O627" s="18"/>
      <c r="Q627" s="17"/>
      <c r="X627" s="18"/>
    </row>
    <row r="628" spans="1:24" ht="13.2">
      <c r="A628" s="17"/>
      <c r="E628" s="11"/>
      <c r="F628" s="11"/>
      <c r="G628" s="11"/>
      <c r="H628" s="17"/>
      <c r="L628" s="11"/>
      <c r="M628" s="11"/>
      <c r="N628" s="11"/>
      <c r="O628" s="18"/>
      <c r="Q628" s="17"/>
      <c r="X628" s="18"/>
    </row>
    <row r="629" spans="1:24" ht="13.2">
      <c r="A629" s="17"/>
      <c r="E629" s="11"/>
      <c r="F629" s="11"/>
      <c r="G629" s="11"/>
      <c r="H629" s="17"/>
      <c r="L629" s="11"/>
      <c r="M629" s="11"/>
      <c r="N629" s="11"/>
      <c r="O629" s="18"/>
      <c r="Q629" s="17"/>
      <c r="X629" s="18"/>
    </row>
    <row r="630" spans="1:24" ht="13.2">
      <c r="A630" s="17"/>
      <c r="E630" s="11"/>
      <c r="F630" s="11"/>
      <c r="G630" s="11"/>
      <c r="H630" s="17"/>
      <c r="L630" s="11"/>
      <c r="M630" s="11"/>
      <c r="N630" s="11"/>
      <c r="O630" s="18"/>
      <c r="Q630" s="17"/>
      <c r="X630" s="18"/>
    </row>
    <row r="631" spans="1:24" ht="13.2">
      <c r="A631" s="17"/>
      <c r="E631" s="11"/>
      <c r="F631" s="11"/>
      <c r="G631" s="11"/>
      <c r="H631" s="17"/>
      <c r="L631" s="11"/>
      <c r="M631" s="11"/>
      <c r="N631" s="11"/>
      <c r="O631" s="18"/>
      <c r="Q631" s="17"/>
      <c r="X631" s="18"/>
    </row>
    <row r="632" spans="1:24" ht="13.2">
      <c r="A632" s="17"/>
      <c r="E632" s="11"/>
      <c r="F632" s="11"/>
      <c r="G632" s="11"/>
      <c r="H632" s="17"/>
      <c r="L632" s="11"/>
      <c r="M632" s="11"/>
      <c r="N632" s="11"/>
      <c r="O632" s="18"/>
      <c r="Q632" s="17"/>
      <c r="X632" s="18"/>
    </row>
    <row r="633" spans="1:24" ht="13.2">
      <c r="A633" s="17"/>
      <c r="E633" s="11"/>
      <c r="F633" s="11"/>
      <c r="G633" s="11"/>
      <c r="H633" s="17"/>
      <c r="L633" s="11"/>
      <c r="M633" s="11"/>
      <c r="N633" s="11"/>
      <c r="O633" s="18"/>
      <c r="Q633" s="17"/>
      <c r="X633" s="18"/>
    </row>
    <row r="634" spans="1:24" ht="13.2">
      <c r="A634" s="17"/>
      <c r="E634" s="11"/>
      <c r="F634" s="11"/>
      <c r="G634" s="11"/>
      <c r="H634" s="17"/>
      <c r="L634" s="11"/>
      <c r="M634" s="11"/>
      <c r="N634" s="11"/>
      <c r="O634" s="18"/>
      <c r="Q634" s="17"/>
      <c r="X634" s="18"/>
    </row>
    <row r="635" spans="1:24" ht="13.2">
      <c r="A635" s="17"/>
      <c r="E635" s="11"/>
      <c r="F635" s="11"/>
      <c r="G635" s="11"/>
      <c r="H635" s="17"/>
      <c r="L635" s="11"/>
      <c r="M635" s="11"/>
      <c r="N635" s="11"/>
      <c r="O635" s="18"/>
      <c r="Q635" s="17"/>
      <c r="X635" s="18"/>
    </row>
    <row r="636" spans="1:24" ht="13.2">
      <c r="A636" s="17"/>
      <c r="E636" s="11"/>
      <c r="F636" s="11"/>
      <c r="G636" s="11"/>
      <c r="H636" s="17"/>
      <c r="L636" s="11"/>
      <c r="M636" s="11"/>
      <c r="N636" s="11"/>
      <c r="O636" s="18"/>
      <c r="Q636" s="17"/>
      <c r="X636" s="18"/>
    </row>
    <row r="637" spans="1:24" ht="13.2">
      <c r="A637" s="17"/>
      <c r="E637" s="11"/>
      <c r="F637" s="11"/>
      <c r="G637" s="11"/>
      <c r="H637" s="17"/>
      <c r="L637" s="11"/>
      <c r="M637" s="11"/>
      <c r="N637" s="11"/>
      <c r="O637" s="18"/>
      <c r="Q637" s="17"/>
      <c r="X637" s="18"/>
    </row>
    <row r="638" spans="1:24" ht="13.2">
      <c r="A638" s="17"/>
      <c r="E638" s="11"/>
      <c r="F638" s="11"/>
      <c r="G638" s="11"/>
      <c r="H638" s="17"/>
      <c r="L638" s="11"/>
      <c r="M638" s="11"/>
      <c r="N638" s="11"/>
      <c r="O638" s="18"/>
      <c r="Q638" s="17"/>
      <c r="X638" s="18"/>
    </row>
    <row r="639" spans="1:24" ht="13.2">
      <c r="A639" s="17"/>
      <c r="E639" s="11"/>
      <c r="F639" s="11"/>
      <c r="G639" s="11"/>
      <c r="H639" s="17"/>
      <c r="L639" s="11"/>
      <c r="M639" s="11"/>
      <c r="N639" s="11"/>
      <c r="O639" s="18"/>
      <c r="Q639" s="17"/>
      <c r="X639" s="18"/>
    </row>
    <row r="640" spans="1:24" ht="13.2">
      <c r="A640" s="17"/>
      <c r="E640" s="11"/>
      <c r="F640" s="11"/>
      <c r="G640" s="11"/>
      <c r="H640" s="17"/>
      <c r="L640" s="11"/>
      <c r="M640" s="11"/>
      <c r="N640" s="11"/>
      <c r="O640" s="18"/>
      <c r="Q640" s="17"/>
      <c r="X640" s="18"/>
    </row>
    <row r="641" spans="1:24" ht="13.2">
      <c r="A641" s="17"/>
      <c r="E641" s="11"/>
      <c r="F641" s="11"/>
      <c r="G641" s="11"/>
      <c r="H641" s="17"/>
      <c r="L641" s="11"/>
      <c r="M641" s="11"/>
      <c r="N641" s="11"/>
      <c r="O641" s="18"/>
      <c r="Q641" s="17"/>
      <c r="X641" s="18"/>
    </row>
    <row r="642" spans="1:24" ht="13.2">
      <c r="A642" s="17"/>
      <c r="E642" s="11"/>
      <c r="F642" s="11"/>
      <c r="G642" s="11"/>
      <c r="H642" s="17"/>
      <c r="L642" s="11"/>
      <c r="M642" s="11"/>
      <c r="N642" s="11"/>
      <c r="O642" s="18"/>
      <c r="Q642" s="17"/>
      <c r="X642" s="18"/>
    </row>
    <row r="643" spans="1:24" ht="13.2">
      <c r="A643" s="17"/>
      <c r="E643" s="11"/>
      <c r="F643" s="11"/>
      <c r="G643" s="11"/>
      <c r="H643" s="17"/>
      <c r="L643" s="11"/>
      <c r="M643" s="11"/>
      <c r="N643" s="11"/>
      <c r="O643" s="18"/>
      <c r="Q643" s="17"/>
      <c r="X643" s="18"/>
    </row>
    <row r="644" spans="1:24" ht="13.2">
      <c r="A644" s="17"/>
      <c r="E644" s="11"/>
      <c r="F644" s="11"/>
      <c r="G644" s="11"/>
      <c r="H644" s="17"/>
      <c r="L644" s="11"/>
      <c r="M644" s="11"/>
      <c r="N644" s="11"/>
      <c r="O644" s="18"/>
      <c r="Q644" s="17"/>
      <c r="X644" s="18"/>
    </row>
    <row r="645" spans="1:24" ht="13.2">
      <c r="A645" s="17"/>
      <c r="E645" s="11"/>
      <c r="F645" s="11"/>
      <c r="G645" s="11"/>
      <c r="H645" s="17"/>
      <c r="L645" s="11"/>
      <c r="M645" s="11"/>
      <c r="N645" s="11"/>
      <c r="O645" s="18"/>
      <c r="Q645" s="17"/>
      <c r="X645" s="18"/>
    </row>
    <row r="646" spans="1:24" ht="13.2">
      <c r="A646" s="17"/>
      <c r="E646" s="11"/>
      <c r="F646" s="11"/>
      <c r="G646" s="11"/>
      <c r="H646" s="17"/>
      <c r="L646" s="11"/>
      <c r="M646" s="11"/>
      <c r="N646" s="11"/>
      <c r="O646" s="18"/>
      <c r="Q646" s="17"/>
      <c r="X646" s="18"/>
    </row>
    <row r="647" spans="1:24" ht="13.2">
      <c r="A647" s="17"/>
      <c r="E647" s="11"/>
      <c r="F647" s="11"/>
      <c r="G647" s="11"/>
      <c r="H647" s="17"/>
      <c r="L647" s="11"/>
      <c r="M647" s="11"/>
      <c r="N647" s="11"/>
      <c r="O647" s="18"/>
      <c r="Q647" s="17"/>
      <c r="X647" s="18"/>
    </row>
    <row r="648" spans="1:24" ht="13.2">
      <c r="A648" s="17"/>
      <c r="E648" s="11"/>
      <c r="F648" s="11"/>
      <c r="G648" s="11"/>
      <c r="H648" s="17"/>
      <c r="L648" s="11"/>
      <c r="M648" s="11"/>
      <c r="N648" s="11"/>
      <c r="O648" s="18"/>
      <c r="Q648" s="17"/>
      <c r="X648" s="18"/>
    </row>
    <row r="649" spans="1:24" ht="13.2">
      <c r="A649" s="17"/>
      <c r="E649" s="11"/>
      <c r="F649" s="11"/>
      <c r="G649" s="11"/>
      <c r="H649" s="17"/>
      <c r="L649" s="11"/>
      <c r="M649" s="11"/>
      <c r="N649" s="11"/>
      <c r="O649" s="18"/>
      <c r="Q649" s="17"/>
      <c r="X649" s="18"/>
    </row>
    <row r="650" spans="1:24" ht="13.2">
      <c r="A650" s="17"/>
      <c r="E650" s="11"/>
      <c r="F650" s="11"/>
      <c r="G650" s="11"/>
      <c r="H650" s="17"/>
      <c r="L650" s="11"/>
      <c r="M650" s="11"/>
      <c r="N650" s="11"/>
      <c r="O650" s="18"/>
      <c r="Q650" s="17"/>
      <c r="X650" s="18"/>
    </row>
    <row r="651" spans="1:24" ht="13.2">
      <c r="A651" s="17"/>
      <c r="E651" s="11"/>
      <c r="F651" s="11"/>
      <c r="G651" s="11"/>
      <c r="H651" s="17"/>
      <c r="L651" s="11"/>
      <c r="M651" s="11"/>
      <c r="N651" s="11"/>
      <c r="O651" s="18"/>
      <c r="Q651" s="17"/>
      <c r="X651" s="18"/>
    </row>
    <row r="652" spans="1:24" ht="13.2">
      <c r="A652" s="17"/>
      <c r="E652" s="11"/>
      <c r="F652" s="11"/>
      <c r="G652" s="11"/>
      <c r="H652" s="17"/>
      <c r="L652" s="11"/>
      <c r="M652" s="11"/>
      <c r="N652" s="11"/>
      <c r="O652" s="18"/>
      <c r="Q652" s="17"/>
      <c r="X652" s="18"/>
    </row>
    <row r="653" spans="1:24" ht="13.2">
      <c r="A653" s="17"/>
      <c r="E653" s="11"/>
      <c r="F653" s="11"/>
      <c r="G653" s="11"/>
      <c r="H653" s="17"/>
      <c r="L653" s="11"/>
      <c r="M653" s="11"/>
      <c r="N653" s="11"/>
      <c r="O653" s="18"/>
      <c r="Q653" s="17"/>
      <c r="X653" s="18"/>
    </row>
    <row r="654" spans="1:24" ht="13.2">
      <c r="A654" s="17"/>
      <c r="E654" s="11"/>
      <c r="F654" s="11"/>
      <c r="G654" s="11"/>
      <c r="H654" s="17"/>
      <c r="L654" s="11"/>
      <c r="M654" s="11"/>
      <c r="N654" s="11"/>
      <c r="O654" s="18"/>
      <c r="Q654" s="17"/>
      <c r="X654" s="18"/>
    </row>
    <row r="655" spans="1:24" ht="13.2">
      <c r="A655" s="17"/>
      <c r="E655" s="11"/>
      <c r="F655" s="11"/>
      <c r="G655" s="11"/>
      <c r="H655" s="17"/>
      <c r="L655" s="11"/>
      <c r="M655" s="11"/>
      <c r="N655" s="11"/>
      <c r="O655" s="18"/>
      <c r="Q655" s="17"/>
      <c r="X655" s="18"/>
    </row>
    <row r="656" spans="1:24" ht="13.2">
      <c r="A656" s="17"/>
      <c r="E656" s="11"/>
      <c r="F656" s="11"/>
      <c r="G656" s="11"/>
      <c r="H656" s="17"/>
      <c r="L656" s="11"/>
      <c r="M656" s="11"/>
      <c r="N656" s="11"/>
      <c r="O656" s="18"/>
      <c r="Q656" s="17"/>
      <c r="X656" s="18"/>
    </row>
    <row r="657" spans="1:24" ht="13.2">
      <c r="A657" s="17"/>
      <c r="E657" s="11"/>
      <c r="F657" s="11"/>
      <c r="G657" s="11"/>
      <c r="H657" s="17"/>
      <c r="L657" s="11"/>
      <c r="M657" s="11"/>
      <c r="N657" s="11"/>
      <c r="O657" s="18"/>
      <c r="Q657" s="17"/>
      <c r="X657" s="18"/>
    </row>
    <row r="658" spans="1:24" ht="13.2">
      <c r="A658" s="17"/>
      <c r="E658" s="11"/>
      <c r="F658" s="11"/>
      <c r="G658" s="11"/>
      <c r="H658" s="17"/>
      <c r="L658" s="11"/>
      <c r="M658" s="11"/>
      <c r="N658" s="11"/>
      <c r="O658" s="18"/>
      <c r="Q658" s="17"/>
      <c r="X658" s="18"/>
    </row>
    <row r="659" spans="1:24" ht="13.2">
      <c r="A659" s="17"/>
      <c r="E659" s="11"/>
      <c r="F659" s="11"/>
      <c r="G659" s="11"/>
      <c r="H659" s="17"/>
      <c r="L659" s="11"/>
      <c r="M659" s="11"/>
      <c r="N659" s="11"/>
      <c r="O659" s="18"/>
      <c r="Q659" s="17"/>
      <c r="X659" s="18"/>
    </row>
    <row r="660" spans="1:24" ht="13.2">
      <c r="A660" s="17"/>
      <c r="E660" s="11"/>
      <c r="F660" s="11"/>
      <c r="G660" s="11"/>
      <c r="H660" s="17"/>
      <c r="L660" s="11"/>
      <c r="M660" s="11"/>
      <c r="N660" s="11"/>
      <c r="O660" s="18"/>
      <c r="Q660" s="17"/>
      <c r="X660" s="18"/>
    </row>
    <row r="661" spans="1:24" ht="13.2">
      <c r="A661" s="17"/>
      <c r="E661" s="11"/>
      <c r="F661" s="11"/>
      <c r="G661" s="11"/>
      <c r="H661" s="17"/>
      <c r="L661" s="11"/>
      <c r="M661" s="11"/>
      <c r="N661" s="11"/>
      <c r="O661" s="18"/>
      <c r="Q661" s="17"/>
      <c r="X661" s="18"/>
    </row>
    <row r="662" spans="1:24" ht="13.2">
      <c r="A662" s="17"/>
      <c r="E662" s="11"/>
      <c r="F662" s="11"/>
      <c r="G662" s="11"/>
      <c r="H662" s="17"/>
      <c r="L662" s="11"/>
      <c r="M662" s="11"/>
      <c r="N662" s="11"/>
      <c r="O662" s="18"/>
      <c r="Q662" s="17"/>
      <c r="X662" s="18"/>
    </row>
    <row r="663" spans="1:24" ht="13.2">
      <c r="A663" s="17"/>
      <c r="E663" s="11"/>
      <c r="F663" s="11"/>
      <c r="G663" s="11"/>
      <c r="H663" s="17"/>
      <c r="L663" s="11"/>
      <c r="M663" s="11"/>
      <c r="N663" s="11"/>
      <c r="O663" s="18"/>
      <c r="Q663" s="17"/>
      <c r="X663" s="18"/>
    </row>
    <row r="664" spans="1:24" ht="13.2">
      <c r="A664" s="17"/>
      <c r="E664" s="11"/>
      <c r="F664" s="11"/>
      <c r="G664" s="11"/>
      <c r="H664" s="17"/>
      <c r="L664" s="11"/>
      <c r="M664" s="11"/>
      <c r="N664" s="11"/>
      <c r="O664" s="18"/>
      <c r="Q664" s="17"/>
      <c r="X664" s="18"/>
    </row>
    <row r="665" spans="1:24" ht="13.2">
      <c r="A665" s="17"/>
      <c r="E665" s="11"/>
      <c r="F665" s="11"/>
      <c r="G665" s="11"/>
      <c r="H665" s="17"/>
      <c r="L665" s="11"/>
      <c r="M665" s="11"/>
      <c r="N665" s="11"/>
      <c r="O665" s="18"/>
      <c r="Q665" s="17"/>
      <c r="X665" s="18"/>
    </row>
    <row r="666" spans="1:24" ht="13.2">
      <c r="A666" s="17"/>
      <c r="E666" s="11"/>
      <c r="F666" s="11"/>
      <c r="G666" s="11"/>
      <c r="H666" s="17"/>
      <c r="L666" s="11"/>
      <c r="M666" s="11"/>
      <c r="N666" s="11"/>
      <c r="O666" s="18"/>
      <c r="Q666" s="17"/>
      <c r="X666" s="18"/>
    </row>
    <row r="667" spans="1:24" ht="13.2">
      <c r="A667" s="17"/>
      <c r="E667" s="11"/>
      <c r="F667" s="11"/>
      <c r="G667" s="11"/>
      <c r="H667" s="17"/>
      <c r="L667" s="11"/>
      <c r="M667" s="11"/>
      <c r="N667" s="11"/>
      <c r="O667" s="18"/>
      <c r="Q667" s="17"/>
      <c r="X667" s="18"/>
    </row>
    <row r="668" spans="1:24" ht="13.2">
      <c r="A668" s="17"/>
      <c r="E668" s="11"/>
      <c r="F668" s="11"/>
      <c r="G668" s="11"/>
      <c r="H668" s="17"/>
      <c r="L668" s="11"/>
      <c r="M668" s="11"/>
      <c r="N668" s="11"/>
      <c r="O668" s="18"/>
      <c r="Q668" s="17"/>
      <c r="X668" s="18"/>
    </row>
    <row r="669" spans="1:24" ht="13.2">
      <c r="A669" s="17"/>
      <c r="E669" s="11"/>
      <c r="F669" s="11"/>
      <c r="G669" s="11"/>
      <c r="H669" s="17"/>
      <c r="L669" s="11"/>
      <c r="M669" s="11"/>
      <c r="N669" s="11"/>
      <c r="O669" s="18"/>
      <c r="Q669" s="17"/>
      <c r="X669" s="18"/>
    </row>
    <row r="670" spans="1:24" ht="13.2">
      <c r="A670" s="17"/>
      <c r="E670" s="11"/>
      <c r="F670" s="11"/>
      <c r="G670" s="11"/>
      <c r="H670" s="17"/>
      <c r="L670" s="11"/>
      <c r="M670" s="11"/>
      <c r="N670" s="11"/>
      <c r="O670" s="18"/>
      <c r="Q670" s="17"/>
      <c r="X670" s="18"/>
    </row>
    <row r="671" spans="1:24" ht="13.2">
      <c r="A671" s="17"/>
      <c r="E671" s="11"/>
      <c r="F671" s="11"/>
      <c r="G671" s="11"/>
      <c r="H671" s="17"/>
      <c r="L671" s="11"/>
      <c r="M671" s="11"/>
      <c r="N671" s="11"/>
      <c r="O671" s="18"/>
      <c r="Q671" s="17"/>
      <c r="X671" s="18"/>
    </row>
    <row r="672" spans="1:24" ht="13.2">
      <c r="A672" s="17"/>
      <c r="E672" s="11"/>
      <c r="F672" s="11"/>
      <c r="G672" s="11"/>
      <c r="H672" s="17"/>
      <c r="L672" s="11"/>
      <c r="M672" s="11"/>
      <c r="N672" s="11"/>
      <c r="O672" s="18"/>
      <c r="Q672" s="17"/>
      <c r="X672" s="18"/>
    </row>
    <row r="673" spans="1:24" ht="13.2">
      <c r="A673" s="17"/>
      <c r="E673" s="11"/>
      <c r="F673" s="11"/>
      <c r="G673" s="11"/>
      <c r="H673" s="17"/>
      <c r="L673" s="11"/>
      <c r="M673" s="11"/>
      <c r="N673" s="11"/>
      <c r="O673" s="18"/>
      <c r="Q673" s="17"/>
      <c r="X673" s="18"/>
    </row>
    <row r="674" spans="1:24" ht="13.2">
      <c r="A674" s="17"/>
      <c r="E674" s="11"/>
      <c r="F674" s="11"/>
      <c r="G674" s="11"/>
      <c r="H674" s="17"/>
      <c r="L674" s="11"/>
      <c r="M674" s="11"/>
      <c r="N674" s="11"/>
      <c r="O674" s="18"/>
      <c r="Q674" s="17"/>
      <c r="X674" s="18"/>
    </row>
    <row r="675" spans="1:24" ht="13.2">
      <c r="A675" s="17"/>
      <c r="E675" s="11"/>
      <c r="F675" s="11"/>
      <c r="G675" s="11"/>
      <c r="H675" s="17"/>
      <c r="L675" s="11"/>
      <c r="M675" s="11"/>
      <c r="N675" s="11"/>
      <c r="O675" s="18"/>
      <c r="Q675" s="17"/>
      <c r="X675" s="18"/>
    </row>
    <row r="676" spans="1:24" ht="13.2">
      <c r="A676" s="17"/>
      <c r="E676" s="11"/>
      <c r="F676" s="11"/>
      <c r="G676" s="11"/>
      <c r="H676" s="17"/>
      <c r="L676" s="11"/>
      <c r="M676" s="11"/>
      <c r="N676" s="11"/>
      <c r="O676" s="18"/>
      <c r="Q676" s="17"/>
      <c r="X676" s="18"/>
    </row>
    <row r="677" spans="1:24" ht="13.2">
      <c r="A677" s="17"/>
      <c r="E677" s="11"/>
      <c r="F677" s="11"/>
      <c r="G677" s="11"/>
      <c r="H677" s="17"/>
      <c r="L677" s="11"/>
      <c r="M677" s="11"/>
      <c r="N677" s="11"/>
      <c r="O677" s="18"/>
      <c r="Q677" s="17"/>
      <c r="X677" s="18"/>
    </row>
    <row r="678" spans="1:24" ht="13.2">
      <c r="A678" s="17"/>
      <c r="E678" s="11"/>
      <c r="F678" s="11"/>
      <c r="G678" s="11"/>
      <c r="H678" s="17"/>
      <c r="L678" s="11"/>
      <c r="M678" s="11"/>
      <c r="N678" s="11"/>
      <c r="O678" s="18"/>
      <c r="Q678" s="17"/>
      <c r="X678" s="18"/>
    </row>
    <row r="679" spans="1:24" ht="13.2">
      <c r="A679" s="17"/>
      <c r="E679" s="11"/>
      <c r="F679" s="11"/>
      <c r="G679" s="11"/>
      <c r="H679" s="17"/>
      <c r="L679" s="11"/>
      <c r="M679" s="11"/>
      <c r="N679" s="11"/>
      <c r="O679" s="18"/>
      <c r="Q679" s="17"/>
      <c r="X679" s="18"/>
    </row>
    <row r="680" spans="1:24" ht="13.2">
      <c r="A680" s="17"/>
      <c r="E680" s="11"/>
      <c r="F680" s="11"/>
      <c r="G680" s="11"/>
      <c r="H680" s="17"/>
      <c r="L680" s="11"/>
      <c r="M680" s="11"/>
      <c r="N680" s="11"/>
      <c r="O680" s="18"/>
      <c r="Q680" s="17"/>
      <c r="X680" s="18"/>
    </row>
    <row r="681" spans="1:24" ht="13.2">
      <c r="A681" s="17"/>
      <c r="E681" s="11"/>
      <c r="F681" s="11"/>
      <c r="G681" s="11"/>
      <c r="H681" s="17"/>
      <c r="L681" s="11"/>
      <c r="M681" s="11"/>
      <c r="N681" s="11"/>
      <c r="O681" s="18"/>
      <c r="Q681" s="17"/>
      <c r="X681" s="18"/>
    </row>
    <row r="682" spans="1:24" ht="13.2">
      <c r="A682" s="17"/>
      <c r="E682" s="11"/>
      <c r="F682" s="11"/>
      <c r="G682" s="11"/>
      <c r="H682" s="17"/>
      <c r="L682" s="11"/>
      <c r="M682" s="11"/>
      <c r="N682" s="11"/>
      <c r="O682" s="18"/>
      <c r="Q682" s="17"/>
      <c r="X682" s="18"/>
    </row>
    <row r="683" spans="1:24" ht="13.2">
      <c r="A683" s="17"/>
      <c r="E683" s="11"/>
      <c r="F683" s="11"/>
      <c r="G683" s="11"/>
      <c r="H683" s="17"/>
      <c r="L683" s="11"/>
      <c r="M683" s="11"/>
      <c r="N683" s="11"/>
      <c r="O683" s="18"/>
      <c r="Q683" s="17"/>
      <c r="X683" s="18"/>
    </row>
    <row r="684" spans="1:24" ht="13.2">
      <c r="A684" s="17"/>
      <c r="E684" s="11"/>
      <c r="F684" s="11"/>
      <c r="G684" s="11"/>
      <c r="H684" s="17"/>
      <c r="L684" s="11"/>
      <c r="M684" s="11"/>
      <c r="N684" s="11"/>
      <c r="O684" s="18"/>
      <c r="Q684" s="17"/>
      <c r="X684" s="18"/>
    </row>
    <row r="685" spans="1:24" ht="13.2">
      <c r="A685" s="17"/>
      <c r="E685" s="11"/>
      <c r="F685" s="11"/>
      <c r="G685" s="11"/>
      <c r="H685" s="17"/>
      <c r="L685" s="11"/>
      <c r="M685" s="11"/>
      <c r="N685" s="11"/>
      <c r="O685" s="18"/>
      <c r="Q685" s="17"/>
      <c r="X685" s="18"/>
    </row>
    <row r="686" spans="1:24" ht="13.2">
      <c r="A686" s="17"/>
      <c r="E686" s="11"/>
      <c r="F686" s="11"/>
      <c r="G686" s="11"/>
      <c r="H686" s="17"/>
      <c r="L686" s="11"/>
      <c r="M686" s="11"/>
      <c r="N686" s="11"/>
      <c r="O686" s="18"/>
      <c r="Q686" s="17"/>
      <c r="X686" s="18"/>
    </row>
    <row r="687" spans="1:24" ht="13.2">
      <c r="A687" s="17"/>
      <c r="E687" s="11"/>
      <c r="F687" s="11"/>
      <c r="G687" s="11"/>
      <c r="H687" s="17"/>
      <c r="L687" s="11"/>
      <c r="M687" s="11"/>
      <c r="N687" s="11"/>
      <c r="O687" s="18"/>
      <c r="Q687" s="17"/>
      <c r="X687" s="18"/>
    </row>
    <row r="688" spans="1:24" ht="13.2">
      <c r="A688" s="17"/>
      <c r="E688" s="11"/>
      <c r="F688" s="11"/>
      <c r="G688" s="11"/>
      <c r="H688" s="17"/>
      <c r="L688" s="11"/>
      <c r="M688" s="11"/>
      <c r="N688" s="11"/>
      <c r="O688" s="18"/>
      <c r="Q688" s="17"/>
      <c r="X688" s="18"/>
    </row>
    <row r="689" spans="1:24" ht="13.2">
      <c r="A689" s="17"/>
      <c r="E689" s="11"/>
      <c r="F689" s="11"/>
      <c r="G689" s="11"/>
      <c r="H689" s="17"/>
      <c r="L689" s="11"/>
      <c r="M689" s="11"/>
      <c r="N689" s="11"/>
      <c r="O689" s="18"/>
      <c r="Q689" s="17"/>
      <c r="X689" s="18"/>
    </row>
    <row r="690" spans="1:24" ht="13.2">
      <c r="A690" s="17"/>
      <c r="E690" s="11"/>
      <c r="F690" s="11"/>
      <c r="G690" s="11"/>
      <c r="H690" s="17"/>
      <c r="L690" s="11"/>
      <c r="M690" s="11"/>
      <c r="N690" s="11"/>
      <c r="O690" s="18"/>
      <c r="Q690" s="17"/>
      <c r="X690" s="18"/>
    </row>
    <row r="691" spans="1:24" ht="13.2">
      <c r="A691" s="17"/>
      <c r="E691" s="11"/>
      <c r="F691" s="11"/>
      <c r="G691" s="11"/>
      <c r="H691" s="17"/>
      <c r="L691" s="11"/>
      <c r="M691" s="11"/>
      <c r="N691" s="11"/>
      <c r="O691" s="18"/>
      <c r="Q691" s="17"/>
      <c r="X691" s="18"/>
    </row>
    <row r="692" spans="1:24" ht="13.2">
      <c r="A692" s="17"/>
      <c r="E692" s="11"/>
      <c r="F692" s="11"/>
      <c r="G692" s="11"/>
      <c r="H692" s="17"/>
      <c r="L692" s="11"/>
      <c r="M692" s="11"/>
      <c r="N692" s="11"/>
      <c r="O692" s="18"/>
      <c r="Q692" s="17"/>
      <c r="X692" s="18"/>
    </row>
    <row r="693" spans="1:24" ht="13.2">
      <c r="A693" s="17"/>
      <c r="E693" s="11"/>
      <c r="F693" s="11"/>
      <c r="G693" s="11"/>
      <c r="H693" s="17"/>
      <c r="L693" s="11"/>
      <c r="M693" s="11"/>
      <c r="N693" s="11"/>
      <c r="O693" s="18"/>
      <c r="Q693" s="17"/>
      <c r="X693" s="18"/>
    </row>
    <row r="694" spans="1:24" ht="13.2">
      <c r="A694" s="17"/>
      <c r="E694" s="11"/>
      <c r="F694" s="11"/>
      <c r="G694" s="11"/>
      <c r="H694" s="17"/>
      <c r="L694" s="11"/>
      <c r="M694" s="11"/>
      <c r="N694" s="11"/>
      <c r="O694" s="18"/>
      <c r="Q694" s="17"/>
      <c r="X694" s="18"/>
    </row>
    <row r="695" spans="1:24" ht="13.2">
      <c r="A695" s="17"/>
      <c r="E695" s="11"/>
      <c r="F695" s="11"/>
      <c r="G695" s="11"/>
      <c r="H695" s="17"/>
      <c r="L695" s="11"/>
      <c r="M695" s="11"/>
      <c r="N695" s="11"/>
      <c r="O695" s="18"/>
      <c r="Q695" s="17"/>
      <c r="X695" s="18"/>
    </row>
    <row r="696" spans="1:24" ht="13.2">
      <c r="A696" s="17"/>
      <c r="E696" s="11"/>
      <c r="F696" s="11"/>
      <c r="G696" s="11"/>
      <c r="H696" s="17"/>
      <c r="L696" s="11"/>
      <c r="M696" s="11"/>
      <c r="N696" s="11"/>
      <c r="O696" s="18"/>
      <c r="Q696" s="17"/>
      <c r="X696" s="18"/>
    </row>
    <row r="697" spans="1:24" ht="13.2">
      <c r="A697" s="17"/>
      <c r="E697" s="11"/>
      <c r="F697" s="11"/>
      <c r="G697" s="11"/>
      <c r="H697" s="17"/>
      <c r="L697" s="11"/>
      <c r="M697" s="11"/>
      <c r="N697" s="11"/>
      <c r="O697" s="18"/>
      <c r="Q697" s="17"/>
      <c r="X697" s="18"/>
    </row>
    <row r="698" spans="1:24" ht="13.2">
      <c r="A698" s="17"/>
      <c r="E698" s="11"/>
      <c r="F698" s="11"/>
      <c r="G698" s="11"/>
      <c r="H698" s="17"/>
      <c r="L698" s="11"/>
      <c r="M698" s="11"/>
      <c r="N698" s="11"/>
      <c r="O698" s="18"/>
      <c r="Q698" s="17"/>
      <c r="X698" s="18"/>
    </row>
    <row r="699" spans="1:24" ht="13.2">
      <c r="A699" s="17"/>
      <c r="E699" s="11"/>
      <c r="F699" s="11"/>
      <c r="G699" s="11"/>
      <c r="H699" s="17"/>
      <c r="L699" s="11"/>
      <c r="M699" s="11"/>
      <c r="N699" s="11"/>
      <c r="O699" s="18"/>
      <c r="Q699" s="17"/>
      <c r="X699" s="18"/>
    </row>
    <row r="700" spans="1:24" ht="13.2">
      <c r="A700" s="17"/>
      <c r="E700" s="11"/>
      <c r="F700" s="11"/>
      <c r="G700" s="11"/>
      <c r="H700" s="17"/>
      <c r="L700" s="11"/>
      <c r="M700" s="11"/>
      <c r="N700" s="11"/>
      <c r="O700" s="18"/>
      <c r="Q700" s="17"/>
      <c r="X700" s="18"/>
    </row>
    <row r="701" spans="1:24" ht="13.2">
      <c r="A701" s="17"/>
      <c r="E701" s="11"/>
      <c r="F701" s="11"/>
      <c r="G701" s="11"/>
      <c r="H701" s="17"/>
      <c r="L701" s="11"/>
      <c r="M701" s="11"/>
      <c r="N701" s="11"/>
      <c r="O701" s="18"/>
      <c r="Q701" s="17"/>
      <c r="X701" s="18"/>
    </row>
    <row r="702" spans="1:24" ht="13.2">
      <c r="A702" s="17"/>
      <c r="E702" s="11"/>
      <c r="F702" s="11"/>
      <c r="G702" s="11"/>
      <c r="H702" s="17"/>
      <c r="L702" s="11"/>
      <c r="M702" s="11"/>
      <c r="N702" s="11"/>
      <c r="O702" s="18"/>
      <c r="Q702" s="17"/>
      <c r="X702" s="18"/>
    </row>
    <row r="703" spans="1:24" ht="13.2">
      <c r="A703" s="17"/>
      <c r="E703" s="11"/>
      <c r="F703" s="11"/>
      <c r="G703" s="11"/>
      <c r="H703" s="17"/>
      <c r="L703" s="11"/>
      <c r="M703" s="11"/>
      <c r="N703" s="11"/>
      <c r="O703" s="18"/>
      <c r="Q703" s="17"/>
      <c r="X703" s="18"/>
    </row>
    <row r="704" spans="1:24" ht="13.2">
      <c r="A704" s="17"/>
      <c r="E704" s="11"/>
      <c r="F704" s="11"/>
      <c r="G704" s="11"/>
      <c r="H704" s="17"/>
      <c r="L704" s="11"/>
      <c r="M704" s="11"/>
      <c r="N704" s="11"/>
      <c r="O704" s="18"/>
      <c r="Q704" s="17"/>
      <c r="X704" s="18"/>
    </row>
    <row r="705" spans="1:24" ht="13.2">
      <c r="A705" s="17"/>
      <c r="E705" s="11"/>
      <c r="F705" s="11"/>
      <c r="G705" s="11"/>
      <c r="H705" s="17"/>
      <c r="L705" s="11"/>
      <c r="M705" s="11"/>
      <c r="N705" s="11"/>
      <c r="O705" s="18"/>
      <c r="Q705" s="17"/>
      <c r="X705" s="18"/>
    </row>
    <row r="706" spans="1:24" ht="13.2">
      <c r="A706" s="17"/>
      <c r="E706" s="11"/>
      <c r="F706" s="11"/>
      <c r="G706" s="11"/>
      <c r="H706" s="17"/>
      <c r="L706" s="11"/>
      <c r="M706" s="11"/>
      <c r="N706" s="11"/>
      <c r="O706" s="18"/>
      <c r="Q706" s="17"/>
      <c r="X706" s="18"/>
    </row>
    <row r="707" spans="1:24" ht="13.2">
      <c r="A707" s="17"/>
      <c r="E707" s="11"/>
      <c r="F707" s="11"/>
      <c r="G707" s="11"/>
      <c r="H707" s="17"/>
      <c r="L707" s="11"/>
      <c r="M707" s="11"/>
      <c r="N707" s="11"/>
      <c r="O707" s="18"/>
      <c r="Q707" s="17"/>
      <c r="X707" s="18"/>
    </row>
    <row r="708" spans="1:24" ht="13.2">
      <c r="A708" s="17"/>
      <c r="E708" s="11"/>
      <c r="F708" s="11"/>
      <c r="G708" s="11"/>
      <c r="H708" s="17"/>
      <c r="L708" s="11"/>
      <c r="M708" s="11"/>
      <c r="N708" s="11"/>
      <c r="O708" s="18"/>
      <c r="Q708" s="17"/>
      <c r="X708" s="18"/>
    </row>
    <row r="709" spans="1:24" ht="13.2">
      <c r="A709" s="17"/>
      <c r="E709" s="11"/>
      <c r="F709" s="11"/>
      <c r="G709" s="11"/>
      <c r="H709" s="17"/>
      <c r="L709" s="11"/>
      <c r="M709" s="11"/>
      <c r="N709" s="11"/>
      <c r="O709" s="18"/>
      <c r="Q709" s="17"/>
      <c r="X709" s="18"/>
    </row>
    <row r="710" spans="1:24" ht="13.2">
      <c r="A710" s="17"/>
      <c r="E710" s="11"/>
      <c r="F710" s="11"/>
      <c r="G710" s="11"/>
      <c r="H710" s="17"/>
      <c r="L710" s="11"/>
      <c r="M710" s="11"/>
      <c r="N710" s="11"/>
      <c r="O710" s="18"/>
      <c r="Q710" s="17"/>
      <c r="X710" s="18"/>
    </row>
    <row r="711" spans="1:24" ht="13.2">
      <c r="A711" s="17"/>
      <c r="E711" s="11"/>
      <c r="F711" s="11"/>
      <c r="G711" s="11"/>
      <c r="H711" s="17"/>
      <c r="L711" s="11"/>
      <c r="M711" s="11"/>
      <c r="N711" s="11"/>
      <c r="O711" s="18"/>
      <c r="Q711" s="17"/>
      <c r="X711" s="18"/>
    </row>
    <row r="712" spans="1:24" ht="13.2">
      <c r="A712" s="17"/>
      <c r="E712" s="11"/>
      <c r="F712" s="11"/>
      <c r="G712" s="11"/>
      <c r="H712" s="17"/>
      <c r="L712" s="11"/>
      <c r="M712" s="11"/>
      <c r="N712" s="11"/>
      <c r="O712" s="18"/>
      <c r="Q712" s="17"/>
      <c r="X712" s="18"/>
    </row>
    <row r="713" spans="1:24" ht="13.2">
      <c r="A713" s="17"/>
      <c r="E713" s="11"/>
      <c r="F713" s="11"/>
      <c r="G713" s="11"/>
      <c r="H713" s="17"/>
      <c r="L713" s="11"/>
      <c r="M713" s="11"/>
      <c r="N713" s="11"/>
      <c r="O713" s="18"/>
      <c r="Q713" s="17"/>
      <c r="X713" s="18"/>
    </row>
    <row r="714" spans="1:24" ht="13.2">
      <c r="A714" s="17"/>
      <c r="E714" s="11"/>
      <c r="F714" s="11"/>
      <c r="G714" s="11"/>
      <c r="H714" s="17"/>
      <c r="L714" s="11"/>
      <c r="M714" s="11"/>
      <c r="N714" s="11"/>
      <c r="O714" s="18"/>
      <c r="Q714" s="17"/>
      <c r="X714" s="18"/>
    </row>
    <row r="715" spans="1:24" ht="13.2">
      <c r="A715" s="17"/>
      <c r="E715" s="11"/>
      <c r="F715" s="11"/>
      <c r="G715" s="11"/>
      <c r="H715" s="17"/>
      <c r="L715" s="11"/>
      <c r="M715" s="11"/>
      <c r="N715" s="11"/>
      <c r="O715" s="18"/>
      <c r="Q715" s="17"/>
      <c r="X715" s="18"/>
    </row>
    <row r="716" spans="1:24" ht="13.2">
      <c r="A716" s="17"/>
      <c r="E716" s="11"/>
      <c r="F716" s="11"/>
      <c r="G716" s="11"/>
      <c r="H716" s="17"/>
      <c r="L716" s="11"/>
      <c r="M716" s="11"/>
      <c r="N716" s="11"/>
      <c r="O716" s="18"/>
      <c r="Q716" s="17"/>
      <c r="X716" s="18"/>
    </row>
    <row r="717" spans="1:24" ht="13.2">
      <c r="A717" s="17"/>
      <c r="E717" s="11"/>
      <c r="F717" s="11"/>
      <c r="G717" s="11"/>
      <c r="H717" s="17"/>
      <c r="L717" s="11"/>
      <c r="M717" s="11"/>
      <c r="N717" s="11"/>
      <c r="O717" s="18"/>
      <c r="Q717" s="17"/>
      <c r="X717" s="18"/>
    </row>
    <row r="718" spans="1:24" ht="13.2">
      <c r="A718" s="17"/>
      <c r="E718" s="11"/>
      <c r="F718" s="11"/>
      <c r="G718" s="11"/>
      <c r="H718" s="17"/>
      <c r="L718" s="11"/>
      <c r="M718" s="11"/>
      <c r="N718" s="11"/>
      <c r="O718" s="18"/>
      <c r="Q718" s="17"/>
      <c r="X718" s="18"/>
    </row>
    <row r="719" spans="1:24" ht="13.2">
      <c r="A719" s="17"/>
      <c r="E719" s="11"/>
      <c r="F719" s="11"/>
      <c r="G719" s="11"/>
      <c r="H719" s="17"/>
      <c r="L719" s="11"/>
      <c r="M719" s="11"/>
      <c r="N719" s="11"/>
      <c r="O719" s="18"/>
      <c r="Q719" s="17"/>
      <c r="X719" s="18"/>
    </row>
    <row r="720" spans="1:24" ht="13.2">
      <c r="A720" s="17"/>
      <c r="E720" s="11"/>
      <c r="F720" s="11"/>
      <c r="G720" s="11"/>
      <c r="H720" s="17"/>
      <c r="L720" s="11"/>
      <c r="M720" s="11"/>
      <c r="N720" s="11"/>
      <c r="O720" s="18"/>
      <c r="Q720" s="17"/>
      <c r="X720" s="18"/>
    </row>
    <row r="721" spans="1:24" ht="13.2">
      <c r="A721" s="17"/>
      <c r="E721" s="11"/>
      <c r="F721" s="11"/>
      <c r="G721" s="11"/>
      <c r="H721" s="17"/>
      <c r="L721" s="11"/>
      <c r="M721" s="11"/>
      <c r="N721" s="11"/>
      <c r="O721" s="18"/>
      <c r="Q721" s="17"/>
      <c r="X721" s="18"/>
    </row>
    <row r="722" spans="1:24" ht="13.2">
      <c r="A722" s="17"/>
      <c r="E722" s="11"/>
      <c r="F722" s="11"/>
      <c r="G722" s="11"/>
      <c r="H722" s="17"/>
      <c r="L722" s="11"/>
      <c r="M722" s="11"/>
      <c r="N722" s="11"/>
      <c r="O722" s="18"/>
      <c r="Q722" s="17"/>
      <c r="X722" s="18"/>
    </row>
    <row r="723" spans="1:24" ht="13.2">
      <c r="A723" s="17"/>
      <c r="E723" s="11"/>
      <c r="F723" s="11"/>
      <c r="G723" s="11"/>
      <c r="H723" s="17"/>
      <c r="L723" s="11"/>
      <c r="M723" s="11"/>
      <c r="N723" s="11"/>
      <c r="O723" s="18"/>
      <c r="Q723" s="17"/>
      <c r="X723" s="18"/>
    </row>
    <row r="724" spans="1:24" ht="13.2">
      <c r="A724" s="17"/>
      <c r="E724" s="11"/>
      <c r="F724" s="11"/>
      <c r="G724" s="11"/>
      <c r="H724" s="17"/>
      <c r="L724" s="11"/>
      <c r="M724" s="11"/>
      <c r="N724" s="11"/>
      <c r="O724" s="18"/>
      <c r="Q724" s="17"/>
      <c r="X724" s="18"/>
    </row>
    <row r="725" spans="1:24" ht="13.2">
      <c r="A725" s="17"/>
      <c r="E725" s="11"/>
      <c r="F725" s="11"/>
      <c r="G725" s="11"/>
      <c r="H725" s="17"/>
      <c r="L725" s="11"/>
      <c r="M725" s="11"/>
      <c r="N725" s="11"/>
      <c r="O725" s="18"/>
      <c r="Q725" s="17"/>
      <c r="X725" s="18"/>
    </row>
    <row r="726" spans="1:24" ht="13.2">
      <c r="A726" s="17"/>
      <c r="E726" s="11"/>
      <c r="F726" s="11"/>
      <c r="G726" s="11"/>
      <c r="H726" s="17"/>
      <c r="L726" s="11"/>
      <c r="M726" s="11"/>
      <c r="N726" s="11"/>
      <c r="O726" s="18"/>
      <c r="Q726" s="17"/>
      <c r="X726" s="18"/>
    </row>
    <row r="727" spans="1:24" ht="13.2">
      <c r="A727" s="17"/>
      <c r="E727" s="11"/>
      <c r="F727" s="11"/>
      <c r="G727" s="11"/>
      <c r="H727" s="17"/>
      <c r="L727" s="11"/>
      <c r="M727" s="11"/>
      <c r="N727" s="11"/>
      <c r="O727" s="18"/>
      <c r="Q727" s="17"/>
      <c r="X727" s="18"/>
    </row>
    <row r="728" spans="1:24" ht="13.2">
      <c r="A728" s="17"/>
      <c r="E728" s="11"/>
      <c r="F728" s="11"/>
      <c r="G728" s="11"/>
      <c r="H728" s="17"/>
      <c r="L728" s="11"/>
      <c r="M728" s="11"/>
      <c r="N728" s="11"/>
      <c r="O728" s="18"/>
      <c r="Q728" s="17"/>
      <c r="X728" s="18"/>
    </row>
    <row r="729" spans="1:24" ht="13.2">
      <c r="A729" s="17"/>
      <c r="E729" s="11"/>
      <c r="F729" s="11"/>
      <c r="G729" s="11"/>
      <c r="H729" s="17"/>
      <c r="L729" s="11"/>
      <c r="M729" s="11"/>
      <c r="N729" s="11"/>
      <c r="O729" s="18"/>
      <c r="Q729" s="17"/>
      <c r="X729" s="18"/>
    </row>
    <row r="730" spans="1:24" ht="13.2">
      <c r="A730" s="17"/>
      <c r="E730" s="11"/>
      <c r="F730" s="11"/>
      <c r="G730" s="11"/>
      <c r="H730" s="17"/>
      <c r="L730" s="11"/>
      <c r="M730" s="11"/>
      <c r="N730" s="11"/>
      <c r="O730" s="18"/>
      <c r="Q730" s="17"/>
      <c r="X730" s="18"/>
    </row>
    <row r="731" spans="1:24" ht="13.2">
      <c r="A731" s="17"/>
      <c r="E731" s="11"/>
      <c r="F731" s="11"/>
      <c r="G731" s="11"/>
      <c r="H731" s="17"/>
      <c r="L731" s="11"/>
      <c r="M731" s="11"/>
      <c r="N731" s="11"/>
      <c r="O731" s="18"/>
      <c r="Q731" s="17"/>
      <c r="X731" s="18"/>
    </row>
    <row r="732" spans="1:24" ht="13.2">
      <c r="A732" s="17"/>
      <c r="E732" s="11"/>
      <c r="F732" s="11"/>
      <c r="G732" s="11"/>
      <c r="H732" s="17"/>
      <c r="L732" s="11"/>
      <c r="M732" s="11"/>
      <c r="N732" s="11"/>
      <c r="O732" s="18"/>
      <c r="Q732" s="17"/>
      <c r="X732" s="18"/>
    </row>
    <row r="733" spans="1:24" ht="13.2">
      <c r="A733" s="17"/>
      <c r="E733" s="11"/>
      <c r="F733" s="11"/>
      <c r="G733" s="11"/>
      <c r="H733" s="17"/>
      <c r="L733" s="11"/>
      <c r="M733" s="11"/>
      <c r="N733" s="11"/>
      <c r="O733" s="18"/>
      <c r="Q733" s="17"/>
      <c r="X733" s="18"/>
    </row>
    <row r="734" spans="1:24" ht="13.2">
      <c r="A734" s="17"/>
      <c r="E734" s="11"/>
      <c r="F734" s="11"/>
      <c r="G734" s="11"/>
      <c r="H734" s="17"/>
      <c r="L734" s="11"/>
      <c r="M734" s="11"/>
      <c r="N734" s="11"/>
      <c r="O734" s="18"/>
      <c r="Q734" s="17"/>
      <c r="X734" s="18"/>
    </row>
    <row r="735" spans="1:24" ht="13.2">
      <c r="A735" s="17"/>
      <c r="E735" s="11"/>
      <c r="F735" s="11"/>
      <c r="G735" s="11"/>
      <c r="H735" s="17"/>
      <c r="L735" s="11"/>
      <c r="M735" s="11"/>
      <c r="N735" s="11"/>
      <c r="O735" s="18"/>
      <c r="Q735" s="17"/>
      <c r="X735" s="18"/>
    </row>
    <row r="736" spans="1:24" ht="13.2">
      <c r="A736" s="17"/>
      <c r="E736" s="11"/>
      <c r="F736" s="11"/>
      <c r="G736" s="11"/>
      <c r="H736" s="17"/>
      <c r="L736" s="11"/>
      <c r="M736" s="11"/>
      <c r="N736" s="11"/>
      <c r="O736" s="18"/>
      <c r="Q736" s="17"/>
      <c r="X736" s="18"/>
    </row>
    <row r="737" spans="1:24" ht="13.2">
      <c r="A737" s="17"/>
      <c r="E737" s="11"/>
      <c r="F737" s="11"/>
      <c r="G737" s="11"/>
      <c r="H737" s="17"/>
      <c r="L737" s="11"/>
      <c r="M737" s="11"/>
      <c r="N737" s="11"/>
      <c r="O737" s="18"/>
      <c r="Q737" s="17"/>
      <c r="X737" s="18"/>
    </row>
    <row r="738" spans="1:24" ht="13.2">
      <c r="A738" s="17"/>
      <c r="E738" s="11"/>
      <c r="F738" s="11"/>
      <c r="G738" s="11"/>
      <c r="H738" s="17"/>
      <c r="L738" s="11"/>
      <c r="M738" s="11"/>
      <c r="N738" s="11"/>
      <c r="O738" s="18"/>
      <c r="Q738" s="17"/>
      <c r="X738" s="18"/>
    </row>
    <row r="739" spans="1:24" ht="13.2">
      <c r="A739" s="17"/>
      <c r="E739" s="11"/>
      <c r="F739" s="11"/>
      <c r="G739" s="11"/>
      <c r="H739" s="17"/>
      <c r="L739" s="11"/>
      <c r="M739" s="11"/>
      <c r="N739" s="11"/>
      <c r="O739" s="18"/>
      <c r="Q739" s="17"/>
      <c r="X739" s="18"/>
    </row>
    <row r="740" spans="1:24" ht="13.2">
      <c r="A740" s="17"/>
      <c r="E740" s="11"/>
      <c r="F740" s="11"/>
      <c r="G740" s="11"/>
      <c r="H740" s="17"/>
      <c r="L740" s="11"/>
      <c r="M740" s="11"/>
      <c r="N740" s="11"/>
      <c r="O740" s="18"/>
      <c r="Q740" s="17"/>
      <c r="X740" s="18"/>
    </row>
    <row r="741" spans="1:24" ht="13.2">
      <c r="A741" s="17"/>
      <c r="E741" s="11"/>
      <c r="F741" s="11"/>
      <c r="G741" s="11"/>
      <c r="H741" s="17"/>
      <c r="L741" s="11"/>
      <c r="M741" s="11"/>
      <c r="N741" s="11"/>
      <c r="O741" s="18"/>
      <c r="Q741" s="17"/>
      <c r="X741" s="18"/>
    </row>
    <row r="742" spans="1:24" ht="13.2">
      <c r="A742" s="17"/>
      <c r="E742" s="11"/>
      <c r="F742" s="11"/>
      <c r="G742" s="11"/>
      <c r="H742" s="17"/>
      <c r="L742" s="11"/>
      <c r="M742" s="11"/>
      <c r="N742" s="11"/>
      <c r="O742" s="18"/>
      <c r="Q742" s="17"/>
      <c r="X742" s="18"/>
    </row>
    <row r="743" spans="1:24" ht="13.2">
      <c r="A743" s="17"/>
      <c r="E743" s="11"/>
      <c r="F743" s="11"/>
      <c r="G743" s="11"/>
      <c r="H743" s="17"/>
      <c r="L743" s="11"/>
      <c r="M743" s="11"/>
      <c r="N743" s="11"/>
      <c r="O743" s="18"/>
      <c r="Q743" s="17"/>
      <c r="X743" s="18"/>
    </row>
    <row r="744" spans="1:24" ht="13.2">
      <c r="A744" s="17"/>
      <c r="E744" s="11"/>
      <c r="F744" s="11"/>
      <c r="G744" s="11"/>
      <c r="H744" s="17"/>
      <c r="L744" s="11"/>
      <c r="M744" s="11"/>
      <c r="N744" s="11"/>
      <c r="O744" s="18"/>
      <c r="Q744" s="17"/>
      <c r="X744" s="18"/>
    </row>
    <row r="745" spans="1:24" ht="13.2">
      <c r="A745" s="17"/>
      <c r="E745" s="11"/>
      <c r="F745" s="11"/>
      <c r="G745" s="11"/>
      <c r="H745" s="17"/>
      <c r="L745" s="11"/>
      <c r="M745" s="11"/>
      <c r="N745" s="11"/>
      <c r="O745" s="18"/>
      <c r="Q745" s="17"/>
      <c r="X745" s="18"/>
    </row>
    <row r="746" spans="1:24" ht="13.2">
      <c r="A746" s="17"/>
      <c r="E746" s="11"/>
      <c r="F746" s="11"/>
      <c r="G746" s="11"/>
      <c r="H746" s="17"/>
      <c r="L746" s="11"/>
      <c r="M746" s="11"/>
      <c r="N746" s="11"/>
      <c r="O746" s="18"/>
      <c r="Q746" s="17"/>
      <c r="X746" s="18"/>
    </row>
    <row r="747" spans="1:24" ht="13.2">
      <c r="A747" s="17"/>
      <c r="E747" s="11"/>
      <c r="F747" s="11"/>
      <c r="G747" s="11"/>
      <c r="H747" s="17"/>
      <c r="L747" s="11"/>
      <c r="M747" s="11"/>
      <c r="N747" s="11"/>
      <c r="O747" s="18"/>
      <c r="Q747" s="17"/>
      <c r="X747" s="18"/>
    </row>
    <row r="748" spans="1:24" ht="13.2">
      <c r="A748" s="17"/>
      <c r="E748" s="11"/>
      <c r="F748" s="11"/>
      <c r="G748" s="11"/>
      <c r="H748" s="17"/>
      <c r="L748" s="11"/>
      <c r="M748" s="11"/>
      <c r="N748" s="11"/>
      <c r="O748" s="18"/>
      <c r="Q748" s="17"/>
      <c r="X748" s="18"/>
    </row>
    <row r="749" spans="1:24" ht="13.2">
      <c r="A749" s="17"/>
      <c r="E749" s="11"/>
      <c r="F749" s="11"/>
      <c r="G749" s="11"/>
      <c r="H749" s="17"/>
      <c r="L749" s="11"/>
      <c r="M749" s="11"/>
      <c r="N749" s="11"/>
      <c r="O749" s="18"/>
      <c r="Q749" s="17"/>
      <c r="X749" s="18"/>
    </row>
    <row r="750" spans="1:24" ht="13.2">
      <c r="A750" s="17"/>
      <c r="E750" s="11"/>
      <c r="F750" s="11"/>
      <c r="G750" s="11"/>
      <c r="H750" s="17"/>
      <c r="L750" s="11"/>
      <c r="M750" s="11"/>
      <c r="N750" s="11"/>
      <c r="O750" s="18"/>
      <c r="Q750" s="17"/>
      <c r="X750" s="18"/>
    </row>
    <row r="751" spans="1:24" ht="13.2">
      <c r="A751" s="17"/>
      <c r="E751" s="11"/>
      <c r="F751" s="11"/>
      <c r="G751" s="11"/>
      <c r="H751" s="17"/>
      <c r="L751" s="11"/>
      <c r="M751" s="11"/>
      <c r="N751" s="11"/>
      <c r="O751" s="18"/>
      <c r="Q751" s="17"/>
      <c r="X751" s="18"/>
    </row>
    <row r="752" spans="1:24" ht="13.2">
      <c r="A752" s="17"/>
      <c r="E752" s="11"/>
      <c r="F752" s="11"/>
      <c r="G752" s="11"/>
      <c r="H752" s="17"/>
      <c r="L752" s="11"/>
      <c r="M752" s="11"/>
      <c r="N752" s="11"/>
      <c r="O752" s="18"/>
      <c r="Q752" s="17"/>
      <c r="X752" s="18"/>
    </row>
    <row r="753" spans="1:24" ht="13.2">
      <c r="A753" s="17"/>
      <c r="E753" s="11"/>
      <c r="F753" s="11"/>
      <c r="G753" s="11"/>
      <c r="H753" s="17"/>
      <c r="L753" s="11"/>
      <c r="M753" s="11"/>
      <c r="N753" s="11"/>
      <c r="O753" s="18"/>
      <c r="Q753" s="17"/>
      <c r="X753" s="18"/>
    </row>
    <row r="754" spans="1:24" ht="13.2">
      <c r="A754" s="17"/>
      <c r="E754" s="11"/>
      <c r="F754" s="11"/>
      <c r="G754" s="11"/>
      <c r="H754" s="17"/>
      <c r="L754" s="11"/>
      <c r="M754" s="11"/>
      <c r="N754" s="11"/>
      <c r="O754" s="18"/>
      <c r="Q754" s="17"/>
      <c r="X754" s="18"/>
    </row>
    <row r="755" spans="1:24" ht="13.2">
      <c r="A755" s="17"/>
      <c r="E755" s="11"/>
      <c r="F755" s="11"/>
      <c r="G755" s="11"/>
      <c r="H755" s="17"/>
      <c r="L755" s="11"/>
      <c r="M755" s="11"/>
      <c r="N755" s="11"/>
      <c r="O755" s="18"/>
      <c r="Q755" s="17"/>
      <c r="X755" s="18"/>
    </row>
    <row r="756" spans="1:24" ht="13.2">
      <c r="A756" s="17"/>
      <c r="E756" s="11"/>
      <c r="F756" s="11"/>
      <c r="G756" s="11"/>
      <c r="H756" s="17"/>
      <c r="L756" s="11"/>
      <c r="M756" s="11"/>
      <c r="N756" s="11"/>
      <c r="O756" s="18"/>
      <c r="Q756" s="17"/>
      <c r="X756" s="18"/>
    </row>
    <row r="757" spans="1:24" ht="13.2">
      <c r="A757" s="17"/>
      <c r="E757" s="11"/>
      <c r="F757" s="11"/>
      <c r="G757" s="11"/>
      <c r="H757" s="17"/>
      <c r="L757" s="11"/>
      <c r="M757" s="11"/>
      <c r="N757" s="11"/>
      <c r="O757" s="18"/>
      <c r="Q757" s="17"/>
      <c r="X757" s="18"/>
    </row>
    <row r="758" spans="1:24" ht="13.2">
      <c r="A758" s="17"/>
      <c r="E758" s="11"/>
      <c r="F758" s="11"/>
      <c r="G758" s="11"/>
      <c r="H758" s="17"/>
      <c r="L758" s="11"/>
      <c r="M758" s="11"/>
      <c r="N758" s="11"/>
      <c r="O758" s="18"/>
      <c r="Q758" s="17"/>
      <c r="X758" s="18"/>
    </row>
    <row r="759" spans="1:24" ht="13.2">
      <c r="A759" s="17"/>
      <c r="E759" s="11"/>
      <c r="F759" s="11"/>
      <c r="G759" s="11"/>
      <c r="H759" s="17"/>
      <c r="L759" s="11"/>
      <c r="M759" s="11"/>
      <c r="N759" s="11"/>
      <c r="O759" s="18"/>
      <c r="Q759" s="17"/>
      <c r="X759" s="18"/>
    </row>
    <row r="760" spans="1:24" ht="13.2">
      <c r="A760" s="17"/>
      <c r="E760" s="11"/>
      <c r="F760" s="11"/>
      <c r="G760" s="11"/>
      <c r="H760" s="17"/>
      <c r="L760" s="11"/>
      <c r="M760" s="11"/>
      <c r="N760" s="11"/>
      <c r="O760" s="18"/>
      <c r="Q760" s="17"/>
      <c r="X760" s="18"/>
    </row>
    <row r="761" spans="1:24" ht="13.2">
      <c r="A761" s="17"/>
      <c r="E761" s="11"/>
      <c r="F761" s="11"/>
      <c r="G761" s="11"/>
      <c r="H761" s="17"/>
      <c r="L761" s="11"/>
      <c r="M761" s="11"/>
      <c r="N761" s="11"/>
      <c r="O761" s="18"/>
      <c r="Q761" s="17"/>
      <c r="X761" s="18"/>
    </row>
    <row r="762" spans="1:24" ht="13.2">
      <c r="A762" s="17"/>
      <c r="E762" s="11"/>
      <c r="F762" s="11"/>
      <c r="G762" s="11"/>
      <c r="H762" s="17"/>
      <c r="L762" s="11"/>
      <c r="M762" s="11"/>
      <c r="N762" s="11"/>
      <c r="O762" s="18"/>
      <c r="Q762" s="17"/>
      <c r="X762" s="18"/>
    </row>
    <row r="763" spans="1:24" ht="13.2">
      <c r="A763" s="17"/>
      <c r="E763" s="11"/>
      <c r="F763" s="11"/>
      <c r="G763" s="11"/>
      <c r="H763" s="17"/>
      <c r="L763" s="11"/>
      <c r="M763" s="11"/>
      <c r="N763" s="11"/>
      <c r="O763" s="18"/>
      <c r="Q763" s="17"/>
      <c r="X763" s="18"/>
    </row>
    <row r="764" spans="1:24" ht="13.2">
      <c r="A764" s="17"/>
      <c r="E764" s="11"/>
      <c r="F764" s="11"/>
      <c r="G764" s="11"/>
      <c r="H764" s="17"/>
      <c r="L764" s="11"/>
      <c r="M764" s="11"/>
      <c r="N764" s="11"/>
      <c r="O764" s="18"/>
      <c r="Q764" s="17"/>
      <c r="X764" s="18"/>
    </row>
    <row r="765" spans="1:24" ht="13.2">
      <c r="A765" s="17"/>
      <c r="E765" s="11"/>
      <c r="F765" s="11"/>
      <c r="G765" s="11"/>
      <c r="H765" s="17"/>
      <c r="L765" s="11"/>
      <c r="M765" s="11"/>
      <c r="N765" s="11"/>
      <c r="O765" s="18"/>
      <c r="Q765" s="17"/>
      <c r="X765" s="18"/>
    </row>
    <row r="766" spans="1:24" ht="13.2">
      <c r="A766" s="17"/>
      <c r="E766" s="11"/>
      <c r="F766" s="11"/>
      <c r="G766" s="11"/>
      <c r="H766" s="17"/>
      <c r="L766" s="11"/>
      <c r="M766" s="11"/>
      <c r="N766" s="11"/>
      <c r="O766" s="18"/>
      <c r="Q766" s="17"/>
      <c r="X766" s="18"/>
    </row>
    <row r="767" spans="1:24" ht="13.2">
      <c r="A767" s="17"/>
      <c r="E767" s="11"/>
      <c r="F767" s="11"/>
      <c r="G767" s="11"/>
      <c r="H767" s="17"/>
      <c r="L767" s="11"/>
      <c r="M767" s="11"/>
      <c r="N767" s="11"/>
      <c r="O767" s="18"/>
      <c r="Q767" s="17"/>
      <c r="X767" s="18"/>
    </row>
    <row r="768" spans="1:24" ht="13.2">
      <c r="A768" s="17"/>
      <c r="E768" s="11"/>
      <c r="F768" s="11"/>
      <c r="G768" s="11"/>
      <c r="H768" s="17"/>
      <c r="L768" s="11"/>
      <c r="M768" s="11"/>
      <c r="N768" s="11"/>
      <c r="O768" s="18"/>
      <c r="Q768" s="17"/>
      <c r="X768" s="18"/>
    </row>
    <row r="769" spans="1:24" ht="13.2">
      <c r="A769" s="17"/>
      <c r="E769" s="11"/>
      <c r="F769" s="11"/>
      <c r="G769" s="11"/>
      <c r="H769" s="17"/>
      <c r="L769" s="11"/>
      <c r="M769" s="11"/>
      <c r="N769" s="11"/>
      <c r="O769" s="18"/>
      <c r="Q769" s="17"/>
      <c r="X769" s="18"/>
    </row>
    <row r="770" spans="1:24" ht="13.2">
      <c r="A770" s="17"/>
      <c r="E770" s="11"/>
      <c r="F770" s="11"/>
      <c r="G770" s="11"/>
      <c r="H770" s="17"/>
      <c r="L770" s="11"/>
      <c r="M770" s="11"/>
      <c r="N770" s="11"/>
      <c r="O770" s="18"/>
      <c r="Q770" s="17"/>
      <c r="X770" s="18"/>
    </row>
    <row r="771" spans="1:24" ht="13.2">
      <c r="A771" s="17"/>
      <c r="E771" s="11"/>
      <c r="F771" s="11"/>
      <c r="G771" s="11"/>
      <c r="H771" s="17"/>
      <c r="L771" s="11"/>
      <c r="M771" s="11"/>
      <c r="N771" s="11"/>
      <c r="O771" s="18"/>
      <c r="Q771" s="17"/>
      <c r="X771" s="18"/>
    </row>
    <row r="772" spans="1:24" ht="13.2">
      <c r="A772" s="17"/>
      <c r="E772" s="11"/>
      <c r="F772" s="11"/>
      <c r="G772" s="11"/>
      <c r="H772" s="17"/>
      <c r="L772" s="11"/>
      <c r="M772" s="11"/>
      <c r="N772" s="11"/>
      <c r="O772" s="18"/>
      <c r="Q772" s="17"/>
      <c r="X772" s="18"/>
    </row>
    <row r="773" spans="1:24" ht="13.2">
      <c r="A773" s="17"/>
      <c r="E773" s="11"/>
      <c r="F773" s="11"/>
      <c r="G773" s="11"/>
      <c r="H773" s="17"/>
      <c r="L773" s="11"/>
      <c r="M773" s="11"/>
      <c r="N773" s="11"/>
      <c r="O773" s="18"/>
      <c r="Q773" s="17"/>
      <c r="X773" s="18"/>
    </row>
    <row r="774" spans="1:24" ht="13.2">
      <c r="A774" s="17"/>
      <c r="E774" s="11"/>
      <c r="F774" s="11"/>
      <c r="G774" s="11"/>
      <c r="H774" s="17"/>
      <c r="L774" s="11"/>
      <c r="M774" s="11"/>
      <c r="N774" s="11"/>
      <c r="O774" s="18"/>
      <c r="Q774" s="17"/>
      <c r="X774" s="18"/>
    </row>
    <row r="775" spans="1:24" ht="13.2">
      <c r="A775" s="17"/>
      <c r="E775" s="11"/>
      <c r="F775" s="11"/>
      <c r="G775" s="11"/>
      <c r="H775" s="17"/>
      <c r="L775" s="11"/>
      <c r="M775" s="11"/>
      <c r="N775" s="11"/>
      <c r="O775" s="18"/>
      <c r="Q775" s="17"/>
      <c r="X775" s="18"/>
    </row>
    <row r="776" spans="1:24" ht="13.2">
      <c r="A776" s="17"/>
      <c r="E776" s="11"/>
      <c r="F776" s="11"/>
      <c r="G776" s="11"/>
      <c r="H776" s="17"/>
      <c r="L776" s="11"/>
      <c r="M776" s="11"/>
      <c r="N776" s="11"/>
      <c r="O776" s="18"/>
      <c r="Q776" s="17"/>
      <c r="X776" s="18"/>
    </row>
    <row r="777" spans="1:24" ht="13.2">
      <c r="A777" s="17"/>
      <c r="E777" s="11"/>
      <c r="F777" s="11"/>
      <c r="G777" s="11"/>
      <c r="H777" s="17"/>
      <c r="L777" s="11"/>
      <c r="M777" s="11"/>
      <c r="N777" s="11"/>
      <c r="O777" s="18"/>
      <c r="Q777" s="17"/>
      <c r="X777" s="18"/>
    </row>
    <row r="778" spans="1:24" ht="13.2">
      <c r="A778" s="17"/>
      <c r="E778" s="11"/>
      <c r="F778" s="11"/>
      <c r="G778" s="11"/>
      <c r="H778" s="17"/>
      <c r="L778" s="11"/>
      <c r="M778" s="11"/>
      <c r="N778" s="11"/>
      <c r="O778" s="18"/>
      <c r="Q778" s="17"/>
      <c r="X778" s="18"/>
    </row>
    <row r="779" spans="1:24" ht="13.2">
      <c r="A779" s="17"/>
      <c r="E779" s="11"/>
      <c r="F779" s="11"/>
      <c r="G779" s="11"/>
      <c r="H779" s="17"/>
      <c r="L779" s="11"/>
      <c r="M779" s="11"/>
      <c r="N779" s="11"/>
      <c r="O779" s="18"/>
      <c r="Q779" s="17"/>
      <c r="X779" s="18"/>
    </row>
    <row r="780" spans="1:24" ht="13.2">
      <c r="A780" s="17"/>
      <c r="E780" s="11"/>
      <c r="F780" s="11"/>
      <c r="G780" s="11"/>
      <c r="H780" s="17"/>
      <c r="L780" s="11"/>
      <c r="M780" s="11"/>
      <c r="N780" s="11"/>
      <c r="O780" s="18"/>
      <c r="Q780" s="17"/>
      <c r="X780" s="18"/>
    </row>
    <row r="781" spans="1:24" ht="13.2">
      <c r="A781" s="17"/>
      <c r="E781" s="11"/>
      <c r="F781" s="11"/>
      <c r="G781" s="11"/>
      <c r="H781" s="17"/>
      <c r="L781" s="11"/>
      <c r="M781" s="11"/>
      <c r="N781" s="11"/>
      <c r="O781" s="18"/>
      <c r="Q781" s="17"/>
      <c r="X781" s="18"/>
    </row>
    <row r="782" spans="1:24" ht="13.2">
      <c r="A782" s="17"/>
      <c r="E782" s="11"/>
      <c r="F782" s="11"/>
      <c r="G782" s="11"/>
      <c r="H782" s="17"/>
      <c r="L782" s="11"/>
      <c r="M782" s="11"/>
      <c r="N782" s="11"/>
      <c r="O782" s="18"/>
      <c r="Q782" s="17"/>
      <c r="X782" s="18"/>
    </row>
    <row r="783" spans="1:24" ht="13.2">
      <c r="A783" s="17"/>
      <c r="E783" s="11"/>
      <c r="F783" s="11"/>
      <c r="G783" s="11"/>
      <c r="H783" s="17"/>
      <c r="L783" s="11"/>
      <c r="M783" s="11"/>
      <c r="N783" s="11"/>
      <c r="O783" s="18"/>
      <c r="Q783" s="17"/>
      <c r="X783" s="18"/>
    </row>
    <row r="784" spans="1:24" ht="13.2">
      <c r="A784" s="17"/>
      <c r="E784" s="11"/>
      <c r="F784" s="11"/>
      <c r="G784" s="11"/>
      <c r="H784" s="17"/>
      <c r="L784" s="11"/>
      <c r="M784" s="11"/>
      <c r="N784" s="11"/>
      <c r="O784" s="18"/>
      <c r="Q784" s="17"/>
      <c r="X784" s="18"/>
    </row>
    <row r="785" spans="1:24" ht="13.2">
      <c r="A785" s="17"/>
      <c r="E785" s="11"/>
      <c r="F785" s="11"/>
      <c r="G785" s="11"/>
      <c r="H785" s="17"/>
      <c r="L785" s="11"/>
      <c r="M785" s="11"/>
      <c r="N785" s="11"/>
      <c r="O785" s="18"/>
      <c r="Q785" s="17"/>
      <c r="X785" s="18"/>
    </row>
    <row r="786" spans="1:24" ht="13.2">
      <c r="A786" s="17"/>
      <c r="E786" s="11"/>
      <c r="F786" s="11"/>
      <c r="G786" s="11"/>
      <c r="H786" s="17"/>
      <c r="L786" s="11"/>
      <c r="M786" s="11"/>
      <c r="N786" s="11"/>
      <c r="O786" s="18"/>
      <c r="Q786" s="17"/>
      <c r="X786" s="18"/>
    </row>
    <row r="787" spans="1:24" ht="13.2">
      <c r="A787" s="17"/>
      <c r="E787" s="11"/>
      <c r="F787" s="11"/>
      <c r="G787" s="11"/>
      <c r="H787" s="17"/>
      <c r="L787" s="11"/>
      <c r="M787" s="11"/>
      <c r="N787" s="11"/>
      <c r="O787" s="18"/>
      <c r="Q787" s="17"/>
      <c r="X787" s="18"/>
    </row>
    <row r="788" spans="1:24" ht="13.2">
      <c r="A788" s="17"/>
      <c r="E788" s="11"/>
      <c r="F788" s="11"/>
      <c r="G788" s="11"/>
      <c r="H788" s="17"/>
      <c r="L788" s="11"/>
      <c r="M788" s="11"/>
      <c r="N788" s="11"/>
      <c r="O788" s="18"/>
      <c r="Q788" s="17"/>
      <c r="X788" s="18"/>
    </row>
    <row r="789" spans="1:24" ht="13.2">
      <c r="A789" s="17"/>
      <c r="E789" s="11"/>
      <c r="F789" s="11"/>
      <c r="G789" s="11"/>
      <c r="H789" s="17"/>
      <c r="L789" s="11"/>
      <c r="M789" s="11"/>
      <c r="N789" s="11"/>
      <c r="O789" s="18"/>
      <c r="Q789" s="17"/>
      <c r="X789" s="18"/>
    </row>
    <row r="790" spans="1:24" ht="13.2">
      <c r="A790" s="17"/>
      <c r="E790" s="11"/>
      <c r="F790" s="11"/>
      <c r="G790" s="11"/>
      <c r="H790" s="17"/>
      <c r="L790" s="11"/>
      <c r="M790" s="11"/>
      <c r="N790" s="11"/>
      <c r="O790" s="18"/>
      <c r="Q790" s="17"/>
      <c r="X790" s="18"/>
    </row>
    <row r="791" spans="1:24" ht="13.2">
      <c r="A791" s="17"/>
      <c r="E791" s="11"/>
      <c r="F791" s="11"/>
      <c r="G791" s="11"/>
      <c r="H791" s="17"/>
      <c r="L791" s="11"/>
      <c r="M791" s="11"/>
      <c r="N791" s="11"/>
      <c r="O791" s="18"/>
      <c r="Q791" s="17"/>
      <c r="X791" s="18"/>
    </row>
    <row r="792" spans="1:24" ht="13.2">
      <c r="A792" s="17"/>
      <c r="E792" s="11"/>
      <c r="F792" s="11"/>
      <c r="G792" s="11"/>
      <c r="H792" s="17"/>
      <c r="L792" s="11"/>
      <c r="M792" s="11"/>
      <c r="N792" s="11"/>
      <c r="O792" s="18"/>
      <c r="Q792" s="17"/>
      <c r="X792" s="18"/>
    </row>
    <row r="793" spans="1:24" ht="13.2">
      <c r="A793" s="17"/>
      <c r="E793" s="11"/>
      <c r="F793" s="11"/>
      <c r="G793" s="11"/>
      <c r="H793" s="17"/>
      <c r="L793" s="11"/>
      <c r="M793" s="11"/>
      <c r="N793" s="11"/>
      <c r="O793" s="18"/>
      <c r="Q793" s="17"/>
      <c r="X793" s="18"/>
    </row>
    <row r="794" spans="1:24" ht="13.2">
      <c r="A794" s="17"/>
      <c r="E794" s="11"/>
      <c r="F794" s="11"/>
      <c r="G794" s="11"/>
      <c r="H794" s="17"/>
      <c r="L794" s="11"/>
      <c r="M794" s="11"/>
      <c r="N794" s="11"/>
      <c r="O794" s="18"/>
      <c r="Q794" s="17"/>
      <c r="X794" s="18"/>
    </row>
    <row r="795" spans="1:24" ht="13.2">
      <c r="A795" s="17"/>
      <c r="E795" s="11"/>
      <c r="F795" s="11"/>
      <c r="G795" s="11"/>
      <c r="H795" s="17"/>
      <c r="L795" s="11"/>
      <c r="M795" s="11"/>
      <c r="N795" s="11"/>
      <c r="O795" s="18"/>
      <c r="Q795" s="17"/>
      <c r="X795" s="18"/>
    </row>
    <row r="796" spans="1:24" ht="13.2">
      <c r="A796" s="17"/>
      <c r="E796" s="11"/>
      <c r="F796" s="11"/>
      <c r="G796" s="11"/>
      <c r="H796" s="17"/>
      <c r="L796" s="11"/>
      <c r="M796" s="11"/>
      <c r="N796" s="11"/>
      <c r="O796" s="18"/>
      <c r="Q796" s="17"/>
      <c r="X796" s="18"/>
    </row>
    <row r="797" spans="1:24" ht="13.2">
      <c r="A797" s="17"/>
      <c r="E797" s="11"/>
      <c r="F797" s="11"/>
      <c r="G797" s="11"/>
      <c r="H797" s="17"/>
      <c r="L797" s="11"/>
      <c r="M797" s="11"/>
      <c r="N797" s="11"/>
      <c r="O797" s="18"/>
      <c r="Q797" s="17"/>
      <c r="X797" s="18"/>
    </row>
    <row r="798" spans="1:24" ht="13.2">
      <c r="A798" s="17"/>
      <c r="E798" s="11"/>
      <c r="F798" s="11"/>
      <c r="G798" s="11"/>
      <c r="H798" s="17"/>
      <c r="L798" s="11"/>
      <c r="M798" s="11"/>
      <c r="N798" s="11"/>
      <c r="O798" s="18"/>
      <c r="Q798" s="17"/>
      <c r="X798" s="18"/>
    </row>
    <row r="799" spans="1:24" ht="13.2">
      <c r="A799" s="17"/>
      <c r="E799" s="11"/>
      <c r="F799" s="11"/>
      <c r="G799" s="11"/>
      <c r="H799" s="17"/>
      <c r="L799" s="11"/>
      <c r="M799" s="11"/>
      <c r="N799" s="11"/>
      <c r="O799" s="18"/>
      <c r="Q799" s="17"/>
      <c r="X799" s="18"/>
    </row>
    <row r="800" spans="1:24" ht="13.2">
      <c r="A800" s="17"/>
      <c r="E800" s="11"/>
      <c r="F800" s="11"/>
      <c r="G800" s="11"/>
      <c r="H800" s="17"/>
      <c r="L800" s="11"/>
      <c r="M800" s="11"/>
      <c r="N800" s="11"/>
      <c r="O800" s="18"/>
      <c r="Q800" s="17"/>
      <c r="X800" s="18"/>
    </row>
    <row r="801" spans="1:24" ht="13.2">
      <c r="A801" s="17"/>
      <c r="E801" s="11"/>
      <c r="F801" s="11"/>
      <c r="G801" s="11"/>
      <c r="H801" s="17"/>
      <c r="L801" s="11"/>
      <c r="M801" s="11"/>
      <c r="N801" s="11"/>
      <c r="O801" s="18"/>
      <c r="Q801" s="17"/>
      <c r="X801" s="18"/>
    </row>
    <row r="802" spans="1:24" ht="13.2">
      <c r="A802" s="17"/>
      <c r="E802" s="11"/>
      <c r="F802" s="11"/>
      <c r="G802" s="11"/>
      <c r="H802" s="17"/>
      <c r="L802" s="11"/>
      <c r="M802" s="11"/>
      <c r="N802" s="11"/>
      <c r="O802" s="18"/>
      <c r="Q802" s="17"/>
      <c r="X802" s="18"/>
    </row>
    <row r="803" spans="1:24" ht="13.2">
      <c r="A803" s="17"/>
      <c r="E803" s="11"/>
      <c r="F803" s="11"/>
      <c r="G803" s="11"/>
      <c r="H803" s="17"/>
      <c r="L803" s="11"/>
      <c r="M803" s="11"/>
      <c r="N803" s="11"/>
      <c r="O803" s="18"/>
      <c r="Q803" s="17"/>
      <c r="X803" s="18"/>
    </row>
    <row r="804" spans="1:24" ht="13.2">
      <c r="A804" s="17"/>
      <c r="E804" s="11"/>
      <c r="F804" s="11"/>
      <c r="G804" s="11"/>
      <c r="H804" s="17"/>
      <c r="L804" s="11"/>
      <c r="M804" s="11"/>
      <c r="N804" s="11"/>
      <c r="O804" s="18"/>
      <c r="Q804" s="17"/>
      <c r="X804" s="18"/>
    </row>
    <row r="805" spans="1:24" ht="13.2">
      <c r="A805" s="17"/>
      <c r="E805" s="11"/>
      <c r="F805" s="11"/>
      <c r="G805" s="11"/>
      <c r="H805" s="17"/>
      <c r="L805" s="11"/>
      <c r="M805" s="11"/>
      <c r="N805" s="11"/>
      <c r="O805" s="18"/>
      <c r="Q805" s="17"/>
      <c r="X805" s="18"/>
    </row>
    <row r="806" spans="1:24" ht="13.2">
      <c r="A806" s="17"/>
      <c r="E806" s="11"/>
      <c r="F806" s="11"/>
      <c r="G806" s="11"/>
      <c r="H806" s="17"/>
      <c r="L806" s="11"/>
      <c r="M806" s="11"/>
      <c r="N806" s="11"/>
      <c r="O806" s="18"/>
      <c r="Q806" s="17"/>
      <c r="X806" s="18"/>
    </row>
    <row r="807" spans="1:24" ht="13.2">
      <c r="A807" s="17"/>
      <c r="E807" s="11"/>
      <c r="F807" s="11"/>
      <c r="G807" s="11"/>
      <c r="H807" s="17"/>
      <c r="L807" s="11"/>
      <c r="M807" s="11"/>
      <c r="N807" s="11"/>
      <c r="O807" s="18"/>
      <c r="Q807" s="17"/>
      <c r="X807" s="18"/>
    </row>
    <row r="808" spans="1:24" ht="13.2">
      <c r="A808" s="17"/>
      <c r="E808" s="11"/>
      <c r="F808" s="11"/>
      <c r="G808" s="11"/>
      <c r="H808" s="17"/>
      <c r="L808" s="11"/>
      <c r="M808" s="11"/>
      <c r="N808" s="11"/>
      <c r="O808" s="18"/>
      <c r="Q808" s="17"/>
      <c r="X808" s="18"/>
    </row>
    <row r="809" spans="1:24" ht="13.2">
      <c r="A809" s="17"/>
      <c r="E809" s="11"/>
      <c r="F809" s="11"/>
      <c r="G809" s="11"/>
      <c r="H809" s="17"/>
      <c r="L809" s="11"/>
      <c r="M809" s="11"/>
      <c r="N809" s="11"/>
      <c r="O809" s="18"/>
      <c r="Q809" s="17"/>
      <c r="X809" s="18"/>
    </row>
    <row r="810" spans="1:24" ht="13.2">
      <c r="A810" s="17"/>
      <c r="E810" s="11"/>
      <c r="F810" s="11"/>
      <c r="G810" s="11"/>
      <c r="H810" s="17"/>
      <c r="L810" s="11"/>
      <c r="M810" s="11"/>
      <c r="N810" s="11"/>
      <c r="O810" s="18"/>
      <c r="Q810" s="17"/>
      <c r="X810" s="18"/>
    </row>
    <row r="811" spans="1:24" ht="13.2">
      <c r="A811" s="17"/>
      <c r="E811" s="11"/>
      <c r="F811" s="11"/>
      <c r="G811" s="11"/>
      <c r="H811" s="17"/>
      <c r="L811" s="11"/>
      <c r="M811" s="11"/>
      <c r="N811" s="11"/>
      <c r="O811" s="18"/>
      <c r="Q811" s="17"/>
      <c r="X811" s="18"/>
    </row>
    <row r="812" spans="1:24" ht="13.2">
      <c r="A812" s="17"/>
      <c r="E812" s="11"/>
      <c r="F812" s="11"/>
      <c r="G812" s="11"/>
      <c r="H812" s="17"/>
      <c r="L812" s="11"/>
      <c r="M812" s="11"/>
      <c r="N812" s="11"/>
      <c r="O812" s="18"/>
      <c r="Q812" s="17"/>
      <c r="X812" s="18"/>
    </row>
    <row r="813" spans="1:24" ht="13.2">
      <c r="A813" s="17"/>
      <c r="E813" s="11"/>
      <c r="F813" s="11"/>
      <c r="G813" s="11"/>
      <c r="H813" s="17"/>
      <c r="L813" s="11"/>
      <c r="M813" s="11"/>
      <c r="N813" s="11"/>
      <c r="O813" s="18"/>
      <c r="Q813" s="17"/>
      <c r="X813" s="18"/>
    </row>
    <row r="814" spans="1:24" ht="13.2">
      <c r="A814" s="17"/>
      <c r="E814" s="11"/>
      <c r="F814" s="11"/>
      <c r="G814" s="11"/>
      <c r="H814" s="17"/>
      <c r="L814" s="11"/>
      <c r="M814" s="11"/>
      <c r="N814" s="11"/>
      <c r="O814" s="18"/>
      <c r="Q814" s="17"/>
      <c r="X814" s="18"/>
    </row>
    <row r="815" spans="1:24" ht="13.2">
      <c r="A815" s="17"/>
      <c r="E815" s="11"/>
      <c r="F815" s="11"/>
      <c r="G815" s="11"/>
      <c r="H815" s="17"/>
      <c r="L815" s="11"/>
      <c r="M815" s="11"/>
      <c r="N815" s="11"/>
      <c r="O815" s="18"/>
      <c r="Q815" s="17"/>
      <c r="X815" s="18"/>
    </row>
    <row r="816" spans="1:24" ht="13.2">
      <c r="A816" s="17"/>
      <c r="E816" s="11"/>
      <c r="F816" s="11"/>
      <c r="G816" s="11"/>
      <c r="H816" s="17"/>
      <c r="L816" s="11"/>
      <c r="M816" s="11"/>
      <c r="N816" s="11"/>
      <c r="O816" s="18"/>
      <c r="Q816" s="17"/>
      <c r="X816" s="18"/>
    </row>
    <row r="817" spans="1:24" ht="13.2">
      <c r="A817" s="17"/>
      <c r="E817" s="11"/>
      <c r="F817" s="11"/>
      <c r="G817" s="11"/>
      <c r="H817" s="17"/>
      <c r="L817" s="11"/>
      <c r="M817" s="11"/>
      <c r="N817" s="11"/>
      <c r="O817" s="18"/>
      <c r="Q817" s="17"/>
      <c r="X817" s="18"/>
    </row>
    <row r="818" spans="1:24" ht="13.2">
      <c r="A818" s="17"/>
      <c r="E818" s="11"/>
      <c r="F818" s="11"/>
      <c r="G818" s="11"/>
      <c r="H818" s="17"/>
      <c r="L818" s="11"/>
      <c r="M818" s="11"/>
      <c r="N818" s="11"/>
      <c r="O818" s="18"/>
      <c r="Q818" s="17"/>
      <c r="X818" s="18"/>
    </row>
    <row r="819" spans="1:24" ht="13.2">
      <c r="A819" s="17"/>
      <c r="E819" s="11"/>
      <c r="F819" s="11"/>
      <c r="G819" s="11"/>
      <c r="H819" s="17"/>
      <c r="L819" s="11"/>
      <c r="M819" s="11"/>
      <c r="N819" s="11"/>
      <c r="O819" s="18"/>
      <c r="Q819" s="17"/>
      <c r="X819" s="18"/>
    </row>
    <row r="820" spans="1:24" ht="13.2">
      <c r="A820" s="17"/>
      <c r="E820" s="11"/>
      <c r="F820" s="11"/>
      <c r="G820" s="11"/>
      <c r="H820" s="17"/>
      <c r="L820" s="11"/>
      <c r="M820" s="11"/>
      <c r="N820" s="11"/>
      <c r="O820" s="18"/>
      <c r="Q820" s="17"/>
      <c r="X820" s="18"/>
    </row>
    <row r="821" spans="1:24" ht="13.2">
      <c r="A821" s="17"/>
      <c r="E821" s="11"/>
      <c r="F821" s="11"/>
      <c r="G821" s="11"/>
      <c r="H821" s="17"/>
      <c r="L821" s="11"/>
      <c r="M821" s="11"/>
      <c r="N821" s="11"/>
      <c r="O821" s="18"/>
      <c r="Q821" s="17"/>
      <c r="X821" s="18"/>
    </row>
    <row r="822" spans="1:24" ht="13.2">
      <c r="A822" s="17"/>
      <c r="E822" s="11"/>
      <c r="F822" s="11"/>
      <c r="G822" s="11"/>
      <c r="H822" s="17"/>
      <c r="L822" s="11"/>
      <c r="M822" s="11"/>
      <c r="N822" s="11"/>
      <c r="O822" s="18"/>
      <c r="Q822" s="17"/>
      <c r="X822" s="18"/>
    </row>
    <row r="823" spans="1:24" ht="13.2">
      <c r="A823" s="17"/>
      <c r="E823" s="11"/>
      <c r="F823" s="11"/>
      <c r="G823" s="11"/>
      <c r="H823" s="17"/>
      <c r="L823" s="11"/>
      <c r="M823" s="11"/>
      <c r="N823" s="11"/>
      <c r="O823" s="18"/>
      <c r="Q823" s="17"/>
      <c r="X823" s="18"/>
    </row>
    <row r="824" spans="1:24" ht="13.2">
      <c r="A824" s="17"/>
      <c r="E824" s="11"/>
      <c r="F824" s="11"/>
      <c r="G824" s="11"/>
      <c r="H824" s="17"/>
      <c r="L824" s="11"/>
      <c r="M824" s="11"/>
      <c r="N824" s="11"/>
      <c r="O824" s="18"/>
      <c r="Q824" s="17"/>
      <c r="X824" s="18"/>
    </row>
    <row r="825" spans="1:24" ht="13.2">
      <c r="A825" s="17"/>
      <c r="E825" s="11"/>
      <c r="F825" s="11"/>
      <c r="G825" s="11"/>
      <c r="H825" s="17"/>
      <c r="L825" s="11"/>
      <c r="M825" s="11"/>
      <c r="N825" s="11"/>
      <c r="O825" s="18"/>
      <c r="Q825" s="17"/>
      <c r="X825" s="18"/>
    </row>
    <row r="826" spans="1:24" ht="13.2">
      <c r="A826" s="17"/>
      <c r="E826" s="11"/>
      <c r="F826" s="11"/>
      <c r="G826" s="11"/>
      <c r="H826" s="17"/>
      <c r="L826" s="11"/>
      <c r="M826" s="11"/>
      <c r="N826" s="11"/>
      <c r="O826" s="18"/>
      <c r="Q826" s="17"/>
      <c r="X826" s="18"/>
    </row>
    <row r="827" spans="1:24" ht="13.2">
      <c r="A827" s="17"/>
      <c r="E827" s="11"/>
      <c r="F827" s="11"/>
      <c r="G827" s="11"/>
      <c r="H827" s="17"/>
      <c r="L827" s="11"/>
      <c r="M827" s="11"/>
      <c r="N827" s="11"/>
      <c r="O827" s="18"/>
      <c r="Q827" s="17"/>
      <c r="X827" s="18"/>
    </row>
    <row r="828" spans="1:24" ht="13.2">
      <c r="A828" s="17"/>
      <c r="E828" s="11"/>
      <c r="F828" s="11"/>
      <c r="G828" s="11"/>
      <c r="H828" s="17"/>
      <c r="L828" s="11"/>
      <c r="M828" s="11"/>
      <c r="N828" s="11"/>
      <c r="O828" s="18"/>
      <c r="Q828" s="17"/>
      <c r="X828" s="18"/>
    </row>
    <row r="829" spans="1:24" ht="13.2">
      <c r="A829" s="17"/>
      <c r="E829" s="11"/>
      <c r="F829" s="11"/>
      <c r="G829" s="11"/>
      <c r="H829" s="17"/>
      <c r="L829" s="11"/>
      <c r="M829" s="11"/>
      <c r="N829" s="11"/>
      <c r="O829" s="18"/>
      <c r="Q829" s="17"/>
      <c r="X829" s="18"/>
    </row>
    <row r="830" spans="1:24" ht="13.2">
      <c r="A830" s="17"/>
      <c r="E830" s="11"/>
      <c r="F830" s="11"/>
      <c r="G830" s="11"/>
      <c r="H830" s="17"/>
      <c r="L830" s="11"/>
      <c r="M830" s="11"/>
      <c r="N830" s="11"/>
      <c r="O830" s="18"/>
      <c r="Q830" s="17"/>
      <c r="X830" s="18"/>
    </row>
    <row r="831" spans="1:24" ht="13.2">
      <c r="A831" s="17"/>
      <c r="E831" s="11"/>
      <c r="F831" s="11"/>
      <c r="G831" s="11"/>
      <c r="H831" s="17"/>
      <c r="L831" s="11"/>
      <c r="M831" s="11"/>
      <c r="N831" s="11"/>
      <c r="O831" s="18"/>
      <c r="Q831" s="17"/>
      <c r="X831" s="18"/>
    </row>
    <row r="832" spans="1:24" ht="13.2">
      <c r="A832" s="17"/>
      <c r="E832" s="11"/>
      <c r="F832" s="11"/>
      <c r="G832" s="11"/>
      <c r="H832" s="17"/>
      <c r="L832" s="11"/>
      <c r="M832" s="11"/>
      <c r="N832" s="11"/>
      <c r="O832" s="18"/>
      <c r="Q832" s="17"/>
      <c r="X832" s="18"/>
    </row>
    <row r="833" spans="1:24" ht="13.2">
      <c r="A833" s="17"/>
      <c r="E833" s="11"/>
      <c r="F833" s="11"/>
      <c r="G833" s="11"/>
      <c r="H833" s="17"/>
      <c r="L833" s="11"/>
      <c r="M833" s="11"/>
      <c r="N833" s="11"/>
      <c r="O833" s="18"/>
      <c r="Q833" s="17"/>
      <c r="X833" s="18"/>
    </row>
    <row r="834" spans="1:24" ht="13.2">
      <c r="A834" s="17"/>
      <c r="E834" s="11"/>
      <c r="F834" s="11"/>
      <c r="G834" s="11"/>
      <c r="H834" s="17"/>
      <c r="L834" s="11"/>
      <c r="M834" s="11"/>
      <c r="N834" s="11"/>
      <c r="O834" s="18"/>
      <c r="Q834" s="17"/>
      <c r="X834" s="18"/>
    </row>
    <row r="835" spans="1:24" ht="13.2">
      <c r="A835" s="17"/>
      <c r="E835" s="11"/>
      <c r="F835" s="11"/>
      <c r="G835" s="11"/>
      <c r="H835" s="17"/>
      <c r="L835" s="11"/>
      <c r="M835" s="11"/>
      <c r="N835" s="11"/>
      <c r="O835" s="18"/>
      <c r="Q835" s="17"/>
      <c r="X835" s="18"/>
    </row>
    <row r="836" spans="1:24" ht="13.2">
      <c r="A836" s="17"/>
      <c r="E836" s="11"/>
      <c r="F836" s="11"/>
      <c r="G836" s="11"/>
      <c r="H836" s="17"/>
      <c r="L836" s="11"/>
      <c r="M836" s="11"/>
      <c r="N836" s="11"/>
      <c r="O836" s="18"/>
      <c r="Q836" s="17"/>
      <c r="X836" s="18"/>
    </row>
    <row r="837" spans="1:24" ht="13.2">
      <c r="A837" s="17"/>
      <c r="E837" s="11"/>
      <c r="F837" s="11"/>
      <c r="G837" s="11"/>
      <c r="H837" s="17"/>
      <c r="L837" s="11"/>
      <c r="M837" s="11"/>
      <c r="N837" s="11"/>
      <c r="O837" s="18"/>
      <c r="Q837" s="17"/>
      <c r="X837" s="18"/>
    </row>
    <row r="838" spans="1:24" ht="13.2">
      <c r="A838" s="17"/>
      <c r="E838" s="11"/>
      <c r="F838" s="11"/>
      <c r="G838" s="11"/>
      <c r="H838" s="17"/>
      <c r="L838" s="11"/>
      <c r="M838" s="11"/>
      <c r="N838" s="11"/>
      <c r="O838" s="18"/>
      <c r="Q838" s="17"/>
      <c r="X838" s="18"/>
    </row>
    <row r="839" spans="1:24" ht="13.2">
      <c r="A839" s="17"/>
      <c r="E839" s="11"/>
      <c r="F839" s="11"/>
      <c r="G839" s="11"/>
      <c r="H839" s="17"/>
      <c r="L839" s="11"/>
      <c r="M839" s="11"/>
      <c r="N839" s="11"/>
      <c r="O839" s="18"/>
      <c r="Q839" s="17"/>
      <c r="X839" s="18"/>
    </row>
    <row r="840" spans="1:24" ht="13.2">
      <c r="A840" s="17"/>
      <c r="E840" s="11"/>
      <c r="F840" s="11"/>
      <c r="G840" s="11"/>
      <c r="H840" s="17"/>
      <c r="L840" s="11"/>
      <c r="M840" s="11"/>
      <c r="N840" s="11"/>
      <c r="O840" s="18"/>
      <c r="Q840" s="17"/>
      <c r="X840" s="18"/>
    </row>
    <row r="841" spans="1:24" ht="13.2">
      <c r="A841" s="17"/>
      <c r="E841" s="11"/>
      <c r="F841" s="11"/>
      <c r="G841" s="11"/>
      <c r="H841" s="17"/>
      <c r="L841" s="11"/>
      <c r="M841" s="11"/>
      <c r="N841" s="11"/>
      <c r="O841" s="18"/>
      <c r="Q841" s="17"/>
      <c r="X841" s="18"/>
    </row>
    <row r="842" spans="1:24" ht="13.2">
      <c r="A842" s="17"/>
      <c r="E842" s="11"/>
      <c r="F842" s="11"/>
      <c r="G842" s="11"/>
      <c r="H842" s="17"/>
      <c r="L842" s="11"/>
      <c r="M842" s="11"/>
      <c r="N842" s="11"/>
      <c r="O842" s="18"/>
      <c r="Q842" s="17"/>
      <c r="X842" s="18"/>
    </row>
    <row r="843" spans="1:24" ht="13.2">
      <c r="A843" s="17"/>
      <c r="E843" s="11"/>
      <c r="F843" s="11"/>
      <c r="G843" s="11"/>
      <c r="H843" s="17"/>
      <c r="L843" s="11"/>
      <c r="M843" s="11"/>
      <c r="N843" s="11"/>
      <c r="O843" s="18"/>
      <c r="Q843" s="17"/>
      <c r="X843" s="18"/>
    </row>
    <row r="844" spans="1:24" ht="13.2">
      <c r="A844" s="17"/>
      <c r="E844" s="11"/>
      <c r="F844" s="11"/>
      <c r="G844" s="11"/>
      <c r="H844" s="17"/>
      <c r="L844" s="11"/>
      <c r="M844" s="11"/>
      <c r="N844" s="11"/>
      <c r="O844" s="18"/>
      <c r="Q844" s="17"/>
      <c r="X844" s="18"/>
    </row>
    <row r="845" spans="1:24" ht="13.2">
      <c r="A845" s="17"/>
      <c r="E845" s="11"/>
      <c r="F845" s="11"/>
      <c r="G845" s="11"/>
      <c r="H845" s="17"/>
      <c r="L845" s="11"/>
      <c r="M845" s="11"/>
      <c r="N845" s="11"/>
      <c r="O845" s="18"/>
      <c r="Q845" s="17"/>
      <c r="X845" s="18"/>
    </row>
    <row r="846" spans="1:24" ht="13.2">
      <c r="A846" s="17"/>
      <c r="E846" s="11"/>
      <c r="F846" s="11"/>
      <c r="G846" s="11"/>
      <c r="H846" s="17"/>
      <c r="L846" s="11"/>
      <c r="M846" s="11"/>
      <c r="N846" s="11"/>
      <c r="O846" s="18"/>
      <c r="Q846" s="17"/>
      <c r="X846" s="18"/>
    </row>
    <row r="847" spans="1:24" ht="13.2">
      <c r="A847" s="17"/>
      <c r="E847" s="11"/>
      <c r="F847" s="11"/>
      <c r="G847" s="11"/>
      <c r="H847" s="17"/>
      <c r="L847" s="11"/>
      <c r="M847" s="11"/>
      <c r="N847" s="11"/>
      <c r="O847" s="18"/>
      <c r="Q847" s="17"/>
      <c r="X847" s="18"/>
    </row>
    <row r="848" spans="1:24" ht="13.2">
      <c r="A848" s="17"/>
      <c r="E848" s="11"/>
      <c r="F848" s="11"/>
      <c r="G848" s="11"/>
      <c r="H848" s="17"/>
      <c r="L848" s="11"/>
      <c r="M848" s="11"/>
      <c r="N848" s="11"/>
      <c r="O848" s="18"/>
      <c r="Q848" s="17"/>
      <c r="X848" s="18"/>
    </row>
    <row r="849" spans="1:24" ht="13.2">
      <c r="A849" s="17"/>
      <c r="E849" s="11"/>
      <c r="F849" s="11"/>
      <c r="G849" s="11"/>
      <c r="H849" s="17"/>
      <c r="L849" s="11"/>
      <c r="M849" s="11"/>
      <c r="N849" s="11"/>
      <c r="O849" s="18"/>
      <c r="Q849" s="17"/>
      <c r="X849" s="18"/>
    </row>
    <row r="850" spans="1:24" ht="13.2">
      <c r="A850" s="17"/>
      <c r="E850" s="11"/>
      <c r="F850" s="11"/>
      <c r="G850" s="11"/>
      <c r="H850" s="17"/>
      <c r="L850" s="11"/>
      <c r="M850" s="11"/>
      <c r="N850" s="11"/>
      <c r="O850" s="18"/>
      <c r="Q850" s="17"/>
      <c r="X850" s="18"/>
    </row>
    <row r="851" spans="1:24" ht="13.2">
      <c r="A851" s="17"/>
      <c r="E851" s="11"/>
      <c r="F851" s="11"/>
      <c r="G851" s="11"/>
      <c r="H851" s="17"/>
      <c r="L851" s="11"/>
      <c r="M851" s="11"/>
      <c r="N851" s="11"/>
      <c r="O851" s="18"/>
      <c r="Q851" s="17"/>
      <c r="X851" s="18"/>
    </row>
    <row r="852" spans="1:24" ht="13.2">
      <c r="A852" s="17"/>
      <c r="E852" s="11"/>
      <c r="F852" s="11"/>
      <c r="G852" s="11"/>
      <c r="H852" s="17"/>
      <c r="L852" s="11"/>
      <c r="M852" s="11"/>
      <c r="N852" s="11"/>
      <c r="O852" s="18"/>
      <c r="Q852" s="17"/>
      <c r="X852" s="18"/>
    </row>
    <row r="853" spans="1:24" ht="13.2">
      <c r="A853" s="17"/>
      <c r="E853" s="11"/>
      <c r="F853" s="11"/>
      <c r="G853" s="11"/>
      <c r="H853" s="17"/>
      <c r="L853" s="11"/>
      <c r="M853" s="11"/>
      <c r="N853" s="11"/>
      <c r="O853" s="18"/>
      <c r="Q853" s="17"/>
      <c r="X853" s="18"/>
    </row>
    <row r="854" spans="1:24" ht="13.2">
      <c r="A854" s="17"/>
      <c r="E854" s="11"/>
      <c r="F854" s="11"/>
      <c r="G854" s="11"/>
      <c r="H854" s="17"/>
      <c r="L854" s="11"/>
      <c r="M854" s="11"/>
      <c r="N854" s="11"/>
      <c r="O854" s="18"/>
      <c r="Q854" s="17"/>
      <c r="X854" s="18"/>
    </row>
    <row r="855" spans="1:24" ht="13.2">
      <c r="A855" s="17"/>
      <c r="E855" s="11"/>
      <c r="F855" s="11"/>
      <c r="G855" s="11"/>
      <c r="H855" s="17"/>
      <c r="L855" s="11"/>
      <c r="M855" s="11"/>
      <c r="N855" s="11"/>
      <c r="O855" s="18"/>
      <c r="Q855" s="17"/>
      <c r="X855" s="18"/>
    </row>
    <row r="856" spans="1:24" ht="13.2">
      <c r="A856" s="17"/>
      <c r="E856" s="11"/>
      <c r="F856" s="11"/>
      <c r="G856" s="11"/>
      <c r="H856" s="17"/>
      <c r="L856" s="11"/>
      <c r="M856" s="11"/>
      <c r="N856" s="11"/>
      <c r="O856" s="18"/>
      <c r="Q856" s="17"/>
      <c r="X856" s="18"/>
    </row>
    <row r="857" spans="1:24" ht="13.2">
      <c r="A857" s="17"/>
      <c r="E857" s="11"/>
      <c r="F857" s="11"/>
      <c r="G857" s="11"/>
      <c r="H857" s="17"/>
      <c r="L857" s="11"/>
      <c r="M857" s="11"/>
      <c r="N857" s="11"/>
      <c r="O857" s="18"/>
      <c r="Q857" s="17"/>
      <c r="X857" s="18"/>
    </row>
    <row r="858" spans="1:24" ht="13.2">
      <c r="A858" s="17"/>
      <c r="E858" s="11"/>
      <c r="F858" s="11"/>
      <c r="G858" s="11"/>
      <c r="H858" s="17"/>
      <c r="L858" s="11"/>
      <c r="M858" s="11"/>
      <c r="N858" s="11"/>
      <c r="O858" s="18"/>
      <c r="Q858" s="17"/>
      <c r="X858" s="18"/>
    </row>
    <row r="859" spans="1:24" ht="13.2">
      <c r="A859" s="17"/>
      <c r="E859" s="11"/>
      <c r="F859" s="11"/>
      <c r="G859" s="11"/>
      <c r="H859" s="17"/>
      <c r="L859" s="11"/>
      <c r="M859" s="11"/>
      <c r="N859" s="11"/>
      <c r="O859" s="18"/>
      <c r="Q859" s="17"/>
      <c r="X859" s="18"/>
    </row>
    <row r="860" spans="1:24" ht="13.2">
      <c r="A860" s="17"/>
      <c r="E860" s="11"/>
      <c r="F860" s="11"/>
      <c r="G860" s="11"/>
      <c r="H860" s="17"/>
      <c r="L860" s="11"/>
      <c r="M860" s="11"/>
      <c r="N860" s="11"/>
      <c r="O860" s="18"/>
      <c r="Q860" s="17"/>
      <c r="X860" s="18"/>
    </row>
    <row r="861" spans="1:24" ht="13.2">
      <c r="A861" s="17"/>
      <c r="E861" s="11"/>
      <c r="F861" s="11"/>
      <c r="G861" s="11"/>
      <c r="H861" s="17"/>
      <c r="L861" s="11"/>
      <c r="M861" s="11"/>
      <c r="N861" s="11"/>
      <c r="O861" s="18"/>
      <c r="Q861" s="17"/>
      <c r="X861" s="18"/>
    </row>
    <row r="862" spans="1:24" ht="13.2">
      <c r="A862" s="17"/>
      <c r="E862" s="11"/>
      <c r="F862" s="11"/>
      <c r="G862" s="11"/>
      <c r="H862" s="17"/>
      <c r="L862" s="11"/>
      <c r="M862" s="11"/>
      <c r="N862" s="11"/>
      <c r="O862" s="18"/>
      <c r="Q862" s="17"/>
      <c r="X862" s="18"/>
    </row>
    <row r="863" spans="1:24" ht="13.2">
      <c r="A863" s="17"/>
      <c r="E863" s="11"/>
      <c r="F863" s="11"/>
      <c r="G863" s="11"/>
      <c r="H863" s="17"/>
      <c r="L863" s="11"/>
      <c r="M863" s="11"/>
      <c r="N863" s="11"/>
      <c r="O863" s="18"/>
      <c r="Q863" s="17"/>
      <c r="X863" s="18"/>
    </row>
    <row r="864" spans="1:24" ht="13.2">
      <c r="A864" s="17"/>
      <c r="E864" s="11"/>
      <c r="F864" s="11"/>
      <c r="G864" s="11"/>
      <c r="H864" s="17"/>
      <c r="L864" s="11"/>
      <c r="M864" s="11"/>
      <c r="N864" s="11"/>
      <c r="O864" s="18"/>
      <c r="Q864" s="17"/>
      <c r="X864" s="18"/>
    </row>
    <row r="865" spans="1:24" ht="13.2">
      <c r="A865" s="17"/>
      <c r="E865" s="11"/>
      <c r="F865" s="11"/>
      <c r="G865" s="11"/>
      <c r="H865" s="17"/>
      <c r="L865" s="11"/>
      <c r="M865" s="11"/>
      <c r="N865" s="11"/>
      <c r="O865" s="18"/>
      <c r="Q865" s="17"/>
      <c r="X865" s="18"/>
    </row>
    <row r="866" spans="1:24" ht="13.2">
      <c r="A866" s="17"/>
      <c r="E866" s="11"/>
      <c r="F866" s="11"/>
      <c r="G866" s="11"/>
      <c r="H866" s="17"/>
      <c r="L866" s="11"/>
      <c r="M866" s="11"/>
      <c r="N866" s="11"/>
      <c r="O866" s="18"/>
      <c r="Q866" s="17"/>
      <c r="X866" s="18"/>
    </row>
    <row r="867" spans="1:24" ht="13.2">
      <c r="A867" s="17"/>
      <c r="E867" s="11"/>
      <c r="F867" s="11"/>
      <c r="G867" s="11"/>
      <c r="H867" s="17"/>
      <c r="L867" s="11"/>
      <c r="M867" s="11"/>
      <c r="N867" s="11"/>
      <c r="O867" s="18"/>
      <c r="Q867" s="17"/>
      <c r="X867" s="18"/>
    </row>
    <row r="868" spans="1:24" ht="13.2">
      <c r="A868" s="17"/>
      <c r="E868" s="11"/>
      <c r="F868" s="11"/>
      <c r="G868" s="11"/>
      <c r="H868" s="17"/>
      <c r="L868" s="11"/>
      <c r="M868" s="11"/>
      <c r="N868" s="11"/>
      <c r="O868" s="18"/>
      <c r="Q868" s="17"/>
      <c r="X868" s="18"/>
    </row>
    <row r="869" spans="1:24" ht="13.2">
      <c r="A869" s="17"/>
      <c r="E869" s="11"/>
      <c r="F869" s="11"/>
      <c r="G869" s="11"/>
      <c r="H869" s="17"/>
      <c r="L869" s="11"/>
      <c r="M869" s="11"/>
      <c r="N869" s="11"/>
      <c r="O869" s="18"/>
      <c r="Q869" s="17"/>
      <c r="X869" s="18"/>
    </row>
    <row r="870" spans="1:24" ht="13.2">
      <c r="A870" s="17"/>
      <c r="E870" s="11"/>
      <c r="F870" s="11"/>
      <c r="G870" s="11"/>
      <c r="H870" s="17"/>
      <c r="L870" s="11"/>
      <c r="M870" s="11"/>
      <c r="N870" s="11"/>
      <c r="O870" s="18"/>
      <c r="Q870" s="17"/>
      <c r="X870" s="18"/>
    </row>
    <row r="871" spans="1:24" ht="13.2">
      <c r="A871" s="17"/>
      <c r="E871" s="11"/>
      <c r="F871" s="11"/>
      <c r="G871" s="11"/>
      <c r="H871" s="17"/>
      <c r="L871" s="11"/>
      <c r="M871" s="11"/>
      <c r="N871" s="11"/>
      <c r="O871" s="18"/>
      <c r="Q871" s="17"/>
      <c r="X871" s="18"/>
    </row>
    <row r="872" spans="1:24" ht="13.2">
      <c r="A872" s="17"/>
      <c r="E872" s="11"/>
      <c r="F872" s="11"/>
      <c r="G872" s="11"/>
      <c r="H872" s="17"/>
      <c r="L872" s="11"/>
      <c r="M872" s="11"/>
      <c r="N872" s="11"/>
      <c r="O872" s="18"/>
      <c r="Q872" s="17"/>
      <c r="X872" s="18"/>
    </row>
    <row r="873" spans="1:24" ht="13.2">
      <c r="A873" s="17"/>
      <c r="E873" s="11"/>
      <c r="F873" s="11"/>
      <c r="G873" s="11"/>
      <c r="H873" s="17"/>
      <c r="L873" s="11"/>
      <c r="M873" s="11"/>
      <c r="N873" s="11"/>
      <c r="O873" s="18"/>
      <c r="Q873" s="17"/>
      <c r="X873" s="18"/>
    </row>
    <row r="874" spans="1:24" ht="13.2">
      <c r="A874" s="17"/>
      <c r="E874" s="11"/>
      <c r="F874" s="11"/>
      <c r="G874" s="11"/>
      <c r="H874" s="17"/>
      <c r="L874" s="11"/>
      <c r="M874" s="11"/>
      <c r="N874" s="11"/>
      <c r="O874" s="18"/>
      <c r="Q874" s="17"/>
      <c r="X874" s="18"/>
    </row>
    <row r="875" spans="1:24" ht="13.2">
      <c r="A875" s="17"/>
      <c r="E875" s="11"/>
      <c r="F875" s="11"/>
      <c r="G875" s="11"/>
      <c r="H875" s="17"/>
      <c r="L875" s="11"/>
      <c r="M875" s="11"/>
      <c r="N875" s="11"/>
      <c r="O875" s="18"/>
      <c r="Q875" s="17"/>
      <c r="X875" s="18"/>
    </row>
    <row r="876" spans="1:24" ht="13.2">
      <c r="A876" s="17"/>
      <c r="E876" s="11"/>
      <c r="F876" s="11"/>
      <c r="G876" s="11"/>
      <c r="H876" s="17"/>
      <c r="L876" s="11"/>
      <c r="M876" s="11"/>
      <c r="N876" s="11"/>
      <c r="O876" s="18"/>
      <c r="Q876" s="17"/>
      <c r="X876" s="18"/>
    </row>
    <row r="877" spans="1:24" ht="13.2">
      <c r="A877" s="17"/>
      <c r="E877" s="11"/>
      <c r="F877" s="11"/>
      <c r="G877" s="11"/>
      <c r="H877" s="17"/>
      <c r="L877" s="11"/>
      <c r="M877" s="11"/>
      <c r="N877" s="11"/>
      <c r="O877" s="18"/>
      <c r="Q877" s="17"/>
      <c r="X877" s="18"/>
    </row>
    <row r="878" spans="1:24" ht="13.2">
      <c r="A878" s="17"/>
      <c r="E878" s="11"/>
      <c r="F878" s="11"/>
      <c r="G878" s="11"/>
      <c r="H878" s="17"/>
      <c r="L878" s="11"/>
      <c r="M878" s="11"/>
      <c r="N878" s="11"/>
      <c r="O878" s="18"/>
      <c r="Q878" s="17"/>
      <c r="X878" s="18"/>
    </row>
    <row r="879" spans="1:24" ht="13.2">
      <c r="A879" s="17"/>
      <c r="E879" s="11"/>
      <c r="F879" s="11"/>
      <c r="G879" s="11"/>
      <c r="H879" s="17"/>
      <c r="L879" s="11"/>
      <c r="M879" s="11"/>
      <c r="N879" s="11"/>
      <c r="O879" s="18"/>
      <c r="Q879" s="17"/>
      <c r="X879" s="18"/>
    </row>
    <row r="880" spans="1:24" ht="13.2">
      <c r="A880" s="17"/>
      <c r="E880" s="11"/>
      <c r="F880" s="11"/>
      <c r="G880" s="11"/>
      <c r="H880" s="17"/>
      <c r="L880" s="11"/>
      <c r="M880" s="11"/>
      <c r="N880" s="11"/>
      <c r="O880" s="18"/>
      <c r="Q880" s="17"/>
      <c r="X880" s="18"/>
    </row>
    <row r="881" spans="1:24" ht="13.2">
      <c r="A881" s="17"/>
      <c r="E881" s="11"/>
      <c r="F881" s="11"/>
      <c r="G881" s="11"/>
      <c r="H881" s="17"/>
      <c r="L881" s="11"/>
      <c r="M881" s="11"/>
      <c r="N881" s="11"/>
      <c r="O881" s="18"/>
      <c r="Q881" s="17"/>
      <c r="X881" s="18"/>
    </row>
    <row r="882" spans="1:24" ht="13.2">
      <c r="A882" s="17"/>
      <c r="E882" s="11"/>
      <c r="F882" s="11"/>
      <c r="G882" s="11"/>
      <c r="H882" s="17"/>
      <c r="L882" s="11"/>
      <c r="M882" s="11"/>
      <c r="N882" s="11"/>
      <c r="O882" s="18"/>
      <c r="Q882" s="17"/>
      <c r="X882" s="18"/>
    </row>
    <row r="883" spans="1:24" ht="13.2">
      <c r="A883" s="17"/>
      <c r="E883" s="11"/>
      <c r="F883" s="11"/>
      <c r="G883" s="11"/>
      <c r="H883" s="17"/>
      <c r="L883" s="11"/>
      <c r="M883" s="11"/>
      <c r="N883" s="11"/>
      <c r="O883" s="18"/>
      <c r="Q883" s="17"/>
      <c r="X883" s="18"/>
    </row>
    <row r="884" spans="1:24" ht="13.2">
      <c r="A884" s="17"/>
      <c r="E884" s="11"/>
      <c r="F884" s="11"/>
      <c r="G884" s="11"/>
      <c r="H884" s="17"/>
      <c r="L884" s="11"/>
      <c r="M884" s="11"/>
      <c r="N884" s="11"/>
      <c r="O884" s="18"/>
      <c r="Q884" s="17"/>
      <c r="X884" s="18"/>
    </row>
    <row r="885" spans="1:24" ht="13.2">
      <c r="A885" s="17"/>
      <c r="E885" s="11"/>
      <c r="F885" s="11"/>
      <c r="G885" s="11"/>
      <c r="H885" s="17"/>
      <c r="L885" s="11"/>
      <c r="M885" s="11"/>
      <c r="N885" s="11"/>
      <c r="O885" s="18"/>
      <c r="Q885" s="17"/>
      <c r="X885" s="18"/>
    </row>
    <row r="886" spans="1:24" ht="13.2">
      <c r="A886" s="17"/>
      <c r="E886" s="11"/>
      <c r="F886" s="11"/>
      <c r="G886" s="11"/>
      <c r="H886" s="17"/>
      <c r="L886" s="11"/>
      <c r="M886" s="11"/>
      <c r="N886" s="11"/>
      <c r="O886" s="18"/>
      <c r="Q886" s="17"/>
      <c r="X886" s="18"/>
    </row>
    <row r="887" spans="1:24" ht="13.2">
      <c r="A887" s="17"/>
      <c r="E887" s="11"/>
      <c r="F887" s="11"/>
      <c r="G887" s="11"/>
      <c r="H887" s="17"/>
      <c r="L887" s="11"/>
      <c r="M887" s="11"/>
      <c r="N887" s="11"/>
      <c r="O887" s="18"/>
      <c r="Q887" s="17"/>
      <c r="X887" s="18"/>
    </row>
    <row r="888" spans="1:24" ht="13.2">
      <c r="A888" s="17"/>
      <c r="E888" s="11"/>
      <c r="F888" s="11"/>
      <c r="G888" s="11"/>
      <c r="H888" s="17"/>
      <c r="L888" s="11"/>
      <c r="M888" s="11"/>
      <c r="N888" s="11"/>
      <c r="O888" s="18"/>
      <c r="Q888" s="17"/>
      <c r="X888" s="18"/>
    </row>
    <row r="889" spans="1:24" ht="13.2">
      <c r="A889" s="17"/>
      <c r="E889" s="11"/>
      <c r="F889" s="11"/>
      <c r="G889" s="11"/>
      <c r="H889" s="17"/>
      <c r="L889" s="11"/>
      <c r="M889" s="11"/>
      <c r="N889" s="11"/>
      <c r="O889" s="18"/>
      <c r="Q889" s="17"/>
      <c r="X889" s="18"/>
    </row>
    <row r="890" spans="1:24" ht="13.2">
      <c r="A890" s="17"/>
      <c r="E890" s="11"/>
      <c r="F890" s="11"/>
      <c r="G890" s="11"/>
      <c r="H890" s="17"/>
      <c r="L890" s="11"/>
      <c r="M890" s="11"/>
      <c r="N890" s="11"/>
      <c r="O890" s="18"/>
      <c r="Q890" s="17"/>
      <c r="X890" s="18"/>
    </row>
    <row r="891" spans="1:24" ht="13.2">
      <c r="A891" s="17"/>
      <c r="E891" s="11"/>
      <c r="F891" s="11"/>
      <c r="G891" s="11"/>
      <c r="H891" s="17"/>
      <c r="L891" s="11"/>
      <c r="M891" s="11"/>
      <c r="N891" s="11"/>
      <c r="O891" s="18"/>
      <c r="Q891" s="17"/>
      <c r="X891" s="18"/>
    </row>
    <row r="892" spans="1:24" ht="13.2">
      <c r="A892" s="17"/>
      <c r="E892" s="11"/>
      <c r="F892" s="11"/>
      <c r="G892" s="11"/>
      <c r="H892" s="17"/>
      <c r="L892" s="11"/>
      <c r="M892" s="11"/>
      <c r="N892" s="11"/>
      <c r="O892" s="18"/>
      <c r="Q892" s="17"/>
      <c r="X892" s="18"/>
    </row>
    <row r="893" spans="1:24" ht="13.2">
      <c r="A893" s="17"/>
      <c r="E893" s="11"/>
      <c r="F893" s="11"/>
      <c r="G893" s="11"/>
      <c r="H893" s="17"/>
      <c r="L893" s="11"/>
      <c r="M893" s="11"/>
      <c r="N893" s="11"/>
      <c r="O893" s="18"/>
      <c r="Q893" s="17"/>
      <c r="X893" s="18"/>
    </row>
    <row r="894" spans="1:24" ht="13.2">
      <c r="A894" s="17"/>
      <c r="E894" s="11"/>
      <c r="F894" s="11"/>
      <c r="G894" s="11"/>
      <c r="H894" s="17"/>
      <c r="L894" s="11"/>
      <c r="M894" s="11"/>
      <c r="N894" s="11"/>
      <c r="O894" s="18"/>
      <c r="Q894" s="17"/>
      <c r="X894" s="18"/>
    </row>
    <row r="895" spans="1:24" ht="13.2">
      <c r="A895" s="17"/>
      <c r="E895" s="11"/>
      <c r="F895" s="11"/>
      <c r="G895" s="11"/>
      <c r="H895" s="17"/>
      <c r="L895" s="11"/>
      <c r="M895" s="11"/>
      <c r="N895" s="11"/>
      <c r="O895" s="18"/>
      <c r="Q895" s="17"/>
      <c r="X895" s="18"/>
    </row>
    <row r="896" spans="1:24" ht="13.2">
      <c r="A896" s="17"/>
      <c r="E896" s="11"/>
      <c r="F896" s="11"/>
      <c r="G896" s="11"/>
      <c r="H896" s="17"/>
      <c r="L896" s="11"/>
      <c r="M896" s="11"/>
      <c r="N896" s="11"/>
      <c r="O896" s="18"/>
      <c r="Q896" s="17"/>
      <c r="X896" s="18"/>
    </row>
    <row r="897" spans="1:24" ht="13.2">
      <c r="A897" s="17"/>
      <c r="E897" s="11"/>
      <c r="F897" s="11"/>
      <c r="G897" s="11"/>
      <c r="H897" s="17"/>
      <c r="L897" s="11"/>
      <c r="M897" s="11"/>
      <c r="N897" s="11"/>
      <c r="O897" s="18"/>
      <c r="Q897" s="17"/>
      <c r="X897" s="18"/>
    </row>
    <row r="898" spans="1:24" ht="13.2">
      <c r="A898" s="17"/>
      <c r="E898" s="11"/>
      <c r="F898" s="11"/>
      <c r="G898" s="11"/>
      <c r="H898" s="17"/>
      <c r="L898" s="11"/>
      <c r="M898" s="11"/>
      <c r="N898" s="11"/>
      <c r="O898" s="18"/>
      <c r="Q898" s="17"/>
      <c r="X898" s="18"/>
    </row>
    <row r="899" spans="1:24" ht="13.2">
      <c r="A899" s="17"/>
      <c r="E899" s="11"/>
      <c r="F899" s="11"/>
      <c r="G899" s="11"/>
      <c r="H899" s="17"/>
      <c r="L899" s="11"/>
      <c r="M899" s="11"/>
      <c r="N899" s="11"/>
      <c r="O899" s="18"/>
      <c r="Q899" s="17"/>
      <c r="X899" s="18"/>
    </row>
    <row r="900" spans="1:24" ht="13.2">
      <c r="A900" s="17"/>
      <c r="E900" s="11"/>
      <c r="F900" s="11"/>
      <c r="G900" s="11"/>
      <c r="H900" s="17"/>
      <c r="L900" s="11"/>
      <c r="M900" s="11"/>
      <c r="N900" s="11"/>
      <c r="O900" s="18"/>
      <c r="Q900" s="17"/>
      <c r="X900" s="18"/>
    </row>
    <row r="901" spans="1:24" ht="13.2">
      <c r="A901" s="17"/>
      <c r="E901" s="11"/>
      <c r="F901" s="11"/>
      <c r="G901" s="11"/>
      <c r="H901" s="17"/>
      <c r="L901" s="11"/>
      <c r="M901" s="11"/>
      <c r="N901" s="11"/>
      <c r="O901" s="18"/>
      <c r="Q901" s="17"/>
      <c r="X901" s="18"/>
    </row>
    <row r="902" spans="1:24" ht="13.2">
      <c r="A902" s="17"/>
      <c r="E902" s="11"/>
      <c r="F902" s="11"/>
      <c r="G902" s="11"/>
      <c r="H902" s="17"/>
      <c r="L902" s="11"/>
      <c r="M902" s="11"/>
      <c r="N902" s="11"/>
      <c r="O902" s="18"/>
      <c r="Q902" s="17"/>
      <c r="X902" s="18"/>
    </row>
    <row r="903" spans="1:24" ht="13.2">
      <c r="A903" s="17"/>
      <c r="E903" s="11"/>
      <c r="F903" s="11"/>
      <c r="G903" s="11"/>
      <c r="H903" s="17"/>
      <c r="L903" s="11"/>
      <c r="M903" s="11"/>
      <c r="N903" s="11"/>
      <c r="O903" s="18"/>
      <c r="Q903" s="17"/>
      <c r="X903" s="18"/>
    </row>
    <row r="904" spans="1:24" ht="13.2">
      <c r="A904" s="17"/>
      <c r="E904" s="11"/>
      <c r="F904" s="11"/>
      <c r="G904" s="11"/>
      <c r="H904" s="17"/>
      <c r="L904" s="11"/>
      <c r="M904" s="11"/>
      <c r="N904" s="11"/>
      <c r="O904" s="18"/>
      <c r="Q904" s="17"/>
      <c r="X904" s="18"/>
    </row>
    <row r="905" spans="1:24" ht="13.2">
      <c r="A905" s="17"/>
      <c r="E905" s="11"/>
      <c r="F905" s="11"/>
      <c r="G905" s="11"/>
      <c r="H905" s="17"/>
      <c r="L905" s="11"/>
      <c r="M905" s="11"/>
      <c r="N905" s="11"/>
      <c r="O905" s="18"/>
      <c r="Q905" s="17"/>
      <c r="X905" s="18"/>
    </row>
    <row r="906" spans="1:24" ht="13.2">
      <c r="A906" s="17"/>
      <c r="E906" s="11"/>
      <c r="F906" s="11"/>
      <c r="G906" s="11"/>
      <c r="H906" s="17"/>
      <c r="L906" s="11"/>
      <c r="M906" s="11"/>
      <c r="N906" s="11"/>
      <c r="O906" s="18"/>
      <c r="Q906" s="17"/>
      <c r="X906" s="18"/>
    </row>
    <row r="907" spans="1:24" ht="13.2">
      <c r="A907" s="17"/>
      <c r="E907" s="11"/>
      <c r="F907" s="11"/>
      <c r="G907" s="11"/>
      <c r="H907" s="17"/>
      <c r="L907" s="11"/>
      <c r="M907" s="11"/>
      <c r="N907" s="11"/>
      <c r="O907" s="18"/>
      <c r="Q907" s="17"/>
      <c r="X907" s="18"/>
    </row>
    <row r="908" spans="1:24" ht="13.2">
      <c r="A908" s="17"/>
      <c r="E908" s="11"/>
      <c r="F908" s="11"/>
      <c r="G908" s="11"/>
      <c r="H908" s="17"/>
      <c r="L908" s="11"/>
      <c r="M908" s="11"/>
      <c r="N908" s="11"/>
      <c r="O908" s="18"/>
      <c r="Q908" s="17"/>
      <c r="X908" s="18"/>
    </row>
    <row r="909" spans="1:24" ht="13.2">
      <c r="A909" s="17"/>
      <c r="E909" s="11"/>
      <c r="F909" s="11"/>
      <c r="G909" s="11"/>
      <c r="H909" s="17"/>
      <c r="L909" s="11"/>
      <c r="M909" s="11"/>
      <c r="N909" s="11"/>
      <c r="O909" s="18"/>
      <c r="Q909" s="17"/>
      <c r="X909" s="18"/>
    </row>
    <row r="910" spans="1:24" ht="13.2">
      <c r="A910" s="17"/>
      <c r="E910" s="11"/>
      <c r="F910" s="11"/>
      <c r="G910" s="11"/>
      <c r="H910" s="17"/>
      <c r="L910" s="11"/>
      <c r="M910" s="11"/>
      <c r="N910" s="11"/>
      <c r="O910" s="18"/>
      <c r="Q910" s="17"/>
      <c r="X910" s="18"/>
    </row>
    <row r="911" spans="1:24" ht="13.2">
      <c r="A911" s="17"/>
      <c r="E911" s="11"/>
      <c r="F911" s="11"/>
      <c r="G911" s="11"/>
      <c r="H911" s="17"/>
      <c r="L911" s="11"/>
      <c r="M911" s="11"/>
      <c r="N911" s="11"/>
      <c r="O911" s="18"/>
      <c r="Q911" s="17"/>
      <c r="X911" s="18"/>
    </row>
    <row r="912" spans="1:24" ht="13.2">
      <c r="A912" s="17"/>
      <c r="E912" s="11"/>
      <c r="F912" s="11"/>
      <c r="G912" s="11"/>
      <c r="H912" s="17"/>
      <c r="L912" s="11"/>
      <c r="M912" s="11"/>
      <c r="N912" s="11"/>
      <c r="O912" s="18"/>
      <c r="Q912" s="17"/>
      <c r="X912" s="18"/>
    </row>
    <row r="913" spans="1:24" ht="13.2">
      <c r="A913" s="17"/>
      <c r="E913" s="11"/>
      <c r="F913" s="11"/>
      <c r="G913" s="11"/>
      <c r="H913" s="17"/>
      <c r="L913" s="11"/>
      <c r="M913" s="11"/>
      <c r="N913" s="11"/>
      <c r="O913" s="18"/>
      <c r="Q913" s="17"/>
      <c r="X913" s="18"/>
    </row>
    <row r="914" spans="1:24" ht="13.2">
      <c r="A914" s="17"/>
      <c r="E914" s="11"/>
      <c r="F914" s="11"/>
      <c r="G914" s="11"/>
      <c r="H914" s="17"/>
      <c r="L914" s="11"/>
      <c r="M914" s="11"/>
      <c r="N914" s="11"/>
      <c r="O914" s="18"/>
      <c r="Q914" s="17"/>
      <c r="X914" s="18"/>
    </row>
    <row r="915" spans="1:24" ht="13.2">
      <c r="A915" s="17"/>
      <c r="E915" s="11"/>
      <c r="F915" s="11"/>
      <c r="G915" s="11"/>
      <c r="H915" s="17"/>
      <c r="L915" s="11"/>
      <c r="M915" s="11"/>
      <c r="N915" s="11"/>
      <c r="O915" s="18"/>
      <c r="Q915" s="17"/>
      <c r="X915" s="18"/>
    </row>
    <row r="916" spans="1:24" ht="13.2">
      <c r="A916" s="17"/>
      <c r="E916" s="11"/>
      <c r="F916" s="11"/>
      <c r="G916" s="11"/>
      <c r="H916" s="17"/>
      <c r="L916" s="11"/>
      <c r="M916" s="11"/>
      <c r="N916" s="11"/>
      <c r="O916" s="18"/>
      <c r="Q916" s="17"/>
      <c r="X916" s="18"/>
    </row>
    <row r="917" spans="1:24" ht="13.2">
      <c r="A917" s="17"/>
      <c r="E917" s="11"/>
      <c r="F917" s="11"/>
      <c r="G917" s="11"/>
      <c r="H917" s="17"/>
      <c r="L917" s="11"/>
      <c r="M917" s="11"/>
      <c r="N917" s="11"/>
      <c r="O917" s="18"/>
      <c r="Q917" s="17"/>
      <c r="X917" s="18"/>
    </row>
    <row r="918" spans="1:24" ht="13.2">
      <c r="A918" s="17"/>
      <c r="E918" s="11"/>
      <c r="F918" s="11"/>
      <c r="G918" s="11"/>
      <c r="H918" s="17"/>
      <c r="L918" s="11"/>
      <c r="M918" s="11"/>
      <c r="N918" s="11"/>
      <c r="O918" s="18"/>
      <c r="Q918" s="17"/>
      <c r="X918" s="18"/>
    </row>
    <row r="919" spans="1:24" ht="13.2">
      <c r="A919" s="17"/>
      <c r="E919" s="11"/>
      <c r="F919" s="11"/>
      <c r="G919" s="11"/>
      <c r="H919" s="17"/>
      <c r="L919" s="11"/>
      <c r="M919" s="11"/>
      <c r="N919" s="11"/>
      <c r="O919" s="18"/>
      <c r="Q919" s="17"/>
      <c r="X919" s="18"/>
    </row>
    <row r="920" spans="1:24" ht="13.2">
      <c r="A920" s="17"/>
      <c r="E920" s="11"/>
      <c r="F920" s="11"/>
      <c r="G920" s="11"/>
      <c r="H920" s="17"/>
      <c r="L920" s="11"/>
      <c r="M920" s="11"/>
      <c r="N920" s="11"/>
      <c r="O920" s="18"/>
      <c r="Q920" s="17"/>
      <c r="X920" s="18"/>
    </row>
    <row r="921" spans="1:24" ht="13.2">
      <c r="A921" s="17"/>
      <c r="E921" s="11"/>
      <c r="F921" s="11"/>
      <c r="G921" s="11"/>
      <c r="H921" s="17"/>
      <c r="L921" s="11"/>
      <c r="M921" s="11"/>
      <c r="N921" s="11"/>
      <c r="O921" s="18"/>
      <c r="Q921" s="17"/>
      <c r="X921" s="18"/>
    </row>
    <row r="922" spans="1:24" ht="13.2">
      <c r="A922" s="17"/>
      <c r="E922" s="11"/>
      <c r="F922" s="11"/>
      <c r="G922" s="11"/>
      <c r="H922" s="17"/>
      <c r="L922" s="11"/>
      <c r="M922" s="11"/>
      <c r="N922" s="11"/>
      <c r="O922" s="18"/>
      <c r="Q922" s="17"/>
      <c r="X922" s="18"/>
    </row>
    <row r="923" spans="1:24" ht="13.2">
      <c r="A923" s="17"/>
      <c r="E923" s="11"/>
      <c r="F923" s="11"/>
      <c r="G923" s="11"/>
      <c r="H923" s="17"/>
      <c r="L923" s="11"/>
      <c r="M923" s="11"/>
      <c r="N923" s="11"/>
      <c r="O923" s="18"/>
      <c r="Q923" s="17"/>
      <c r="X923" s="18"/>
    </row>
    <row r="924" spans="1:24" ht="13.2">
      <c r="A924" s="17"/>
      <c r="E924" s="11"/>
      <c r="F924" s="11"/>
      <c r="G924" s="11"/>
      <c r="H924" s="17"/>
      <c r="L924" s="11"/>
      <c r="M924" s="11"/>
      <c r="N924" s="11"/>
      <c r="O924" s="18"/>
      <c r="Q924" s="17"/>
      <c r="X924" s="18"/>
    </row>
    <row r="925" spans="1:24" ht="13.2">
      <c r="A925" s="17"/>
      <c r="E925" s="11"/>
      <c r="F925" s="11"/>
      <c r="G925" s="11"/>
      <c r="H925" s="17"/>
      <c r="L925" s="11"/>
      <c r="M925" s="11"/>
      <c r="N925" s="11"/>
      <c r="O925" s="18"/>
      <c r="Q925" s="17"/>
      <c r="X925" s="18"/>
    </row>
    <row r="926" spans="1:24" ht="13.2">
      <c r="A926" s="17"/>
      <c r="E926" s="11"/>
      <c r="F926" s="11"/>
      <c r="G926" s="11"/>
      <c r="H926" s="17"/>
      <c r="L926" s="11"/>
      <c r="M926" s="11"/>
      <c r="N926" s="11"/>
      <c r="O926" s="18"/>
      <c r="Q926" s="17"/>
      <c r="X926" s="18"/>
    </row>
    <row r="927" spans="1:24" ht="13.2">
      <c r="A927" s="17"/>
      <c r="E927" s="11"/>
      <c r="F927" s="11"/>
      <c r="G927" s="11"/>
      <c r="H927" s="17"/>
      <c r="L927" s="11"/>
      <c r="M927" s="11"/>
      <c r="N927" s="11"/>
      <c r="O927" s="18"/>
      <c r="Q927" s="17"/>
      <c r="X927" s="18"/>
    </row>
    <row r="928" spans="1:24" ht="13.2">
      <c r="A928" s="17"/>
      <c r="E928" s="11"/>
      <c r="F928" s="11"/>
      <c r="G928" s="11"/>
      <c r="H928" s="17"/>
      <c r="L928" s="11"/>
      <c r="M928" s="11"/>
      <c r="N928" s="11"/>
      <c r="O928" s="18"/>
      <c r="Q928" s="17"/>
      <c r="X928" s="18"/>
    </row>
    <row r="929" spans="1:24" ht="13.2">
      <c r="A929" s="17"/>
      <c r="E929" s="11"/>
      <c r="F929" s="11"/>
      <c r="G929" s="11"/>
      <c r="H929" s="17"/>
      <c r="L929" s="11"/>
      <c r="M929" s="11"/>
      <c r="N929" s="11"/>
      <c r="O929" s="18"/>
      <c r="Q929" s="17"/>
      <c r="X929" s="18"/>
    </row>
    <row r="930" spans="1:24" ht="13.2">
      <c r="A930" s="17"/>
      <c r="E930" s="11"/>
      <c r="F930" s="11"/>
      <c r="G930" s="11"/>
      <c r="H930" s="17"/>
      <c r="L930" s="11"/>
      <c r="M930" s="11"/>
      <c r="N930" s="11"/>
      <c r="O930" s="18"/>
      <c r="Q930" s="17"/>
      <c r="X930" s="18"/>
    </row>
    <row r="931" spans="1:24" ht="13.2">
      <c r="A931" s="17"/>
      <c r="E931" s="11"/>
      <c r="F931" s="11"/>
      <c r="G931" s="11"/>
      <c r="H931" s="17"/>
      <c r="L931" s="11"/>
      <c r="M931" s="11"/>
      <c r="N931" s="11"/>
      <c r="O931" s="18"/>
      <c r="Q931" s="17"/>
      <c r="X931" s="18"/>
    </row>
    <row r="932" spans="1:24" ht="13.2">
      <c r="A932" s="17"/>
      <c r="E932" s="11"/>
      <c r="F932" s="11"/>
      <c r="G932" s="11"/>
      <c r="H932" s="17"/>
      <c r="L932" s="11"/>
      <c r="M932" s="11"/>
      <c r="N932" s="11"/>
      <c r="O932" s="18"/>
      <c r="Q932" s="17"/>
      <c r="X932" s="18"/>
    </row>
    <row r="933" spans="1:24" ht="13.2">
      <c r="A933" s="17"/>
      <c r="E933" s="11"/>
      <c r="F933" s="11"/>
      <c r="G933" s="11"/>
      <c r="H933" s="17"/>
      <c r="L933" s="11"/>
      <c r="M933" s="11"/>
      <c r="N933" s="11"/>
      <c r="O933" s="18"/>
      <c r="Q933" s="17"/>
      <c r="X933" s="18"/>
    </row>
    <row r="934" spans="1:24" ht="13.2">
      <c r="A934" s="17"/>
      <c r="E934" s="11"/>
      <c r="F934" s="11"/>
      <c r="G934" s="11"/>
      <c r="H934" s="17"/>
      <c r="L934" s="11"/>
      <c r="M934" s="11"/>
      <c r="N934" s="11"/>
      <c r="O934" s="18"/>
      <c r="Q934" s="17"/>
      <c r="X934" s="18"/>
    </row>
    <row r="935" spans="1:24" ht="13.2">
      <c r="A935" s="17"/>
      <c r="E935" s="11"/>
      <c r="F935" s="11"/>
      <c r="G935" s="11"/>
      <c r="H935" s="17"/>
      <c r="L935" s="11"/>
      <c r="M935" s="11"/>
      <c r="N935" s="11"/>
      <c r="O935" s="18"/>
      <c r="Q935" s="17"/>
      <c r="X935" s="18"/>
    </row>
    <row r="936" spans="1:24" ht="13.2">
      <c r="A936" s="17"/>
      <c r="E936" s="11"/>
      <c r="F936" s="11"/>
      <c r="G936" s="11"/>
      <c r="H936" s="17"/>
      <c r="L936" s="11"/>
      <c r="M936" s="11"/>
      <c r="N936" s="11"/>
      <c r="O936" s="18"/>
      <c r="Q936" s="17"/>
      <c r="X936" s="18"/>
    </row>
    <row r="937" spans="1:24" ht="13.2">
      <c r="A937" s="17"/>
      <c r="E937" s="11"/>
      <c r="F937" s="11"/>
      <c r="G937" s="11"/>
      <c r="H937" s="17"/>
      <c r="L937" s="11"/>
      <c r="M937" s="11"/>
      <c r="N937" s="11"/>
      <c r="O937" s="18"/>
      <c r="Q937" s="17"/>
      <c r="X937" s="18"/>
    </row>
    <row r="938" spans="1:24" ht="13.2">
      <c r="A938" s="17"/>
      <c r="E938" s="11"/>
      <c r="F938" s="11"/>
      <c r="G938" s="11"/>
      <c r="H938" s="17"/>
      <c r="L938" s="11"/>
      <c r="M938" s="11"/>
      <c r="N938" s="11"/>
      <c r="O938" s="18"/>
      <c r="Q938" s="17"/>
      <c r="X938" s="18"/>
    </row>
    <row r="939" spans="1:24" ht="13.2">
      <c r="A939" s="17"/>
      <c r="E939" s="11"/>
      <c r="F939" s="11"/>
      <c r="G939" s="11"/>
      <c r="H939" s="17"/>
      <c r="L939" s="11"/>
      <c r="M939" s="11"/>
      <c r="N939" s="11"/>
      <c r="O939" s="18"/>
      <c r="Q939" s="17"/>
      <c r="X939" s="18"/>
    </row>
    <row r="940" spans="1:24" ht="13.2">
      <c r="A940" s="17"/>
      <c r="E940" s="11"/>
      <c r="F940" s="11"/>
      <c r="G940" s="11"/>
      <c r="H940" s="17"/>
      <c r="L940" s="11"/>
      <c r="M940" s="11"/>
      <c r="N940" s="11"/>
      <c r="O940" s="18"/>
      <c r="Q940" s="17"/>
      <c r="X940" s="18"/>
    </row>
    <row r="941" spans="1:24" ht="13.2">
      <c r="A941" s="17"/>
      <c r="E941" s="11"/>
      <c r="F941" s="11"/>
      <c r="G941" s="11"/>
      <c r="H941" s="17"/>
      <c r="L941" s="11"/>
      <c r="M941" s="11"/>
      <c r="N941" s="11"/>
      <c r="O941" s="18"/>
      <c r="Q941" s="17"/>
      <c r="X941" s="18"/>
    </row>
    <row r="942" spans="1:24" ht="13.2">
      <c r="A942" s="17"/>
      <c r="E942" s="11"/>
      <c r="F942" s="11"/>
      <c r="G942" s="11"/>
      <c r="H942" s="17"/>
      <c r="L942" s="11"/>
      <c r="M942" s="11"/>
      <c r="N942" s="11"/>
      <c r="O942" s="18"/>
      <c r="Q942" s="17"/>
      <c r="X942" s="18"/>
    </row>
    <row r="943" spans="1:24" ht="13.2">
      <c r="A943" s="17"/>
      <c r="E943" s="11"/>
      <c r="F943" s="11"/>
      <c r="G943" s="11"/>
      <c r="H943" s="17"/>
      <c r="L943" s="11"/>
      <c r="M943" s="11"/>
      <c r="N943" s="11"/>
      <c r="O943" s="18"/>
      <c r="Q943" s="17"/>
      <c r="X943" s="18"/>
    </row>
    <row r="944" spans="1:24" ht="13.2">
      <c r="A944" s="17"/>
      <c r="E944" s="11"/>
      <c r="F944" s="11"/>
      <c r="G944" s="11"/>
      <c r="H944" s="17"/>
      <c r="L944" s="11"/>
      <c r="M944" s="11"/>
      <c r="N944" s="11"/>
      <c r="O944" s="18"/>
      <c r="Q944" s="17"/>
      <c r="X944" s="18"/>
    </row>
    <row r="945" spans="1:24" ht="13.2">
      <c r="A945" s="17"/>
      <c r="E945" s="11"/>
      <c r="F945" s="11"/>
      <c r="G945" s="11"/>
      <c r="H945" s="17"/>
      <c r="L945" s="11"/>
      <c r="M945" s="11"/>
      <c r="N945" s="11"/>
      <c r="O945" s="18"/>
      <c r="Q945" s="17"/>
      <c r="X945" s="18"/>
    </row>
    <row r="946" spans="1:24" ht="13.2">
      <c r="A946" s="17"/>
      <c r="E946" s="11"/>
      <c r="F946" s="11"/>
      <c r="G946" s="11"/>
      <c r="H946" s="17"/>
      <c r="L946" s="11"/>
      <c r="M946" s="11"/>
      <c r="N946" s="11"/>
      <c r="O946" s="18"/>
      <c r="Q946" s="17"/>
      <c r="X946" s="18"/>
    </row>
    <row r="947" spans="1:24" ht="13.2">
      <c r="A947" s="17"/>
      <c r="E947" s="11"/>
      <c r="F947" s="11"/>
      <c r="G947" s="11"/>
      <c r="H947" s="17"/>
      <c r="L947" s="11"/>
      <c r="M947" s="11"/>
      <c r="N947" s="11"/>
      <c r="O947" s="18"/>
      <c r="Q947" s="17"/>
      <c r="X947" s="18"/>
    </row>
    <row r="948" spans="1:24" ht="13.2">
      <c r="A948" s="17"/>
      <c r="E948" s="11"/>
      <c r="F948" s="11"/>
      <c r="G948" s="11"/>
      <c r="H948" s="17"/>
      <c r="L948" s="11"/>
      <c r="M948" s="11"/>
      <c r="N948" s="11"/>
      <c r="O948" s="18"/>
      <c r="Q948" s="17"/>
      <c r="X948" s="18"/>
    </row>
    <row r="949" spans="1:24" ht="13.2">
      <c r="A949" s="17"/>
      <c r="E949" s="11"/>
      <c r="F949" s="11"/>
      <c r="G949" s="11"/>
      <c r="H949" s="17"/>
      <c r="L949" s="11"/>
      <c r="M949" s="11"/>
      <c r="N949" s="11"/>
      <c r="O949" s="18"/>
      <c r="Q949" s="17"/>
      <c r="X949" s="18"/>
    </row>
    <row r="950" spans="1:24" ht="13.2">
      <c r="A950" s="17"/>
      <c r="E950" s="11"/>
      <c r="F950" s="11"/>
      <c r="G950" s="11"/>
      <c r="H950" s="17"/>
      <c r="L950" s="11"/>
      <c r="M950" s="11"/>
      <c r="N950" s="11"/>
      <c r="O950" s="18"/>
      <c r="Q950" s="17"/>
      <c r="X950" s="18"/>
    </row>
    <row r="951" spans="1:24" ht="13.2">
      <c r="A951" s="17"/>
      <c r="E951" s="11"/>
      <c r="F951" s="11"/>
      <c r="G951" s="11"/>
      <c r="H951" s="17"/>
      <c r="L951" s="11"/>
      <c r="M951" s="11"/>
      <c r="N951" s="11"/>
      <c r="O951" s="18"/>
      <c r="Q951" s="17"/>
      <c r="X951" s="18"/>
    </row>
    <row r="952" spans="1:24" ht="13.2">
      <c r="A952" s="17"/>
      <c r="E952" s="11"/>
      <c r="F952" s="11"/>
      <c r="G952" s="11"/>
      <c r="H952" s="17"/>
      <c r="L952" s="11"/>
      <c r="M952" s="11"/>
      <c r="N952" s="11"/>
      <c r="O952" s="18"/>
      <c r="Q952" s="17"/>
      <c r="X952" s="18"/>
    </row>
    <row r="953" spans="1:24" ht="13.2">
      <c r="A953" s="17"/>
      <c r="E953" s="11"/>
      <c r="F953" s="11"/>
      <c r="G953" s="11"/>
      <c r="H953" s="17"/>
      <c r="L953" s="11"/>
      <c r="M953" s="11"/>
      <c r="N953" s="11"/>
      <c r="O953" s="18"/>
      <c r="Q953" s="17"/>
      <c r="X953" s="18"/>
    </row>
    <row r="954" spans="1:24" ht="13.2">
      <c r="A954" s="17"/>
      <c r="E954" s="11"/>
      <c r="F954" s="11"/>
      <c r="G954" s="11"/>
      <c r="H954" s="17"/>
      <c r="L954" s="11"/>
      <c r="M954" s="11"/>
      <c r="N954" s="11"/>
      <c r="O954" s="18"/>
      <c r="Q954" s="17"/>
      <c r="X954" s="18"/>
    </row>
    <row r="955" spans="1:24" ht="13.2">
      <c r="A955" s="17"/>
      <c r="E955" s="11"/>
      <c r="F955" s="11"/>
      <c r="G955" s="11"/>
      <c r="H955" s="17"/>
      <c r="L955" s="11"/>
      <c r="M955" s="11"/>
      <c r="N955" s="11"/>
      <c r="O955" s="18"/>
      <c r="Q955" s="17"/>
      <c r="X955" s="18"/>
    </row>
    <row r="956" spans="1:24" ht="13.2">
      <c r="A956" s="17"/>
      <c r="E956" s="11"/>
      <c r="F956" s="11"/>
      <c r="G956" s="11"/>
      <c r="H956" s="17"/>
      <c r="L956" s="11"/>
      <c r="M956" s="11"/>
      <c r="N956" s="11"/>
      <c r="O956" s="18"/>
      <c r="Q956" s="17"/>
      <c r="X956" s="18"/>
    </row>
    <row r="957" spans="1:24" ht="13.2">
      <c r="A957" s="17"/>
      <c r="E957" s="11"/>
      <c r="F957" s="11"/>
      <c r="G957" s="11"/>
      <c r="H957" s="17"/>
      <c r="L957" s="11"/>
      <c r="M957" s="11"/>
      <c r="N957" s="11"/>
      <c r="O957" s="18"/>
      <c r="Q957" s="17"/>
      <c r="X957" s="18"/>
    </row>
    <row r="958" spans="1:24" ht="13.2">
      <c r="A958" s="17"/>
      <c r="E958" s="11"/>
      <c r="F958" s="11"/>
      <c r="G958" s="11"/>
      <c r="H958" s="17"/>
      <c r="L958" s="11"/>
      <c r="M958" s="11"/>
      <c r="N958" s="11"/>
      <c r="O958" s="18"/>
      <c r="Q958" s="17"/>
      <c r="X958" s="18"/>
    </row>
    <row r="959" spans="1:24" ht="13.2">
      <c r="A959" s="17"/>
      <c r="E959" s="11"/>
      <c r="F959" s="11"/>
      <c r="G959" s="11"/>
      <c r="H959" s="17"/>
      <c r="L959" s="11"/>
      <c r="M959" s="11"/>
      <c r="N959" s="11"/>
      <c r="O959" s="18"/>
      <c r="Q959" s="17"/>
      <c r="X959" s="18"/>
    </row>
    <row r="960" spans="1:24" ht="13.2">
      <c r="A960" s="17"/>
      <c r="E960" s="11"/>
      <c r="F960" s="11"/>
      <c r="G960" s="11"/>
      <c r="H960" s="17"/>
      <c r="L960" s="11"/>
      <c r="M960" s="11"/>
      <c r="N960" s="11"/>
      <c r="O960" s="18"/>
      <c r="Q960" s="17"/>
      <c r="X960" s="18"/>
    </row>
    <row r="961" spans="1:24" ht="13.2">
      <c r="A961" s="17"/>
      <c r="E961" s="11"/>
      <c r="F961" s="11"/>
      <c r="G961" s="11"/>
      <c r="H961" s="17"/>
      <c r="L961" s="11"/>
      <c r="M961" s="11"/>
      <c r="N961" s="11"/>
      <c r="O961" s="18"/>
      <c r="Q961" s="17"/>
      <c r="X961" s="18"/>
    </row>
    <row r="962" spans="1:24" ht="13.2">
      <c r="A962" s="17"/>
      <c r="E962" s="11"/>
      <c r="F962" s="11"/>
      <c r="G962" s="11"/>
      <c r="H962" s="17"/>
      <c r="L962" s="11"/>
      <c r="M962" s="11"/>
      <c r="N962" s="11"/>
      <c r="O962" s="18"/>
      <c r="Q962" s="17"/>
      <c r="X962" s="18"/>
    </row>
    <row r="963" spans="1:24" ht="13.2">
      <c r="A963" s="17"/>
      <c r="E963" s="11"/>
      <c r="F963" s="11"/>
      <c r="G963" s="11"/>
      <c r="H963" s="17"/>
      <c r="L963" s="11"/>
      <c r="M963" s="11"/>
      <c r="N963" s="11"/>
      <c r="O963" s="18"/>
      <c r="Q963" s="17"/>
      <c r="X963" s="18"/>
    </row>
    <row r="964" spans="1:24" ht="13.2">
      <c r="A964" s="17"/>
      <c r="E964" s="11"/>
      <c r="F964" s="11"/>
      <c r="G964" s="11"/>
      <c r="H964" s="17"/>
      <c r="L964" s="11"/>
      <c r="M964" s="11"/>
      <c r="N964" s="11"/>
      <c r="O964" s="18"/>
      <c r="Q964" s="17"/>
      <c r="X964" s="18"/>
    </row>
    <row r="965" spans="1:24" ht="13.2">
      <c r="A965" s="17"/>
      <c r="E965" s="11"/>
      <c r="F965" s="11"/>
      <c r="G965" s="11"/>
      <c r="H965" s="17"/>
      <c r="L965" s="11"/>
      <c r="M965" s="11"/>
      <c r="N965" s="11"/>
      <c r="O965" s="18"/>
      <c r="Q965" s="17"/>
      <c r="X965" s="18"/>
    </row>
    <row r="966" spans="1:24" ht="13.2">
      <c r="A966" s="17"/>
      <c r="E966" s="11"/>
      <c r="F966" s="11"/>
      <c r="G966" s="11"/>
      <c r="H966" s="17"/>
      <c r="L966" s="11"/>
      <c r="M966" s="11"/>
      <c r="N966" s="11"/>
      <c r="O966" s="18"/>
      <c r="Q966" s="17"/>
      <c r="X966" s="18"/>
    </row>
    <row r="967" spans="1:24" ht="13.2">
      <c r="A967" s="17"/>
      <c r="E967" s="11"/>
      <c r="F967" s="11"/>
      <c r="G967" s="11"/>
      <c r="H967" s="17"/>
      <c r="L967" s="11"/>
      <c r="M967" s="11"/>
      <c r="N967" s="11"/>
      <c r="O967" s="18"/>
      <c r="Q967" s="17"/>
      <c r="X967" s="18"/>
    </row>
    <row r="968" spans="1:24" ht="13.2">
      <c r="A968" s="17"/>
      <c r="E968" s="11"/>
      <c r="F968" s="11"/>
      <c r="G968" s="11"/>
      <c r="H968" s="17"/>
      <c r="L968" s="11"/>
      <c r="M968" s="11"/>
      <c r="N968" s="11"/>
      <c r="O968" s="18"/>
      <c r="Q968" s="17"/>
      <c r="X968" s="18"/>
    </row>
    <row r="969" spans="1:24" ht="13.2">
      <c r="A969" s="17"/>
      <c r="E969" s="11"/>
      <c r="F969" s="11"/>
      <c r="G969" s="11"/>
      <c r="H969" s="17"/>
      <c r="L969" s="11"/>
      <c r="M969" s="11"/>
      <c r="N969" s="11"/>
      <c r="O969" s="18"/>
      <c r="Q969" s="17"/>
      <c r="X969" s="18"/>
    </row>
    <row r="970" spans="1:24" ht="13.2">
      <c r="A970" s="17"/>
      <c r="E970" s="11"/>
      <c r="F970" s="11"/>
      <c r="G970" s="11"/>
      <c r="H970" s="17"/>
      <c r="L970" s="11"/>
      <c r="M970" s="11"/>
      <c r="N970" s="11"/>
      <c r="O970" s="18"/>
      <c r="Q970" s="17"/>
      <c r="X970" s="18"/>
    </row>
    <row r="971" spans="1:24" ht="13.2">
      <c r="A971" s="17"/>
      <c r="E971" s="11"/>
      <c r="F971" s="11"/>
      <c r="G971" s="11"/>
      <c r="H971" s="17"/>
      <c r="L971" s="11"/>
      <c r="M971" s="11"/>
      <c r="N971" s="11"/>
      <c r="O971" s="18"/>
      <c r="Q971" s="17"/>
      <c r="X971" s="18"/>
    </row>
    <row r="972" spans="1:24" ht="13.2">
      <c r="A972" s="17"/>
      <c r="E972" s="11"/>
      <c r="F972" s="11"/>
      <c r="G972" s="11"/>
      <c r="H972" s="17"/>
      <c r="L972" s="11"/>
      <c r="M972" s="11"/>
      <c r="N972" s="11"/>
      <c r="O972" s="18"/>
      <c r="Q972" s="17"/>
      <c r="X972" s="18"/>
    </row>
    <row r="973" spans="1:24" ht="13.2">
      <c r="A973" s="17"/>
      <c r="E973" s="11"/>
      <c r="F973" s="11"/>
      <c r="G973" s="11"/>
      <c r="H973" s="17"/>
      <c r="L973" s="11"/>
      <c r="M973" s="11"/>
      <c r="N973" s="11"/>
      <c r="O973" s="18"/>
      <c r="Q973" s="17"/>
      <c r="X973" s="18"/>
    </row>
    <row r="974" spans="1:24" ht="13.2">
      <c r="A974" s="17"/>
      <c r="E974" s="11"/>
      <c r="F974" s="11"/>
      <c r="G974" s="11"/>
      <c r="H974" s="17"/>
      <c r="L974" s="11"/>
      <c r="M974" s="11"/>
      <c r="N974" s="11"/>
      <c r="O974" s="18"/>
      <c r="Q974" s="17"/>
      <c r="X974" s="18"/>
    </row>
    <row r="975" spans="1:24" ht="13.2">
      <c r="A975" s="17"/>
      <c r="E975" s="11"/>
      <c r="F975" s="11"/>
      <c r="G975" s="11"/>
      <c r="H975" s="17"/>
      <c r="L975" s="11"/>
      <c r="M975" s="11"/>
      <c r="N975" s="11"/>
      <c r="O975" s="18"/>
      <c r="Q975" s="17"/>
      <c r="X975" s="18"/>
    </row>
    <row r="976" spans="1:24" ht="13.2">
      <c r="A976" s="17"/>
      <c r="E976" s="11"/>
      <c r="F976" s="11"/>
      <c r="G976" s="11"/>
      <c r="H976" s="17"/>
      <c r="L976" s="11"/>
      <c r="M976" s="11"/>
      <c r="N976" s="11"/>
      <c r="O976" s="18"/>
      <c r="Q976" s="17"/>
      <c r="X976" s="18"/>
    </row>
    <row r="977" spans="1:24" ht="13.2">
      <c r="A977" s="17"/>
      <c r="E977" s="11"/>
      <c r="F977" s="11"/>
      <c r="G977" s="11"/>
      <c r="H977" s="17"/>
      <c r="L977" s="11"/>
      <c r="M977" s="11"/>
      <c r="N977" s="11"/>
      <c r="O977" s="18"/>
      <c r="Q977" s="17"/>
      <c r="X977" s="18"/>
    </row>
    <row r="978" spans="1:24" ht="13.2">
      <c r="A978" s="17"/>
      <c r="E978" s="11"/>
      <c r="F978" s="11"/>
      <c r="G978" s="11"/>
      <c r="H978" s="17"/>
      <c r="L978" s="11"/>
      <c r="M978" s="11"/>
      <c r="N978" s="11"/>
      <c r="O978" s="18"/>
      <c r="Q978" s="17"/>
      <c r="X978" s="18"/>
    </row>
    <row r="979" spans="1:24" ht="13.2">
      <c r="A979" s="17"/>
      <c r="E979" s="11"/>
      <c r="F979" s="11"/>
      <c r="G979" s="11"/>
      <c r="H979" s="17"/>
      <c r="L979" s="11"/>
      <c r="M979" s="11"/>
      <c r="N979" s="11"/>
      <c r="O979" s="18"/>
      <c r="Q979" s="17"/>
      <c r="X979" s="18"/>
    </row>
    <row r="980" spans="1:24" ht="13.2">
      <c r="A980" s="17"/>
      <c r="E980" s="11"/>
      <c r="F980" s="11"/>
      <c r="G980" s="11"/>
      <c r="H980" s="17"/>
      <c r="L980" s="11"/>
      <c r="M980" s="11"/>
      <c r="N980" s="11"/>
      <c r="O980" s="18"/>
      <c r="Q980" s="17"/>
      <c r="X980" s="18"/>
    </row>
    <row r="981" spans="1:24" ht="13.2">
      <c r="A981" s="17"/>
      <c r="E981" s="11"/>
      <c r="F981" s="11"/>
      <c r="G981" s="11"/>
      <c r="H981" s="17"/>
      <c r="L981" s="11"/>
      <c r="M981" s="11"/>
      <c r="N981" s="11"/>
      <c r="O981" s="18"/>
      <c r="Q981" s="17"/>
      <c r="X981" s="18"/>
    </row>
    <row r="982" spans="1:24" ht="13.2">
      <c r="A982" s="17"/>
      <c r="E982" s="11"/>
      <c r="F982" s="11"/>
      <c r="G982" s="11"/>
      <c r="H982" s="17"/>
      <c r="L982" s="11"/>
      <c r="M982" s="11"/>
      <c r="N982" s="11"/>
      <c r="O982" s="18"/>
      <c r="Q982" s="17"/>
      <c r="X982" s="18"/>
    </row>
    <row r="983" spans="1:24" ht="13.2">
      <c r="A983" s="17"/>
      <c r="E983" s="11"/>
      <c r="F983" s="11"/>
      <c r="G983" s="11"/>
      <c r="H983" s="17"/>
      <c r="L983" s="11"/>
      <c r="M983" s="11"/>
      <c r="N983" s="11"/>
      <c r="O983" s="18"/>
      <c r="Q983" s="17"/>
      <c r="X983" s="18"/>
    </row>
    <row r="984" spans="1:24" ht="13.2">
      <c r="A984" s="17"/>
      <c r="E984" s="11"/>
      <c r="F984" s="11"/>
      <c r="G984" s="11"/>
      <c r="H984" s="17"/>
      <c r="L984" s="11"/>
      <c r="M984" s="11"/>
      <c r="N984" s="11"/>
      <c r="O984" s="18"/>
      <c r="Q984" s="17"/>
      <c r="X984" s="18"/>
    </row>
    <row r="985" spans="1:24" ht="13.2">
      <c r="A985" s="17"/>
      <c r="E985" s="11"/>
      <c r="F985" s="11"/>
      <c r="G985" s="11"/>
      <c r="H985" s="17"/>
      <c r="L985" s="11"/>
      <c r="M985" s="11"/>
      <c r="N985" s="11"/>
      <c r="O985" s="18"/>
      <c r="Q985" s="17"/>
      <c r="X985" s="18"/>
    </row>
    <row r="986" spans="1:24" ht="13.2">
      <c r="A986" s="17"/>
      <c r="E986" s="11"/>
      <c r="F986" s="11"/>
      <c r="G986" s="11"/>
      <c r="H986" s="17"/>
      <c r="L986" s="11"/>
      <c r="M986" s="11"/>
      <c r="N986" s="11"/>
      <c r="O986" s="18"/>
      <c r="Q986" s="17"/>
      <c r="X986" s="18"/>
    </row>
    <row r="987" spans="1:24" ht="13.2">
      <c r="A987" s="17"/>
      <c r="E987" s="11"/>
      <c r="F987" s="11"/>
      <c r="G987" s="11"/>
      <c r="H987" s="17"/>
      <c r="L987" s="11"/>
      <c r="M987" s="11"/>
      <c r="N987" s="11"/>
      <c r="O987" s="18"/>
      <c r="Q987" s="17"/>
      <c r="X987" s="18"/>
    </row>
    <row r="988" spans="1:24" ht="13.2">
      <c r="A988" s="17"/>
      <c r="E988" s="11"/>
      <c r="F988" s="11"/>
      <c r="G988" s="11"/>
      <c r="H988" s="17"/>
      <c r="L988" s="11"/>
      <c r="M988" s="11"/>
      <c r="N988" s="11"/>
      <c r="O988" s="18"/>
      <c r="Q988" s="17"/>
      <c r="X988" s="18"/>
    </row>
    <row r="989" spans="1:24" ht="13.2">
      <c r="A989" s="17"/>
      <c r="E989" s="11"/>
      <c r="F989" s="11"/>
      <c r="G989" s="11"/>
      <c r="H989" s="17"/>
      <c r="L989" s="11"/>
      <c r="M989" s="11"/>
      <c r="N989" s="11"/>
      <c r="O989" s="18"/>
      <c r="Q989" s="17"/>
      <c r="X989" s="18"/>
    </row>
    <row r="990" spans="1:24" ht="13.2">
      <c r="A990" s="17"/>
      <c r="E990" s="11"/>
      <c r="F990" s="11"/>
      <c r="G990" s="11"/>
      <c r="H990" s="17"/>
      <c r="L990" s="11"/>
      <c r="M990" s="11"/>
      <c r="N990" s="11"/>
      <c r="O990" s="18"/>
      <c r="Q990" s="17"/>
      <c r="X990" s="18"/>
    </row>
    <row r="991" spans="1:24" ht="13.2">
      <c r="A991" s="17"/>
      <c r="E991" s="11"/>
      <c r="F991" s="11"/>
      <c r="G991" s="11"/>
      <c r="H991" s="17"/>
      <c r="L991" s="11"/>
      <c r="M991" s="11"/>
      <c r="N991" s="11"/>
      <c r="O991" s="18"/>
      <c r="Q991" s="17"/>
      <c r="X991" s="18"/>
    </row>
    <row r="992" spans="1:24" ht="13.2">
      <c r="A992" s="17"/>
      <c r="E992" s="11"/>
      <c r="F992" s="11"/>
      <c r="G992" s="11"/>
      <c r="H992" s="17"/>
      <c r="L992" s="11"/>
      <c r="M992" s="11"/>
      <c r="N992" s="11"/>
      <c r="O992" s="18"/>
      <c r="Q992" s="17"/>
      <c r="X992" s="18"/>
    </row>
    <row r="993" spans="1:24" ht="13.2">
      <c r="A993" s="17"/>
      <c r="E993" s="11"/>
      <c r="F993" s="11"/>
      <c r="G993" s="11"/>
      <c r="H993" s="17"/>
      <c r="L993" s="11"/>
      <c r="M993" s="11"/>
      <c r="N993" s="11"/>
      <c r="O993" s="18"/>
      <c r="Q993" s="17"/>
      <c r="X993" s="18"/>
    </row>
    <row r="994" spans="1:24" ht="13.2">
      <c r="A994" s="17"/>
      <c r="E994" s="11"/>
      <c r="F994" s="11"/>
      <c r="G994" s="11"/>
      <c r="H994" s="17"/>
      <c r="L994" s="11"/>
      <c r="M994" s="11"/>
      <c r="N994" s="11"/>
      <c r="O994" s="18"/>
      <c r="Q994" s="17"/>
      <c r="X994" s="18"/>
    </row>
    <row r="995" spans="1:24" ht="13.2">
      <c r="A995" s="17"/>
      <c r="E995" s="11"/>
      <c r="F995" s="11"/>
      <c r="G995" s="11"/>
      <c r="H995" s="17"/>
      <c r="L995" s="11"/>
      <c r="M995" s="11"/>
      <c r="N995" s="11"/>
      <c r="O995" s="18"/>
      <c r="Q995" s="17"/>
      <c r="X995" s="18"/>
    </row>
    <row r="996" spans="1:24" ht="13.2">
      <c r="A996" s="17"/>
      <c r="E996" s="11"/>
      <c r="F996" s="11"/>
      <c r="G996" s="11"/>
      <c r="H996" s="17"/>
      <c r="L996" s="11"/>
      <c r="M996" s="11"/>
      <c r="N996" s="11"/>
      <c r="O996" s="18"/>
      <c r="Q996" s="17"/>
      <c r="X996" s="18"/>
    </row>
    <row r="997" spans="1:24" ht="13.2">
      <c r="A997" s="17"/>
      <c r="E997" s="11"/>
      <c r="F997" s="11"/>
      <c r="G997" s="11"/>
      <c r="H997" s="17"/>
      <c r="L997" s="11"/>
      <c r="M997" s="11"/>
      <c r="N997" s="11"/>
      <c r="O997" s="18"/>
      <c r="Q997" s="17"/>
      <c r="X997" s="18"/>
    </row>
    <row r="998" spans="1:24" ht="13.2">
      <c r="A998" s="17"/>
      <c r="E998" s="11"/>
      <c r="F998" s="11"/>
      <c r="G998" s="11"/>
      <c r="H998" s="17"/>
      <c r="L998" s="11"/>
      <c r="M998" s="11"/>
      <c r="N998" s="11"/>
      <c r="O998" s="18"/>
      <c r="Q998" s="17"/>
      <c r="X998" s="18"/>
    </row>
    <row r="999" spans="1:24" ht="13.2">
      <c r="A999" s="17"/>
      <c r="E999" s="11"/>
      <c r="F999" s="11"/>
      <c r="G999" s="11"/>
      <c r="H999" s="17"/>
      <c r="L999" s="11"/>
      <c r="M999" s="11"/>
      <c r="N999" s="11"/>
      <c r="O999" s="18"/>
      <c r="Q999" s="17"/>
      <c r="X999" s="18"/>
    </row>
    <row r="1000" spans="1:24" ht="13.2">
      <c r="A1000" s="17"/>
      <c r="E1000" s="11"/>
      <c r="F1000" s="11"/>
      <c r="G1000" s="11"/>
      <c r="H1000" s="17"/>
      <c r="L1000" s="11"/>
      <c r="M1000" s="11"/>
      <c r="N1000" s="11"/>
      <c r="O1000" s="18"/>
      <c r="Q1000" s="17"/>
      <c r="X1000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workbookViewId="0">
      <selection sqref="A1:O1"/>
    </sheetView>
  </sheetViews>
  <sheetFormatPr baseColWidth="10" defaultColWidth="12.6640625" defaultRowHeight="15.75" customHeight="1"/>
  <sheetData>
    <row r="1" spans="1:24" ht="15.75" customHeight="1">
      <c r="A1" s="13" t="s">
        <v>27</v>
      </c>
      <c r="B1" s="13" t="s">
        <v>1</v>
      </c>
      <c r="C1" s="13" t="s">
        <v>2</v>
      </c>
      <c r="D1" s="13" t="s">
        <v>3</v>
      </c>
      <c r="E1" s="9" t="s">
        <v>4</v>
      </c>
      <c r="F1" s="9" t="s">
        <v>5</v>
      </c>
      <c r="G1" s="9" t="s">
        <v>28</v>
      </c>
      <c r="H1" s="13" t="s">
        <v>27</v>
      </c>
      <c r="I1" s="13" t="s">
        <v>7</v>
      </c>
      <c r="J1" s="13" t="s">
        <v>8</v>
      </c>
      <c r="K1" s="13" t="s">
        <v>9</v>
      </c>
      <c r="L1" s="9" t="s">
        <v>10</v>
      </c>
      <c r="M1" s="11" t="s">
        <v>11</v>
      </c>
      <c r="N1" s="9" t="s">
        <v>29</v>
      </c>
      <c r="O1" s="18" t="s">
        <v>30</v>
      </c>
      <c r="Q1" s="13" t="s">
        <v>31</v>
      </c>
      <c r="R1" s="2" t="s">
        <v>1</v>
      </c>
      <c r="S1" s="2" t="s">
        <v>2</v>
      </c>
      <c r="T1" s="2" t="s">
        <v>3</v>
      </c>
      <c r="U1" s="6" t="s">
        <v>4</v>
      </c>
      <c r="V1" s="6" t="s">
        <v>5</v>
      </c>
      <c r="W1" s="6" t="s">
        <v>28</v>
      </c>
      <c r="X1" s="18" t="s">
        <v>32</v>
      </c>
    </row>
    <row r="2" spans="1:24" ht="15.75" customHeight="1">
      <c r="A2" s="8">
        <v>10101</v>
      </c>
      <c r="B2" s="8">
        <v>355</v>
      </c>
      <c r="C2" s="8">
        <v>130.11111459136009</v>
      </c>
      <c r="D2" s="8">
        <v>14680</v>
      </c>
      <c r="E2" s="11">
        <f t="shared" ref="E2:E256" si="0">B2/D2</f>
        <v>2.4182561307901907E-2</v>
      </c>
      <c r="F2" s="11">
        <f t="shared" ref="F2:F256" si="1">C2/B2</f>
        <v>0.36651018194749324</v>
      </c>
      <c r="G2" s="11">
        <f t="shared" ref="G2:G256" si="2">E2*F2</f>
        <v>8.863154944915538E-3</v>
      </c>
      <c r="H2" s="8">
        <v>10101</v>
      </c>
      <c r="I2" s="8">
        <v>49</v>
      </c>
      <c r="J2" s="8">
        <v>18.333333820104599</v>
      </c>
      <c r="K2" s="8">
        <v>1317</v>
      </c>
      <c r="L2" s="11">
        <f t="shared" ref="L2:L256" si="3">I2/K2</f>
        <v>3.7205770690964313E-2</v>
      </c>
      <c r="M2" s="11">
        <f t="shared" ref="M2:M256" si="4">J2/I2</f>
        <v>0.37414966979805303</v>
      </c>
      <c r="N2" s="11">
        <f t="shared" ref="N2:N256" si="5">L2*M2</f>
        <v>1.3920526818606376E-2</v>
      </c>
      <c r="O2" s="18">
        <f t="shared" ref="O2:O8" si="6">N2/G2</f>
        <v>1.5706062801702529</v>
      </c>
      <c r="Q2" s="8">
        <v>1</v>
      </c>
      <c r="R2" s="8">
        <v>2129</v>
      </c>
      <c r="S2" s="8">
        <v>823.77779886126518</v>
      </c>
      <c r="T2" s="8">
        <v>28012</v>
      </c>
      <c r="U2" s="18">
        <f t="shared" ref="U2:U10" si="7">R2/T2</f>
        <v>7.6003141510781094E-2</v>
      </c>
      <c r="V2" s="18">
        <f t="shared" ref="V2:V10" si="8">S2/R2</f>
        <v>0.3869317984317826</v>
      </c>
      <c r="W2" s="18">
        <f t="shared" ref="W2:W10" si="9">U2*V2</f>
        <v>2.9408032231231798E-2</v>
      </c>
      <c r="X2" s="18">
        <f t="shared" ref="X2:X10" si="10">W14/W2</f>
        <v>1.8418094606927069</v>
      </c>
    </row>
    <row r="3" spans="1:24" ht="15.75" customHeight="1">
      <c r="A3" s="8">
        <v>10102</v>
      </c>
      <c r="B3" s="8">
        <v>40</v>
      </c>
      <c r="C3" s="8">
        <v>15.555556029081345</v>
      </c>
      <c r="D3" s="8">
        <v>613</v>
      </c>
      <c r="E3" s="11">
        <f t="shared" si="0"/>
        <v>6.5252854812398037E-2</v>
      </c>
      <c r="F3" s="11">
        <f t="shared" si="1"/>
        <v>0.38888890072703364</v>
      </c>
      <c r="G3" s="11">
        <f t="shared" si="2"/>
        <v>2.5376110977294201E-2</v>
      </c>
      <c r="H3" s="8">
        <v>10102</v>
      </c>
      <c r="I3" s="8">
        <v>35</v>
      </c>
      <c r="J3" s="8">
        <v>12.666666954755783</v>
      </c>
      <c r="K3" s="8">
        <v>272</v>
      </c>
      <c r="L3" s="11">
        <f t="shared" si="3"/>
        <v>0.12867647058823528</v>
      </c>
      <c r="M3" s="11">
        <f t="shared" si="4"/>
        <v>0.36190477013587952</v>
      </c>
      <c r="N3" s="11">
        <f t="shared" si="5"/>
        <v>4.6568628510131549E-2</v>
      </c>
      <c r="O3" s="18">
        <f t="shared" si="6"/>
        <v>1.8351365404966817</v>
      </c>
      <c r="Q3" s="8">
        <v>2</v>
      </c>
      <c r="R3" s="8">
        <v>12741</v>
      </c>
      <c r="S3" s="8">
        <v>4689.5556742250919</v>
      </c>
      <c r="T3" s="8">
        <v>151067</v>
      </c>
      <c r="U3" s="18">
        <f t="shared" si="7"/>
        <v>8.4340061032521993E-2</v>
      </c>
      <c r="V3" s="18">
        <f t="shared" si="8"/>
        <v>0.36806810095165937</v>
      </c>
      <c r="W3" s="18">
        <f t="shared" si="9"/>
        <v>3.1042886098387418E-2</v>
      </c>
      <c r="X3" s="18">
        <f t="shared" si="10"/>
        <v>1.6904409297792138</v>
      </c>
    </row>
    <row r="4" spans="1:24" ht="15.75" customHeight="1">
      <c r="A4" s="8">
        <v>10103</v>
      </c>
      <c r="B4" s="8">
        <v>217</v>
      </c>
      <c r="C4" s="8">
        <v>86.222224324941635</v>
      </c>
      <c r="D4" s="8">
        <v>514</v>
      </c>
      <c r="E4" s="11">
        <f t="shared" si="0"/>
        <v>0.42217898832684825</v>
      </c>
      <c r="F4" s="11">
        <f t="shared" si="1"/>
        <v>0.39733743928544535</v>
      </c>
      <c r="G4" s="11">
        <f t="shared" si="2"/>
        <v>0.1677475181419098</v>
      </c>
      <c r="H4" s="8">
        <v>10103</v>
      </c>
      <c r="I4" s="8">
        <v>132</v>
      </c>
      <c r="J4" s="8">
        <v>51.888890326023102</v>
      </c>
      <c r="K4" s="8">
        <v>262</v>
      </c>
      <c r="L4" s="11">
        <f t="shared" si="3"/>
        <v>0.50381679389312972</v>
      </c>
      <c r="M4" s="11">
        <f t="shared" si="4"/>
        <v>0.3930976539850235</v>
      </c>
      <c r="N4" s="11">
        <f t="shared" si="5"/>
        <v>0.1980491997176454</v>
      </c>
      <c r="O4" s="18">
        <f t="shared" si="6"/>
        <v>1.180638628287193</v>
      </c>
      <c r="Q4" s="8">
        <v>3</v>
      </c>
      <c r="R4" s="8">
        <v>14635</v>
      </c>
      <c r="S4" s="8">
        <v>5380.8890246450901</v>
      </c>
      <c r="T4" s="8">
        <v>132341</v>
      </c>
      <c r="U4" s="18">
        <f t="shared" si="7"/>
        <v>0.11058553282807293</v>
      </c>
      <c r="V4" s="18">
        <f t="shared" si="8"/>
        <v>0.36767263578032733</v>
      </c>
      <c r="W4" s="18">
        <f t="shared" si="9"/>
        <v>4.065927433406949E-2</v>
      </c>
      <c r="X4" s="18">
        <f t="shared" si="10"/>
        <v>1.7182395707845617</v>
      </c>
    </row>
    <row r="5" spans="1:24" ht="15.75" customHeight="1">
      <c r="A5" s="8">
        <v>10201</v>
      </c>
      <c r="B5" s="8">
        <v>59</v>
      </c>
      <c r="C5" s="8">
        <v>23.66666716337204</v>
      </c>
      <c r="D5" s="8">
        <v>296</v>
      </c>
      <c r="E5" s="11">
        <f t="shared" si="0"/>
        <v>0.19932432432432431</v>
      </c>
      <c r="F5" s="11">
        <f t="shared" si="1"/>
        <v>0.40112995192155998</v>
      </c>
      <c r="G5" s="11">
        <f t="shared" si="2"/>
        <v>7.9954956633013635E-2</v>
      </c>
      <c r="H5" s="8">
        <v>10201</v>
      </c>
      <c r="I5" s="8">
        <v>20</v>
      </c>
      <c r="J5" s="8">
        <v>9.0000002682209015</v>
      </c>
      <c r="K5" s="8">
        <v>83</v>
      </c>
      <c r="L5" s="11">
        <f t="shared" si="3"/>
        <v>0.24096385542168675</v>
      </c>
      <c r="M5" s="11">
        <f t="shared" si="4"/>
        <v>0.45000001341104506</v>
      </c>
      <c r="N5" s="11">
        <f t="shared" si="5"/>
        <v>0.10843373817133616</v>
      </c>
      <c r="O5" s="18">
        <f t="shared" si="6"/>
        <v>1.3561853165531397</v>
      </c>
      <c r="Q5" s="8">
        <v>4</v>
      </c>
      <c r="R5" s="8">
        <v>2722</v>
      </c>
      <c r="S5" s="8">
        <v>990.44446915388107</v>
      </c>
      <c r="T5" s="8">
        <v>27481</v>
      </c>
      <c r="U5" s="18">
        <f t="shared" si="7"/>
        <v>9.9050252902005018E-2</v>
      </c>
      <c r="V5" s="18">
        <f t="shared" si="8"/>
        <v>0.36386644715425465</v>
      </c>
      <c r="W5" s="18">
        <f t="shared" si="9"/>
        <v>3.6041063613182968E-2</v>
      </c>
      <c r="X5" s="18">
        <f t="shared" si="10"/>
        <v>2.0126302198919097</v>
      </c>
    </row>
    <row r="6" spans="1:24" ht="15.75" customHeight="1">
      <c r="A6" s="8">
        <v>10202</v>
      </c>
      <c r="B6" s="8">
        <v>123</v>
      </c>
      <c r="C6" s="8">
        <v>49.111112385988235</v>
      </c>
      <c r="D6" s="8">
        <v>665</v>
      </c>
      <c r="E6" s="11">
        <f t="shared" si="0"/>
        <v>0.18496240601503761</v>
      </c>
      <c r="F6" s="11">
        <f t="shared" si="1"/>
        <v>0.39927733647144908</v>
      </c>
      <c r="G6" s="11">
        <f t="shared" si="2"/>
        <v>7.3851296821034945E-2</v>
      </c>
      <c r="H6" s="8">
        <v>10202</v>
      </c>
      <c r="I6" s="8">
        <v>41</v>
      </c>
      <c r="J6" s="8">
        <v>17.222222685813904</v>
      </c>
      <c r="K6" s="8">
        <v>150</v>
      </c>
      <c r="L6" s="11">
        <f t="shared" si="3"/>
        <v>0.27333333333333332</v>
      </c>
      <c r="M6" s="11">
        <f t="shared" si="4"/>
        <v>0.42005421184911962</v>
      </c>
      <c r="N6" s="11">
        <f t="shared" si="5"/>
        <v>0.11481481790542603</v>
      </c>
      <c r="O6" s="18">
        <f t="shared" si="6"/>
        <v>1.5546757179316519</v>
      </c>
      <c r="Q6" s="8">
        <v>5</v>
      </c>
      <c r="R6" s="8">
        <v>4863</v>
      </c>
      <c r="S6" s="8">
        <v>1812.3333785533905</v>
      </c>
      <c r="T6" s="8">
        <v>43136</v>
      </c>
      <c r="U6" s="18">
        <f t="shared" si="7"/>
        <v>0.11273646142433234</v>
      </c>
      <c r="V6" s="18">
        <f t="shared" si="8"/>
        <v>0.372678054401273</v>
      </c>
      <c r="W6" s="18">
        <f t="shared" si="9"/>
        <v>4.2014405103704341E-2</v>
      </c>
      <c r="X6" s="18">
        <f t="shared" si="10"/>
        <v>1.8826527676624794</v>
      </c>
    </row>
    <row r="7" spans="1:24" ht="15.75" customHeight="1">
      <c r="A7" s="8">
        <v>10301</v>
      </c>
      <c r="B7" s="8">
        <v>70</v>
      </c>
      <c r="C7" s="8">
        <v>25.777778536081314</v>
      </c>
      <c r="D7" s="8">
        <v>637</v>
      </c>
      <c r="E7" s="11">
        <f t="shared" si="0"/>
        <v>0.10989010989010989</v>
      </c>
      <c r="F7" s="11">
        <f t="shared" si="1"/>
        <v>0.3682539790868759</v>
      </c>
      <c r="G7" s="11">
        <f t="shared" si="2"/>
        <v>4.0467470229327021E-2</v>
      </c>
      <c r="H7" s="8">
        <v>10301</v>
      </c>
      <c r="I7" s="8">
        <v>38</v>
      </c>
      <c r="J7" s="8">
        <v>13.777778089046478</v>
      </c>
      <c r="K7" s="8">
        <v>241</v>
      </c>
      <c r="L7" s="11">
        <f t="shared" si="3"/>
        <v>0.15767634854771784</v>
      </c>
      <c r="M7" s="11">
        <f t="shared" si="4"/>
        <v>0.36257310760648626</v>
      </c>
      <c r="N7" s="11">
        <f t="shared" si="5"/>
        <v>5.7169203688989534E-2</v>
      </c>
      <c r="O7" s="18">
        <f t="shared" si="6"/>
        <v>1.412719978911819</v>
      </c>
      <c r="Q7" s="8">
        <v>6</v>
      </c>
      <c r="R7" s="8">
        <v>982</v>
      </c>
      <c r="S7" s="8">
        <v>357.22223135828972</v>
      </c>
      <c r="T7" s="8">
        <v>24003</v>
      </c>
      <c r="U7" s="18">
        <f t="shared" si="7"/>
        <v>4.0911552722576343E-2</v>
      </c>
      <c r="V7" s="18">
        <f t="shared" si="8"/>
        <v>0.3637700930328816</v>
      </c>
      <c r="W7" s="18">
        <f t="shared" si="9"/>
        <v>1.4882399340011237E-2</v>
      </c>
      <c r="X7" s="18">
        <f t="shared" si="10"/>
        <v>1.4937486862774716</v>
      </c>
    </row>
    <row r="8" spans="1:24" ht="15.75" customHeight="1">
      <c r="A8" s="8">
        <v>10302</v>
      </c>
      <c r="B8" s="8">
        <v>57</v>
      </c>
      <c r="C8" s="8">
        <v>21.666667222976685</v>
      </c>
      <c r="D8" s="8">
        <v>334</v>
      </c>
      <c r="E8" s="11">
        <f t="shared" si="0"/>
        <v>0.17065868263473055</v>
      </c>
      <c r="F8" s="11">
        <f t="shared" si="1"/>
        <v>0.38011696882415236</v>
      </c>
      <c r="G8" s="11">
        <f t="shared" si="2"/>
        <v>6.4870261146636785E-2</v>
      </c>
      <c r="H8" s="8">
        <v>10302</v>
      </c>
      <c r="I8" s="8">
        <v>31</v>
      </c>
      <c r="J8" s="8">
        <v>12.888889282941818</v>
      </c>
      <c r="K8" s="8">
        <v>165</v>
      </c>
      <c r="L8" s="11">
        <f t="shared" si="3"/>
        <v>0.18787878787878787</v>
      </c>
      <c r="M8" s="11">
        <f t="shared" si="4"/>
        <v>0.41577062203038123</v>
      </c>
      <c r="N8" s="11">
        <f t="shared" si="5"/>
        <v>7.8114480502677677E-2</v>
      </c>
      <c r="O8" s="18">
        <f t="shared" si="6"/>
        <v>1.2041647300617895</v>
      </c>
      <c r="Q8" s="8">
        <v>7</v>
      </c>
      <c r="R8" s="8">
        <v>10277</v>
      </c>
      <c r="S8" s="8">
        <v>3767.1112068295479</v>
      </c>
      <c r="T8" s="8">
        <v>160845</v>
      </c>
      <c r="U8" s="18">
        <f t="shared" si="7"/>
        <v>6.3893810811650964E-2</v>
      </c>
      <c r="V8" s="18">
        <f t="shared" si="8"/>
        <v>0.36655747852773651</v>
      </c>
      <c r="W8" s="18">
        <f t="shared" si="9"/>
        <v>2.3420754184647008E-2</v>
      </c>
      <c r="X8" s="18">
        <f t="shared" si="10"/>
        <v>1.2470917752664477</v>
      </c>
    </row>
    <row r="9" spans="1:24" ht="15.75" customHeight="1">
      <c r="A9" s="8">
        <v>10303</v>
      </c>
      <c r="B9" s="8">
        <v>18</v>
      </c>
      <c r="C9" s="8">
        <v>7.4444446861743927</v>
      </c>
      <c r="D9" s="8">
        <v>272</v>
      </c>
      <c r="E9" s="11">
        <f t="shared" si="0"/>
        <v>6.6176470588235295E-2</v>
      </c>
      <c r="F9" s="11">
        <f t="shared" si="1"/>
        <v>0.41358026034302181</v>
      </c>
      <c r="G9" s="11">
        <f t="shared" si="2"/>
        <v>2.7369281934464678E-2</v>
      </c>
      <c r="H9" s="8">
        <v>10303</v>
      </c>
      <c r="I9" s="8">
        <v>0</v>
      </c>
      <c r="J9" s="8">
        <v>0</v>
      </c>
      <c r="K9" s="8">
        <v>49</v>
      </c>
      <c r="L9" s="11">
        <f t="shared" si="3"/>
        <v>0</v>
      </c>
      <c r="M9" s="11" t="e">
        <f t="shared" si="4"/>
        <v>#DIV/0!</v>
      </c>
      <c r="N9" s="11" t="e">
        <f t="shared" si="5"/>
        <v>#DIV/0!</v>
      </c>
      <c r="O9" s="18" t="s">
        <v>22</v>
      </c>
      <c r="Q9" s="8">
        <v>8</v>
      </c>
      <c r="R9" s="8">
        <v>4728</v>
      </c>
      <c r="S9" s="8">
        <v>1771.1111550033092</v>
      </c>
      <c r="T9" s="8">
        <v>30917</v>
      </c>
      <c r="U9" s="18">
        <f t="shared" si="7"/>
        <v>0.1529255749264159</v>
      </c>
      <c r="V9" s="18">
        <f t="shared" si="8"/>
        <v>0.37460049809714663</v>
      </c>
      <c r="W9" s="18">
        <f t="shared" si="9"/>
        <v>5.7285996539227911E-2</v>
      </c>
      <c r="X9" s="18">
        <f t="shared" si="10"/>
        <v>0.92603447880550172</v>
      </c>
    </row>
    <row r="10" spans="1:24" ht="15.75" customHeight="1">
      <c r="A10" s="8">
        <v>10304</v>
      </c>
      <c r="B10" s="8">
        <v>42</v>
      </c>
      <c r="C10" s="8">
        <v>17.111111521720886</v>
      </c>
      <c r="D10" s="8">
        <v>263</v>
      </c>
      <c r="E10" s="11">
        <f t="shared" si="0"/>
        <v>0.1596958174904943</v>
      </c>
      <c r="F10" s="11">
        <f t="shared" si="1"/>
        <v>0.40740741718383061</v>
      </c>
      <c r="G10" s="11">
        <f t="shared" si="2"/>
        <v>6.5061260538862686E-2</v>
      </c>
      <c r="H10" s="8">
        <v>10304</v>
      </c>
      <c r="I10" s="8">
        <v>13</v>
      </c>
      <c r="J10" s="8">
        <v>5.3333335220813751</v>
      </c>
      <c r="K10" s="8">
        <v>97</v>
      </c>
      <c r="L10" s="11">
        <f t="shared" si="3"/>
        <v>0.13402061855670103</v>
      </c>
      <c r="M10" s="11">
        <f t="shared" si="4"/>
        <v>0.4102564247754904</v>
      </c>
      <c r="N10" s="11">
        <f t="shared" si="5"/>
        <v>5.4982819815271908E-2</v>
      </c>
      <c r="O10" s="18">
        <f t="shared" ref="O10:O14" si="11">N10/G10</f>
        <v>0.84509306090725556</v>
      </c>
      <c r="Q10" s="8">
        <v>9</v>
      </c>
      <c r="R10" s="8">
        <v>1842</v>
      </c>
      <c r="S10" s="8">
        <v>692.11112809181213</v>
      </c>
      <c r="T10" s="8">
        <v>12147</v>
      </c>
      <c r="U10" s="18">
        <f t="shared" si="7"/>
        <v>0.15164238083477402</v>
      </c>
      <c r="V10" s="18">
        <f t="shared" si="8"/>
        <v>0.37573894033214555</v>
      </c>
      <c r="W10" s="18">
        <f t="shared" si="9"/>
        <v>5.6977947484301648E-2</v>
      </c>
      <c r="X10" s="18">
        <f t="shared" si="10"/>
        <v>1.3587059511580479</v>
      </c>
    </row>
    <row r="11" spans="1:24" ht="15.75" customHeight="1">
      <c r="A11" s="8">
        <v>10401</v>
      </c>
      <c r="B11" s="8">
        <v>54</v>
      </c>
      <c r="C11" s="8">
        <v>20.444444954395294</v>
      </c>
      <c r="D11" s="8">
        <v>670</v>
      </c>
      <c r="E11" s="11">
        <f t="shared" si="0"/>
        <v>8.0597014925373134E-2</v>
      </c>
      <c r="F11" s="11">
        <f t="shared" si="1"/>
        <v>0.37860083248880172</v>
      </c>
      <c r="G11" s="11">
        <f t="shared" si="2"/>
        <v>3.0514096946858645E-2</v>
      </c>
      <c r="H11" s="8">
        <v>10401</v>
      </c>
      <c r="I11" s="8">
        <v>21</v>
      </c>
      <c r="J11" s="8">
        <v>7.6666668355464935</v>
      </c>
      <c r="K11" s="8">
        <v>196</v>
      </c>
      <c r="L11" s="11">
        <f t="shared" si="3"/>
        <v>0.10714285714285714</v>
      </c>
      <c r="M11" s="11">
        <f t="shared" si="4"/>
        <v>0.3650793731212616</v>
      </c>
      <c r="N11" s="11">
        <f t="shared" si="5"/>
        <v>3.9115647120135169E-2</v>
      </c>
      <c r="O11" s="18">
        <f t="shared" si="11"/>
        <v>1.2818877513647682</v>
      </c>
      <c r="U11" s="18"/>
      <c r="V11" s="18"/>
      <c r="W11" s="18"/>
      <c r="X11" s="18"/>
    </row>
    <row r="12" spans="1:24" ht="15.75" customHeight="1">
      <c r="A12" s="8">
        <v>10402</v>
      </c>
      <c r="B12" s="8">
        <v>35</v>
      </c>
      <c r="C12" s="8">
        <v>13.333333641290665</v>
      </c>
      <c r="D12" s="8">
        <v>440</v>
      </c>
      <c r="E12" s="11">
        <f t="shared" si="0"/>
        <v>7.9545454545454544E-2</v>
      </c>
      <c r="F12" s="11">
        <f t="shared" si="1"/>
        <v>0.38095238975116186</v>
      </c>
      <c r="G12" s="11">
        <f t="shared" si="2"/>
        <v>3.0303031002933328E-2</v>
      </c>
      <c r="H12" s="8">
        <v>10402</v>
      </c>
      <c r="I12" s="8">
        <v>3</v>
      </c>
      <c r="J12" s="8">
        <v>1.0000000298023224</v>
      </c>
      <c r="K12" s="8">
        <v>9</v>
      </c>
      <c r="L12" s="11">
        <f t="shared" si="3"/>
        <v>0.33333333333333331</v>
      </c>
      <c r="M12" s="11">
        <f t="shared" si="4"/>
        <v>0.3333333432674408</v>
      </c>
      <c r="N12" s="11">
        <f t="shared" si="5"/>
        <v>0.11111111442248026</v>
      </c>
      <c r="O12" s="18">
        <f t="shared" si="11"/>
        <v>3.6666666912535817</v>
      </c>
      <c r="U12" s="18"/>
      <c r="V12" s="18"/>
      <c r="W12" s="18"/>
      <c r="X12" s="18"/>
    </row>
    <row r="13" spans="1:24" ht="15.75" customHeight="1">
      <c r="A13" s="8">
        <v>10403</v>
      </c>
      <c r="B13" s="8">
        <v>84</v>
      </c>
      <c r="C13" s="8">
        <v>31.666667461395264</v>
      </c>
      <c r="D13" s="8">
        <v>476</v>
      </c>
      <c r="E13" s="11">
        <f t="shared" si="0"/>
        <v>0.17647058823529413</v>
      </c>
      <c r="F13" s="11">
        <f t="shared" si="1"/>
        <v>0.37698413644518169</v>
      </c>
      <c r="G13" s="11">
        <f t="shared" si="2"/>
        <v>6.6526612313855593E-2</v>
      </c>
      <c r="H13" s="8">
        <v>10403</v>
      </c>
      <c r="I13" s="8">
        <v>42</v>
      </c>
      <c r="J13" s="8">
        <v>14.777778178453445</v>
      </c>
      <c r="K13" s="8">
        <v>173</v>
      </c>
      <c r="L13" s="11">
        <f t="shared" si="3"/>
        <v>0.24277456647398843</v>
      </c>
      <c r="M13" s="11">
        <f t="shared" si="4"/>
        <v>0.35185186139174868</v>
      </c>
      <c r="N13" s="11">
        <f t="shared" si="5"/>
        <v>8.5420683112447646E-2</v>
      </c>
      <c r="O13" s="18">
        <f t="shared" si="11"/>
        <v>1.2840077097185505</v>
      </c>
      <c r="Q13" s="13" t="s">
        <v>31</v>
      </c>
      <c r="R13" s="2" t="s">
        <v>7</v>
      </c>
      <c r="S13" s="2" t="s">
        <v>8</v>
      </c>
      <c r="T13" s="2" t="s">
        <v>9</v>
      </c>
      <c r="U13" s="6" t="s">
        <v>10</v>
      </c>
      <c r="V13" s="22" t="s">
        <v>11</v>
      </c>
      <c r="W13" s="6" t="s">
        <v>29</v>
      </c>
      <c r="X13" s="18"/>
    </row>
    <row r="14" spans="1:24" ht="15.75" customHeight="1">
      <c r="A14" s="8">
        <v>10404</v>
      </c>
      <c r="B14" s="8">
        <v>17</v>
      </c>
      <c r="C14" s="8">
        <v>6.4444446265697479</v>
      </c>
      <c r="D14" s="8">
        <v>298</v>
      </c>
      <c r="E14" s="11">
        <f t="shared" si="0"/>
        <v>5.7046979865771813E-2</v>
      </c>
      <c r="F14" s="11">
        <f t="shared" si="1"/>
        <v>0.3790849780335146</v>
      </c>
      <c r="G14" s="11">
        <f t="shared" si="2"/>
        <v>2.1625653109294457E-2</v>
      </c>
      <c r="H14" s="8">
        <v>10404</v>
      </c>
      <c r="I14" s="8">
        <v>12</v>
      </c>
      <c r="J14" s="8">
        <v>5.1111112534999847</v>
      </c>
      <c r="K14" s="8">
        <v>121</v>
      </c>
      <c r="L14" s="11">
        <f t="shared" si="3"/>
        <v>9.9173553719008267E-2</v>
      </c>
      <c r="M14" s="11">
        <f t="shared" si="4"/>
        <v>0.42592593779166538</v>
      </c>
      <c r="N14" s="11">
        <f t="shared" si="5"/>
        <v>4.22405888719007E-2</v>
      </c>
      <c r="O14" s="18">
        <f t="shared" si="11"/>
        <v>1.9532630371170701</v>
      </c>
      <c r="Q14" s="8">
        <v>1</v>
      </c>
      <c r="R14" s="8">
        <v>651</v>
      </c>
      <c r="S14" s="8">
        <v>253.00000655651093</v>
      </c>
      <c r="T14" s="8">
        <v>4671</v>
      </c>
      <c r="U14" s="18">
        <f t="shared" ref="U14:U22" si="12">R14/T14</f>
        <v>0.13937058445728967</v>
      </c>
      <c r="V14" s="18">
        <f t="shared" ref="V14:V22" si="13">S14/R14</f>
        <v>0.38863288257528561</v>
      </c>
      <c r="W14" s="18">
        <f t="shared" ref="W14:W22" si="14">U14*V14</f>
        <v>5.4163991983838783E-2</v>
      </c>
      <c r="X14" s="18"/>
    </row>
    <row r="15" spans="1:24" ht="15.75" customHeight="1">
      <c r="A15" s="8">
        <v>10405</v>
      </c>
      <c r="B15" s="8">
        <v>17</v>
      </c>
      <c r="C15" s="8">
        <v>6.5555557310581207</v>
      </c>
      <c r="D15" s="8">
        <v>278</v>
      </c>
      <c r="E15" s="11">
        <f t="shared" si="0"/>
        <v>6.1151079136690649E-2</v>
      </c>
      <c r="F15" s="11">
        <f t="shared" si="1"/>
        <v>0.38562092535636006</v>
      </c>
      <c r="G15" s="11">
        <f t="shared" si="2"/>
        <v>2.3581135723230652E-2</v>
      </c>
      <c r="H15" s="8">
        <v>10405</v>
      </c>
      <c r="I15" s="8">
        <v>0</v>
      </c>
      <c r="J15" s="8">
        <v>0</v>
      </c>
      <c r="K15" s="8">
        <v>6</v>
      </c>
      <c r="L15" s="11">
        <f t="shared" si="3"/>
        <v>0</v>
      </c>
      <c r="M15" s="11" t="e">
        <f t="shared" si="4"/>
        <v>#DIV/0!</v>
      </c>
      <c r="N15" s="11" t="e">
        <f t="shared" si="5"/>
        <v>#DIV/0!</v>
      </c>
      <c r="O15" s="18" t="s">
        <v>22</v>
      </c>
      <c r="Q15" s="8">
        <v>2</v>
      </c>
      <c r="R15" s="8">
        <v>5018</v>
      </c>
      <c r="S15" s="8">
        <v>1820.555600643158</v>
      </c>
      <c r="T15" s="8">
        <v>34693</v>
      </c>
      <c r="U15" s="18">
        <f t="shared" si="12"/>
        <v>0.14464012913267807</v>
      </c>
      <c r="V15" s="18">
        <f t="shared" si="13"/>
        <v>0.3628050220492543</v>
      </c>
      <c r="W15" s="18">
        <f t="shared" si="14"/>
        <v>5.2476165239188258E-2</v>
      </c>
      <c r="X15" s="18"/>
    </row>
    <row r="16" spans="1:24" ht="15.75" customHeight="1">
      <c r="A16" s="8">
        <v>10501</v>
      </c>
      <c r="B16" s="8">
        <v>81</v>
      </c>
      <c r="C16" s="8">
        <v>31.000000834465027</v>
      </c>
      <c r="D16" s="8">
        <v>1423</v>
      </c>
      <c r="E16" s="11">
        <f t="shared" si="0"/>
        <v>5.6921995783555869E-2</v>
      </c>
      <c r="F16" s="11">
        <f t="shared" si="1"/>
        <v>0.38271605968475342</v>
      </c>
      <c r="G16" s="11">
        <f t="shared" si="2"/>
        <v>2.1784961935674651E-2</v>
      </c>
      <c r="H16" s="8">
        <v>10501</v>
      </c>
      <c r="I16" s="8">
        <v>9</v>
      </c>
      <c r="J16" s="8">
        <v>3.3333334028720856</v>
      </c>
      <c r="K16" s="8">
        <v>143</v>
      </c>
      <c r="L16" s="11">
        <f t="shared" si="3"/>
        <v>6.2937062937062943E-2</v>
      </c>
      <c r="M16" s="11">
        <f t="shared" si="4"/>
        <v>0.37037037809689838</v>
      </c>
      <c r="N16" s="11">
        <f t="shared" si="5"/>
        <v>2.3310023796308293E-2</v>
      </c>
      <c r="O16" s="18">
        <f t="shared" ref="O16:O26" si="15">N16/G16</f>
        <v>1.0700052570730558</v>
      </c>
      <c r="Q16" s="8">
        <v>3</v>
      </c>
      <c r="R16" s="8">
        <v>3216</v>
      </c>
      <c r="S16" s="8">
        <v>1177.1111408770084</v>
      </c>
      <c r="T16" s="8">
        <v>16849</v>
      </c>
      <c r="U16" s="18">
        <f t="shared" si="12"/>
        <v>0.19087186183156271</v>
      </c>
      <c r="V16" s="18">
        <f t="shared" si="13"/>
        <v>0.3660171457950897</v>
      </c>
      <c r="W16" s="18">
        <f t="shared" si="14"/>
        <v>6.9862374080183309E-2</v>
      </c>
      <c r="X16" s="18"/>
    </row>
    <row r="17" spans="1:24" ht="15.75" customHeight="1">
      <c r="A17" s="8">
        <v>10502</v>
      </c>
      <c r="B17" s="8">
        <v>31</v>
      </c>
      <c r="C17" s="8">
        <v>11.222222536802292</v>
      </c>
      <c r="D17" s="8">
        <v>326</v>
      </c>
      <c r="E17" s="11">
        <f t="shared" si="0"/>
        <v>9.5092024539877307E-2</v>
      </c>
      <c r="F17" s="11">
        <f t="shared" si="1"/>
        <v>0.36200717860652554</v>
      </c>
      <c r="G17" s="11">
        <f t="shared" si="2"/>
        <v>3.4423995511663474E-2</v>
      </c>
      <c r="H17" s="8">
        <v>10502</v>
      </c>
      <c r="I17" s="8">
        <v>3</v>
      </c>
      <c r="J17" s="8">
        <v>1.0000000298023224</v>
      </c>
      <c r="K17" s="8">
        <v>34</v>
      </c>
      <c r="L17" s="11">
        <f t="shared" si="3"/>
        <v>8.8235294117647065E-2</v>
      </c>
      <c r="M17" s="11">
        <f t="shared" si="4"/>
        <v>0.3333333432674408</v>
      </c>
      <c r="N17" s="11">
        <f t="shared" si="5"/>
        <v>2.941176558242125E-2</v>
      </c>
      <c r="O17" s="18">
        <f t="shared" si="15"/>
        <v>0.85439720593897972</v>
      </c>
      <c r="Q17" s="8">
        <v>4</v>
      </c>
      <c r="R17" s="8">
        <v>1415</v>
      </c>
      <c r="S17" s="8">
        <v>519.22223523259163</v>
      </c>
      <c r="T17" s="8">
        <v>7158</v>
      </c>
      <c r="U17" s="18">
        <f t="shared" si="12"/>
        <v>0.19768091645711092</v>
      </c>
      <c r="V17" s="18">
        <f t="shared" si="13"/>
        <v>0.36694150899829797</v>
      </c>
      <c r="W17" s="18">
        <f t="shared" si="14"/>
        <v>7.2537333784938748E-2</v>
      </c>
      <c r="X17" s="18"/>
    </row>
    <row r="18" spans="1:24" ht="15.75" customHeight="1">
      <c r="A18" s="8">
        <v>10601</v>
      </c>
      <c r="B18" s="8">
        <v>91</v>
      </c>
      <c r="C18" s="8">
        <v>35.666667491197586</v>
      </c>
      <c r="D18" s="8">
        <v>528</v>
      </c>
      <c r="E18" s="11">
        <f t="shared" si="0"/>
        <v>0.17234848484848486</v>
      </c>
      <c r="F18" s="11">
        <f t="shared" si="1"/>
        <v>0.39194140100217129</v>
      </c>
      <c r="G18" s="11">
        <f t="shared" si="2"/>
        <v>6.7550506612116645E-2</v>
      </c>
      <c r="H18" s="8">
        <v>10601</v>
      </c>
      <c r="I18" s="8">
        <v>47</v>
      </c>
      <c r="J18" s="8">
        <v>19.111111611127853</v>
      </c>
      <c r="K18" s="8">
        <v>245</v>
      </c>
      <c r="L18" s="11">
        <f t="shared" si="3"/>
        <v>0.19183673469387755</v>
      </c>
      <c r="M18" s="11">
        <f t="shared" si="4"/>
        <v>0.4066193959814437</v>
      </c>
      <c r="N18" s="11">
        <f t="shared" si="5"/>
        <v>7.8004537188276948E-2</v>
      </c>
      <c r="O18" s="18">
        <f t="shared" si="15"/>
        <v>1.1547587294376433</v>
      </c>
      <c r="Q18" s="8">
        <v>5</v>
      </c>
      <c r="R18" s="8">
        <v>2756</v>
      </c>
      <c r="S18" s="8">
        <v>1017.4444692134857</v>
      </c>
      <c r="T18" s="8">
        <v>12863</v>
      </c>
      <c r="U18" s="18">
        <f t="shared" si="12"/>
        <v>0.21425794915649538</v>
      </c>
      <c r="V18" s="18">
        <f t="shared" si="13"/>
        <v>0.36917433570881192</v>
      </c>
      <c r="W18" s="18">
        <f t="shared" si="14"/>
        <v>7.9098536050181578E-2</v>
      </c>
      <c r="X18" s="18"/>
    </row>
    <row r="19" spans="1:24" ht="15.75" customHeight="1">
      <c r="A19" s="8">
        <v>10602</v>
      </c>
      <c r="B19" s="8">
        <v>57</v>
      </c>
      <c r="C19" s="8">
        <v>21.000000506639481</v>
      </c>
      <c r="D19" s="8">
        <v>406</v>
      </c>
      <c r="E19" s="11">
        <f t="shared" si="0"/>
        <v>0.14039408866995073</v>
      </c>
      <c r="F19" s="11">
        <f t="shared" si="1"/>
        <v>0.36842106151999088</v>
      </c>
      <c r="G19" s="11">
        <f t="shared" si="2"/>
        <v>5.1724139178914975E-2</v>
      </c>
      <c r="H19" s="8">
        <v>10602</v>
      </c>
      <c r="I19" s="8">
        <v>33</v>
      </c>
      <c r="J19" s="8">
        <v>12.000000327825546</v>
      </c>
      <c r="K19" s="8">
        <v>263</v>
      </c>
      <c r="L19" s="11">
        <f t="shared" si="3"/>
        <v>0.12547528517110265</v>
      </c>
      <c r="M19" s="11">
        <f t="shared" si="4"/>
        <v>0.36363637357047107</v>
      </c>
      <c r="N19" s="11">
        <f t="shared" si="5"/>
        <v>4.5627377672340472E-2</v>
      </c>
      <c r="O19" s="18">
        <f t="shared" si="15"/>
        <v>0.88212928038327199</v>
      </c>
      <c r="Q19" s="8">
        <v>6</v>
      </c>
      <c r="R19" s="8">
        <v>164</v>
      </c>
      <c r="S19" s="8">
        <v>59.222223728895187</v>
      </c>
      <c r="T19" s="8">
        <v>2664</v>
      </c>
      <c r="U19" s="18">
        <f t="shared" si="12"/>
        <v>6.1561561561561562E-2</v>
      </c>
      <c r="V19" s="18">
        <f t="shared" si="13"/>
        <v>0.36111112029814141</v>
      </c>
      <c r="W19" s="18">
        <f t="shared" si="14"/>
        <v>2.2230564462798495E-2</v>
      </c>
      <c r="X19" s="18"/>
    </row>
    <row r="20" spans="1:24" ht="15.75" customHeight="1">
      <c r="A20" s="8">
        <v>10701</v>
      </c>
      <c r="B20" s="8">
        <v>37</v>
      </c>
      <c r="C20" s="8">
        <v>14.111111402511597</v>
      </c>
      <c r="D20" s="8">
        <v>596</v>
      </c>
      <c r="E20" s="11">
        <f t="shared" si="0"/>
        <v>6.2080536912751678E-2</v>
      </c>
      <c r="F20" s="11">
        <f t="shared" si="1"/>
        <v>0.38138138925707016</v>
      </c>
      <c r="G20" s="11">
        <f t="shared" si="2"/>
        <v>2.3676361413610059E-2</v>
      </c>
      <c r="H20" s="8">
        <v>10701</v>
      </c>
      <c r="I20" s="8">
        <v>10</v>
      </c>
      <c r="J20" s="8">
        <v>3.5555556416511536</v>
      </c>
      <c r="K20" s="8">
        <v>95</v>
      </c>
      <c r="L20" s="11">
        <f t="shared" si="3"/>
        <v>0.10526315789473684</v>
      </c>
      <c r="M20" s="11">
        <f t="shared" si="4"/>
        <v>0.35555556416511536</v>
      </c>
      <c r="N20" s="11">
        <f t="shared" si="5"/>
        <v>3.7426901491064771E-2</v>
      </c>
      <c r="O20" s="18">
        <f t="shared" si="15"/>
        <v>1.5807708303333461</v>
      </c>
      <c r="Q20" s="8">
        <v>7</v>
      </c>
      <c r="R20" s="8">
        <v>1191</v>
      </c>
      <c r="S20" s="8">
        <v>438.55556616187096</v>
      </c>
      <c r="T20" s="8">
        <v>15015</v>
      </c>
      <c r="U20" s="18">
        <f t="shared" si="12"/>
        <v>7.9320679320679321E-2</v>
      </c>
      <c r="V20" s="18">
        <f t="shared" si="13"/>
        <v>0.36822465672701171</v>
      </c>
      <c r="W20" s="18">
        <f t="shared" si="14"/>
        <v>2.9207829914210521E-2</v>
      </c>
      <c r="X20" s="18"/>
    </row>
    <row r="21" spans="1:24" ht="15.75" customHeight="1">
      <c r="A21" s="8">
        <v>10702</v>
      </c>
      <c r="B21" s="8">
        <v>127</v>
      </c>
      <c r="C21" s="8">
        <v>48.555556893348694</v>
      </c>
      <c r="D21" s="8">
        <v>871</v>
      </c>
      <c r="E21" s="11">
        <f t="shared" si="0"/>
        <v>0.14580941446613088</v>
      </c>
      <c r="F21" s="11">
        <f t="shared" si="1"/>
        <v>0.38232721963266686</v>
      </c>
      <c r="G21" s="11">
        <f t="shared" si="2"/>
        <v>5.5746908029102975E-2</v>
      </c>
      <c r="H21" s="8">
        <v>10702</v>
      </c>
      <c r="I21" s="8">
        <v>26</v>
      </c>
      <c r="J21" s="8">
        <v>10.11111131310463</v>
      </c>
      <c r="K21" s="8">
        <v>154</v>
      </c>
      <c r="L21" s="11">
        <f t="shared" si="3"/>
        <v>0.16883116883116883</v>
      </c>
      <c r="M21" s="11">
        <f t="shared" si="4"/>
        <v>0.38888889665787035</v>
      </c>
      <c r="N21" s="11">
        <f t="shared" si="5"/>
        <v>6.5656566968211871E-2</v>
      </c>
      <c r="O21" s="18">
        <f t="shared" si="15"/>
        <v>1.1777615887492003</v>
      </c>
      <c r="Q21" s="8">
        <v>8</v>
      </c>
      <c r="R21" s="8">
        <v>368</v>
      </c>
      <c r="S21" s="8">
        <v>137.55555900931358</v>
      </c>
      <c r="T21" s="8">
        <v>2593</v>
      </c>
      <c r="U21" s="18">
        <f t="shared" si="12"/>
        <v>0.14192055534130352</v>
      </c>
      <c r="V21" s="18">
        <f t="shared" si="13"/>
        <v>0.37379227991661301</v>
      </c>
      <c r="W21" s="18">
        <f t="shared" si="14"/>
        <v>5.3048807948057691E-2</v>
      </c>
      <c r="X21" s="18"/>
    </row>
    <row r="22" spans="1:24" ht="15.75" customHeight="1">
      <c r="A22" s="8">
        <v>10703</v>
      </c>
      <c r="B22" s="8">
        <v>112</v>
      </c>
      <c r="C22" s="8">
        <v>48.777779072523117</v>
      </c>
      <c r="D22" s="8">
        <v>455</v>
      </c>
      <c r="E22" s="11">
        <f t="shared" si="0"/>
        <v>0.24615384615384617</v>
      </c>
      <c r="F22" s="11">
        <f t="shared" si="1"/>
        <v>0.43551588457609924</v>
      </c>
      <c r="G22" s="11">
        <f t="shared" si="2"/>
        <v>0.10720391004950136</v>
      </c>
      <c r="H22" s="8">
        <v>10703</v>
      </c>
      <c r="I22" s="8">
        <v>11</v>
      </c>
      <c r="J22" s="8">
        <v>5.0000001192092896</v>
      </c>
      <c r="K22" s="8">
        <v>62</v>
      </c>
      <c r="L22" s="11">
        <f t="shared" si="3"/>
        <v>0.17741935483870969</v>
      </c>
      <c r="M22" s="11">
        <f t="shared" si="4"/>
        <v>0.45454546538266266</v>
      </c>
      <c r="N22" s="11">
        <f t="shared" si="5"/>
        <v>8.0645163213053053E-2</v>
      </c>
      <c r="O22" s="18">
        <f t="shared" si="15"/>
        <v>0.7522595320992973</v>
      </c>
      <c r="Q22" s="8">
        <v>9</v>
      </c>
      <c r="R22" s="8">
        <v>342</v>
      </c>
      <c r="S22" s="8">
        <v>126.11111414432526</v>
      </c>
      <c r="T22" s="8">
        <v>1629</v>
      </c>
      <c r="U22" s="18">
        <f t="shared" si="12"/>
        <v>0.20994475138121546</v>
      </c>
      <c r="V22" s="18">
        <f t="shared" si="13"/>
        <v>0.36874594779042474</v>
      </c>
      <c r="W22" s="18">
        <f t="shared" si="14"/>
        <v>7.7416276331691375E-2</v>
      </c>
      <c r="X22" s="18"/>
    </row>
    <row r="23" spans="1:24" ht="15.75" customHeight="1">
      <c r="A23" s="8">
        <v>10704</v>
      </c>
      <c r="B23" s="8">
        <v>125</v>
      </c>
      <c r="C23" s="8">
        <v>50.111112385988235</v>
      </c>
      <c r="D23" s="8">
        <v>600</v>
      </c>
      <c r="E23" s="11">
        <f t="shared" si="0"/>
        <v>0.20833333333333334</v>
      </c>
      <c r="F23" s="11">
        <f t="shared" si="1"/>
        <v>0.40088889908790587</v>
      </c>
      <c r="G23" s="11">
        <f t="shared" si="2"/>
        <v>8.3518520643313721E-2</v>
      </c>
      <c r="H23" s="8">
        <v>10704</v>
      </c>
      <c r="I23" s="8">
        <v>31</v>
      </c>
      <c r="J23" s="8">
        <v>12.666666895151138</v>
      </c>
      <c r="K23" s="8">
        <v>110</v>
      </c>
      <c r="L23" s="11">
        <f t="shared" si="3"/>
        <v>0.2818181818181818</v>
      </c>
      <c r="M23" s="11">
        <f t="shared" si="4"/>
        <v>0.40860215790810123</v>
      </c>
      <c r="N23" s="11">
        <f t="shared" si="5"/>
        <v>0.11515151722864671</v>
      </c>
      <c r="O23" s="18">
        <f t="shared" si="15"/>
        <v>1.378754273204017</v>
      </c>
      <c r="U23" s="18"/>
      <c r="V23" s="18"/>
      <c r="W23" s="18"/>
      <c r="X23" s="18"/>
    </row>
    <row r="24" spans="1:24" ht="15.75" customHeight="1">
      <c r="A24" s="8">
        <v>10801</v>
      </c>
      <c r="B24" s="8">
        <v>45</v>
      </c>
      <c r="C24" s="8">
        <v>17.888889312744141</v>
      </c>
      <c r="D24" s="8">
        <v>523</v>
      </c>
      <c r="E24" s="11">
        <f t="shared" si="0"/>
        <v>8.6042065009560229E-2</v>
      </c>
      <c r="F24" s="11">
        <f t="shared" si="1"/>
        <v>0.39753087361653644</v>
      </c>
      <c r="G24" s="11">
        <f t="shared" si="2"/>
        <v>3.4204377271021297E-2</v>
      </c>
      <c r="H24" s="8">
        <v>10801</v>
      </c>
      <c r="I24" s="8">
        <v>4</v>
      </c>
      <c r="J24" s="8">
        <v>1.5555556118488312</v>
      </c>
      <c r="K24" s="8">
        <v>87</v>
      </c>
      <c r="L24" s="11">
        <f t="shared" si="3"/>
        <v>4.5977011494252873E-2</v>
      </c>
      <c r="M24" s="11">
        <f t="shared" si="4"/>
        <v>0.38888890296220779</v>
      </c>
      <c r="N24" s="11">
        <f t="shared" si="5"/>
        <v>1.7879949561480819E-2</v>
      </c>
      <c r="O24" s="18">
        <f t="shared" si="15"/>
        <v>0.52273863721615266</v>
      </c>
      <c r="U24" s="18"/>
      <c r="V24" s="18"/>
      <c r="W24" s="18"/>
      <c r="X24" s="18"/>
    </row>
    <row r="25" spans="1:24" ht="15.75" customHeight="1">
      <c r="A25" s="8">
        <v>10901</v>
      </c>
      <c r="B25" s="8">
        <v>25</v>
      </c>
      <c r="C25" s="8">
        <v>9.5555557906627655</v>
      </c>
      <c r="D25" s="8">
        <v>316</v>
      </c>
      <c r="E25" s="11">
        <f t="shared" si="0"/>
        <v>7.9113924050632917E-2</v>
      </c>
      <c r="F25" s="11">
        <f t="shared" si="1"/>
        <v>0.38222223162651064</v>
      </c>
      <c r="G25" s="11">
        <f t="shared" si="2"/>
        <v>3.0239100603363187E-2</v>
      </c>
      <c r="H25" s="8">
        <v>10901</v>
      </c>
      <c r="I25" s="8">
        <v>15</v>
      </c>
      <c r="J25" s="8">
        <v>5.8888889849185944</v>
      </c>
      <c r="K25" s="8">
        <v>92</v>
      </c>
      <c r="L25" s="11">
        <f t="shared" si="3"/>
        <v>0.16304347826086957</v>
      </c>
      <c r="M25" s="11">
        <f t="shared" si="4"/>
        <v>0.39259259899457294</v>
      </c>
      <c r="N25" s="11">
        <f t="shared" si="5"/>
        <v>6.4009662879549942E-2</v>
      </c>
      <c r="O25" s="18">
        <f t="shared" si="15"/>
        <v>2.1167846133767219</v>
      </c>
      <c r="U25" s="18"/>
      <c r="V25" s="18"/>
      <c r="W25" s="18"/>
      <c r="X25" s="18"/>
    </row>
    <row r="26" spans="1:24" ht="15.75" customHeight="1">
      <c r="A26" s="8">
        <v>10902</v>
      </c>
      <c r="B26" s="8">
        <v>98</v>
      </c>
      <c r="C26" s="8">
        <v>39.111112147569656</v>
      </c>
      <c r="D26" s="8">
        <v>533</v>
      </c>
      <c r="E26" s="11">
        <f t="shared" si="0"/>
        <v>0.18386491557223264</v>
      </c>
      <c r="F26" s="11">
        <f t="shared" si="1"/>
        <v>0.39909298109764957</v>
      </c>
      <c r="G26" s="11">
        <f t="shared" si="2"/>
        <v>7.3379197274989968E-2</v>
      </c>
      <c r="H26" s="8">
        <v>10902</v>
      </c>
      <c r="I26" s="8">
        <v>19</v>
      </c>
      <c r="J26" s="8">
        <v>7.1111113131046295</v>
      </c>
      <c r="K26" s="8">
        <v>124</v>
      </c>
      <c r="L26" s="11">
        <f t="shared" si="3"/>
        <v>0.15322580645161291</v>
      </c>
      <c r="M26" s="11">
        <f t="shared" si="4"/>
        <v>0.37426901647919103</v>
      </c>
      <c r="N26" s="11">
        <f t="shared" si="5"/>
        <v>5.7347671879876043E-2</v>
      </c>
      <c r="O26" s="18">
        <f t="shared" si="15"/>
        <v>0.78152492817500485</v>
      </c>
      <c r="U26" s="18"/>
      <c r="V26" s="18"/>
      <c r="W26" s="18"/>
      <c r="X26" s="18"/>
    </row>
    <row r="27" spans="1:24" ht="14.4">
      <c r="A27" s="8">
        <v>10903</v>
      </c>
      <c r="B27" s="8">
        <v>38</v>
      </c>
      <c r="C27" s="8">
        <v>15.444444745779037</v>
      </c>
      <c r="D27" s="8">
        <v>334</v>
      </c>
      <c r="E27" s="11">
        <f t="shared" si="0"/>
        <v>0.11377245508982035</v>
      </c>
      <c r="F27" s="11">
        <f t="shared" si="1"/>
        <v>0.40643275646786942</v>
      </c>
      <c r="G27" s="11">
        <f t="shared" si="2"/>
        <v>4.6240852532272565E-2</v>
      </c>
      <c r="H27" s="8">
        <v>10903</v>
      </c>
      <c r="I27" s="8">
        <v>0</v>
      </c>
      <c r="J27" s="8">
        <v>0</v>
      </c>
      <c r="K27" s="8">
        <v>34</v>
      </c>
      <c r="L27" s="11">
        <f t="shared" si="3"/>
        <v>0</v>
      </c>
      <c r="M27" s="11" t="e">
        <f t="shared" si="4"/>
        <v>#DIV/0!</v>
      </c>
      <c r="N27" s="11" t="e">
        <f t="shared" si="5"/>
        <v>#DIV/0!</v>
      </c>
      <c r="O27" s="18" t="s">
        <v>22</v>
      </c>
      <c r="U27" s="18"/>
      <c r="V27" s="18"/>
      <c r="W27" s="18"/>
      <c r="X27" s="18"/>
    </row>
    <row r="28" spans="1:24" ht="14.4">
      <c r="A28" s="8">
        <v>11001</v>
      </c>
      <c r="B28" s="8">
        <v>7</v>
      </c>
      <c r="C28" s="8">
        <v>2.4444445073604584</v>
      </c>
      <c r="D28" s="8">
        <v>51</v>
      </c>
      <c r="E28" s="11">
        <f t="shared" si="0"/>
        <v>0.13725490196078433</v>
      </c>
      <c r="F28" s="11">
        <f t="shared" si="1"/>
        <v>0.3492063581943512</v>
      </c>
      <c r="G28" s="11">
        <f t="shared" si="2"/>
        <v>4.7930284458048207E-2</v>
      </c>
      <c r="H28" s="8">
        <v>11001</v>
      </c>
      <c r="I28" s="8">
        <v>0</v>
      </c>
      <c r="J28" s="8">
        <v>0</v>
      </c>
      <c r="K28" s="8">
        <v>5</v>
      </c>
      <c r="L28" s="11">
        <f t="shared" si="3"/>
        <v>0</v>
      </c>
      <c r="M28" s="11" t="e">
        <f t="shared" si="4"/>
        <v>#DIV/0!</v>
      </c>
      <c r="N28" s="11" t="e">
        <f t="shared" si="5"/>
        <v>#DIV/0!</v>
      </c>
      <c r="O28" s="18" t="s">
        <v>22</v>
      </c>
      <c r="U28" s="18"/>
      <c r="V28" s="18"/>
      <c r="W28" s="18"/>
      <c r="X28" s="18"/>
    </row>
    <row r="29" spans="1:24" ht="14.4">
      <c r="A29" s="8">
        <v>11002</v>
      </c>
      <c r="B29" s="8">
        <v>5</v>
      </c>
      <c r="C29" s="8">
        <v>1.7777778208255768</v>
      </c>
      <c r="D29" s="8">
        <v>125</v>
      </c>
      <c r="E29" s="11">
        <f t="shared" si="0"/>
        <v>0.04</v>
      </c>
      <c r="F29" s="11">
        <f t="shared" si="1"/>
        <v>0.35555556416511536</v>
      </c>
      <c r="G29" s="11">
        <f t="shared" si="2"/>
        <v>1.4222222566604615E-2</v>
      </c>
      <c r="H29" s="8">
        <v>11002</v>
      </c>
      <c r="I29" s="8">
        <v>0</v>
      </c>
      <c r="J29" s="8">
        <v>0</v>
      </c>
      <c r="K29" s="8">
        <v>21</v>
      </c>
      <c r="L29" s="11">
        <f t="shared" si="3"/>
        <v>0</v>
      </c>
      <c r="M29" s="11" t="e">
        <f t="shared" si="4"/>
        <v>#DIV/0!</v>
      </c>
      <c r="N29" s="11" t="e">
        <f t="shared" si="5"/>
        <v>#DIV/0!</v>
      </c>
      <c r="O29" s="18" t="s">
        <v>22</v>
      </c>
      <c r="U29" s="18"/>
      <c r="V29" s="18"/>
      <c r="W29" s="18"/>
      <c r="X29" s="18"/>
    </row>
    <row r="30" spans="1:24" ht="14.4">
      <c r="A30" s="8">
        <v>11003</v>
      </c>
      <c r="B30" s="8">
        <v>62</v>
      </c>
      <c r="C30" s="8">
        <v>22.000000536441803</v>
      </c>
      <c r="D30" s="8">
        <v>489</v>
      </c>
      <c r="E30" s="11">
        <f t="shared" si="0"/>
        <v>0.12678936605316973</v>
      </c>
      <c r="F30" s="11">
        <f t="shared" si="1"/>
        <v>0.35483871832970648</v>
      </c>
      <c r="G30" s="11">
        <f t="shared" si="2"/>
        <v>4.4989776148142743E-2</v>
      </c>
      <c r="H30" s="8">
        <v>11003</v>
      </c>
      <c r="I30" s="8">
        <v>6</v>
      </c>
      <c r="J30" s="8">
        <v>2.0000000596046448</v>
      </c>
      <c r="K30" s="8">
        <v>61</v>
      </c>
      <c r="L30" s="11">
        <f t="shared" si="3"/>
        <v>9.8360655737704916E-2</v>
      </c>
      <c r="M30" s="11">
        <f t="shared" si="4"/>
        <v>0.3333333432674408</v>
      </c>
      <c r="N30" s="11">
        <f t="shared" si="5"/>
        <v>3.2786886223026966E-2</v>
      </c>
      <c r="O30" s="18">
        <f t="shared" ref="O30:O160" si="16">N30/G30</f>
        <v>0.72876304418732851</v>
      </c>
      <c r="U30" s="18"/>
      <c r="V30" s="18"/>
      <c r="W30" s="18"/>
      <c r="X30" s="18"/>
    </row>
    <row r="31" spans="1:24" ht="14.4">
      <c r="A31" s="8">
        <v>20101</v>
      </c>
      <c r="B31" s="8">
        <v>271</v>
      </c>
      <c r="C31" s="8">
        <v>97.222224771976471</v>
      </c>
      <c r="D31" s="8">
        <v>20777</v>
      </c>
      <c r="E31" s="11">
        <f t="shared" si="0"/>
        <v>1.3043268999374307E-2</v>
      </c>
      <c r="F31" s="11">
        <f t="shared" si="1"/>
        <v>0.3587535969445626</v>
      </c>
      <c r="G31" s="11">
        <f t="shared" si="2"/>
        <v>4.6793196694410386E-3</v>
      </c>
      <c r="H31" s="8">
        <v>20101</v>
      </c>
      <c r="I31" s="8">
        <v>127</v>
      </c>
      <c r="J31" s="8">
        <v>46.777779042720795</v>
      </c>
      <c r="K31" s="8">
        <v>2675</v>
      </c>
      <c r="L31" s="11">
        <f t="shared" si="3"/>
        <v>4.7476635514018692E-2</v>
      </c>
      <c r="M31" s="11">
        <f t="shared" si="4"/>
        <v>0.36832896884032124</v>
      </c>
      <c r="N31" s="11">
        <f t="shared" si="5"/>
        <v>1.748702020288628E-2</v>
      </c>
      <c r="O31" s="18">
        <f t="shared" si="16"/>
        <v>3.7370860377605206</v>
      </c>
      <c r="U31" s="18"/>
      <c r="V31" s="18"/>
      <c r="W31" s="18"/>
      <c r="X31" s="18"/>
    </row>
    <row r="32" spans="1:24" ht="14.4">
      <c r="A32" s="8">
        <v>20102</v>
      </c>
      <c r="B32" s="8">
        <v>75</v>
      </c>
      <c r="C32" s="8">
        <v>26.555556267499924</v>
      </c>
      <c r="D32" s="8">
        <v>681</v>
      </c>
      <c r="E32" s="11">
        <f t="shared" si="0"/>
        <v>0.11013215859030837</v>
      </c>
      <c r="F32" s="11">
        <f t="shared" si="1"/>
        <v>0.35407408356666564</v>
      </c>
      <c r="G32" s="11">
        <f t="shared" si="2"/>
        <v>3.8994943124082117E-2</v>
      </c>
      <c r="H32" s="8">
        <v>20102</v>
      </c>
      <c r="I32" s="8">
        <v>39</v>
      </c>
      <c r="J32" s="8">
        <v>13.5555559694767</v>
      </c>
      <c r="K32" s="8">
        <v>341</v>
      </c>
      <c r="L32" s="11">
        <f t="shared" si="3"/>
        <v>0.11436950146627566</v>
      </c>
      <c r="M32" s="11">
        <f t="shared" si="4"/>
        <v>0.34757835819171023</v>
      </c>
      <c r="N32" s="11">
        <f t="shared" si="5"/>
        <v>3.9752363546852486E-2</v>
      </c>
      <c r="O32" s="18">
        <f t="shared" si="16"/>
        <v>1.0194235550071262</v>
      </c>
      <c r="U32" s="18"/>
      <c r="V32" s="18"/>
      <c r="W32" s="18"/>
      <c r="X32" s="18"/>
    </row>
    <row r="33" spans="1:24" ht="14.4">
      <c r="A33" s="8">
        <v>20103</v>
      </c>
      <c r="B33" s="8">
        <v>71</v>
      </c>
      <c r="C33" s="8">
        <v>24.666667342185974</v>
      </c>
      <c r="D33" s="8">
        <v>2008</v>
      </c>
      <c r="E33" s="11">
        <f t="shared" si="0"/>
        <v>3.5358565737051796E-2</v>
      </c>
      <c r="F33" s="11">
        <f t="shared" si="1"/>
        <v>0.34741784988994329</v>
      </c>
      <c r="G33" s="11">
        <f t="shared" si="2"/>
        <v>1.2284196883558753E-2</v>
      </c>
      <c r="H33" s="8">
        <v>20103</v>
      </c>
      <c r="I33" s="8">
        <v>28</v>
      </c>
      <c r="J33" s="8">
        <v>9.7777780294418335</v>
      </c>
      <c r="K33" s="8">
        <v>485</v>
      </c>
      <c r="L33" s="11">
        <f t="shared" si="3"/>
        <v>5.7731958762886601E-2</v>
      </c>
      <c r="M33" s="11">
        <f t="shared" si="4"/>
        <v>0.3492063581943512</v>
      </c>
      <c r="N33" s="11">
        <f t="shared" si="5"/>
        <v>2.0160367071014092E-2</v>
      </c>
      <c r="O33" s="18">
        <f t="shared" si="16"/>
        <v>1.6411628095929378</v>
      </c>
      <c r="U33" s="18"/>
      <c r="V33" s="18"/>
      <c r="W33" s="18"/>
      <c r="X33" s="18"/>
    </row>
    <row r="34" spans="1:24" ht="14.4">
      <c r="A34" s="8">
        <v>20104</v>
      </c>
      <c r="B34" s="8">
        <v>744</v>
      </c>
      <c r="C34" s="8">
        <v>264.44445139169693</v>
      </c>
      <c r="D34" s="8">
        <v>6272</v>
      </c>
      <c r="E34" s="11">
        <f t="shared" si="0"/>
        <v>0.11862244897959184</v>
      </c>
      <c r="F34" s="11">
        <f t="shared" si="1"/>
        <v>0.35543609058023778</v>
      </c>
      <c r="G34" s="11">
        <f t="shared" si="2"/>
        <v>4.2162699520359843E-2</v>
      </c>
      <c r="H34" s="8">
        <v>20104</v>
      </c>
      <c r="I34" s="8">
        <v>243</v>
      </c>
      <c r="J34" s="8">
        <v>89.222224533557892</v>
      </c>
      <c r="K34" s="8">
        <v>1070</v>
      </c>
      <c r="L34" s="11">
        <f t="shared" si="3"/>
        <v>0.22710280373831776</v>
      </c>
      <c r="M34" s="11">
        <f t="shared" si="4"/>
        <v>0.36716964828624649</v>
      </c>
      <c r="N34" s="11">
        <f t="shared" si="5"/>
        <v>8.3385256573418595E-2</v>
      </c>
      <c r="O34" s="18">
        <f t="shared" si="16"/>
        <v>1.9777020333613338</v>
      </c>
      <c r="U34" s="18"/>
      <c r="V34" s="18"/>
      <c r="W34" s="18"/>
      <c r="X34" s="18"/>
    </row>
    <row r="35" spans="1:24" ht="14.4">
      <c r="A35" s="8">
        <v>20105</v>
      </c>
      <c r="B35" s="8">
        <v>846</v>
      </c>
      <c r="C35" s="8">
        <v>299.11111879348755</v>
      </c>
      <c r="D35" s="8">
        <v>38411</v>
      </c>
      <c r="E35" s="11">
        <f t="shared" si="0"/>
        <v>2.2024940772174637E-2</v>
      </c>
      <c r="F35" s="11">
        <f t="shared" si="1"/>
        <v>0.3535592420726803</v>
      </c>
      <c r="G35" s="11">
        <f t="shared" si="2"/>
        <v>7.7871213661057388E-3</v>
      </c>
      <c r="H35" s="8">
        <v>20105</v>
      </c>
      <c r="I35" s="8">
        <v>230</v>
      </c>
      <c r="J35" s="8">
        <v>84.11111319065094</v>
      </c>
      <c r="K35" s="8">
        <v>4195</v>
      </c>
      <c r="L35" s="11">
        <f t="shared" si="3"/>
        <v>5.4827175208581644E-2</v>
      </c>
      <c r="M35" s="11">
        <f t="shared" si="4"/>
        <v>0.36570049213326494</v>
      </c>
      <c r="N35" s="11">
        <f t="shared" si="5"/>
        <v>2.0050324956055049E-2</v>
      </c>
      <c r="O35" s="18">
        <f t="shared" si="16"/>
        <v>2.5748057611283919</v>
      </c>
      <c r="U35" s="18"/>
      <c r="V35" s="18"/>
      <c r="W35" s="18"/>
      <c r="X35" s="18"/>
    </row>
    <row r="36" spans="1:24" ht="14.4">
      <c r="A36" s="8">
        <v>20201</v>
      </c>
      <c r="B36" s="8">
        <v>135</v>
      </c>
      <c r="C36" s="8">
        <v>47.666667938232422</v>
      </c>
      <c r="D36" s="8">
        <v>1512</v>
      </c>
      <c r="E36" s="11">
        <f t="shared" si="0"/>
        <v>8.9285714285714288E-2</v>
      </c>
      <c r="F36" s="11">
        <f t="shared" si="1"/>
        <v>0.35308642917209199</v>
      </c>
      <c r="G36" s="11">
        <f t="shared" si="2"/>
        <v>3.1525574033222502E-2</v>
      </c>
      <c r="H36" s="8">
        <v>20201</v>
      </c>
      <c r="I36" s="8">
        <v>141</v>
      </c>
      <c r="J36" s="8">
        <v>53.666667997837067</v>
      </c>
      <c r="K36" s="8">
        <v>946</v>
      </c>
      <c r="L36" s="11">
        <f t="shared" si="3"/>
        <v>0.14904862579281183</v>
      </c>
      <c r="M36" s="11">
        <f t="shared" si="4"/>
        <v>0.38061466665132671</v>
      </c>
      <c r="N36" s="11">
        <f t="shared" si="5"/>
        <v>5.6730093020969409E-2</v>
      </c>
      <c r="O36" s="18">
        <f t="shared" si="16"/>
        <v>1.7994943711789579</v>
      </c>
      <c r="U36" s="18"/>
      <c r="V36" s="18"/>
      <c r="W36" s="18"/>
      <c r="X36" s="18"/>
    </row>
    <row r="37" spans="1:24" ht="14.4">
      <c r="A37" s="8">
        <v>20202</v>
      </c>
      <c r="B37" s="8">
        <v>119</v>
      </c>
      <c r="C37" s="8">
        <v>43.444445580244064</v>
      </c>
      <c r="D37" s="8">
        <v>719</v>
      </c>
      <c r="E37" s="11">
        <f t="shared" si="0"/>
        <v>0.16550764951321278</v>
      </c>
      <c r="F37" s="11">
        <f t="shared" si="1"/>
        <v>0.36507937462389972</v>
      </c>
      <c r="G37" s="11">
        <f t="shared" si="2"/>
        <v>6.0423429179755302E-2</v>
      </c>
      <c r="H37" s="8">
        <v>20202</v>
      </c>
      <c r="I37" s="8">
        <v>99</v>
      </c>
      <c r="J37" s="8">
        <v>37.000000983476639</v>
      </c>
      <c r="K37" s="8">
        <v>480</v>
      </c>
      <c r="L37" s="11">
        <f t="shared" si="3"/>
        <v>0.20624999999999999</v>
      </c>
      <c r="M37" s="11">
        <f t="shared" si="4"/>
        <v>0.37373738367148118</v>
      </c>
      <c r="N37" s="11">
        <f t="shared" si="5"/>
        <v>7.708333538224299E-2</v>
      </c>
      <c r="O37" s="18">
        <f t="shared" si="16"/>
        <v>1.2757193100200532</v>
      </c>
      <c r="U37" s="18"/>
      <c r="V37" s="18"/>
      <c r="W37" s="18"/>
      <c r="X37" s="18"/>
    </row>
    <row r="38" spans="1:24" ht="14.4">
      <c r="A38" s="8">
        <v>20203</v>
      </c>
      <c r="B38" s="8">
        <v>68</v>
      </c>
      <c r="C38" s="8">
        <v>24.222222834825516</v>
      </c>
      <c r="D38" s="8">
        <v>655</v>
      </c>
      <c r="E38" s="11">
        <f t="shared" si="0"/>
        <v>0.10381679389312977</v>
      </c>
      <c r="F38" s="11">
        <f t="shared" si="1"/>
        <v>0.35620915933566932</v>
      </c>
      <c r="G38" s="11">
        <f t="shared" si="2"/>
        <v>3.6980492877596201E-2</v>
      </c>
      <c r="H38" s="8">
        <v>20203</v>
      </c>
      <c r="I38" s="8">
        <v>45</v>
      </c>
      <c r="J38" s="8">
        <v>17.000000387430191</v>
      </c>
      <c r="K38" s="8">
        <v>402</v>
      </c>
      <c r="L38" s="11">
        <f t="shared" si="3"/>
        <v>0.11194029850746269</v>
      </c>
      <c r="M38" s="11">
        <f t="shared" si="4"/>
        <v>0.37777778638733756</v>
      </c>
      <c r="N38" s="11">
        <f t="shared" si="5"/>
        <v>4.2288558177687043E-2</v>
      </c>
      <c r="O38" s="18">
        <f t="shared" si="16"/>
        <v>1.1435368997828208</v>
      </c>
      <c r="U38" s="18"/>
      <c r="V38" s="18"/>
      <c r="W38" s="18"/>
      <c r="X38" s="18"/>
    </row>
    <row r="39" spans="1:24" ht="14.4">
      <c r="A39" s="8">
        <v>20204</v>
      </c>
      <c r="B39" s="8">
        <v>41</v>
      </c>
      <c r="C39" s="8">
        <v>14.333333730697632</v>
      </c>
      <c r="D39" s="8">
        <v>473</v>
      </c>
      <c r="E39" s="11">
        <f t="shared" si="0"/>
        <v>8.6680761099365747E-2</v>
      </c>
      <c r="F39" s="11">
        <f t="shared" si="1"/>
        <v>0.34959350562677149</v>
      </c>
      <c r="G39" s="11">
        <f t="shared" si="2"/>
        <v>3.0303031143123955E-2</v>
      </c>
      <c r="H39" s="8">
        <v>20204</v>
      </c>
      <c r="I39" s="8">
        <v>32</v>
      </c>
      <c r="J39" s="8">
        <v>10.888889193534851</v>
      </c>
      <c r="K39" s="8">
        <v>244</v>
      </c>
      <c r="L39" s="11">
        <f t="shared" si="3"/>
        <v>0.13114754098360656</v>
      </c>
      <c r="M39" s="11">
        <f t="shared" si="4"/>
        <v>0.3402777872979641</v>
      </c>
      <c r="N39" s="11">
        <f t="shared" si="5"/>
        <v>4.4626595055470702E-2</v>
      </c>
      <c r="O39" s="18">
        <f t="shared" si="16"/>
        <v>1.4726775960033589</v>
      </c>
      <c r="U39" s="18"/>
      <c r="V39" s="18"/>
      <c r="W39" s="18"/>
      <c r="X39" s="18"/>
    </row>
    <row r="40" spans="1:24" ht="14.4">
      <c r="A40" s="8">
        <v>20205</v>
      </c>
      <c r="B40" s="8">
        <v>53</v>
      </c>
      <c r="C40" s="8">
        <v>19.333333820104599</v>
      </c>
      <c r="D40" s="8">
        <v>579</v>
      </c>
      <c r="E40" s="11">
        <f t="shared" si="0"/>
        <v>9.1537132987910191E-2</v>
      </c>
      <c r="F40" s="11">
        <f t="shared" si="1"/>
        <v>0.3647798833982</v>
      </c>
      <c r="G40" s="11">
        <f t="shared" si="2"/>
        <v>3.3390904697935403E-2</v>
      </c>
      <c r="H40" s="8">
        <v>20205</v>
      </c>
      <c r="I40" s="8">
        <v>32</v>
      </c>
      <c r="J40" s="8">
        <v>12.000000298023224</v>
      </c>
      <c r="K40" s="8">
        <v>422</v>
      </c>
      <c r="L40" s="11">
        <f t="shared" si="3"/>
        <v>7.582938388625593E-2</v>
      </c>
      <c r="M40" s="11">
        <f t="shared" si="4"/>
        <v>0.37500000931322575</v>
      </c>
      <c r="N40" s="11">
        <f t="shared" si="5"/>
        <v>2.8436019663562143E-2</v>
      </c>
      <c r="O40" s="18">
        <f t="shared" si="16"/>
        <v>0.85160973986189636</v>
      </c>
      <c r="U40" s="18"/>
      <c r="V40" s="18"/>
      <c r="W40" s="18"/>
      <c r="X40" s="18"/>
    </row>
    <row r="41" spans="1:24" ht="14.4">
      <c r="A41" s="8">
        <v>20206</v>
      </c>
      <c r="B41" s="8">
        <v>38</v>
      </c>
      <c r="C41" s="8">
        <v>13.888889223337173</v>
      </c>
      <c r="D41" s="8">
        <v>506</v>
      </c>
      <c r="E41" s="11">
        <f t="shared" si="0"/>
        <v>7.5098814229249009E-2</v>
      </c>
      <c r="F41" s="11">
        <f t="shared" si="1"/>
        <v>0.36549708482466248</v>
      </c>
      <c r="G41" s="11">
        <f t="shared" si="2"/>
        <v>2.7448397674579395E-2</v>
      </c>
      <c r="H41" s="8">
        <v>20206</v>
      </c>
      <c r="I41" s="8">
        <v>30</v>
      </c>
      <c r="J41" s="8">
        <v>10.444444715976715</v>
      </c>
      <c r="K41" s="8">
        <v>330</v>
      </c>
      <c r="L41" s="11">
        <f t="shared" si="3"/>
        <v>9.0909090909090912E-2</v>
      </c>
      <c r="M41" s="11">
        <f t="shared" si="4"/>
        <v>0.34814815719922382</v>
      </c>
      <c r="N41" s="11">
        <f t="shared" si="5"/>
        <v>3.1649832472656708E-2</v>
      </c>
      <c r="O41" s="18">
        <f t="shared" si="16"/>
        <v>1.153066668877665</v>
      </c>
      <c r="U41" s="18"/>
      <c r="V41" s="18"/>
      <c r="W41" s="18"/>
      <c r="X41" s="18"/>
    </row>
    <row r="42" spans="1:24" ht="14.4">
      <c r="A42" s="8">
        <v>20301</v>
      </c>
      <c r="B42" s="8">
        <v>126</v>
      </c>
      <c r="C42" s="8">
        <v>47.44444540143013</v>
      </c>
      <c r="D42" s="8">
        <v>839</v>
      </c>
      <c r="E42" s="11">
        <f t="shared" si="0"/>
        <v>0.1501787842669845</v>
      </c>
      <c r="F42" s="11">
        <f t="shared" si="1"/>
        <v>0.37654321747166769</v>
      </c>
      <c r="G42" s="11">
        <f t="shared" si="2"/>
        <v>5.6548802623873809E-2</v>
      </c>
      <c r="H42" s="8">
        <v>20301</v>
      </c>
      <c r="I42" s="8">
        <v>79</v>
      </c>
      <c r="J42" s="8">
        <v>29.111111760139465</v>
      </c>
      <c r="K42" s="8">
        <v>499</v>
      </c>
      <c r="L42" s="11">
        <f t="shared" si="3"/>
        <v>0.15831663326653306</v>
      </c>
      <c r="M42" s="11">
        <f t="shared" si="4"/>
        <v>0.36849508557138566</v>
      </c>
      <c r="N42" s="11">
        <f t="shared" si="5"/>
        <v>5.8338901322924783E-2</v>
      </c>
      <c r="O42" s="18">
        <f t="shared" si="16"/>
        <v>1.0316558196812329</v>
      </c>
      <c r="U42" s="18"/>
      <c r="V42" s="18"/>
      <c r="W42" s="18"/>
      <c r="X42" s="18"/>
    </row>
    <row r="43" spans="1:24" ht="14.4">
      <c r="A43" s="8">
        <v>20302</v>
      </c>
      <c r="B43" s="8">
        <v>160</v>
      </c>
      <c r="C43" s="8">
        <v>55.777779281139374</v>
      </c>
      <c r="D43" s="8">
        <v>906</v>
      </c>
      <c r="E43" s="11">
        <f t="shared" si="0"/>
        <v>0.17660044150110377</v>
      </c>
      <c r="F43" s="11">
        <f t="shared" si="1"/>
        <v>0.34861112050712106</v>
      </c>
      <c r="G43" s="11">
        <f t="shared" si="2"/>
        <v>6.1564877793752068E-2</v>
      </c>
      <c r="H43" s="8">
        <v>20302</v>
      </c>
      <c r="I43" s="8">
        <v>134</v>
      </c>
      <c r="J43" s="8">
        <v>47.888890027999878</v>
      </c>
      <c r="K43" s="8">
        <v>832</v>
      </c>
      <c r="L43" s="11">
        <f t="shared" si="3"/>
        <v>0.16105769230769232</v>
      </c>
      <c r="M43" s="11">
        <f t="shared" si="4"/>
        <v>0.35737977632835732</v>
      </c>
      <c r="N43" s="11">
        <f t="shared" si="5"/>
        <v>5.7558762052884474E-2</v>
      </c>
      <c r="O43" s="18">
        <f t="shared" si="16"/>
        <v>0.93492855205059533</v>
      </c>
      <c r="U43" s="18"/>
      <c r="V43" s="18"/>
      <c r="W43" s="18"/>
      <c r="X43" s="18"/>
    </row>
    <row r="44" spans="1:24" ht="14.4">
      <c r="A44" s="8">
        <v>20303</v>
      </c>
      <c r="B44" s="8">
        <v>186</v>
      </c>
      <c r="C44" s="8">
        <v>67.555557191371918</v>
      </c>
      <c r="D44" s="8">
        <v>796</v>
      </c>
      <c r="E44" s="11">
        <f t="shared" si="0"/>
        <v>0.23366834170854273</v>
      </c>
      <c r="F44" s="11">
        <f t="shared" si="1"/>
        <v>0.36320192038372001</v>
      </c>
      <c r="G44" s="11">
        <f t="shared" si="2"/>
        <v>8.4868790441422023E-2</v>
      </c>
      <c r="H44" s="8">
        <v>20303</v>
      </c>
      <c r="I44" s="8">
        <v>103</v>
      </c>
      <c r="J44" s="8">
        <v>38.000000864267349</v>
      </c>
      <c r="K44" s="8">
        <v>497</v>
      </c>
      <c r="L44" s="11">
        <f t="shared" si="3"/>
        <v>0.20724346076458752</v>
      </c>
      <c r="M44" s="11">
        <f t="shared" si="4"/>
        <v>0.36893204722589662</v>
      </c>
      <c r="N44" s="11">
        <f t="shared" si="5"/>
        <v>7.6458754254059055E-2</v>
      </c>
      <c r="O44" s="18">
        <f t="shared" si="16"/>
        <v>0.90090543127078349</v>
      </c>
      <c r="U44" s="18"/>
      <c r="V44" s="18"/>
      <c r="W44" s="18"/>
      <c r="X44" s="18"/>
    </row>
    <row r="45" spans="1:24" ht="14.4">
      <c r="A45" s="8">
        <v>20304</v>
      </c>
      <c r="B45" s="8">
        <v>30</v>
      </c>
      <c r="C45" s="8">
        <v>10.555555820465088</v>
      </c>
      <c r="D45" s="8">
        <v>267</v>
      </c>
      <c r="E45" s="11">
        <f t="shared" si="0"/>
        <v>0.11235955056179775</v>
      </c>
      <c r="F45" s="11">
        <f t="shared" si="1"/>
        <v>0.35185186068216961</v>
      </c>
      <c r="G45" s="11">
        <f t="shared" si="2"/>
        <v>3.9533916930580858E-2</v>
      </c>
      <c r="H45" s="8">
        <v>20304</v>
      </c>
      <c r="I45" s="8">
        <v>15</v>
      </c>
      <c r="J45" s="8">
        <v>5.0000001490116119</v>
      </c>
      <c r="K45" s="8">
        <v>105</v>
      </c>
      <c r="L45" s="11">
        <f t="shared" si="3"/>
        <v>0.14285714285714285</v>
      </c>
      <c r="M45" s="11">
        <f t="shared" si="4"/>
        <v>0.3333333432674408</v>
      </c>
      <c r="N45" s="11">
        <f t="shared" si="5"/>
        <v>4.7619049038205824E-2</v>
      </c>
      <c r="O45" s="18">
        <f t="shared" si="16"/>
        <v>1.2045112838634726</v>
      </c>
      <c r="U45" s="18"/>
      <c r="V45" s="18"/>
      <c r="W45" s="18"/>
      <c r="X45" s="18"/>
    </row>
    <row r="46" spans="1:24" ht="14.4">
      <c r="A46" s="8">
        <v>20305</v>
      </c>
      <c r="B46" s="8">
        <v>40</v>
      </c>
      <c r="C46" s="8">
        <v>14.222222596406937</v>
      </c>
      <c r="D46" s="8">
        <v>157</v>
      </c>
      <c r="E46" s="11">
        <f t="shared" si="0"/>
        <v>0.25477707006369427</v>
      </c>
      <c r="F46" s="11">
        <f t="shared" si="1"/>
        <v>0.35555556491017343</v>
      </c>
      <c r="G46" s="11">
        <f t="shared" si="2"/>
        <v>9.0587405072655655E-2</v>
      </c>
      <c r="H46" s="8">
        <v>20305</v>
      </c>
      <c r="I46" s="8">
        <v>5</v>
      </c>
      <c r="J46" s="8">
        <v>1.8888889253139496</v>
      </c>
      <c r="K46" s="8">
        <v>53</v>
      </c>
      <c r="L46" s="11">
        <f t="shared" si="3"/>
        <v>9.4339622641509441E-2</v>
      </c>
      <c r="M46" s="11">
        <f t="shared" si="4"/>
        <v>0.37777778506278992</v>
      </c>
      <c r="N46" s="11">
        <f t="shared" si="5"/>
        <v>3.5639413685168861E-2</v>
      </c>
      <c r="O46" s="18">
        <f t="shared" si="16"/>
        <v>0.39342570478295807</v>
      </c>
      <c r="U46" s="18"/>
      <c r="V46" s="18"/>
      <c r="W46" s="18"/>
      <c r="X46" s="18"/>
    </row>
    <row r="47" spans="1:24" ht="14.4">
      <c r="A47" s="8">
        <v>20306</v>
      </c>
      <c r="B47" s="8">
        <v>50</v>
      </c>
      <c r="C47" s="8">
        <v>19.111111640930176</v>
      </c>
      <c r="D47" s="8">
        <v>259</v>
      </c>
      <c r="E47" s="11">
        <f t="shared" si="0"/>
        <v>0.19305019305019305</v>
      </c>
      <c r="F47" s="11">
        <f t="shared" si="1"/>
        <v>0.38222223281860351</v>
      </c>
      <c r="G47" s="11">
        <f t="shared" si="2"/>
        <v>7.3788075833707237E-2</v>
      </c>
      <c r="H47" s="8">
        <v>20306</v>
      </c>
      <c r="I47" s="8">
        <v>13</v>
      </c>
      <c r="J47" s="8">
        <v>4.4444445669651031</v>
      </c>
      <c r="K47" s="8">
        <v>81</v>
      </c>
      <c r="L47" s="11">
        <f t="shared" si="3"/>
        <v>0.16049382716049382</v>
      </c>
      <c r="M47" s="11">
        <f t="shared" si="4"/>
        <v>0.34188035130500793</v>
      </c>
      <c r="N47" s="11">
        <f t="shared" si="5"/>
        <v>5.4869686011914852E-2</v>
      </c>
      <c r="O47" s="18">
        <f t="shared" si="16"/>
        <v>0.74361182876718612</v>
      </c>
      <c r="U47" s="18"/>
      <c r="V47" s="18"/>
      <c r="W47" s="18"/>
      <c r="X47" s="18"/>
    </row>
    <row r="48" spans="1:24" ht="14.4">
      <c r="A48" s="8">
        <v>20307</v>
      </c>
      <c r="B48" s="8">
        <v>46</v>
      </c>
      <c r="C48" s="8">
        <v>16.222222626209259</v>
      </c>
      <c r="D48" s="8">
        <v>275</v>
      </c>
      <c r="E48" s="11">
        <f t="shared" si="0"/>
        <v>0.16727272727272727</v>
      </c>
      <c r="F48" s="11">
        <f t="shared" si="1"/>
        <v>0.35265701361324475</v>
      </c>
      <c r="G48" s="11">
        <f t="shared" si="2"/>
        <v>5.8989900458942757E-2</v>
      </c>
      <c r="H48" s="8">
        <v>20307</v>
      </c>
      <c r="I48" s="8">
        <v>33</v>
      </c>
      <c r="J48" s="8">
        <v>11.444444745779037</v>
      </c>
      <c r="K48" s="8">
        <v>181</v>
      </c>
      <c r="L48" s="11">
        <f t="shared" si="3"/>
        <v>0.18232044198895028</v>
      </c>
      <c r="M48" s="11">
        <f t="shared" si="4"/>
        <v>0.34680135593269812</v>
      </c>
      <c r="N48" s="11">
        <f t="shared" si="5"/>
        <v>6.3228976496016789E-2</v>
      </c>
      <c r="O48" s="18">
        <f t="shared" si="16"/>
        <v>1.07186104746904</v>
      </c>
      <c r="U48" s="18"/>
      <c r="V48" s="18"/>
      <c r="W48" s="18"/>
      <c r="X48" s="18"/>
    </row>
    <row r="49" spans="1:24" ht="14.4">
      <c r="A49" s="8">
        <v>20308</v>
      </c>
      <c r="B49" s="8">
        <v>160</v>
      </c>
      <c r="C49" s="8">
        <v>60.777779132127762</v>
      </c>
      <c r="D49" s="8">
        <v>440</v>
      </c>
      <c r="E49" s="11">
        <f t="shared" si="0"/>
        <v>0.36363636363636365</v>
      </c>
      <c r="F49" s="11">
        <f t="shared" si="1"/>
        <v>0.37986111957579849</v>
      </c>
      <c r="G49" s="11">
        <f t="shared" si="2"/>
        <v>0.13813131620938127</v>
      </c>
      <c r="H49" s="8">
        <v>20308</v>
      </c>
      <c r="I49" s="8">
        <v>88</v>
      </c>
      <c r="J49" s="8">
        <v>32.000000774860382</v>
      </c>
      <c r="K49" s="8">
        <v>246</v>
      </c>
      <c r="L49" s="11">
        <f t="shared" si="3"/>
        <v>0.35772357723577236</v>
      </c>
      <c r="M49" s="11">
        <f t="shared" si="4"/>
        <v>0.36363637244159525</v>
      </c>
      <c r="N49" s="11">
        <f t="shared" si="5"/>
        <v>0.13008130396284709</v>
      </c>
      <c r="O49" s="18">
        <f t="shared" si="16"/>
        <v>0.94172203329814175</v>
      </c>
      <c r="U49" s="18"/>
      <c r="V49" s="18"/>
      <c r="W49" s="18"/>
      <c r="X49" s="18"/>
    </row>
    <row r="50" spans="1:24" ht="14.4">
      <c r="A50" s="8">
        <v>20401</v>
      </c>
      <c r="B50" s="8">
        <v>151</v>
      </c>
      <c r="C50" s="8">
        <v>54.22222363948822</v>
      </c>
      <c r="D50" s="8">
        <v>808</v>
      </c>
      <c r="E50" s="11">
        <f t="shared" si="0"/>
        <v>0.18688118811881188</v>
      </c>
      <c r="F50" s="11">
        <f t="shared" si="1"/>
        <v>0.35908757377144518</v>
      </c>
      <c r="G50" s="11">
        <f t="shared" si="2"/>
        <v>6.7106712425109183E-2</v>
      </c>
      <c r="H50" s="8">
        <v>20401</v>
      </c>
      <c r="I50" s="8">
        <v>140</v>
      </c>
      <c r="J50" s="8">
        <v>50.00000125169754</v>
      </c>
      <c r="K50" s="8">
        <v>540</v>
      </c>
      <c r="L50" s="11">
        <f t="shared" si="3"/>
        <v>0.25925925925925924</v>
      </c>
      <c r="M50" s="11">
        <f t="shared" si="4"/>
        <v>0.35714286608355383</v>
      </c>
      <c r="N50" s="11">
        <f t="shared" si="5"/>
        <v>9.2592594910550982E-2</v>
      </c>
      <c r="O50" s="18">
        <f t="shared" si="16"/>
        <v>1.3797814192415392</v>
      </c>
      <c r="U50" s="18"/>
      <c r="V50" s="18"/>
      <c r="W50" s="18"/>
      <c r="X50" s="18"/>
    </row>
    <row r="51" spans="1:24" ht="14.4">
      <c r="A51" s="8">
        <v>20402</v>
      </c>
      <c r="B51" s="8">
        <v>75</v>
      </c>
      <c r="C51" s="8">
        <v>26.888889610767365</v>
      </c>
      <c r="D51" s="8">
        <v>493</v>
      </c>
      <c r="E51" s="11">
        <f t="shared" si="0"/>
        <v>0.15212981744421908</v>
      </c>
      <c r="F51" s="11">
        <f t="shared" si="1"/>
        <v>0.35851852814356489</v>
      </c>
      <c r="G51" s="11">
        <f t="shared" si="2"/>
        <v>5.4541358236850648E-2</v>
      </c>
      <c r="H51" s="8">
        <v>20402</v>
      </c>
      <c r="I51" s="8">
        <v>41</v>
      </c>
      <c r="J51" s="8">
        <v>15.000000327825546</v>
      </c>
      <c r="K51" s="8">
        <v>335</v>
      </c>
      <c r="L51" s="11">
        <f t="shared" si="3"/>
        <v>0.12238805970149254</v>
      </c>
      <c r="M51" s="11">
        <f t="shared" si="4"/>
        <v>0.36585366653233042</v>
      </c>
      <c r="N51" s="11">
        <f t="shared" si="5"/>
        <v>4.47761203815688E-2</v>
      </c>
      <c r="O51" s="18">
        <f t="shared" si="16"/>
        <v>0.82095719338569739</v>
      </c>
      <c r="U51" s="18"/>
      <c r="V51" s="18"/>
      <c r="W51" s="18"/>
      <c r="X51" s="18"/>
    </row>
    <row r="52" spans="1:24" ht="14.4">
      <c r="A52" s="8">
        <v>20403</v>
      </c>
      <c r="B52" s="8">
        <v>93</v>
      </c>
      <c r="C52" s="8">
        <v>33.55555647611618</v>
      </c>
      <c r="D52" s="8">
        <v>724</v>
      </c>
      <c r="E52" s="11">
        <f t="shared" si="0"/>
        <v>0.12845303867403315</v>
      </c>
      <c r="F52" s="11">
        <f t="shared" si="1"/>
        <v>0.36081243522705569</v>
      </c>
      <c r="G52" s="11">
        <f t="shared" si="2"/>
        <v>4.6347453696293069E-2</v>
      </c>
      <c r="H52" s="8">
        <v>20403</v>
      </c>
      <c r="I52" s="8">
        <v>95</v>
      </c>
      <c r="J52" s="8">
        <v>33.666667580604553</v>
      </c>
      <c r="K52" s="8">
        <v>483</v>
      </c>
      <c r="L52" s="11">
        <f t="shared" si="3"/>
        <v>0.19668737060041408</v>
      </c>
      <c r="M52" s="11">
        <f t="shared" si="4"/>
        <v>0.3543859745326795</v>
      </c>
      <c r="N52" s="11">
        <f t="shared" si="5"/>
        <v>6.9703245508498046E-2</v>
      </c>
      <c r="O52" s="18">
        <f t="shared" si="16"/>
        <v>1.5039282624942349</v>
      </c>
      <c r="U52" s="18"/>
      <c r="V52" s="18"/>
      <c r="W52" s="18"/>
      <c r="X52" s="18"/>
    </row>
    <row r="53" spans="1:24" ht="14.4">
      <c r="A53" s="8">
        <v>20404</v>
      </c>
      <c r="B53" s="8">
        <v>56</v>
      </c>
      <c r="C53" s="8">
        <v>20.444444894790649</v>
      </c>
      <c r="D53" s="8">
        <v>155</v>
      </c>
      <c r="E53" s="11">
        <f t="shared" si="0"/>
        <v>0.36129032258064514</v>
      </c>
      <c r="F53" s="11">
        <f t="shared" si="1"/>
        <v>0.3650793731212616</v>
      </c>
      <c r="G53" s="11">
        <f t="shared" si="2"/>
        <v>0.13189964448252031</v>
      </c>
      <c r="H53" s="8">
        <v>20404</v>
      </c>
      <c r="I53" s="8">
        <v>35</v>
      </c>
      <c r="J53" s="8">
        <v>13.666666924953461</v>
      </c>
      <c r="K53" s="8">
        <v>78</v>
      </c>
      <c r="L53" s="11">
        <f t="shared" si="3"/>
        <v>0.44871794871794873</v>
      </c>
      <c r="M53" s="11">
        <f t="shared" si="4"/>
        <v>0.39047619785581317</v>
      </c>
      <c r="N53" s="11">
        <f t="shared" si="5"/>
        <v>0.17521367852504438</v>
      </c>
      <c r="O53" s="18">
        <f t="shared" si="16"/>
        <v>1.3283862834692035</v>
      </c>
      <c r="U53" s="18"/>
      <c r="V53" s="18"/>
      <c r="W53" s="18"/>
      <c r="X53" s="18"/>
    </row>
    <row r="54" spans="1:24" ht="14.4">
      <c r="A54" s="8">
        <v>20405</v>
      </c>
      <c r="B54" s="8">
        <v>95</v>
      </c>
      <c r="C54" s="8">
        <v>36.000000804662704</v>
      </c>
      <c r="D54" s="8">
        <v>420</v>
      </c>
      <c r="E54" s="11">
        <f t="shared" si="0"/>
        <v>0.22619047619047619</v>
      </c>
      <c r="F54" s="11">
        <f t="shared" si="1"/>
        <v>0.37894737689118635</v>
      </c>
      <c r="G54" s="11">
        <f t="shared" si="2"/>
        <v>8.5714287630149294E-2</v>
      </c>
      <c r="H54" s="8">
        <v>20405</v>
      </c>
      <c r="I54" s="8">
        <v>66</v>
      </c>
      <c r="J54" s="8">
        <v>24.666667193174362</v>
      </c>
      <c r="K54" s="8">
        <v>347</v>
      </c>
      <c r="L54" s="11">
        <f t="shared" si="3"/>
        <v>0.19020172910662825</v>
      </c>
      <c r="M54" s="11">
        <f t="shared" si="4"/>
        <v>0.37373738171476306</v>
      </c>
      <c r="N54" s="11">
        <f t="shared" si="5"/>
        <v>7.1085496233931886E-2</v>
      </c>
      <c r="O54" s="18">
        <f t="shared" si="16"/>
        <v>0.82933077085888474</v>
      </c>
      <c r="U54" s="18"/>
      <c r="V54" s="18"/>
      <c r="W54" s="18"/>
      <c r="X54" s="18"/>
    </row>
    <row r="55" spans="1:24" ht="14.4">
      <c r="A55" s="8">
        <v>20501</v>
      </c>
      <c r="B55" s="8">
        <v>49</v>
      </c>
      <c r="C55" s="8">
        <v>17.888889342546463</v>
      </c>
      <c r="D55" s="8">
        <v>486</v>
      </c>
      <c r="E55" s="11">
        <f t="shared" si="0"/>
        <v>0.10082304526748971</v>
      </c>
      <c r="F55" s="11">
        <f t="shared" si="1"/>
        <v>0.36507937433768289</v>
      </c>
      <c r="G55" s="11">
        <f t="shared" si="2"/>
        <v>3.6808414285075024E-2</v>
      </c>
      <c r="H55" s="8">
        <v>20501</v>
      </c>
      <c r="I55" s="8">
        <v>25</v>
      </c>
      <c r="J55" s="8">
        <v>9.2222224175930023</v>
      </c>
      <c r="K55" s="8">
        <v>291</v>
      </c>
      <c r="L55" s="11">
        <f t="shared" si="3"/>
        <v>8.5910652920962199E-2</v>
      </c>
      <c r="M55" s="11">
        <f t="shared" si="4"/>
        <v>0.3688888967037201</v>
      </c>
      <c r="N55" s="11">
        <f t="shared" si="5"/>
        <v>3.1691485971109976E-2</v>
      </c>
      <c r="O55" s="18">
        <f t="shared" si="16"/>
        <v>0.86098482063543158</v>
      </c>
      <c r="U55" s="18"/>
      <c r="V55" s="18"/>
      <c r="W55" s="18"/>
      <c r="X55" s="18"/>
    </row>
    <row r="56" spans="1:24" ht="14.4">
      <c r="A56" s="8">
        <v>20502</v>
      </c>
      <c r="B56" s="8">
        <v>82</v>
      </c>
      <c r="C56" s="8">
        <v>30.222222894430161</v>
      </c>
      <c r="D56" s="8">
        <v>439</v>
      </c>
      <c r="E56" s="11">
        <f t="shared" si="0"/>
        <v>0.18678815489749431</v>
      </c>
      <c r="F56" s="11">
        <f t="shared" si="1"/>
        <v>0.36856369383451415</v>
      </c>
      <c r="G56" s="11">
        <f t="shared" si="2"/>
        <v>6.88433323335539E-2</v>
      </c>
      <c r="H56" s="8">
        <v>20502</v>
      </c>
      <c r="I56" s="8">
        <v>15</v>
      </c>
      <c r="J56" s="8">
        <v>5.6666668355464935</v>
      </c>
      <c r="K56" s="8">
        <v>104</v>
      </c>
      <c r="L56" s="11">
        <f t="shared" si="3"/>
        <v>0.14423076923076922</v>
      </c>
      <c r="M56" s="11">
        <f t="shared" si="4"/>
        <v>0.37777778903643289</v>
      </c>
      <c r="N56" s="11">
        <f t="shared" si="5"/>
        <v>5.448718111102397E-2</v>
      </c>
      <c r="O56" s="18">
        <f t="shared" si="16"/>
        <v>0.79146635213744854</v>
      </c>
      <c r="U56" s="18"/>
      <c r="V56" s="18"/>
      <c r="W56" s="18"/>
      <c r="X56" s="18"/>
    </row>
    <row r="57" spans="1:24" ht="14.4">
      <c r="A57" s="8">
        <v>20503</v>
      </c>
      <c r="B57" s="8">
        <v>66</v>
      </c>
      <c r="C57" s="8">
        <v>24.222222805023193</v>
      </c>
      <c r="D57" s="8">
        <v>470</v>
      </c>
      <c r="E57" s="11">
        <f t="shared" si="0"/>
        <v>0.14042553191489363</v>
      </c>
      <c r="F57" s="11">
        <f t="shared" si="1"/>
        <v>0.36700337583368475</v>
      </c>
      <c r="G57" s="11">
        <f t="shared" si="2"/>
        <v>5.1536644266006799E-2</v>
      </c>
      <c r="H57" s="8">
        <v>20503</v>
      </c>
      <c r="I57" s="8">
        <v>8</v>
      </c>
      <c r="J57" s="8">
        <v>3.11111119389534</v>
      </c>
      <c r="K57" s="8">
        <v>74</v>
      </c>
      <c r="L57" s="11">
        <f t="shared" si="3"/>
        <v>0.10810810810810811</v>
      </c>
      <c r="M57" s="11">
        <f t="shared" si="4"/>
        <v>0.3888888992369175</v>
      </c>
      <c r="N57" s="11">
        <f t="shared" si="5"/>
        <v>4.204204316074784E-2</v>
      </c>
      <c r="O57" s="18">
        <f t="shared" si="16"/>
        <v>0.81576990041779784</v>
      </c>
      <c r="U57" s="18"/>
      <c r="V57" s="18"/>
      <c r="W57" s="18"/>
      <c r="X57" s="18"/>
    </row>
    <row r="58" spans="1:24" ht="14.4">
      <c r="A58" s="8">
        <v>20601</v>
      </c>
      <c r="B58" s="8">
        <v>267</v>
      </c>
      <c r="C58" s="8">
        <v>95.000002533197403</v>
      </c>
      <c r="D58" s="8">
        <v>1570</v>
      </c>
      <c r="E58" s="11">
        <f t="shared" si="0"/>
        <v>0.17006369426751591</v>
      </c>
      <c r="F58" s="11">
        <f t="shared" si="1"/>
        <v>0.3558052529333236</v>
      </c>
      <c r="G58" s="11">
        <f t="shared" si="2"/>
        <v>6.0509555753628916E-2</v>
      </c>
      <c r="H58" s="8">
        <v>20601</v>
      </c>
      <c r="I58" s="8">
        <v>94</v>
      </c>
      <c r="J58" s="8">
        <v>32.222223103046417</v>
      </c>
      <c r="K58" s="8">
        <v>578</v>
      </c>
      <c r="L58" s="11">
        <f t="shared" si="3"/>
        <v>0.16262975778546712</v>
      </c>
      <c r="M58" s="11">
        <f t="shared" si="4"/>
        <v>0.34278960747921722</v>
      </c>
      <c r="N58" s="11">
        <f t="shared" si="5"/>
        <v>5.5747790835720443E-2</v>
      </c>
      <c r="O58" s="18">
        <f t="shared" si="16"/>
        <v>0.92130557134981284</v>
      </c>
      <c r="U58" s="18"/>
      <c r="V58" s="18"/>
      <c r="W58" s="18"/>
      <c r="X58" s="18"/>
    </row>
    <row r="59" spans="1:24" ht="14.4">
      <c r="A59" s="8">
        <v>20602</v>
      </c>
      <c r="B59" s="8">
        <v>154</v>
      </c>
      <c r="C59" s="8">
        <v>56.777779102325439</v>
      </c>
      <c r="D59" s="8">
        <v>1475</v>
      </c>
      <c r="E59" s="11">
        <f t="shared" si="0"/>
        <v>0.10440677966101695</v>
      </c>
      <c r="F59" s="11">
        <f t="shared" si="1"/>
        <v>0.36868687728782751</v>
      </c>
      <c r="G59" s="11">
        <f t="shared" si="2"/>
        <v>3.8493409560898605E-2</v>
      </c>
      <c r="H59" s="8">
        <v>20602</v>
      </c>
      <c r="I59" s="8">
        <v>20</v>
      </c>
      <c r="J59" s="8">
        <v>7.2222224473953247</v>
      </c>
      <c r="K59" s="8">
        <v>173</v>
      </c>
      <c r="L59" s="11">
        <f t="shared" si="3"/>
        <v>0.11560693641618497</v>
      </c>
      <c r="M59" s="11">
        <f t="shared" si="4"/>
        <v>0.36111112236976622</v>
      </c>
      <c r="N59" s="11">
        <f t="shared" si="5"/>
        <v>4.1746950562978752E-2</v>
      </c>
      <c r="O59" s="18">
        <f t="shared" si="16"/>
        <v>1.0845220269961504</v>
      </c>
      <c r="U59" s="18"/>
      <c r="V59" s="18"/>
      <c r="W59" s="18"/>
      <c r="X59" s="18"/>
    </row>
    <row r="60" spans="1:24" ht="14.4">
      <c r="A60" s="8">
        <v>20603</v>
      </c>
      <c r="B60" s="8">
        <v>153</v>
      </c>
      <c r="C60" s="8">
        <v>54.333334714174271</v>
      </c>
      <c r="D60" s="8">
        <v>781</v>
      </c>
      <c r="E60" s="11">
        <f t="shared" si="0"/>
        <v>0.19590268886043533</v>
      </c>
      <c r="F60" s="11">
        <f t="shared" si="1"/>
        <v>0.35511983473316516</v>
      </c>
      <c r="G60" s="11">
        <f t="shared" si="2"/>
        <v>6.9568930491900466E-2</v>
      </c>
      <c r="H60" s="8">
        <v>20603</v>
      </c>
      <c r="I60" s="8">
        <v>20</v>
      </c>
      <c r="J60" s="8">
        <v>7.1111112833023071</v>
      </c>
      <c r="K60" s="8">
        <v>138</v>
      </c>
      <c r="L60" s="11">
        <f t="shared" si="3"/>
        <v>0.14492753623188406</v>
      </c>
      <c r="M60" s="11">
        <f t="shared" si="4"/>
        <v>0.35555556416511536</v>
      </c>
      <c r="N60" s="11">
        <f t="shared" si="5"/>
        <v>5.1529791907987732E-2</v>
      </c>
      <c r="O60" s="18">
        <f t="shared" si="16"/>
        <v>0.74070122314137155</v>
      </c>
      <c r="U60" s="18"/>
      <c r="V60" s="18"/>
      <c r="W60" s="18"/>
      <c r="X60" s="18"/>
    </row>
    <row r="61" spans="1:24" ht="14.4">
      <c r="A61" s="8">
        <v>20604</v>
      </c>
      <c r="B61" s="8">
        <v>30</v>
      </c>
      <c r="C61" s="8">
        <v>11.333333611488342</v>
      </c>
      <c r="D61" s="8">
        <v>161</v>
      </c>
      <c r="E61" s="11">
        <f t="shared" si="0"/>
        <v>0.18633540372670807</v>
      </c>
      <c r="F61" s="11">
        <f t="shared" si="1"/>
        <v>0.3777777870496114</v>
      </c>
      <c r="G61" s="11">
        <f t="shared" si="2"/>
        <v>7.0393376468871685E-2</v>
      </c>
      <c r="H61" s="8">
        <v>20604</v>
      </c>
      <c r="I61" s="8">
        <v>13</v>
      </c>
      <c r="J61" s="8">
        <v>4.8888890445232391</v>
      </c>
      <c r="K61" s="8">
        <v>67</v>
      </c>
      <c r="L61" s="11">
        <f t="shared" si="3"/>
        <v>0.19402985074626866</v>
      </c>
      <c r="M61" s="11">
        <f t="shared" si="4"/>
        <v>0.37606838804024917</v>
      </c>
      <c r="N61" s="11">
        <f t="shared" si="5"/>
        <v>7.2968493201839388E-2</v>
      </c>
      <c r="O61" s="18">
        <f t="shared" si="16"/>
        <v>1.0365818044557988</v>
      </c>
      <c r="U61" s="18"/>
      <c r="V61" s="18"/>
      <c r="W61" s="18"/>
      <c r="X61" s="18"/>
    </row>
    <row r="62" spans="1:24" ht="14.4">
      <c r="A62" s="8">
        <v>20605</v>
      </c>
      <c r="B62" s="8">
        <v>5</v>
      </c>
      <c r="C62" s="8">
        <v>1.666666716337204</v>
      </c>
      <c r="D62" s="8">
        <v>109</v>
      </c>
      <c r="E62" s="11">
        <f t="shared" si="0"/>
        <v>4.5871559633027525E-2</v>
      </c>
      <c r="F62" s="11">
        <f t="shared" si="1"/>
        <v>0.3333333432674408</v>
      </c>
      <c r="G62" s="11">
        <f t="shared" si="2"/>
        <v>1.5290520333368845E-2</v>
      </c>
      <c r="H62" s="8">
        <v>20605</v>
      </c>
      <c r="I62" s="8">
        <v>11</v>
      </c>
      <c r="J62" s="8">
        <v>4.0000000894069672</v>
      </c>
      <c r="K62" s="8">
        <v>112</v>
      </c>
      <c r="L62" s="11">
        <f t="shared" si="3"/>
        <v>9.8214285714285712E-2</v>
      </c>
      <c r="M62" s="11">
        <f t="shared" si="4"/>
        <v>0.36363637176426972</v>
      </c>
      <c r="N62" s="11">
        <f t="shared" si="5"/>
        <v>3.5714286512562206E-2</v>
      </c>
      <c r="O62" s="18">
        <f t="shared" si="16"/>
        <v>2.3357142683118584</v>
      </c>
      <c r="U62" s="18"/>
      <c r="V62" s="18"/>
      <c r="W62" s="18"/>
      <c r="X62" s="18"/>
    </row>
    <row r="63" spans="1:24" ht="14.4">
      <c r="A63" s="8">
        <v>20606</v>
      </c>
      <c r="B63" s="8">
        <v>65</v>
      </c>
      <c r="C63" s="8">
        <v>23.111111670732498</v>
      </c>
      <c r="D63" s="8">
        <v>876</v>
      </c>
      <c r="E63" s="11">
        <f t="shared" si="0"/>
        <v>7.4200913242009128E-2</v>
      </c>
      <c r="F63" s="11">
        <f t="shared" si="1"/>
        <v>0.35555556416511536</v>
      </c>
      <c r="G63" s="11">
        <f t="shared" si="2"/>
        <v>2.6382547569329333E-2</v>
      </c>
      <c r="H63" s="8">
        <v>20606</v>
      </c>
      <c r="I63" s="8">
        <v>11</v>
      </c>
      <c r="J63" s="8">
        <v>3.6666667759418488</v>
      </c>
      <c r="K63" s="8">
        <v>116</v>
      </c>
      <c r="L63" s="11">
        <f t="shared" si="3"/>
        <v>9.4827586206896547E-2</v>
      </c>
      <c r="M63" s="11">
        <f t="shared" si="4"/>
        <v>0.3333333432674408</v>
      </c>
      <c r="N63" s="11">
        <f t="shared" si="5"/>
        <v>3.1609196344326282E-2</v>
      </c>
      <c r="O63" s="18">
        <f t="shared" si="16"/>
        <v>1.1981100862705585</v>
      </c>
      <c r="U63" s="18"/>
      <c r="V63" s="18"/>
      <c r="W63" s="18"/>
      <c r="X63" s="18"/>
    </row>
    <row r="64" spans="1:24" ht="14.4">
      <c r="A64" s="8">
        <v>20607</v>
      </c>
      <c r="B64" s="8">
        <v>159</v>
      </c>
      <c r="C64" s="8">
        <v>56.222223788499832</v>
      </c>
      <c r="D64" s="8">
        <v>2544</v>
      </c>
      <c r="E64" s="11">
        <f t="shared" si="0"/>
        <v>6.25E-2</v>
      </c>
      <c r="F64" s="11">
        <f t="shared" si="1"/>
        <v>0.35359889175157128</v>
      </c>
      <c r="G64" s="11">
        <f t="shared" si="2"/>
        <v>2.2099930734473205E-2</v>
      </c>
      <c r="H64" s="8">
        <v>20607</v>
      </c>
      <c r="I64" s="8">
        <v>11</v>
      </c>
      <c r="J64" s="8">
        <v>4.1111112236976624</v>
      </c>
      <c r="K64" s="8">
        <v>235</v>
      </c>
      <c r="L64" s="11">
        <f t="shared" si="3"/>
        <v>4.6808510638297871E-2</v>
      </c>
      <c r="M64" s="11">
        <f t="shared" si="4"/>
        <v>0.37373738397251477</v>
      </c>
      <c r="N64" s="11">
        <f t="shared" si="5"/>
        <v>1.7494090313607075E-2</v>
      </c>
      <c r="O64" s="18">
        <f t="shared" si="16"/>
        <v>0.79159027798754233</v>
      </c>
      <c r="U64" s="18"/>
      <c r="V64" s="18"/>
      <c r="W64" s="18"/>
      <c r="X64" s="18"/>
    </row>
    <row r="65" spans="1:24" ht="14.4">
      <c r="A65" s="8">
        <v>20608</v>
      </c>
      <c r="B65" s="8">
        <v>382</v>
      </c>
      <c r="C65" s="8">
        <v>149.11111485958099</v>
      </c>
      <c r="D65" s="8">
        <v>1535</v>
      </c>
      <c r="E65" s="11">
        <f t="shared" si="0"/>
        <v>0.2488599348534202</v>
      </c>
      <c r="F65" s="11">
        <f t="shared" si="1"/>
        <v>0.39034323261670417</v>
      </c>
      <c r="G65" s="11">
        <f t="shared" si="2"/>
        <v>9.7140791439466453E-2</v>
      </c>
      <c r="H65" s="8">
        <v>20608</v>
      </c>
      <c r="I65" s="8">
        <v>43</v>
      </c>
      <c r="J65" s="8">
        <v>15.333333760499954</v>
      </c>
      <c r="K65" s="8">
        <v>151</v>
      </c>
      <c r="L65" s="11">
        <f t="shared" si="3"/>
        <v>0.28476821192052981</v>
      </c>
      <c r="M65" s="11">
        <f t="shared" si="4"/>
        <v>0.35658915722092915</v>
      </c>
      <c r="N65" s="11">
        <f t="shared" si="5"/>
        <v>0.10154525669205268</v>
      </c>
      <c r="O65" s="18">
        <f t="shared" si="16"/>
        <v>1.0453410476414626</v>
      </c>
      <c r="U65" s="18"/>
      <c r="V65" s="18"/>
      <c r="W65" s="18"/>
      <c r="X65" s="18"/>
    </row>
    <row r="66" spans="1:24" ht="14.4">
      <c r="A66" s="8">
        <v>20701</v>
      </c>
      <c r="B66" s="8">
        <v>255</v>
      </c>
      <c r="C66" s="8">
        <v>112.00000295042992</v>
      </c>
      <c r="D66" s="8">
        <v>1326</v>
      </c>
      <c r="E66" s="11">
        <f t="shared" si="0"/>
        <v>0.19230769230769232</v>
      </c>
      <c r="F66" s="11">
        <f t="shared" si="1"/>
        <v>0.43921569784482323</v>
      </c>
      <c r="G66" s="11">
        <f t="shared" si="2"/>
        <v>8.4464557277850627E-2</v>
      </c>
      <c r="H66" s="8">
        <v>20701</v>
      </c>
      <c r="I66" s="8">
        <v>25</v>
      </c>
      <c r="J66" s="8">
        <v>8.6666668951511383</v>
      </c>
      <c r="K66" s="8">
        <v>115</v>
      </c>
      <c r="L66" s="11">
        <f t="shared" si="3"/>
        <v>0.21739130434782608</v>
      </c>
      <c r="M66" s="11">
        <f t="shared" si="4"/>
        <v>0.34666667580604554</v>
      </c>
      <c r="N66" s="11">
        <f t="shared" si="5"/>
        <v>7.53623208274012E-2</v>
      </c>
      <c r="O66" s="18">
        <f t="shared" si="16"/>
        <v>0.89223602486298315</v>
      </c>
      <c r="U66" s="18"/>
      <c r="V66" s="18"/>
      <c r="W66" s="18"/>
      <c r="X66" s="18"/>
    </row>
    <row r="67" spans="1:24" ht="14.4">
      <c r="A67" s="8">
        <v>20702</v>
      </c>
      <c r="B67" s="8">
        <v>61</v>
      </c>
      <c r="C67" s="8">
        <v>22.333333939313889</v>
      </c>
      <c r="D67" s="8">
        <v>406</v>
      </c>
      <c r="E67" s="11">
        <f t="shared" si="0"/>
        <v>0.15024630541871922</v>
      </c>
      <c r="F67" s="11">
        <f t="shared" si="1"/>
        <v>0.36612022851334242</v>
      </c>
      <c r="G67" s="11">
        <f t="shared" si="2"/>
        <v>5.5008211673186917E-2</v>
      </c>
      <c r="H67" s="8">
        <v>20702</v>
      </c>
      <c r="I67" s="8">
        <v>31</v>
      </c>
      <c r="J67" s="8">
        <v>10.444444745779037</v>
      </c>
      <c r="K67" s="8">
        <v>115</v>
      </c>
      <c r="L67" s="11">
        <f t="shared" si="3"/>
        <v>0.26956521739130435</v>
      </c>
      <c r="M67" s="11">
        <f t="shared" si="4"/>
        <v>0.33691757244448506</v>
      </c>
      <c r="N67" s="11">
        <f t="shared" si="5"/>
        <v>9.0821258658948148E-2</v>
      </c>
      <c r="O67" s="18">
        <f t="shared" si="16"/>
        <v>1.6510491051505654</v>
      </c>
      <c r="U67" s="18"/>
      <c r="V67" s="18"/>
      <c r="W67" s="18"/>
      <c r="X67" s="18"/>
    </row>
    <row r="68" spans="1:24" ht="14.4">
      <c r="A68" s="8">
        <v>20801</v>
      </c>
      <c r="B68" s="8">
        <v>893</v>
      </c>
      <c r="C68" s="8">
        <v>323.33334159851074</v>
      </c>
      <c r="D68" s="8">
        <v>13567</v>
      </c>
      <c r="E68" s="11">
        <f t="shared" si="0"/>
        <v>6.5821478587749685E-2</v>
      </c>
      <c r="F68" s="11">
        <f t="shared" si="1"/>
        <v>0.36207541052464809</v>
      </c>
      <c r="G68" s="11">
        <f t="shared" si="2"/>
        <v>2.38323388809988E-2</v>
      </c>
      <c r="H68" s="8">
        <v>20801</v>
      </c>
      <c r="I68" s="8">
        <v>438</v>
      </c>
      <c r="J68" s="8">
        <v>157.88889271020889</v>
      </c>
      <c r="K68" s="8">
        <v>2041</v>
      </c>
      <c r="L68" s="11">
        <f t="shared" si="3"/>
        <v>0.21460068593826556</v>
      </c>
      <c r="M68" s="11">
        <f t="shared" si="4"/>
        <v>0.36047692399591069</v>
      </c>
      <c r="N68" s="11">
        <f t="shared" si="5"/>
        <v>7.735859515443845E-2</v>
      </c>
      <c r="O68" s="18">
        <f t="shared" si="16"/>
        <v>3.2459506194801304</v>
      </c>
      <c r="U68" s="18"/>
      <c r="V68" s="18"/>
      <c r="W68" s="18"/>
      <c r="X68" s="18"/>
    </row>
    <row r="69" spans="1:24" ht="14.4">
      <c r="A69" s="8">
        <v>20802</v>
      </c>
      <c r="B69" s="8">
        <v>44</v>
      </c>
      <c r="C69" s="8">
        <v>15.888889282941818</v>
      </c>
      <c r="D69" s="8">
        <v>602</v>
      </c>
      <c r="E69" s="11">
        <f t="shared" si="0"/>
        <v>7.3089700996677748E-2</v>
      </c>
      <c r="F69" s="11">
        <f t="shared" si="1"/>
        <v>0.36111112006685953</v>
      </c>
      <c r="G69" s="11">
        <f t="shared" si="2"/>
        <v>2.6393503792262161E-2</v>
      </c>
      <c r="H69" s="8">
        <v>20802</v>
      </c>
      <c r="I69" s="8">
        <v>27</v>
      </c>
      <c r="J69" s="8">
        <v>9.4444446861743927</v>
      </c>
      <c r="K69" s="8">
        <v>403</v>
      </c>
      <c r="L69" s="11">
        <f t="shared" si="3"/>
        <v>6.699751861042183E-2</v>
      </c>
      <c r="M69" s="11">
        <f t="shared" si="4"/>
        <v>0.34979424763608863</v>
      </c>
      <c r="N69" s="11">
        <f t="shared" si="5"/>
        <v>2.3435346615817351E-2</v>
      </c>
      <c r="O69" s="18">
        <f t="shared" si="16"/>
        <v>0.88792101269585666</v>
      </c>
      <c r="U69" s="18"/>
      <c r="V69" s="18"/>
      <c r="W69" s="18"/>
      <c r="X69" s="18"/>
    </row>
    <row r="70" spans="1:24" ht="14.4">
      <c r="A70" s="8">
        <v>20803</v>
      </c>
      <c r="B70" s="8">
        <v>81</v>
      </c>
      <c r="C70" s="8">
        <v>29.000000715255737</v>
      </c>
      <c r="D70" s="8">
        <v>554</v>
      </c>
      <c r="E70" s="11">
        <f t="shared" si="0"/>
        <v>0.14620938628158844</v>
      </c>
      <c r="F70" s="11">
        <f t="shared" si="1"/>
        <v>0.35802470018834243</v>
      </c>
      <c r="G70" s="11">
        <f t="shared" si="2"/>
        <v>5.2346571688187252E-2</v>
      </c>
      <c r="H70" s="8">
        <v>20803</v>
      </c>
      <c r="I70" s="8">
        <v>52</v>
      </c>
      <c r="J70" s="8">
        <v>19.000000476837158</v>
      </c>
      <c r="K70" s="8">
        <v>302</v>
      </c>
      <c r="L70" s="11">
        <f t="shared" si="3"/>
        <v>0.17218543046357615</v>
      </c>
      <c r="M70" s="11">
        <f t="shared" si="4"/>
        <v>0.36538462455456072</v>
      </c>
      <c r="N70" s="11">
        <f t="shared" si="5"/>
        <v>6.29139088636992E-2</v>
      </c>
      <c r="O70" s="18">
        <f t="shared" si="16"/>
        <v>1.2018725741670035</v>
      </c>
      <c r="U70" s="18"/>
      <c r="V70" s="18"/>
      <c r="W70" s="18"/>
      <c r="X70" s="18"/>
    </row>
    <row r="71" spans="1:24" ht="14.4">
      <c r="A71" s="8">
        <v>20804</v>
      </c>
      <c r="B71" s="8">
        <v>13</v>
      </c>
      <c r="C71" s="8">
        <v>4.8888889849185944</v>
      </c>
      <c r="D71" s="8">
        <v>351</v>
      </c>
      <c r="E71" s="11">
        <f t="shared" si="0"/>
        <v>3.7037037037037035E-2</v>
      </c>
      <c r="F71" s="11">
        <f t="shared" si="1"/>
        <v>0.37606838345527649</v>
      </c>
      <c r="G71" s="11">
        <f t="shared" si="2"/>
        <v>1.3928458646491721E-2</v>
      </c>
      <c r="H71" s="8">
        <v>20804</v>
      </c>
      <c r="I71" s="8">
        <v>7</v>
      </c>
      <c r="J71" s="8">
        <v>2.3333334028720856</v>
      </c>
      <c r="K71" s="8">
        <v>126</v>
      </c>
      <c r="L71" s="11">
        <f t="shared" si="3"/>
        <v>5.5555555555555552E-2</v>
      </c>
      <c r="M71" s="11">
        <f t="shared" si="4"/>
        <v>0.3333333432674408</v>
      </c>
      <c r="N71" s="11">
        <f t="shared" si="5"/>
        <v>1.8518519070413377E-2</v>
      </c>
      <c r="O71" s="18">
        <f t="shared" si="16"/>
        <v>1.3295454680534802</v>
      </c>
      <c r="U71" s="18"/>
      <c r="V71" s="18"/>
      <c r="W71" s="18"/>
      <c r="X71" s="18"/>
    </row>
    <row r="72" spans="1:24" ht="14.4">
      <c r="A72" s="8">
        <v>20805</v>
      </c>
      <c r="B72" s="8">
        <v>35</v>
      </c>
      <c r="C72" s="8">
        <v>12.222222536802292</v>
      </c>
      <c r="D72" s="8">
        <v>411</v>
      </c>
      <c r="E72" s="11">
        <f t="shared" si="0"/>
        <v>8.5158150851581502E-2</v>
      </c>
      <c r="F72" s="11">
        <f t="shared" si="1"/>
        <v>0.3492063581943512</v>
      </c>
      <c r="G72" s="11">
        <f t="shared" si="2"/>
        <v>2.9737767729445964E-2</v>
      </c>
      <c r="H72" s="8">
        <v>20805</v>
      </c>
      <c r="I72" s="8">
        <v>24</v>
      </c>
      <c r="J72" s="8">
        <v>9.0000001788139343</v>
      </c>
      <c r="K72" s="8">
        <v>207</v>
      </c>
      <c r="L72" s="11">
        <f t="shared" si="3"/>
        <v>0.11594202898550725</v>
      </c>
      <c r="M72" s="11">
        <f t="shared" si="4"/>
        <v>0.3750000074505806</v>
      </c>
      <c r="N72" s="11">
        <f t="shared" si="5"/>
        <v>4.347826173340065E-2</v>
      </c>
      <c r="O72" s="18">
        <f t="shared" si="16"/>
        <v>1.4620553273858892</v>
      </c>
      <c r="U72" s="18"/>
      <c r="V72" s="18"/>
      <c r="W72" s="18"/>
      <c r="X72" s="18"/>
    </row>
    <row r="73" spans="1:24" ht="14.4">
      <c r="A73" s="8">
        <v>20806</v>
      </c>
      <c r="B73" s="8">
        <v>104</v>
      </c>
      <c r="C73" s="8">
        <v>37.222223162651062</v>
      </c>
      <c r="D73" s="8">
        <v>719</v>
      </c>
      <c r="E73" s="11">
        <f t="shared" si="0"/>
        <v>0.14464534075104313</v>
      </c>
      <c r="F73" s="11">
        <f t="shared" si="1"/>
        <v>0.35790599194856793</v>
      </c>
      <c r="G73" s="11">
        <f t="shared" si="2"/>
        <v>5.1769434162240703E-2</v>
      </c>
      <c r="H73" s="8">
        <v>20806</v>
      </c>
      <c r="I73" s="8">
        <v>63</v>
      </c>
      <c r="J73" s="8">
        <v>22.555556088685989</v>
      </c>
      <c r="K73" s="8">
        <v>463</v>
      </c>
      <c r="L73" s="11">
        <f t="shared" si="3"/>
        <v>0.13606911447084233</v>
      </c>
      <c r="M73" s="11">
        <f t="shared" si="4"/>
        <v>0.35802469982041252</v>
      </c>
      <c r="N73" s="11">
        <f t="shared" si="5"/>
        <v>4.8716103863252674E-2</v>
      </c>
      <c r="O73" s="18">
        <f t="shared" si="16"/>
        <v>0.94102059741624433</v>
      </c>
      <c r="U73" s="18"/>
      <c r="V73" s="18"/>
      <c r="W73" s="18"/>
      <c r="X73" s="18"/>
    </row>
    <row r="74" spans="1:24" ht="14.4">
      <c r="A74" s="8">
        <v>20807</v>
      </c>
      <c r="B74" s="8">
        <v>45</v>
      </c>
      <c r="C74" s="8">
        <v>15.777778178453445</v>
      </c>
      <c r="D74" s="8">
        <v>533</v>
      </c>
      <c r="E74" s="11">
        <f t="shared" si="0"/>
        <v>8.4427767354596617E-2</v>
      </c>
      <c r="F74" s="11">
        <f t="shared" si="1"/>
        <v>0.35061729285452103</v>
      </c>
      <c r="G74" s="11">
        <f t="shared" si="2"/>
        <v>2.9601835231619973E-2</v>
      </c>
      <c r="H74" s="8">
        <v>20807</v>
      </c>
      <c r="I74" s="8">
        <v>40</v>
      </c>
      <c r="J74" s="8">
        <v>14.44444477558136</v>
      </c>
      <c r="K74" s="8">
        <v>356</v>
      </c>
      <c r="L74" s="11">
        <f t="shared" si="3"/>
        <v>0.11235955056179775</v>
      </c>
      <c r="M74" s="11">
        <f t="shared" si="4"/>
        <v>0.361111119389534</v>
      </c>
      <c r="N74" s="11">
        <f t="shared" si="5"/>
        <v>4.057428307747573E-2</v>
      </c>
      <c r="O74" s="18">
        <f t="shared" si="16"/>
        <v>1.3706678238021963</v>
      </c>
      <c r="U74" s="18"/>
      <c r="V74" s="18"/>
      <c r="W74" s="18"/>
      <c r="X74" s="18"/>
    </row>
    <row r="75" spans="1:24" ht="14.4">
      <c r="A75" s="8">
        <v>20901</v>
      </c>
      <c r="B75" s="8">
        <v>27</v>
      </c>
      <c r="C75" s="8">
        <v>9.5555558204650879</v>
      </c>
      <c r="D75" s="8">
        <v>396</v>
      </c>
      <c r="E75" s="11">
        <f t="shared" si="0"/>
        <v>6.8181818181818177E-2</v>
      </c>
      <c r="F75" s="11">
        <f t="shared" si="1"/>
        <v>0.35390947483204027</v>
      </c>
      <c r="G75" s="11">
        <f t="shared" si="2"/>
        <v>2.4130191465820926E-2</v>
      </c>
      <c r="H75" s="8">
        <v>20901</v>
      </c>
      <c r="I75" s="8">
        <v>12</v>
      </c>
      <c r="J75" s="8">
        <v>4.0000001192092896</v>
      </c>
      <c r="K75" s="8">
        <v>140</v>
      </c>
      <c r="L75" s="11">
        <f t="shared" si="3"/>
        <v>8.5714285714285715E-2</v>
      </c>
      <c r="M75" s="11">
        <f t="shared" si="4"/>
        <v>0.3333333432674408</v>
      </c>
      <c r="N75" s="11">
        <f t="shared" si="5"/>
        <v>2.8571429422923497E-2</v>
      </c>
      <c r="O75" s="18">
        <f t="shared" si="16"/>
        <v>1.1840531586081005</v>
      </c>
      <c r="U75" s="18"/>
      <c r="V75" s="18"/>
      <c r="W75" s="18"/>
      <c r="X75" s="18"/>
    </row>
    <row r="76" spans="1:24" ht="14.4">
      <c r="A76" s="8">
        <v>20902</v>
      </c>
      <c r="B76" s="8">
        <v>80</v>
      </c>
      <c r="C76" s="8">
        <v>29.888889610767365</v>
      </c>
      <c r="D76" s="8">
        <v>668</v>
      </c>
      <c r="E76" s="11">
        <f t="shared" si="0"/>
        <v>0.11976047904191617</v>
      </c>
      <c r="F76" s="11">
        <f t="shared" si="1"/>
        <v>0.37361112013459208</v>
      </c>
      <c r="G76" s="11">
        <f t="shared" si="2"/>
        <v>4.4743846722705635E-2</v>
      </c>
      <c r="H76" s="8">
        <v>20902</v>
      </c>
      <c r="I76" s="8">
        <v>39</v>
      </c>
      <c r="J76" s="8">
        <v>14.333333641290665</v>
      </c>
      <c r="K76" s="8">
        <v>265</v>
      </c>
      <c r="L76" s="11">
        <f t="shared" si="3"/>
        <v>0.14716981132075471</v>
      </c>
      <c r="M76" s="11">
        <f t="shared" si="4"/>
        <v>0.36752137541770935</v>
      </c>
      <c r="N76" s="11">
        <f t="shared" si="5"/>
        <v>5.4088051476568547E-2</v>
      </c>
      <c r="O76" s="18">
        <f t="shared" si="16"/>
        <v>1.2088377606818754</v>
      </c>
      <c r="U76" s="18"/>
      <c r="V76" s="18"/>
      <c r="W76" s="18"/>
      <c r="X76" s="18"/>
    </row>
    <row r="77" spans="1:24" ht="14.4">
      <c r="A77" s="8">
        <v>20903</v>
      </c>
      <c r="B77" s="8">
        <v>103</v>
      </c>
      <c r="C77" s="8">
        <v>37.333334237337112</v>
      </c>
      <c r="D77" s="8">
        <v>444</v>
      </c>
      <c r="E77" s="11">
        <f t="shared" si="0"/>
        <v>0.23198198198198197</v>
      </c>
      <c r="F77" s="11">
        <f t="shared" si="1"/>
        <v>0.36245955570230204</v>
      </c>
      <c r="G77" s="11">
        <f t="shared" si="2"/>
        <v>8.4084086120128618E-2</v>
      </c>
      <c r="H77" s="8">
        <v>20903</v>
      </c>
      <c r="I77" s="8">
        <v>62</v>
      </c>
      <c r="J77" s="8">
        <v>23.222222745418549</v>
      </c>
      <c r="K77" s="8">
        <v>349</v>
      </c>
      <c r="L77" s="11">
        <f t="shared" si="3"/>
        <v>0.17765042979942694</v>
      </c>
      <c r="M77" s="11">
        <f t="shared" si="4"/>
        <v>0.3745519797648153</v>
      </c>
      <c r="N77" s="11">
        <f t="shared" si="5"/>
        <v>6.6539320187445697E-2</v>
      </c>
      <c r="O77" s="18">
        <f t="shared" si="16"/>
        <v>0.79134261021024599</v>
      </c>
      <c r="U77" s="18"/>
      <c r="V77" s="18"/>
      <c r="W77" s="18"/>
      <c r="X77" s="18"/>
    </row>
    <row r="78" spans="1:24" ht="14.4">
      <c r="A78" s="8">
        <v>20904</v>
      </c>
      <c r="B78" s="8">
        <v>63</v>
      </c>
      <c r="C78" s="8">
        <v>22.888889461755753</v>
      </c>
      <c r="D78" s="8">
        <v>336</v>
      </c>
      <c r="E78" s="11">
        <f t="shared" si="0"/>
        <v>0.1875</v>
      </c>
      <c r="F78" s="11">
        <f t="shared" si="1"/>
        <v>0.36331570574215483</v>
      </c>
      <c r="G78" s="11">
        <f t="shared" si="2"/>
        <v>6.8121694826654033E-2</v>
      </c>
      <c r="H78" s="8">
        <v>20904</v>
      </c>
      <c r="I78" s="8">
        <v>54</v>
      </c>
      <c r="J78" s="8">
        <v>19.111111611127853</v>
      </c>
      <c r="K78" s="8">
        <v>156</v>
      </c>
      <c r="L78" s="11">
        <f t="shared" si="3"/>
        <v>0.34615384615384615</v>
      </c>
      <c r="M78" s="11">
        <f t="shared" si="4"/>
        <v>0.35390947428014541</v>
      </c>
      <c r="N78" s="11">
        <f t="shared" si="5"/>
        <v>0.12250712571235803</v>
      </c>
      <c r="O78" s="18">
        <f t="shared" si="16"/>
        <v>1.7983569848650414</v>
      </c>
      <c r="U78" s="18"/>
      <c r="V78" s="18"/>
      <c r="W78" s="18"/>
      <c r="X78" s="18"/>
    </row>
    <row r="79" spans="1:24" ht="14.4">
      <c r="A79" s="8">
        <v>20905</v>
      </c>
      <c r="B79" s="8">
        <v>58</v>
      </c>
      <c r="C79" s="8">
        <v>20.444445013999939</v>
      </c>
      <c r="D79" s="8">
        <v>572</v>
      </c>
      <c r="E79" s="11">
        <f t="shared" si="0"/>
        <v>0.10139860139860139</v>
      </c>
      <c r="F79" s="11">
        <f t="shared" si="1"/>
        <v>0.35249043127586099</v>
      </c>
      <c r="G79" s="11">
        <f t="shared" si="2"/>
        <v>3.5742036737762127E-2</v>
      </c>
      <c r="H79" s="8">
        <v>20905</v>
      </c>
      <c r="I79" s="8">
        <v>16</v>
      </c>
      <c r="J79" s="8">
        <v>5.6666668057441711</v>
      </c>
      <c r="K79" s="8">
        <v>117</v>
      </c>
      <c r="L79" s="11">
        <f t="shared" si="3"/>
        <v>0.13675213675213677</v>
      </c>
      <c r="M79" s="11">
        <f t="shared" si="4"/>
        <v>0.3541666753590107</v>
      </c>
      <c r="N79" s="11">
        <f t="shared" si="5"/>
        <v>4.8433049621745057E-2</v>
      </c>
      <c r="O79" s="18">
        <f t="shared" si="16"/>
        <v>1.3550724592752332</v>
      </c>
      <c r="U79" s="18"/>
      <c r="V79" s="18"/>
      <c r="W79" s="18"/>
      <c r="X79" s="18"/>
    </row>
    <row r="80" spans="1:24" ht="14.4">
      <c r="A80" s="8">
        <v>21001</v>
      </c>
      <c r="B80" s="8">
        <v>212</v>
      </c>
      <c r="C80" s="8">
        <v>76.888890832662582</v>
      </c>
      <c r="D80" s="8">
        <v>821</v>
      </c>
      <c r="E80" s="11">
        <f t="shared" si="0"/>
        <v>0.25822168087697928</v>
      </c>
      <c r="F80" s="11">
        <f t="shared" si="1"/>
        <v>0.36268344732388008</v>
      </c>
      <c r="G80" s="11">
        <f t="shared" si="2"/>
        <v>9.3652729394229681E-2</v>
      </c>
      <c r="H80" s="8">
        <v>21001</v>
      </c>
      <c r="I80" s="8">
        <v>56</v>
      </c>
      <c r="J80" s="8">
        <v>19.444444954395294</v>
      </c>
      <c r="K80" s="8">
        <v>274</v>
      </c>
      <c r="L80" s="11">
        <f t="shared" si="3"/>
        <v>0.20437956204379562</v>
      </c>
      <c r="M80" s="11">
        <f t="shared" si="4"/>
        <v>0.3472222313284874</v>
      </c>
      <c r="N80" s="11">
        <f t="shared" si="5"/>
        <v>7.0965127570785741E-2</v>
      </c>
      <c r="O80" s="18">
        <f t="shared" si="16"/>
        <v>0.75774756411058941</v>
      </c>
      <c r="U80" s="18"/>
      <c r="V80" s="18"/>
      <c r="W80" s="18"/>
      <c r="X80" s="18"/>
    </row>
    <row r="81" spans="1:24" ht="14.4">
      <c r="A81" s="8">
        <v>21002</v>
      </c>
      <c r="B81" s="8">
        <v>70</v>
      </c>
      <c r="C81" s="8">
        <v>25.444445073604584</v>
      </c>
      <c r="D81" s="8">
        <v>743</v>
      </c>
      <c r="E81" s="11">
        <f t="shared" si="0"/>
        <v>9.4212651413189769E-2</v>
      </c>
      <c r="F81" s="11">
        <f t="shared" si="1"/>
        <v>0.36349207248006549</v>
      </c>
      <c r="G81" s="11">
        <f t="shared" si="2"/>
        <v>3.424555191602232E-2</v>
      </c>
      <c r="H81" s="8">
        <v>21002</v>
      </c>
      <c r="I81" s="8">
        <v>10</v>
      </c>
      <c r="J81" s="8">
        <v>3.5555556416511536</v>
      </c>
      <c r="K81" s="8">
        <v>137</v>
      </c>
      <c r="L81" s="11">
        <f t="shared" si="3"/>
        <v>7.2992700729927001E-2</v>
      </c>
      <c r="M81" s="11">
        <f t="shared" si="4"/>
        <v>0.35555556416511536</v>
      </c>
      <c r="N81" s="11">
        <f t="shared" si="5"/>
        <v>2.5952960887964623E-2</v>
      </c>
      <c r="O81" s="18">
        <f t="shared" si="16"/>
        <v>0.75784910553075713</v>
      </c>
      <c r="U81" s="18"/>
      <c r="V81" s="18"/>
      <c r="W81" s="18"/>
      <c r="X81" s="18"/>
    </row>
    <row r="82" spans="1:24" ht="14.4">
      <c r="A82" s="8">
        <v>21003</v>
      </c>
      <c r="B82" s="8">
        <v>109</v>
      </c>
      <c r="C82" s="8">
        <v>41.000000983476639</v>
      </c>
      <c r="D82" s="8">
        <v>889</v>
      </c>
      <c r="E82" s="11">
        <f t="shared" si="0"/>
        <v>0.12260967379077616</v>
      </c>
      <c r="F82" s="11">
        <f t="shared" si="1"/>
        <v>0.37614679801354717</v>
      </c>
      <c r="G82" s="11">
        <f t="shared" si="2"/>
        <v>4.6119236201885988E-2</v>
      </c>
      <c r="H82" s="8">
        <v>21003</v>
      </c>
      <c r="I82" s="8">
        <v>3</v>
      </c>
      <c r="J82" s="8">
        <v>1.0000000298023224</v>
      </c>
      <c r="K82" s="8">
        <v>87</v>
      </c>
      <c r="L82" s="11">
        <f t="shared" si="3"/>
        <v>3.4482758620689655E-2</v>
      </c>
      <c r="M82" s="11">
        <f t="shared" si="4"/>
        <v>0.3333333432674408</v>
      </c>
      <c r="N82" s="11">
        <f t="shared" si="5"/>
        <v>1.1494253216118648E-2</v>
      </c>
      <c r="O82" s="18">
        <f t="shared" si="16"/>
        <v>0.24922904546386668</v>
      </c>
      <c r="U82" s="18"/>
      <c r="V82" s="18"/>
      <c r="W82" s="18"/>
      <c r="X82" s="18"/>
    </row>
    <row r="83" spans="1:24" ht="14.4">
      <c r="A83" s="8">
        <v>21004</v>
      </c>
      <c r="B83" s="8">
        <v>105</v>
      </c>
      <c r="C83" s="8">
        <v>36.888889908790588</v>
      </c>
      <c r="D83" s="8">
        <v>842</v>
      </c>
      <c r="E83" s="11">
        <f t="shared" si="0"/>
        <v>0.12470308788598575</v>
      </c>
      <c r="F83" s="11">
        <f t="shared" si="1"/>
        <v>0.35132276103610083</v>
      </c>
      <c r="G83" s="11">
        <f t="shared" si="2"/>
        <v>4.3811033145832054E-2</v>
      </c>
      <c r="H83" s="8">
        <v>21004</v>
      </c>
      <c r="I83" s="8">
        <v>94</v>
      </c>
      <c r="J83" s="8">
        <v>32.000000894069672</v>
      </c>
      <c r="K83" s="8">
        <v>468</v>
      </c>
      <c r="L83" s="11">
        <f t="shared" si="3"/>
        <v>0.20085470085470086</v>
      </c>
      <c r="M83" s="11">
        <f t="shared" si="4"/>
        <v>0.34042554142627313</v>
      </c>
      <c r="N83" s="11">
        <f t="shared" si="5"/>
        <v>6.8376070286473661E-2</v>
      </c>
      <c r="O83" s="18">
        <f t="shared" si="16"/>
        <v>1.5607043563403982</v>
      </c>
      <c r="U83" s="18"/>
      <c r="V83" s="18"/>
      <c r="W83" s="18"/>
      <c r="X83" s="18"/>
    </row>
    <row r="84" spans="1:24" ht="14.4">
      <c r="A84" s="8">
        <v>21005</v>
      </c>
      <c r="B84" s="8">
        <v>49</v>
      </c>
      <c r="C84" s="8">
        <v>17.444444924592972</v>
      </c>
      <c r="D84" s="8">
        <v>168</v>
      </c>
      <c r="E84" s="11">
        <f t="shared" si="0"/>
        <v>0.29166666666666669</v>
      </c>
      <c r="F84" s="11">
        <f t="shared" si="1"/>
        <v>0.35600908009373411</v>
      </c>
      <c r="G84" s="11">
        <f t="shared" si="2"/>
        <v>0.10383598169400579</v>
      </c>
      <c r="H84" s="8">
        <v>21005</v>
      </c>
      <c r="I84" s="8">
        <v>17</v>
      </c>
      <c r="J84" s="8">
        <v>6.2222223579883575</v>
      </c>
      <c r="K84" s="8">
        <v>50</v>
      </c>
      <c r="L84" s="11">
        <f t="shared" si="3"/>
        <v>0.34</v>
      </c>
      <c r="M84" s="11">
        <f t="shared" si="4"/>
        <v>0.36601307988166809</v>
      </c>
      <c r="N84" s="11">
        <f t="shared" si="5"/>
        <v>0.12444444715976716</v>
      </c>
      <c r="O84" s="18">
        <f t="shared" si="16"/>
        <v>1.1984713307424824</v>
      </c>
      <c r="U84" s="18"/>
      <c r="V84" s="18"/>
      <c r="W84" s="18"/>
      <c r="X84" s="18"/>
    </row>
    <row r="85" spans="1:24" ht="14.4">
      <c r="A85" s="8">
        <v>21006</v>
      </c>
      <c r="B85" s="8">
        <v>21</v>
      </c>
      <c r="C85" s="8">
        <v>7.3333335220813751</v>
      </c>
      <c r="D85" s="8">
        <v>329</v>
      </c>
      <c r="E85" s="11">
        <f t="shared" si="0"/>
        <v>6.3829787234042548E-2</v>
      </c>
      <c r="F85" s="11">
        <f t="shared" si="1"/>
        <v>0.3492063581943512</v>
      </c>
      <c r="G85" s="11">
        <f t="shared" si="2"/>
        <v>2.2289767544320289E-2</v>
      </c>
      <c r="H85" s="8">
        <v>21006</v>
      </c>
      <c r="I85" s="8">
        <v>8</v>
      </c>
      <c r="J85" s="8">
        <v>2.6666667461395264</v>
      </c>
      <c r="K85" s="8">
        <v>70</v>
      </c>
      <c r="L85" s="11">
        <f t="shared" si="3"/>
        <v>0.11428571428571428</v>
      </c>
      <c r="M85" s="11">
        <f t="shared" si="4"/>
        <v>0.3333333432674408</v>
      </c>
      <c r="N85" s="11">
        <f t="shared" si="5"/>
        <v>3.8095239230564661E-2</v>
      </c>
      <c r="O85" s="18">
        <f t="shared" si="16"/>
        <v>1.7090909160365741</v>
      </c>
      <c r="U85" s="18"/>
      <c r="V85" s="18"/>
      <c r="W85" s="18"/>
      <c r="X85" s="18"/>
    </row>
    <row r="86" spans="1:24" ht="14.4">
      <c r="A86" s="8">
        <v>21101</v>
      </c>
      <c r="B86" s="8">
        <v>43</v>
      </c>
      <c r="C86" s="8">
        <v>15.777778178453445</v>
      </c>
      <c r="D86" s="8">
        <v>955</v>
      </c>
      <c r="E86" s="11">
        <f t="shared" si="0"/>
        <v>4.5026178010471207E-2</v>
      </c>
      <c r="F86" s="11">
        <f t="shared" si="1"/>
        <v>0.36692507391752199</v>
      </c>
      <c r="G86" s="11">
        <f t="shared" si="2"/>
        <v>1.6521233694715653E-2</v>
      </c>
      <c r="H86" s="8">
        <v>21101</v>
      </c>
      <c r="I86" s="8">
        <v>3</v>
      </c>
      <c r="J86" s="8">
        <v>1.1111111342906952</v>
      </c>
      <c r="K86" s="8">
        <v>152</v>
      </c>
      <c r="L86" s="11">
        <f t="shared" si="3"/>
        <v>1.9736842105263157E-2</v>
      </c>
      <c r="M86" s="11">
        <f t="shared" si="4"/>
        <v>0.37037037809689838</v>
      </c>
      <c r="N86" s="11">
        <f t="shared" si="5"/>
        <v>7.3099416729650989E-3</v>
      </c>
      <c r="O86" s="18">
        <f t="shared" si="16"/>
        <v>0.44245737382815409</v>
      </c>
      <c r="U86" s="18"/>
      <c r="V86" s="18"/>
      <c r="W86" s="18"/>
      <c r="X86" s="18"/>
    </row>
    <row r="87" spans="1:24" ht="14.4">
      <c r="A87" s="8">
        <v>21102</v>
      </c>
      <c r="B87" s="8">
        <v>151</v>
      </c>
      <c r="C87" s="8">
        <v>53.555556893348694</v>
      </c>
      <c r="D87" s="8">
        <v>1696</v>
      </c>
      <c r="E87" s="11">
        <f t="shared" si="0"/>
        <v>8.9033018867924529E-2</v>
      </c>
      <c r="F87" s="11">
        <f t="shared" si="1"/>
        <v>0.35467256220760723</v>
      </c>
      <c r="G87" s="11">
        <f t="shared" si="2"/>
        <v>3.1577568922965031E-2</v>
      </c>
      <c r="H87" s="8">
        <v>21102</v>
      </c>
      <c r="I87" s="8">
        <v>21</v>
      </c>
      <c r="J87" s="8">
        <v>7.8888890445232391</v>
      </c>
      <c r="K87" s="8">
        <v>255</v>
      </c>
      <c r="L87" s="11">
        <f t="shared" si="3"/>
        <v>8.2352941176470587E-2</v>
      </c>
      <c r="M87" s="11">
        <f t="shared" si="4"/>
        <v>0.37566138307253522</v>
      </c>
      <c r="N87" s="11">
        <f t="shared" si="5"/>
        <v>3.0936819782444076E-2</v>
      </c>
      <c r="O87" s="18">
        <f t="shared" si="16"/>
        <v>0.97970872482032756</v>
      </c>
      <c r="U87" s="18"/>
      <c r="V87" s="18"/>
      <c r="W87" s="18"/>
      <c r="X87" s="18"/>
    </row>
    <row r="88" spans="1:24" ht="14.4">
      <c r="A88" s="8">
        <v>21103</v>
      </c>
      <c r="B88" s="8">
        <v>36</v>
      </c>
      <c r="C88" s="8">
        <v>13.555555999279022</v>
      </c>
      <c r="D88" s="8">
        <v>707</v>
      </c>
      <c r="E88" s="11">
        <f t="shared" si="0"/>
        <v>5.0919377652050922E-2</v>
      </c>
      <c r="F88" s="11">
        <f t="shared" si="1"/>
        <v>0.37654322220219505</v>
      </c>
      <c r="G88" s="11">
        <f t="shared" si="2"/>
        <v>1.9173346533633694E-2</v>
      </c>
      <c r="H88" s="8">
        <v>21103</v>
      </c>
      <c r="I88" s="8">
        <v>18</v>
      </c>
      <c r="J88" s="8">
        <v>6.0000001788139343</v>
      </c>
      <c r="K88" s="8">
        <v>174</v>
      </c>
      <c r="L88" s="11">
        <f t="shared" si="3"/>
        <v>0.10344827586206896</v>
      </c>
      <c r="M88" s="11">
        <f t="shared" si="4"/>
        <v>0.3333333432674408</v>
      </c>
      <c r="N88" s="11">
        <f t="shared" si="5"/>
        <v>3.4482759648355947E-2</v>
      </c>
      <c r="O88" s="18">
        <f t="shared" si="16"/>
        <v>1.7984737086906886</v>
      </c>
      <c r="U88" s="18"/>
      <c r="V88" s="18"/>
      <c r="W88" s="18"/>
      <c r="X88" s="18"/>
    </row>
    <row r="89" spans="1:24" ht="14.4">
      <c r="A89" s="8">
        <v>21104</v>
      </c>
      <c r="B89" s="8">
        <v>599</v>
      </c>
      <c r="C89" s="8">
        <v>236.66667219996452</v>
      </c>
      <c r="D89" s="8">
        <v>2376</v>
      </c>
      <c r="E89" s="11">
        <f t="shared" si="0"/>
        <v>0.25210437710437711</v>
      </c>
      <c r="F89" s="11">
        <f t="shared" si="1"/>
        <v>0.39510295859760353</v>
      </c>
      <c r="G89" s="11">
        <f t="shared" si="2"/>
        <v>9.9607185269345339E-2</v>
      </c>
      <c r="H89" s="8">
        <v>21104</v>
      </c>
      <c r="I89" s="8">
        <v>43</v>
      </c>
      <c r="J89" s="8">
        <v>15.555556029081345</v>
      </c>
      <c r="K89" s="8">
        <v>222</v>
      </c>
      <c r="L89" s="11">
        <f t="shared" si="3"/>
        <v>0.19369369369369369</v>
      </c>
      <c r="M89" s="11">
        <f t="shared" si="4"/>
        <v>0.3617571169553801</v>
      </c>
      <c r="N89" s="11">
        <f t="shared" si="5"/>
        <v>7.0070072203069114E-2</v>
      </c>
      <c r="O89" s="18">
        <f t="shared" si="16"/>
        <v>0.70346403237471633</v>
      </c>
      <c r="U89" s="18"/>
      <c r="V89" s="18"/>
      <c r="W89" s="18"/>
      <c r="X89" s="18"/>
    </row>
    <row r="90" spans="1:24" ht="14.4">
      <c r="A90" s="8">
        <v>21105</v>
      </c>
      <c r="B90" s="8">
        <v>709</v>
      </c>
      <c r="C90" s="8">
        <v>271.33333986997604</v>
      </c>
      <c r="D90" s="8">
        <v>3087</v>
      </c>
      <c r="E90" s="11">
        <f t="shared" si="0"/>
        <v>0.2296728215095562</v>
      </c>
      <c r="F90" s="11">
        <f t="shared" si="1"/>
        <v>0.38269864579686325</v>
      </c>
      <c r="G90" s="11">
        <f t="shared" si="2"/>
        <v>8.7895477768051844E-2</v>
      </c>
      <c r="H90" s="8">
        <v>21105</v>
      </c>
      <c r="I90" s="8">
        <v>92</v>
      </c>
      <c r="J90" s="8">
        <v>34.111111879348755</v>
      </c>
      <c r="K90" s="8">
        <v>349</v>
      </c>
      <c r="L90" s="11">
        <f t="shared" si="3"/>
        <v>0.26361031518624639</v>
      </c>
      <c r="M90" s="11">
        <f t="shared" si="4"/>
        <v>0.37077295521031256</v>
      </c>
      <c r="N90" s="11">
        <f t="shared" si="5"/>
        <v>9.7739575585526511E-2</v>
      </c>
      <c r="O90" s="18">
        <f t="shared" si="16"/>
        <v>1.1119977735766149</v>
      </c>
      <c r="U90" s="18"/>
      <c r="V90" s="18"/>
      <c r="W90" s="18"/>
      <c r="X90" s="18"/>
    </row>
    <row r="91" spans="1:24" ht="14.4">
      <c r="A91" s="8">
        <v>21201</v>
      </c>
      <c r="B91" s="8">
        <v>400</v>
      </c>
      <c r="C91" s="8">
        <v>142.2222258746624</v>
      </c>
      <c r="D91" s="8">
        <v>2931</v>
      </c>
      <c r="E91" s="11">
        <f t="shared" si="0"/>
        <v>0.13647219379051517</v>
      </c>
      <c r="F91" s="11">
        <f t="shared" si="1"/>
        <v>0.355555564686656</v>
      </c>
      <c r="G91" s="11">
        <f t="shared" si="2"/>
        <v>4.8523447927213373E-2</v>
      </c>
      <c r="H91" s="8">
        <v>21201</v>
      </c>
      <c r="I91" s="8">
        <v>246</v>
      </c>
      <c r="J91" s="8">
        <v>86.666668832302094</v>
      </c>
      <c r="K91" s="8">
        <v>1217</v>
      </c>
      <c r="L91" s="11">
        <f t="shared" si="3"/>
        <v>0.20213640098603122</v>
      </c>
      <c r="M91" s="11">
        <f t="shared" si="4"/>
        <v>0.35230353183862639</v>
      </c>
      <c r="N91" s="11">
        <f t="shared" si="5"/>
        <v>7.1213367980527603E-2</v>
      </c>
      <c r="O91" s="18">
        <f t="shared" si="16"/>
        <v>1.4676073325900045</v>
      </c>
      <c r="U91" s="18"/>
      <c r="V91" s="18"/>
      <c r="W91" s="18"/>
      <c r="X91" s="18"/>
    </row>
    <row r="92" spans="1:24" ht="14.4">
      <c r="A92" s="8">
        <v>21202</v>
      </c>
      <c r="B92" s="8">
        <v>438</v>
      </c>
      <c r="C92" s="8">
        <v>156.44444847106934</v>
      </c>
      <c r="D92" s="8">
        <v>4620</v>
      </c>
      <c r="E92" s="11">
        <f t="shared" si="0"/>
        <v>9.4805194805194809E-2</v>
      </c>
      <c r="F92" s="11">
        <f t="shared" si="1"/>
        <v>0.35717910609833181</v>
      </c>
      <c r="G92" s="11">
        <f t="shared" si="2"/>
        <v>3.3862434733997693E-2</v>
      </c>
      <c r="H92" s="8">
        <v>21202</v>
      </c>
      <c r="I92" s="8">
        <v>219</v>
      </c>
      <c r="J92" s="8">
        <v>79.111112982034683</v>
      </c>
      <c r="K92" s="8">
        <v>1138</v>
      </c>
      <c r="L92" s="11">
        <f t="shared" si="3"/>
        <v>0.19244288224956063</v>
      </c>
      <c r="M92" s="11">
        <f t="shared" si="4"/>
        <v>0.36123795882207616</v>
      </c>
      <c r="N92" s="11">
        <f t="shared" si="5"/>
        <v>6.951767397366844E-2</v>
      </c>
      <c r="O92" s="18">
        <f t="shared" si="16"/>
        <v>2.0529437566954716</v>
      </c>
      <c r="U92" s="18"/>
      <c r="V92" s="18"/>
      <c r="W92" s="18"/>
      <c r="X92" s="18"/>
    </row>
    <row r="93" spans="1:24" ht="14.4">
      <c r="A93" s="8">
        <v>21203</v>
      </c>
      <c r="B93" s="8">
        <v>89</v>
      </c>
      <c r="C93" s="8">
        <v>31.222223043441772</v>
      </c>
      <c r="D93" s="8">
        <v>937</v>
      </c>
      <c r="E93" s="11">
        <f t="shared" si="0"/>
        <v>9.4983991462113129E-2</v>
      </c>
      <c r="F93" s="11">
        <f t="shared" si="1"/>
        <v>0.3508114948701323</v>
      </c>
      <c r="G93" s="11">
        <f t="shared" si="2"/>
        <v>3.3321476033555793E-2</v>
      </c>
      <c r="H93" s="8">
        <v>21203</v>
      </c>
      <c r="I93" s="8">
        <v>44</v>
      </c>
      <c r="J93" s="8">
        <v>16.000000417232513</v>
      </c>
      <c r="K93" s="8">
        <v>475</v>
      </c>
      <c r="L93" s="11">
        <f t="shared" si="3"/>
        <v>9.2631578947368426E-2</v>
      </c>
      <c r="M93" s="11">
        <f t="shared" si="4"/>
        <v>0.36363637311892077</v>
      </c>
      <c r="N93" s="11">
        <f t="shared" si="5"/>
        <v>3.3684211404700029E-2</v>
      </c>
      <c r="O93" s="18">
        <f t="shared" si="16"/>
        <v>1.0108859334676217</v>
      </c>
      <c r="U93" s="18"/>
      <c r="V93" s="18"/>
      <c r="W93" s="18"/>
      <c r="X93" s="18"/>
    </row>
    <row r="94" spans="1:24" ht="14.4">
      <c r="A94" s="8">
        <v>21204</v>
      </c>
      <c r="B94" s="8">
        <v>45</v>
      </c>
      <c r="C94" s="8">
        <v>15.666667103767395</v>
      </c>
      <c r="D94" s="8">
        <v>293</v>
      </c>
      <c r="E94" s="11">
        <f t="shared" si="0"/>
        <v>0.15358361774744028</v>
      </c>
      <c r="F94" s="11">
        <f t="shared" si="1"/>
        <v>0.34814815786149766</v>
      </c>
      <c r="G94" s="11">
        <f t="shared" si="2"/>
        <v>5.3469853596475755E-2</v>
      </c>
      <c r="H94" s="8">
        <v>21204</v>
      </c>
      <c r="I94" s="8">
        <v>43</v>
      </c>
      <c r="J94" s="8">
        <v>16.000000327825546</v>
      </c>
      <c r="K94" s="8">
        <v>214</v>
      </c>
      <c r="L94" s="11">
        <f t="shared" si="3"/>
        <v>0.20093457943925233</v>
      </c>
      <c r="M94" s="11">
        <f t="shared" si="4"/>
        <v>0.37209303087966389</v>
      </c>
      <c r="N94" s="11">
        <f t="shared" si="5"/>
        <v>7.4766356672081993E-2</v>
      </c>
      <c r="O94" s="18">
        <f t="shared" si="16"/>
        <v>1.3982899081102012</v>
      </c>
      <c r="U94" s="18"/>
      <c r="V94" s="18"/>
      <c r="W94" s="18"/>
      <c r="X94" s="18"/>
    </row>
    <row r="95" spans="1:24" ht="14.4">
      <c r="A95" s="8">
        <v>21301</v>
      </c>
      <c r="B95" s="8">
        <v>189</v>
      </c>
      <c r="C95" s="8">
        <v>68.777779579162598</v>
      </c>
      <c r="D95" s="8">
        <v>1314</v>
      </c>
      <c r="E95" s="11">
        <f t="shared" si="0"/>
        <v>0.14383561643835616</v>
      </c>
      <c r="F95" s="11">
        <f t="shared" si="1"/>
        <v>0.36390359565694497</v>
      </c>
      <c r="G95" s="11">
        <f t="shared" si="2"/>
        <v>5.2342298005450982E-2</v>
      </c>
      <c r="H95" s="8">
        <v>21301</v>
      </c>
      <c r="I95" s="8">
        <v>65</v>
      </c>
      <c r="J95" s="8">
        <v>24.77777823805809</v>
      </c>
      <c r="K95" s="8">
        <v>664</v>
      </c>
      <c r="L95" s="11">
        <f t="shared" si="3"/>
        <v>9.7891566265060237E-2</v>
      </c>
      <c r="M95" s="11">
        <f t="shared" si="4"/>
        <v>0.38119658827781677</v>
      </c>
      <c r="N95" s="11">
        <f t="shared" si="5"/>
        <v>3.7315931081412783E-2</v>
      </c>
      <c r="O95" s="18">
        <f t="shared" si="16"/>
        <v>0.71292114605909473</v>
      </c>
      <c r="U95" s="18"/>
      <c r="V95" s="18"/>
      <c r="W95" s="18"/>
      <c r="X95" s="18"/>
    </row>
    <row r="96" spans="1:24" ht="14.4">
      <c r="A96" s="8">
        <v>21302</v>
      </c>
      <c r="B96" s="8">
        <v>53</v>
      </c>
      <c r="C96" s="8">
        <v>18.666667133569717</v>
      </c>
      <c r="D96" s="8">
        <v>422</v>
      </c>
      <c r="E96" s="11">
        <f t="shared" si="0"/>
        <v>0.12559241706161137</v>
      </c>
      <c r="F96" s="11">
        <f t="shared" si="1"/>
        <v>0.35220126667112672</v>
      </c>
      <c r="G96" s="11">
        <f t="shared" si="2"/>
        <v>4.4233808373387952E-2</v>
      </c>
      <c r="H96" s="8">
        <v>21302</v>
      </c>
      <c r="I96" s="8">
        <v>55</v>
      </c>
      <c r="J96" s="8">
        <v>19.000000506639481</v>
      </c>
      <c r="K96" s="8">
        <v>281</v>
      </c>
      <c r="L96" s="11">
        <f t="shared" si="3"/>
        <v>0.19572953736654805</v>
      </c>
      <c r="M96" s="11">
        <f t="shared" si="4"/>
        <v>0.34545455466617236</v>
      </c>
      <c r="N96" s="11">
        <f t="shared" si="5"/>
        <v>6.7615660165976796E-2</v>
      </c>
      <c r="O96" s="18">
        <f t="shared" si="16"/>
        <v>1.5285968505179828</v>
      </c>
      <c r="U96" s="18"/>
      <c r="V96" s="18"/>
      <c r="W96" s="18"/>
      <c r="X96" s="18"/>
    </row>
    <row r="97" spans="1:24" ht="14.4">
      <c r="A97" s="8">
        <v>21303</v>
      </c>
      <c r="B97" s="8">
        <v>100</v>
      </c>
      <c r="C97" s="8">
        <v>35.555556446313858</v>
      </c>
      <c r="D97" s="8">
        <v>401</v>
      </c>
      <c r="E97" s="11">
        <f t="shared" si="0"/>
        <v>0.24937655860349128</v>
      </c>
      <c r="F97" s="11">
        <f t="shared" si="1"/>
        <v>0.35555556446313857</v>
      </c>
      <c r="G97" s="11">
        <f t="shared" si="2"/>
        <v>8.8667223058139302E-2</v>
      </c>
      <c r="H97" s="8">
        <v>21303</v>
      </c>
      <c r="I97" s="8">
        <v>50</v>
      </c>
      <c r="J97" s="8">
        <v>17.777778208255768</v>
      </c>
      <c r="K97" s="8">
        <v>258</v>
      </c>
      <c r="L97" s="11">
        <f t="shared" si="3"/>
        <v>0.19379844961240311</v>
      </c>
      <c r="M97" s="11">
        <f t="shared" si="4"/>
        <v>0.35555556416511536</v>
      </c>
      <c r="N97" s="11">
        <f t="shared" si="5"/>
        <v>6.8906117086262667E-2</v>
      </c>
      <c r="O97" s="18">
        <f t="shared" si="16"/>
        <v>0.77713178229435209</v>
      </c>
      <c r="U97" s="18"/>
      <c r="V97" s="18"/>
      <c r="W97" s="18"/>
      <c r="X97" s="18"/>
    </row>
    <row r="98" spans="1:24" ht="14.4">
      <c r="A98" s="8">
        <v>21304</v>
      </c>
      <c r="B98" s="8">
        <v>67</v>
      </c>
      <c r="C98" s="8">
        <v>24.222222834825516</v>
      </c>
      <c r="D98" s="8">
        <v>702</v>
      </c>
      <c r="E98" s="11">
        <f t="shared" si="0"/>
        <v>9.5441595441595445E-2</v>
      </c>
      <c r="F98" s="11">
        <f t="shared" si="1"/>
        <v>0.36152571395261962</v>
      </c>
      <c r="G98" s="11">
        <f t="shared" si="2"/>
        <v>3.4504590932799881E-2</v>
      </c>
      <c r="H98" s="8">
        <v>21304</v>
      </c>
      <c r="I98" s="8">
        <v>55</v>
      </c>
      <c r="J98" s="8">
        <v>20.000000506639481</v>
      </c>
      <c r="K98" s="8">
        <v>354</v>
      </c>
      <c r="L98" s="11">
        <f t="shared" si="3"/>
        <v>0.15536723163841809</v>
      </c>
      <c r="M98" s="11">
        <f t="shared" si="4"/>
        <v>0.36363637284799055</v>
      </c>
      <c r="N98" s="11">
        <f t="shared" si="5"/>
        <v>5.6497176572427914E-2</v>
      </c>
      <c r="O98" s="18">
        <f t="shared" si="16"/>
        <v>1.6373814337477626</v>
      </c>
      <c r="U98" s="18"/>
      <c r="V98" s="18"/>
      <c r="W98" s="18"/>
      <c r="X98" s="18"/>
    </row>
    <row r="99" spans="1:24" ht="14.4">
      <c r="A99" s="8">
        <v>21305</v>
      </c>
      <c r="B99" s="8">
        <v>116</v>
      </c>
      <c r="C99" s="8">
        <v>42.222223311662674</v>
      </c>
      <c r="D99" s="8">
        <v>1424</v>
      </c>
      <c r="E99" s="11">
        <f t="shared" si="0"/>
        <v>8.1460674157303375E-2</v>
      </c>
      <c r="F99" s="11">
        <f t="shared" si="1"/>
        <v>0.36398468372122994</v>
      </c>
      <c r="G99" s="11">
        <f t="shared" si="2"/>
        <v>2.9650437718864237E-2</v>
      </c>
      <c r="H99" s="8">
        <v>21305</v>
      </c>
      <c r="I99" s="8">
        <v>65</v>
      </c>
      <c r="J99" s="8">
        <v>24.444445013999939</v>
      </c>
      <c r="K99" s="8">
        <v>435</v>
      </c>
      <c r="L99" s="11">
        <f t="shared" si="3"/>
        <v>0.14942528735632185</v>
      </c>
      <c r="M99" s="11">
        <f t="shared" si="4"/>
        <v>0.37606838483076827</v>
      </c>
      <c r="N99" s="11">
        <f t="shared" si="5"/>
        <v>5.6194126468965377E-2</v>
      </c>
      <c r="O99" s="18">
        <f t="shared" si="16"/>
        <v>1.8952208059044431</v>
      </c>
      <c r="U99" s="18"/>
      <c r="V99" s="18"/>
      <c r="W99" s="18"/>
      <c r="X99" s="18"/>
    </row>
    <row r="100" spans="1:24" ht="14.4">
      <c r="A100" s="8">
        <v>21306</v>
      </c>
      <c r="B100" s="8">
        <v>26</v>
      </c>
      <c r="C100" s="8">
        <v>9.1111113429069519</v>
      </c>
      <c r="D100" s="8">
        <v>319</v>
      </c>
      <c r="E100" s="11">
        <f t="shared" si="0"/>
        <v>8.1504702194357362E-2</v>
      </c>
      <c r="F100" s="11">
        <f t="shared" si="1"/>
        <v>0.35042735934257507</v>
      </c>
      <c r="G100" s="11">
        <f t="shared" si="2"/>
        <v>2.8561477563971635E-2</v>
      </c>
      <c r="H100" s="8">
        <v>21306</v>
      </c>
      <c r="I100" s="8">
        <v>10</v>
      </c>
      <c r="J100" s="8">
        <v>3.5555556416511536</v>
      </c>
      <c r="K100" s="8">
        <v>118</v>
      </c>
      <c r="L100" s="11">
        <f t="shared" si="3"/>
        <v>8.4745762711864403E-2</v>
      </c>
      <c r="M100" s="11">
        <f t="shared" si="4"/>
        <v>0.35555556416511536</v>
      </c>
      <c r="N100" s="11">
        <f t="shared" si="5"/>
        <v>3.0131827471619944E-2</v>
      </c>
      <c r="O100" s="18">
        <f t="shared" si="16"/>
        <v>1.0549813959775387</v>
      </c>
      <c r="U100" s="18"/>
      <c r="V100" s="18"/>
      <c r="W100" s="18"/>
      <c r="X100" s="18"/>
    </row>
    <row r="101" spans="1:24" ht="14.4">
      <c r="A101" s="8">
        <v>21307</v>
      </c>
      <c r="B101" s="8">
        <v>6</v>
      </c>
      <c r="C101" s="8">
        <v>2.0000000596046448</v>
      </c>
      <c r="D101" s="8">
        <v>185</v>
      </c>
      <c r="E101" s="11">
        <f t="shared" si="0"/>
        <v>3.2432432432432434E-2</v>
      </c>
      <c r="F101" s="11">
        <f t="shared" si="1"/>
        <v>0.3333333432674408</v>
      </c>
      <c r="G101" s="11">
        <f t="shared" si="2"/>
        <v>1.0810811132998081E-2</v>
      </c>
      <c r="H101" s="8">
        <v>21307</v>
      </c>
      <c r="I101" s="8">
        <v>17</v>
      </c>
      <c r="J101" s="8">
        <v>6.0000001490116119</v>
      </c>
      <c r="K101" s="8">
        <v>185</v>
      </c>
      <c r="L101" s="11">
        <f t="shared" si="3"/>
        <v>9.1891891891891897E-2</v>
      </c>
      <c r="M101" s="11">
        <f t="shared" si="4"/>
        <v>0.35294118523597717</v>
      </c>
      <c r="N101" s="11">
        <f t="shared" si="5"/>
        <v>3.2432433237900606E-2</v>
      </c>
      <c r="O101" s="18">
        <f t="shared" si="16"/>
        <v>2.9999999850988388</v>
      </c>
      <c r="U101" s="18"/>
      <c r="V101" s="18"/>
      <c r="W101" s="18"/>
      <c r="X101" s="18"/>
    </row>
    <row r="102" spans="1:24" ht="14.4">
      <c r="A102" s="8">
        <v>21401</v>
      </c>
      <c r="B102" s="8">
        <v>294</v>
      </c>
      <c r="C102" s="8">
        <v>107.33333590626717</v>
      </c>
      <c r="D102" s="8">
        <v>2395</v>
      </c>
      <c r="E102" s="11">
        <f t="shared" si="0"/>
        <v>0.12275574112734865</v>
      </c>
      <c r="F102" s="11">
        <f t="shared" si="1"/>
        <v>0.36507937383084071</v>
      </c>
      <c r="G102" s="11">
        <f t="shared" si="2"/>
        <v>4.4815589104913227E-2</v>
      </c>
      <c r="H102" s="8">
        <v>21401</v>
      </c>
      <c r="I102" s="8">
        <v>36</v>
      </c>
      <c r="J102" s="8">
        <v>12.777778118848801</v>
      </c>
      <c r="K102" s="8">
        <v>428</v>
      </c>
      <c r="L102" s="11">
        <f t="shared" si="3"/>
        <v>8.4112149532710276E-2</v>
      </c>
      <c r="M102" s="11">
        <f t="shared" si="4"/>
        <v>0.35493828107913333</v>
      </c>
      <c r="N102" s="11">
        <f t="shared" si="5"/>
        <v>2.9854621773011212E-2</v>
      </c>
      <c r="O102" s="18">
        <f t="shared" si="16"/>
        <v>0.66616600092261613</v>
      </c>
      <c r="U102" s="18"/>
      <c r="V102" s="18"/>
      <c r="W102" s="18"/>
      <c r="X102" s="18"/>
    </row>
    <row r="103" spans="1:24" ht="14.4">
      <c r="A103" s="8">
        <v>21402</v>
      </c>
      <c r="B103" s="8">
        <v>54</v>
      </c>
      <c r="C103" s="8">
        <v>21.000000447034836</v>
      </c>
      <c r="D103" s="8">
        <v>1015</v>
      </c>
      <c r="E103" s="11">
        <f t="shared" si="0"/>
        <v>5.3201970443349754E-2</v>
      </c>
      <c r="F103" s="11">
        <f t="shared" si="1"/>
        <v>0.38888889716731179</v>
      </c>
      <c r="G103" s="11">
        <f t="shared" si="2"/>
        <v>2.0689655612842202E-2</v>
      </c>
      <c r="H103" s="8">
        <v>21402</v>
      </c>
      <c r="I103" s="8">
        <v>9</v>
      </c>
      <c r="J103" s="8">
        <v>3.11111119389534</v>
      </c>
      <c r="K103" s="8">
        <v>167</v>
      </c>
      <c r="L103" s="11">
        <f t="shared" si="3"/>
        <v>5.3892215568862277E-2</v>
      </c>
      <c r="M103" s="11">
        <f t="shared" si="4"/>
        <v>0.34567902154392666</v>
      </c>
      <c r="N103" s="11">
        <f t="shared" si="5"/>
        <v>1.8629408346678682E-2</v>
      </c>
      <c r="O103" s="18">
        <f t="shared" si="16"/>
        <v>0.90042138425519702</v>
      </c>
      <c r="U103" s="18"/>
      <c r="V103" s="18"/>
      <c r="W103" s="18"/>
      <c r="X103" s="18"/>
    </row>
    <row r="104" spans="1:24" ht="14.4">
      <c r="A104" s="8">
        <v>21501</v>
      </c>
      <c r="B104" s="8">
        <v>290</v>
      </c>
      <c r="C104" s="8">
        <v>109.88889154791832</v>
      </c>
      <c r="D104" s="8">
        <v>1126</v>
      </c>
      <c r="E104" s="11">
        <f t="shared" si="0"/>
        <v>0.25754884547069273</v>
      </c>
      <c r="F104" s="11">
        <f t="shared" si="1"/>
        <v>0.37892721223420112</v>
      </c>
      <c r="G104" s="11">
        <f t="shared" si="2"/>
        <v>9.7592266028346655E-2</v>
      </c>
      <c r="H104" s="8">
        <v>21501</v>
      </c>
      <c r="I104" s="8">
        <v>54</v>
      </c>
      <c r="J104" s="8">
        <v>20.555555999279022</v>
      </c>
      <c r="K104" s="8">
        <v>216</v>
      </c>
      <c r="L104" s="11">
        <f t="shared" si="3"/>
        <v>0.25</v>
      </c>
      <c r="M104" s="11">
        <f t="shared" si="4"/>
        <v>0.38065844443109298</v>
      </c>
      <c r="N104" s="11">
        <f t="shared" si="5"/>
        <v>9.5164611107773245E-2</v>
      </c>
      <c r="O104" s="18">
        <f t="shared" si="16"/>
        <v>0.97512451529849431</v>
      </c>
      <c r="U104" s="18"/>
      <c r="V104" s="18"/>
      <c r="W104" s="18"/>
      <c r="X104" s="18"/>
    </row>
    <row r="105" spans="1:24" ht="14.4">
      <c r="A105" s="8">
        <v>21502</v>
      </c>
      <c r="B105" s="8">
        <v>102</v>
      </c>
      <c r="C105" s="8">
        <v>53.000000894069672</v>
      </c>
      <c r="D105" s="8">
        <v>963</v>
      </c>
      <c r="E105" s="11">
        <f t="shared" si="0"/>
        <v>0.1059190031152648</v>
      </c>
      <c r="F105" s="11">
        <f t="shared" si="1"/>
        <v>0.5196078519026438</v>
      </c>
      <c r="G105" s="11">
        <f t="shared" si="2"/>
        <v>5.5036345684392175E-2</v>
      </c>
      <c r="H105" s="8">
        <v>21502</v>
      </c>
      <c r="I105" s="8">
        <v>6</v>
      </c>
      <c r="J105" s="8">
        <v>2.2222222685813904</v>
      </c>
      <c r="K105" s="8">
        <v>78</v>
      </c>
      <c r="L105" s="11">
        <f t="shared" si="3"/>
        <v>7.6923076923076927E-2</v>
      </c>
      <c r="M105" s="11">
        <f t="shared" si="4"/>
        <v>0.37037037809689838</v>
      </c>
      <c r="N105" s="11">
        <f t="shared" si="5"/>
        <v>2.8490029084376801E-2</v>
      </c>
      <c r="O105" s="18">
        <f t="shared" si="16"/>
        <v>0.51765844425343677</v>
      </c>
      <c r="U105" s="18"/>
      <c r="V105" s="18"/>
      <c r="W105" s="18"/>
      <c r="X105" s="18"/>
    </row>
    <row r="106" spans="1:24" ht="14.4">
      <c r="A106" s="8">
        <v>21601</v>
      </c>
      <c r="B106" s="8">
        <v>168</v>
      </c>
      <c r="C106" s="8">
        <v>63.55555722117424</v>
      </c>
      <c r="D106" s="8">
        <v>683</v>
      </c>
      <c r="E106" s="11">
        <f t="shared" si="0"/>
        <v>0.24597364568081992</v>
      </c>
      <c r="F106" s="11">
        <f t="shared" si="1"/>
        <v>0.37830688822127523</v>
      </c>
      <c r="G106" s="11">
        <f t="shared" si="2"/>
        <v>9.3053524481953503E-2</v>
      </c>
      <c r="H106" s="8">
        <v>21601</v>
      </c>
      <c r="I106" s="8">
        <v>43</v>
      </c>
      <c r="J106" s="8">
        <v>16.222222596406937</v>
      </c>
      <c r="K106" s="8">
        <v>250</v>
      </c>
      <c r="L106" s="11">
        <f t="shared" si="3"/>
        <v>0.17199999999999999</v>
      </c>
      <c r="M106" s="11">
        <f t="shared" si="4"/>
        <v>0.37726099061411483</v>
      </c>
      <c r="N106" s="11">
        <f t="shared" si="5"/>
        <v>6.4888890385627743E-2</v>
      </c>
      <c r="O106" s="18">
        <f t="shared" si="16"/>
        <v>0.69732866913828806</v>
      </c>
      <c r="U106" s="18"/>
      <c r="V106" s="18"/>
      <c r="W106" s="18"/>
      <c r="X106" s="18"/>
    </row>
    <row r="107" spans="1:24" ht="14.4">
      <c r="A107" s="8">
        <v>21602</v>
      </c>
      <c r="B107" s="8">
        <v>95</v>
      </c>
      <c r="C107" s="8">
        <v>39.666667699813843</v>
      </c>
      <c r="D107" s="8">
        <v>397</v>
      </c>
      <c r="E107" s="11">
        <f t="shared" si="0"/>
        <v>0.23929471032745592</v>
      </c>
      <c r="F107" s="11">
        <f t="shared" si="1"/>
        <v>0.41754387052435626</v>
      </c>
      <c r="G107" s="11">
        <f t="shared" si="2"/>
        <v>9.9916039546130597E-2</v>
      </c>
      <c r="H107" s="8">
        <v>21602</v>
      </c>
      <c r="I107" s="8">
        <v>24</v>
      </c>
      <c r="J107" s="8">
        <v>9.6666668951511383</v>
      </c>
      <c r="K107" s="8">
        <v>108</v>
      </c>
      <c r="L107" s="11">
        <f t="shared" si="3"/>
        <v>0.22222222222222221</v>
      </c>
      <c r="M107" s="11">
        <f t="shared" si="4"/>
        <v>0.4027777872979641</v>
      </c>
      <c r="N107" s="11">
        <f t="shared" si="5"/>
        <v>8.9506174955103129E-2</v>
      </c>
      <c r="O107" s="18">
        <f t="shared" si="16"/>
        <v>0.8958138789496225</v>
      </c>
      <c r="U107" s="18"/>
      <c r="V107" s="18"/>
      <c r="W107" s="18"/>
      <c r="X107" s="18"/>
    </row>
    <row r="108" spans="1:24" ht="14.4">
      <c r="A108" s="8">
        <v>21701</v>
      </c>
      <c r="B108" s="8">
        <v>112</v>
      </c>
      <c r="C108" s="8">
        <v>41.111112266778946</v>
      </c>
      <c r="D108" s="8">
        <v>863</v>
      </c>
      <c r="E108" s="11">
        <f t="shared" si="0"/>
        <v>0.12977983777520277</v>
      </c>
      <c r="F108" s="11">
        <f t="shared" si="1"/>
        <v>0.3670635023819549</v>
      </c>
      <c r="G108" s="11">
        <f t="shared" si="2"/>
        <v>4.7637441792327866E-2</v>
      </c>
      <c r="H108" s="8">
        <v>21701</v>
      </c>
      <c r="I108" s="8">
        <v>85</v>
      </c>
      <c r="J108" s="8">
        <v>31.777778685092926</v>
      </c>
      <c r="K108" s="8">
        <v>501</v>
      </c>
      <c r="L108" s="11">
        <f t="shared" si="3"/>
        <v>0.16966067864271456</v>
      </c>
      <c r="M108" s="11">
        <f t="shared" si="4"/>
        <v>0.37385621982462264</v>
      </c>
      <c r="N108" s="11">
        <f t="shared" si="5"/>
        <v>6.3428699970245347E-2</v>
      </c>
      <c r="O108" s="18">
        <f t="shared" si="16"/>
        <v>1.3314883751893811</v>
      </c>
      <c r="U108" s="18"/>
      <c r="V108" s="18"/>
      <c r="W108" s="18"/>
      <c r="X108" s="18"/>
    </row>
    <row r="109" spans="1:24" ht="14.4">
      <c r="A109" s="8">
        <v>21702</v>
      </c>
      <c r="B109" s="8">
        <v>64</v>
      </c>
      <c r="C109" s="8">
        <v>23.111111700534821</v>
      </c>
      <c r="D109" s="8">
        <v>712</v>
      </c>
      <c r="E109" s="11">
        <f t="shared" si="0"/>
        <v>8.98876404494382E-2</v>
      </c>
      <c r="F109" s="11">
        <f t="shared" si="1"/>
        <v>0.36111112032085657</v>
      </c>
      <c r="G109" s="11">
        <f t="shared" si="2"/>
        <v>3.2459426545694975E-2</v>
      </c>
      <c r="H109" s="8">
        <v>21702</v>
      </c>
      <c r="I109" s="8">
        <v>62</v>
      </c>
      <c r="J109" s="8">
        <v>21.88888943195343</v>
      </c>
      <c r="K109" s="8">
        <v>375</v>
      </c>
      <c r="L109" s="11">
        <f t="shared" si="3"/>
        <v>0.16533333333333333</v>
      </c>
      <c r="M109" s="11">
        <f t="shared" si="4"/>
        <v>0.35304660374118435</v>
      </c>
      <c r="N109" s="11">
        <f t="shared" si="5"/>
        <v>5.8370371818542481E-2</v>
      </c>
      <c r="O109" s="18">
        <f t="shared" si="16"/>
        <v>1.7982564090086803</v>
      </c>
      <c r="U109" s="18"/>
      <c r="V109" s="18"/>
      <c r="W109" s="18"/>
      <c r="X109" s="18"/>
    </row>
    <row r="110" spans="1:24" ht="14.4">
      <c r="A110" s="8">
        <v>21703</v>
      </c>
      <c r="B110" s="8">
        <v>37</v>
      </c>
      <c r="C110" s="8">
        <v>13.44444477558136</v>
      </c>
      <c r="D110" s="8">
        <v>163</v>
      </c>
      <c r="E110" s="11">
        <f t="shared" si="0"/>
        <v>0.22699386503067484</v>
      </c>
      <c r="F110" s="11">
        <f t="shared" si="1"/>
        <v>0.36336337231300975</v>
      </c>
      <c r="G110" s="11">
        <f t="shared" si="2"/>
        <v>8.2481256291910179E-2</v>
      </c>
      <c r="H110" s="8">
        <v>21703</v>
      </c>
      <c r="I110" s="8">
        <v>15</v>
      </c>
      <c r="J110" s="8">
        <v>5.8888890445232391</v>
      </c>
      <c r="K110" s="8">
        <v>56</v>
      </c>
      <c r="L110" s="11">
        <f t="shared" si="3"/>
        <v>0.26785714285714285</v>
      </c>
      <c r="M110" s="11">
        <f t="shared" si="4"/>
        <v>0.39259260296821596</v>
      </c>
      <c r="N110" s="11">
        <f t="shared" si="5"/>
        <v>0.10515873293791499</v>
      </c>
      <c r="O110" s="18">
        <f t="shared" si="16"/>
        <v>1.2749409704157117</v>
      </c>
      <c r="U110" s="18"/>
      <c r="V110" s="18"/>
      <c r="W110" s="18"/>
      <c r="X110" s="18"/>
    </row>
    <row r="111" spans="1:24" ht="14.4">
      <c r="A111" s="8">
        <v>21801</v>
      </c>
      <c r="B111" s="8">
        <v>32</v>
      </c>
      <c r="C111" s="8">
        <v>11.666666924953461</v>
      </c>
      <c r="D111" s="8">
        <v>251</v>
      </c>
      <c r="E111" s="11">
        <f t="shared" si="0"/>
        <v>0.12749003984063745</v>
      </c>
      <c r="F111" s="11">
        <f t="shared" si="1"/>
        <v>0.36458334140479565</v>
      </c>
      <c r="G111" s="11">
        <f t="shared" si="2"/>
        <v>4.6480744720930119E-2</v>
      </c>
      <c r="H111" s="8">
        <v>21801</v>
      </c>
      <c r="I111" s="8">
        <v>121</v>
      </c>
      <c r="J111" s="8">
        <v>44.333334416151047</v>
      </c>
      <c r="K111" s="8">
        <v>556</v>
      </c>
      <c r="L111" s="11">
        <f t="shared" si="3"/>
        <v>0.21762589928057555</v>
      </c>
      <c r="M111" s="11">
        <f t="shared" si="4"/>
        <v>0.36639119352190946</v>
      </c>
      <c r="N111" s="11">
        <f t="shared" si="5"/>
        <v>7.9736212978688936E-2</v>
      </c>
      <c r="O111" s="18">
        <f t="shared" si="16"/>
        <v>1.7154676298201392</v>
      </c>
      <c r="U111" s="18"/>
      <c r="V111" s="18"/>
      <c r="W111" s="18"/>
      <c r="X111" s="18"/>
    </row>
    <row r="112" spans="1:24" ht="14.4">
      <c r="A112" s="8">
        <v>21802</v>
      </c>
      <c r="B112" s="8">
        <v>58</v>
      </c>
      <c r="C112" s="8">
        <v>20.444444984197617</v>
      </c>
      <c r="D112" s="8">
        <v>222</v>
      </c>
      <c r="E112" s="11">
        <f t="shared" si="0"/>
        <v>0.26126126126126126</v>
      </c>
      <c r="F112" s="11">
        <f t="shared" si="1"/>
        <v>0.35249043076202785</v>
      </c>
      <c r="G112" s="11">
        <f t="shared" si="2"/>
        <v>9.2092094523412674E-2</v>
      </c>
      <c r="H112" s="8">
        <v>21802</v>
      </c>
      <c r="I112" s="8">
        <v>31</v>
      </c>
      <c r="J112" s="8">
        <v>11.33333358168602</v>
      </c>
      <c r="K112" s="8">
        <v>120</v>
      </c>
      <c r="L112" s="11">
        <f t="shared" si="3"/>
        <v>0.25833333333333336</v>
      </c>
      <c r="M112" s="11">
        <f t="shared" si="4"/>
        <v>0.36559140586083932</v>
      </c>
      <c r="N112" s="11">
        <f t="shared" si="5"/>
        <v>9.4444446514050165E-2</v>
      </c>
      <c r="O112" s="18">
        <f t="shared" si="16"/>
        <v>1.0255434736587454</v>
      </c>
      <c r="U112" s="18"/>
      <c r="V112" s="18"/>
      <c r="W112" s="18"/>
      <c r="X112" s="18"/>
    </row>
    <row r="113" spans="1:24" ht="14.4">
      <c r="A113" s="8">
        <v>21803</v>
      </c>
      <c r="B113" s="8">
        <v>25</v>
      </c>
      <c r="C113" s="8">
        <v>8.6666668951511383</v>
      </c>
      <c r="D113" s="8">
        <v>93</v>
      </c>
      <c r="E113" s="11">
        <f t="shared" si="0"/>
        <v>0.26881720430107525</v>
      </c>
      <c r="F113" s="11">
        <f t="shared" si="1"/>
        <v>0.34666667580604554</v>
      </c>
      <c r="G113" s="11">
        <f t="shared" si="2"/>
        <v>9.3189966614528372E-2</v>
      </c>
      <c r="H113" s="8">
        <v>21803</v>
      </c>
      <c r="I113" s="8">
        <v>10</v>
      </c>
      <c r="J113" s="8">
        <v>3.4444445371627808</v>
      </c>
      <c r="K113" s="8">
        <v>60</v>
      </c>
      <c r="L113" s="11">
        <f t="shared" si="3"/>
        <v>0.16666666666666666</v>
      </c>
      <c r="M113" s="11">
        <f t="shared" si="4"/>
        <v>0.34444445371627808</v>
      </c>
      <c r="N113" s="11">
        <f t="shared" si="5"/>
        <v>5.7407408952713013E-2</v>
      </c>
      <c r="O113" s="18">
        <f t="shared" si="16"/>
        <v>0.61602564136730964</v>
      </c>
      <c r="U113" s="18"/>
      <c r="V113" s="18"/>
      <c r="W113" s="18"/>
      <c r="X113" s="18"/>
    </row>
    <row r="114" spans="1:24" ht="14.4">
      <c r="A114" s="8">
        <v>21901</v>
      </c>
      <c r="B114" s="8">
        <v>22</v>
      </c>
      <c r="C114" s="8">
        <v>7.3333335518836975</v>
      </c>
      <c r="D114" s="8">
        <v>309</v>
      </c>
      <c r="E114" s="11">
        <f t="shared" si="0"/>
        <v>7.1197411003236247E-2</v>
      </c>
      <c r="F114" s="11">
        <f t="shared" si="1"/>
        <v>0.3333333432674408</v>
      </c>
      <c r="G114" s="11">
        <f t="shared" si="2"/>
        <v>2.3732471041694816E-2</v>
      </c>
      <c r="H114" s="8">
        <v>21901</v>
      </c>
      <c r="I114" s="8">
        <v>20</v>
      </c>
      <c r="J114" s="8">
        <v>6.7777779698371887</v>
      </c>
      <c r="K114" s="8">
        <v>120</v>
      </c>
      <c r="L114" s="11">
        <f t="shared" si="3"/>
        <v>0.16666666666666666</v>
      </c>
      <c r="M114" s="11">
        <f t="shared" si="4"/>
        <v>0.33888889849185944</v>
      </c>
      <c r="N114" s="11">
        <f t="shared" si="5"/>
        <v>5.648148308197657E-2</v>
      </c>
      <c r="O114" s="18">
        <f t="shared" si="16"/>
        <v>2.3799242389360158</v>
      </c>
      <c r="U114" s="18"/>
      <c r="V114" s="18"/>
      <c r="W114" s="18"/>
      <c r="X114" s="18"/>
    </row>
    <row r="115" spans="1:24" ht="14.4">
      <c r="A115" s="8">
        <v>21902</v>
      </c>
      <c r="B115" s="8">
        <v>49</v>
      </c>
      <c r="C115" s="8">
        <v>16.666667133569717</v>
      </c>
      <c r="D115" s="8">
        <v>265</v>
      </c>
      <c r="E115" s="11">
        <f t="shared" si="0"/>
        <v>0.18490566037735848</v>
      </c>
      <c r="F115" s="11">
        <f t="shared" si="1"/>
        <v>0.34013606395040241</v>
      </c>
      <c r="G115" s="11">
        <f t="shared" si="2"/>
        <v>6.2893083522904597E-2</v>
      </c>
      <c r="H115" s="8">
        <v>21902</v>
      </c>
      <c r="I115" s="8">
        <v>12</v>
      </c>
      <c r="J115" s="8">
        <v>4.2222223281860352</v>
      </c>
      <c r="K115" s="8">
        <v>111</v>
      </c>
      <c r="L115" s="11">
        <f t="shared" si="3"/>
        <v>0.10810810810810811</v>
      </c>
      <c r="M115" s="11">
        <f t="shared" si="4"/>
        <v>0.35185186068216961</v>
      </c>
      <c r="N115" s="11">
        <f t="shared" si="5"/>
        <v>3.8038038992666987E-2</v>
      </c>
      <c r="O115" s="18">
        <f t="shared" si="16"/>
        <v>0.6048048030402926</v>
      </c>
      <c r="U115" s="18"/>
      <c r="V115" s="18"/>
      <c r="W115" s="18"/>
      <c r="X115" s="18"/>
    </row>
    <row r="116" spans="1:24" ht="14.4">
      <c r="A116" s="8">
        <v>22001</v>
      </c>
      <c r="B116" s="8">
        <v>495</v>
      </c>
      <c r="C116" s="8">
        <v>178.77778235077858</v>
      </c>
      <c r="D116" s="8">
        <v>4184</v>
      </c>
      <c r="E116" s="11">
        <f t="shared" si="0"/>
        <v>0.11830783938814532</v>
      </c>
      <c r="F116" s="11">
        <f t="shared" si="1"/>
        <v>0.36116723707227993</v>
      </c>
      <c r="G116" s="11">
        <f t="shared" si="2"/>
        <v>4.2728915475807497E-2</v>
      </c>
      <c r="H116" s="8">
        <v>22001</v>
      </c>
      <c r="I116" s="8">
        <v>169</v>
      </c>
      <c r="J116" s="8">
        <v>63.666668176651001</v>
      </c>
      <c r="K116" s="8">
        <v>810</v>
      </c>
      <c r="L116" s="11">
        <f t="shared" si="3"/>
        <v>0.20864197530864198</v>
      </c>
      <c r="M116" s="11">
        <f t="shared" si="4"/>
        <v>0.37672584719911834</v>
      </c>
      <c r="N116" s="11">
        <f t="shared" si="5"/>
        <v>7.8600824909445685E-2</v>
      </c>
      <c r="O116" s="18">
        <f t="shared" si="16"/>
        <v>1.8395230497705553</v>
      </c>
      <c r="U116" s="18"/>
      <c r="V116" s="18"/>
      <c r="W116" s="18"/>
      <c r="X116" s="18"/>
    </row>
    <row r="117" spans="1:24" ht="14.4">
      <c r="A117" s="8">
        <v>22002</v>
      </c>
      <c r="B117" s="8">
        <v>208</v>
      </c>
      <c r="C117" s="8">
        <v>81.555557996034622</v>
      </c>
      <c r="D117" s="8">
        <v>802</v>
      </c>
      <c r="E117" s="11">
        <f t="shared" si="0"/>
        <v>0.25935162094763092</v>
      </c>
      <c r="F117" s="11">
        <f t="shared" si="1"/>
        <v>0.39209402882708955</v>
      </c>
      <c r="G117" s="11">
        <f t="shared" si="2"/>
        <v>0.1016902219401928</v>
      </c>
      <c r="H117" s="8">
        <v>22002</v>
      </c>
      <c r="I117" s="8">
        <v>33</v>
      </c>
      <c r="J117" s="8">
        <v>11.888889193534851</v>
      </c>
      <c r="K117" s="8">
        <v>99</v>
      </c>
      <c r="L117" s="11">
        <f t="shared" si="3"/>
        <v>0.33333333333333331</v>
      </c>
      <c r="M117" s="11">
        <f t="shared" si="4"/>
        <v>0.36026936950105609</v>
      </c>
      <c r="N117" s="11">
        <f t="shared" si="5"/>
        <v>0.12008978983368536</v>
      </c>
      <c r="O117" s="18">
        <f t="shared" si="16"/>
        <v>1.180937434715345</v>
      </c>
      <c r="U117" s="18"/>
      <c r="V117" s="18"/>
      <c r="W117" s="18"/>
      <c r="X117" s="18"/>
    </row>
    <row r="118" spans="1:24" ht="14.4">
      <c r="A118" s="8">
        <v>30101</v>
      </c>
      <c r="B118" s="8">
        <v>2346</v>
      </c>
      <c r="C118" s="8">
        <v>850.33335533738136</v>
      </c>
      <c r="D118" s="8">
        <v>29359</v>
      </c>
      <c r="E118" s="11">
        <f t="shared" si="0"/>
        <v>7.9907353792704111E-2</v>
      </c>
      <c r="F118" s="11">
        <f t="shared" si="1"/>
        <v>0.36246093577893496</v>
      </c>
      <c r="G118" s="11">
        <f t="shared" si="2"/>
        <v>2.8963294231321959E-2</v>
      </c>
      <c r="H118" s="8">
        <v>30101</v>
      </c>
      <c r="I118" s="8">
        <v>269</v>
      </c>
      <c r="J118" s="8">
        <v>97.111113578081131</v>
      </c>
      <c r="K118" s="8">
        <v>2437</v>
      </c>
      <c r="L118" s="11">
        <f t="shared" si="3"/>
        <v>0.11038161674189577</v>
      </c>
      <c r="M118" s="11">
        <f t="shared" si="4"/>
        <v>0.36100785716758782</v>
      </c>
      <c r="N118" s="11">
        <f t="shared" si="5"/>
        <v>3.9848630930685726E-2</v>
      </c>
      <c r="O118" s="18">
        <f t="shared" si="16"/>
        <v>1.3758321347159457</v>
      </c>
      <c r="U118" s="18"/>
      <c r="V118" s="18"/>
      <c r="W118" s="18"/>
      <c r="X118" s="18"/>
    </row>
    <row r="119" spans="1:24" ht="14.4">
      <c r="A119" s="8">
        <v>30201</v>
      </c>
      <c r="B119" s="8">
        <v>103</v>
      </c>
      <c r="C119" s="8">
        <v>41.222223281860352</v>
      </c>
      <c r="D119" s="8">
        <v>972</v>
      </c>
      <c r="E119" s="11">
        <f t="shared" si="0"/>
        <v>0.10596707818930041</v>
      </c>
      <c r="F119" s="11">
        <f t="shared" si="1"/>
        <v>0.40021576001806164</v>
      </c>
      <c r="G119" s="11">
        <f t="shared" si="2"/>
        <v>4.2409694734424228E-2</v>
      </c>
      <c r="H119" s="8">
        <v>30201</v>
      </c>
      <c r="I119" s="8">
        <v>30</v>
      </c>
      <c r="J119" s="8">
        <v>11.111111432313919</v>
      </c>
      <c r="K119" s="8">
        <v>180</v>
      </c>
      <c r="L119" s="11">
        <f t="shared" si="3"/>
        <v>0.16666666666666666</v>
      </c>
      <c r="M119" s="11">
        <f t="shared" si="4"/>
        <v>0.37037038107713066</v>
      </c>
      <c r="N119" s="11">
        <f t="shared" si="5"/>
        <v>6.1728396846188444E-2</v>
      </c>
      <c r="O119" s="18">
        <f t="shared" si="16"/>
        <v>1.4555256111306809</v>
      </c>
      <c r="U119" s="18"/>
      <c r="V119" s="18"/>
      <c r="W119" s="18"/>
      <c r="X119" s="18"/>
    </row>
    <row r="120" spans="1:24" ht="14.4">
      <c r="A120" s="8">
        <v>30202</v>
      </c>
      <c r="B120" s="8">
        <v>35</v>
      </c>
      <c r="C120" s="8">
        <v>13.444444894790649</v>
      </c>
      <c r="D120" s="8">
        <v>376</v>
      </c>
      <c r="E120" s="11">
        <f t="shared" si="0"/>
        <v>9.3085106382978719E-2</v>
      </c>
      <c r="F120" s="11">
        <f t="shared" si="1"/>
        <v>0.38412699699401853</v>
      </c>
      <c r="G120" s="11">
        <f t="shared" si="2"/>
        <v>3.5756502379762363E-2</v>
      </c>
      <c r="H120" s="8">
        <v>30202</v>
      </c>
      <c r="I120" s="8">
        <v>11</v>
      </c>
      <c r="J120" s="8">
        <v>3.8888889849185944</v>
      </c>
      <c r="K120" s="8">
        <v>123</v>
      </c>
      <c r="L120" s="11">
        <f t="shared" si="3"/>
        <v>8.943089430894309E-2</v>
      </c>
      <c r="M120" s="11">
        <f t="shared" si="4"/>
        <v>0.35353536226532678</v>
      </c>
      <c r="N120" s="11">
        <f t="shared" si="5"/>
        <v>3.1616983617224349E-2</v>
      </c>
      <c r="O120" s="18">
        <f t="shared" si="16"/>
        <v>0.88423032212230812</v>
      </c>
      <c r="U120" s="18"/>
      <c r="V120" s="18"/>
      <c r="W120" s="18"/>
      <c r="X120" s="18"/>
    </row>
    <row r="121" spans="1:24" ht="14.4">
      <c r="A121" s="8">
        <v>30203</v>
      </c>
      <c r="B121" s="8">
        <v>23</v>
      </c>
      <c r="C121" s="8">
        <v>9.0000001490116119</v>
      </c>
      <c r="D121" s="8">
        <v>415</v>
      </c>
      <c r="E121" s="11">
        <f t="shared" si="0"/>
        <v>5.5421686746987948E-2</v>
      </c>
      <c r="F121" s="11">
        <f t="shared" si="1"/>
        <v>0.39130435430485272</v>
      </c>
      <c r="G121" s="11">
        <f t="shared" si="2"/>
        <v>2.1686747347015933E-2</v>
      </c>
      <c r="H121" s="8">
        <v>30203</v>
      </c>
      <c r="I121" s="8">
        <v>3</v>
      </c>
      <c r="J121" s="8">
        <v>1.0000000298023224</v>
      </c>
      <c r="K121" s="8">
        <v>81</v>
      </c>
      <c r="L121" s="11">
        <f t="shared" si="3"/>
        <v>3.7037037037037035E-2</v>
      </c>
      <c r="M121" s="11">
        <f t="shared" si="4"/>
        <v>0.3333333432674408</v>
      </c>
      <c r="N121" s="11">
        <f t="shared" si="5"/>
        <v>1.2345679380275584E-2</v>
      </c>
      <c r="O121" s="18">
        <f t="shared" si="16"/>
        <v>0.56927298422067574</v>
      </c>
      <c r="U121" s="18"/>
      <c r="V121" s="18"/>
      <c r="W121" s="18"/>
      <c r="X121" s="18"/>
    </row>
    <row r="122" spans="1:24" ht="14.4">
      <c r="A122" s="8">
        <v>30301</v>
      </c>
      <c r="B122" s="8">
        <v>218</v>
      </c>
      <c r="C122" s="8">
        <v>81.333335429430008</v>
      </c>
      <c r="D122" s="8">
        <v>1068</v>
      </c>
      <c r="E122" s="11">
        <f t="shared" si="0"/>
        <v>0.20411985018726592</v>
      </c>
      <c r="F122" s="11">
        <f t="shared" si="1"/>
        <v>0.37308869463041289</v>
      </c>
      <c r="G122" s="11">
        <f t="shared" si="2"/>
        <v>7.615480845452248E-2</v>
      </c>
      <c r="H122" s="8">
        <v>30301</v>
      </c>
      <c r="I122" s="8">
        <v>77</v>
      </c>
      <c r="J122" s="8">
        <v>28.22222301363945</v>
      </c>
      <c r="K122" s="8">
        <v>316</v>
      </c>
      <c r="L122" s="11">
        <f t="shared" si="3"/>
        <v>0.24367088607594936</v>
      </c>
      <c r="M122" s="11">
        <f t="shared" si="4"/>
        <v>0.36652237680051236</v>
      </c>
      <c r="N122" s="11">
        <f t="shared" si="5"/>
        <v>8.9310832321643829E-2</v>
      </c>
      <c r="O122" s="18">
        <f t="shared" si="16"/>
        <v>1.1727536859997194</v>
      </c>
      <c r="U122" s="18"/>
      <c r="V122" s="18"/>
      <c r="W122" s="18"/>
      <c r="X122" s="18"/>
    </row>
    <row r="123" spans="1:24" ht="14.4">
      <c r="A123" s="8">
        <v>30302</v>
      </c>
      <c r="B123" s="8">
        <v>102</v>
      </c>
      <c r="C123" s="8">
        <v>39.888889819383621</v>
      </c>
      <c r="D123" s="8">
        <v>445</v>
      </c>
      <c r="E123" s="11">
        <f t="shared" si="0"/>
        <v>0.2292134831460674</v>
      </c>
      <c r="F123" s="11">
        <f t="shared" si="1"/>
        <v>0.391067547248859</v>
      </c>
      <c r="G123" s="11">
        <f t="shared" si="2"/>
        <v>8.9637954650300264E-2</v>
      </c>
      <c r="H123" s="8">
        <v>30302</v>
      </c>
      <c r="I123" s="8">
        <v>110</v>
      </c>
      <c r="J123" s="8">
        <v>41.44444528222084</v>
      </c>
      <c r="K123" s="8">
        <v>302</v>
      </c>
      <c r="L123" s="11">
        <f t="shared" si="3"/>
        <v>0.36423841059602646</v>
      </c>
      <c r="M123" s="11">
        <f t="shared" si="4"/>
        <v>0.3767676843838258</v>
      </c>
      <c r="N123" s="11">
        <f t="shared" si="5"/>
        <v>0.13723326252391005</v>
      </c>
      <c r="O123" s="18">
        <f t="shared" si="16"/>
        <v>1.5309727119420653</v>
      </c>
      <c r="U123" s="18"/>
      <c r="V123" s="18"/>
      <c r="W123" s="18"/>
      <c r="X123" s="18"/>
    </row>
    <row r="124" spans="1:24" ht="14.4">
      <c r="A124" s="8">
        <v>30303</v>
      </c>
      <c r="B124" s="8">
        <v>394</v>
      </c>
      <c r="C124" s="8">
        <v>155.44444781541824</v>
      </c>
      <c r="D124" s="8">
        <v>1066</v>
      </c>
      <c r="E124" s="11">
        <f t="shared" si="0"/>
        <v>0.3696060037523452</v>
      </c>
      <c r="F124" s="11">
        <f t="shared" si="1"/>
        <v>0.39452905536908184</v>
      </c>
      <c r="G124" s="11">
        <f t="shared" si="2"/>
        <v>0.14582030751915406</v>
      </c>
      <c r="H124" s="8">
        <v>30303</v>
      </c>
      <c r="I124" s="8">
        <v>170</v>
      </c>
      <c r="J124" s="8">
        <v>62.55555722117424</v>
      </c>
      <c r="K124" s="8">
        <v>498</v>
      </c>
      <c r="L124" s="11">
        <f t="shared" si="3"/>
        <v>0.34136546184738958</v>
      </c>
      <c r="M124" s="11">
        <f t="shared" si="4"/>
        <v>0.36797386600690729</v>
      </c>
      <c r="N124" s="11">
        <f t="shared" si="5"/>
        <v>0.12561356871721735</v>
      </c>
      <c r="O124" s="18">
        <f t="shared" si="16"/>
        <v>0.86142712804742594</v>
      </c>
      <c r="U124" s="18"/>
      <c r="V124" s="18"/>
      <c r="W124" s="18"/>
      <c r="X124" s="18"/>
    </row>
    <row r="125" spans="1:24" ht="14.4">
      <c r="A125" s="8">
        <v>30401</v>
      </c>
      <c r="B125" s="8">
        <v>304</v>
      </c>
      <c r="C125" s="8">
        <v>120.00000289082527</v>
      </c>
      <c r="D125" s="8">
        <v>819</v>
      </c>
      <c r="E125" s="11">
        <f t="shared" si="0"/>
        <v>0.3711843711843712</v>
      </c>
      <c r="F125" s="11">
        <f t="shared" si="1"/>
        <v>0.39473685161455679</v>
      </c>
      <c r="G125" s="11">
        <f t="shared" si="2"/>
        <v>0.1465201500498477</v>
      </c>
      <c r="H125" s="8">
        <v>30401</v>
      </c>
      <c r="I125" s="8">
        <v>7</v>
      </c>
      <c r="J125" s="8">
        <v>2.7777778506278992</v>
      </c>
      <c r="K125" s="8">
        <v>103</v>
      </c>
      <c r="L125" s="11">
        <f t="shared" si="3"/>
        <v>6.7961165048543687E-2</v>
      </c>
      <c r="M125" s="11">
        <f t="shared" si="4"/>
        <v>0.39682540723255705</v>
      </c>
      <c r="N125" s="11">
        <f t="shared" si="5"/>
        <v>2.6968716996387372E-2</v>
      </c>
      <c r="O125" s="18">
        <f t="shared" si="16"/>
        <v>0.18406148906626379</v>
      </c>
      <c r="U125" s="18"/>
      <c r="V125" s="18"/>
      <c r="W125" s="18"/>
      <c r="X125" s="18"/>
    </row>
    <row r="126" spans="1:24" ht="14.4">
      <c r="A126" s="8">
        <v>30402</v>
      </c>
      <c r="B126" s="8">
        <v>63</v>
      </c>
      <c r="C126" s="8">
        <v>23.444445013999939</v>
      </c>
      <c r="D126" s="8">
        <v>290</v>
      </c>
      <c r="E126" s="11">
        <f t="shared" si="0"/>
        <v>0.21724137931034482</v>
      </c>
      <c r="F126" s="11">
        <f t="shared" si="1"/>
        <v>0.37213404784126886</v>
      </c>
      <c r="G126" s="11">
        <f t="shared" si="2"/>
        <v>8.0842913841379094E-2</v>
      </c>
      <c r="H126" s="8">
        <v>30402</v>
      </c>
      <c r="I126" s="8">
        <v>42</v>
      </c>
      <c r="J126" s="8">
        <v>15.555555939674377</v>
      </c>
      <c r="K126" s="8">
        <v>177</v>
      </c>
      <c r="L126" s="11">
        <f t="shared" si="3"/>
        <v>0.23728813559322035</v>
      </c>
      <c r="M126" s="11">
        <f t="shared" si="4"/>
        <v>0.37037037951605661</v>
      </c>
      <c r="N126" s="11">
        <f t="shared" si="5"/>
        <v>8.7884496834318523E-2</v>
      </c>
      <c r="O126" s="18">
        <f t="shared" si="16"/>
        <v>1.0871020434364307</v>
      </c>
      <c r="U126" s="18"/>
      <c r="V126" s="18"/>
      <c r="W126" s="18"/>
      <c r="X126" s="18"/>
    </row>
    <row r="127" spans="1:24" ht="14.4">
      <c r="A127" s="8">
        <v>30403</v>
      </c>
      <c r="B127" s="8">
        <v>2380</v>
      </c>
      <c r="C127" s="8">
        <v>873.33335545659065</v>
      </c>
      <c r="D127" s="8">
        <v>4799</v>
      </c>
      <c r="E127" s="11">
        <f t="shared" si="0"/>
        <v>0.4959366534694728</v>
      </c>
      <c r="F127" s="11">
        <f t="shared" si="1"/>
        <v>0.36694678800697084</v>
      </c>
      <c r="G127" s="11">
        <f t="shared" si="2"/>
        <v>0.18198236204554918</v>
      </c>
      <c r="H127" s="8">
        <v>30403</v>
      </c>
      <c r="I127" s="8">
        <v>598</v>
      </c>
      <c r="J127" s="8">
        <v>219.11111661791801</v>
      </c>
      <c r="K127" s="8">
        <v>936</v>
      </c>
      <c r="L127" s="11">
        <f t="shared" si="3"/>
        <v>0.63888888888888884</v>
      </c>
      <c r="M127" s="11">
        <f t="shared" si="4"/>
        <v>0.36640654952829099</v>
      </c>
      <c r="N127" s="11">
        <f t="shared" si="5"/>
        <v>0.23409307330974144</v>
      </c>
      <c r="O127" s="18">
        <f t="shared" si="16"/>
        <v>1.2863503401013623</v>
      </c>
      <c r="U127" s="18"/>
      <c r="V127" s="18"/>
      <c r="W127" s="18"/>
      <c r="X127" s="18"/>
    </row>
    <row r="128" spans="1:24" ht="14.4">
      <c r="A128" s="8">
        <v>30404</v>
      </c>
      <c r="B128" s="8">
        <v>21</v>
      </c>
      <c r="C128" s="8">
        <v>7.5555557608604431</v>
      </c>
      <c r="D128" s="8">
        <v>84</v>
      </c>
      <c r="E128" s="11">
        <f t="shared" si="0"/>
        <v>0.25</v>
      </c>
      <c r="F128" s="11">
        <f t="shared" si="1"/>
        <v>0.35978836956478299</v>
      </c>
      <c r="G128" s="11">
        <f t="shared" si="2"/>
        <v>8.9947092391195749E-2</v>
      </c>
      <c r="H128" s="8">
        <v>30404</v>
      </c>
      <c r="I128" s="8">
        <v>24</v>
      </c>
      <c r="J128" s="8">
        <v>10.444444715976715</v>
      </c>
      <c r="K128" s="8">
        <v>64</v>
      </c>
      <c r="L128" s="11">
        <f t="shared" si="3"/>
        <v>0.375</v>
      </c>
      <c r="M128" s="11">
        <f t="shared" si="4"/>
        <v>0.43518519649902981</v>
      </c>
      <c r="N128" s="11">
        <f t="shared" si="5"/>
        <v>0.16319444868713617</v>
      </c>
      <c r="O128" s="18">
        <f t="shared" si="16"/>
        <v>1.8143382331623881</v>
      </c>
      <c r="U128" s="18"/>
      <c r="V128" s="18"/>
      <c r="W128" s="18"/>
      <c r="X128" s="18"/>
    </row>
    <row r="129" spans="1:24" ht="14.4">
      <c r="A129" s="8">
        <v>30501</v>
      </c>
      <c r="B129" s="8">
        <v>32</v>
      </c>
      <c r="C129" s="8">
        <v>11.333333611488342</v>
      </c>
      <c r="D129" s="8">
        <v>498</v>
      </c>
      <c r="E129" s="11">
        <f t="shared" si="0"/>
        <v>6.4257028112449793E-2</v>
      </c>
      <c r="F129" s="11">
        <f t="shared" si="1"/>
        <v>0.3541666753590107</v>
      </c>
      <c r="G129" s="11">
        <f t="shared" si="2"/>
        <v>2.2757698015036829E-2</v>
      </c>
      <c r="H129" s="8">
        <v>30501</v>
      </c>
      <c r="I129" s="8">
        <v>13</v>
      </c>
      <c r="J129" s="8">
        <v>5.0000001192092896</v>
      </c>
      <c r="K129" s="8">
        <v>114</v>
      </c>
      <c r="L129" s="11">
        <f t="shared" si="3"/>
        <v>0.11403508771929824</v>
      </c>
      <c r="M129" s="11">
        <f t="shared" si="4"/>
        <v>0.38461539378532994</v>
      </c>
      <c r="N129" s="11">
        <f t="shared" si="5"/>
        <v>4.3859650168502531E-2</v>
      </c>
      <c r="O129" s="18">
        <f t="shared" si="16"/>
        <v>1.9272445806918996</v>
      </c>
      <c r="U129" s="18"/>
      <c r="V129" s="18"/>
      <c r="W129" s="18"/>
      <c r="X129" s="18"/>
    </row>
    <row r="130" spans="1:24" ht="14.4">
      <c r="A130" s="8">
        <v>30502</v>
      </c>
      <c r="B130" s="8">
        <v>48</v>
      </c>
      <c r="C130" s="8">
        <v>18.333333730697632</v>
      </c>
      <c r="D130" s="8">
        <v>326</v>
      </c>
      <c r="E130" s="11">
        <f t="shared" si="0"/>
        <v>0.14723926380368099</v>
      </c>
      <c r="F130" s="11">
        <f t="shared" si="1"/>
        <v>0.38194445272286731</v>
      </c>
      <c r="G130" s="11">
        <f t="shared" si="2"/>
        <v>5.6237220032814825E-2</v>
      </c>
      <c r="H130" s="8">
        <v>30502</v>
      </c>
      <c r="I130" s="8">
        <v>20</v>
      </c>
      <c r="J130" s="8">
        <v>7.4444446265697479</v>
      </c>
      <c r="K130" s="8">
        <v>149</v>
      </c>
      <c r="L130" s="11">
        <f t="shared" si="3"/>
        <v>0.13422818791946309</v>
      </c>
      <c r="M130" s="11">
        <f t="shared" si="4"/>
        <v>0.37222223132848742</v>
      </c>
      <c r="N130" s="11">
        <f t="shared" si="5"/>
        <v>4.9962715614562073E-2</v>
      </c>
      <c r="O130" s="18">
        <f t="shared" si="16"/>
        <v>0.88842790567187468</v>
      </c>
      <c r="U130" s="18"/>
      <c r="V130" s="18"/>
      <c r="W130" s="18"/>
      <c r="X130" s="18"/>
    </row>
    <row r="131" spans="1:24" ht="14.4">
      <c r="A131" s="8">
        <v>30601</v>
      </c>
      <c r="B131" s="8">
        <v>52</v>
      </c>
      <c r="C131" s="8">
        <v>20.222222715616226</v>
      </c>
      <c r="D131" s="8">
        <v>247</v>
      </c>
      <c r="E131" s="11">
        <f t="shared" si="0"/>
        <v>0.21052631578947367</v>
      </c>
      <c r="F131" s="11">
        <f t="shared" si="1"/>
        <v>0.38888889837723511</v>
      </c>
      <c r="G131" s="11">
        <f t="shared" si="2"/>
        <v>8.1871347026786334E-2</v>
      </c>
      <c r="H131" s="8">
        <v>30601</v>
      </c>
      <c r="I131" s="8">
        <v>20</v>
      </c>
      <c r="J131" s="8">
        <v>6.8888890743255615</v>
      </c>
      <c r="K131" s="8">
        <v>126</v>
      </c>
      <c r="L131" s="11">
        <f t="shared" si="3"/>
        <v>0.15873015873015872</v>
      </c>
      <c r="M131" s="11">
        <f t="shared" si="4"/>
        <v>0.34444445371627808</v>
      </c>
      <c r="N131" s="11">
        <f t="shared" si="5"/>
        <v>5.4673722812107625E-2</v>
      </c>
      <c r="O131" s="18">
        <f t="shared" si="16"/>
        <v>0.66780045519734399</v>
      </c>
      <c r="U131" s="18"/>
      <c r="V131" s="18"/>
      <c r="W131" s="18"/>
      <c r="X131" s="18"/>
    </row>
    <row r="132" spans="1:24" ht="14.4">
      <c r="A132" s="8">
        <v>30602</v>
      </c>
      <c r="B132" s="8">
        <v>63</v>
      </c>
      <c r="C132" s="8">
        <v>25.333333939313889</v>
      </c>
      <c r="D132" s="8">
        <v>418</v>
      </c>
      <c r="E132" s="11">
        <f t="shared" si="0"/>
        <v>0.15071770334928231</v>
      </c>
      <c r="F132" s="11">
        <f t="shared" si="1"/>
        <v>0.40211641173514107</v>
      </c>
      <c r="G132" s="11">
        <f t="shared" si="2"/>
        <v>6.0606062055774852E-2</v>
      </c>
      <c r="H132" s="8">
        <v>30602</v>
      </c>
      <c r="I132" s="8">
        <v>57</v>
      </c>
      <c r="J132" s="8">
        <v>20.555556058883667</v>
      </c>
      <c r="K132" s="8">
        <v>267</v>
      </c>
      <c r="L132" s="11">
        <f t="shared" si="3"/>
        <v>0.21348314606741572</v>
      </c>
      <c r="M132" s="11">
        <f t="shared" si="4"/>
        <v>0.36062379050673099</v>
      </c>
      <c r="N132" s="11">
        <f t="shared" si="5"/>
        <v>7.6987101344133585E-2</v>
      </c>
      <c r="O132" s="18">
        <f t="shared" si="16"/>
        <v>1.2702871417925736</v>
      </c>
      <c r="U132" s="18"/>
      <c r="V132" s="18"/>
      <c r="W132" s="18"/>
      <c r="X132" s="18"/>
    </row>
    <row r="133" spans="1:24" ht="14.4">
      <c r="A133" s="8">
        <v>30701</v>
      </c>
      <c r="B133" s="8">
        <v>91</v>
      </c>
      <c r="C133" s="8">
        <v>35.222223103046417</v>
      </c>
      <c r="D133" s="8">
        <v>932</v>
      </c>
      <c r="E133" s="11">
        <f t="shared" si="0"/>
        <v>9.7639484978540775E-2</v>
      </c>
      <c r="F133" s="11">
        <f t="shared" si="1"/>
        <v>0.38705739673677381</v>
      </c>
      <c r="G133" s="11">
        <f t="shared" si="2"/>
        <v>3.7792084874513326E-2</v>
      </c>
      <c r="H133" s="8">
        <v>30701</v>
      </c>
      <c r="I133" s="8">
        <v>40</v>
      </c>
      <c r="J133" s="8">
        <v>14.222222656011581</v>
      </c>
      <c r="K133" s="8">
        <v>231</v>
      </c>
      <c r="L133" s="11">
        <f t="shared" si="3"/>
        <v>0.17316017316017315</v>
      </c>
      <c r="M133" s="11">
        <f t="shared" si="4"/>
        <v>0.35555556640028951</v>
      </c>
      <c r="N133" s="11">
        <f t="shared" si="5"/>
        <v>6.1568063445937578E-2</v>
      </c>
      <c r="O133" s="18">
        <f t="shared" si="16"/>
        <v>1.6291258778225961</v>
      </c>
      <c r="U133" s="18"/>
      <c r="V133" s="18"/>
      <c r="W133" s="18"/>
      <c r="X133" s="18"/>
    </row>
    <row r="134" spans="1:24" ht="14.4">
      <c r="A134" s="8">
        <v>30702</v>
      </c>
      <c r="B134" s="8">
        <v>55</v>
      </c>
      <c r="C134" s="8">
        <v>19.333333820104599</v>
      </c>
      <c r="D134" s="8">
        <v>660</v>
      </c>
      <c r="E134" s="11">
        <f t="shared" si="0"/>
        <v>8.3333333333333329E-2</v>
      </c>
      <c r="F134" s="11">
        <f t="shared" si="1"/>
        <v>0.35151516036553815</v>
      </c>
      <c r="G134" s="11">
        <f t="shared" si="2"/>
        <v>2.929293003046151E-2</v>
      </c>
      <c r="H134" s="8">
        <v>30702</v>
      </c>
      <c r="I134" s="8">
        <v>37</v>
      </c>
      <c r="J134" s="8">
        <v>13.333333641290665</v>
      </c>
      <c r="K134" s="8">
        <v>215</v>
      </c>
      <c r="L134" s="11">
        <f t="shared" si="3"/>
        <v>0.17209302325581396</v>
      </c>
      <c r="M134" s="11">
        <f t="shared" si="4"/>
        <v>0.3603603686835315</v>
      </c>
      <c r="N134" s="11">
        <f t="shared" si="5"/>
        <v>6.2015505308328681E-2</v>
      </c>
      <c r="O134" s="18">
        <f t="shared" si="16"/>
        <v>2.1170809899808316</v>
      </c>
      <c r="U134" s="18"/>
      <c r="V134" s="18"/>
      <c r="W134" s="18"/>
      <c r="X134" s="18"/>
    </row>
    <row r="135" spans="1:24" ht="14.4">
      <c r="A135" s="8">
        <v>30703</v>
      </c>
      <c r="B135" s="8">
        <v>23</v>
      </c>
      <c r="C135" s="8">
        <v>8.7777779698371887</v>
      </c>
      <c r="D135" s="8">
        <v>162</v>
      </c>
      <c r="E135" s="11">
        <f t="shared" si="0"/>
        <v>0.1419753086419753</v>
      </c>
      <c r="F135" s="11">
        <f t="shared" si="1"/>
        <v>0.38164252042770386</v>
      </c>
      <c r="G135" s="11">
        <f t="shared" si="2"/>
        <v>5.4183814628624621E-2</v>
      </c>
      <c r="H135" s="8">
        <v>30703</v>
      </c>
      <c r="I135" s="8">
        <v>3</v>
      </c>
      <c r="J135" s="8">
        <v>1.1111111342906952</v>
      </c>
      <c r="K135" s="8">
        <v>36</v>
      </c>
      <c r="L135" s="11">
        <f t="shared" si="3"/>
        <v>8.3333333333333329E-2</v>
      </c>
      <c r="M135" s="11">
        <f t="shared" si="4"/>
        <v>0.37037037809689838</v>
      </c>
      <c r="N135" s="11">
        <f t="shared" si="5"/>
        <v>3.0864198174741529E-2</v>
      </c>
      <c r="O135" s="18">
        <f t="shared" si="16"/>
        <v>0.56962025258436433</v>
      </c>
      <c r="U135" s="18"/>
      <c r="V135" s="18"/>
      <c r="W135" s="18"/>
      <c r="X135" s="18"/>
    </row>
    <row r="136" spans="1:24" ht="14.4">
      <c r="A136" s="8">
        <v>30801</v>
      </c>
      <c r="B136" s="8">
        <v>50</v>
      </c>
      <c r="C136" s="8">
        <v>17.333333790302277</v>
      </c>
      <c r="D136" s="8">
        <v>833</v>
      </c>
      <c r="E136" s="11">
        <f t="shared" si="0"/>
        <v>6.0024009603841535E-2</v>
      </c>
      <c r="F136" s="11">
        <f t="shared" si="1"/>
        <v>0.34666667580604554</v>
      </c>
      <c r="G136" s="11">
        <f t="shared" si="2"/>
        <v>2.0808323877913898E-2</v>
      </c>
      <c r="H136" s="8">
        <v>30801</v>
      </c>
      <c r="I136" s="8">
        <v>5</v>
      </c>
      <c r="J136" s="8">
        <v>1.666666716337204</v>
      </c>
      <c r="K136" s="8">
        <v>139</v>
      </c>
      <c r="L136" s="11">
        <f t="shared" si="3"/>
        <v>3.5971223021582732E-2</v>
      </c>
      <c r="M136" s="11">
        <f t="shared" si="4"/>
        <v>0.3333333432674408</v>
      </c>
      <c r="N136" s="11">
        <f t="shared" si="5"/>
        <v>1.1990408031202906E-2</v>
      </c>
      <c r="O136" s="18">
        <f t="shared" si="16"/>
        <v>0.57623132461570392</v>
      </c>
      <c r="U136" s="18"/>
      <c r="V136" s="18"/>
      <c r="W136" s="18"/>
      <c r="X136" s="18"/>
    </row>
    <row r="137" spans="1:24" ht="14.4">
      <c r="A137" s="8">
        <v>30802</v>
      </c>
      <c r="B137" s="8">
        <v>30</v>
      </c>
      <c r="C137" s="8">
        <v>12.000000268220901</v>
      </c>
      <c r="D137" s="8">
        <v>349</v>
      </c>
      <c r="E137" s="11">
        <f t="shared" si="0"/>
        <v>8.5959885386819479E-2</v>
      </c>
      <c r="F137" s="11">
        <f t="shared" si="1"/>
        <v>0.40000000894069671</v>
      </c>
      <c r="G137" s="11">
        <f t="shared" si="2"/>
        <v>3.4383954923269053E-2</v>
      </c>
      <c r="H137" s="8">
        <v>30802</v>
      </c>
      <c r="I137" s="8">
        <v>5</v>
      </c>
      <c r="J137" s="8">
        <v>1.888888955116272</v>
      </c>
      <c r="K137" s="8">
        <v>51</v>
      </c>
      <c r="L137" s="11">
        <f t="shared" si="3"/>
        <v>9.8039215686274508E-2</v>
      </c>
      <c r="M137" s="11">
        <f t="shared" si="4"/>
        <v>0.37777779102325437</v>
      </c>
      <c r="N137" s="11">
        <f t="shared" si="5"/>
        <v>3.703703833561317E-2</v>
      </c>
      <c r="O137" s="18">
        <f t="shared" si="16"/>
        <v>1.0771605075176698</v>
      </c>
      <c r="U137" s="18"/>
      <c r="V137" s="18"/>
      <c r="W137" s="18"/>
      <c r="X137" s="18"/>
    </row>
    <row r="138" spans="1:24" ht="14.4">
      <c r="A138" s="8">
        <v>30803</v>
      </c>
      <c r="B138" s="8">
        <v>589</v>
      </c>
      <c r="C138" s="8">
        <v>212.66667196154594</v>
      </c>
      <c r="D138" s="8">
        <v>1265</v>
      </c>
      <c r="E138" s="11">
        <f t="shared" si="0"/>
        <v>0.46561264822134385</v>
      </c>
      <c r="F138" s="11">
        <f t="shared" si="1"/>
        <v>0.36106395918768414</v>
      </c>
      <c r="G138" s="11">
        <f t="shared" si="2"/>
        <v>0.16811594621466083</v>
      </c>
      <c r="H138" s="8">
        <v>30803</v>
      </c>
      <c r="I138" s="8">
        <v>97</v>
      </c>
      <c r="J138" s="8">
        <v>35.222223103046417</v>
      </c>
      <c r="K138" s="8">
        <v>166</v>
      </c>
      <c r="L138" s="11">
        <f t="shared" si="3"/>
        <v>0.58433734939759041</v>
      </c>
      <c r="M138" s="11">
        <f t="shared" si="4"/>
        <v>0.36311570209326205</v>
      </c>
      <c r="N138" s="11">
        <f t="shared" si="5"/>
        <v>0.21218206688582181</v>
      </c>
      <c r="O138" s="18">
        <f t="shared" si="16"/>
        <v>1.2621174353972027</v>
      </c>
      <c r="U138" s="18"/>
      <c r="V138" s="18"/>
      <c r="W138" s="18"/>
      <c r="X138" s="18"/>
    </row>
    <row r="139" spans="1:24" ht="14.4">
      <c r="A139" s="8">
        <v>30901</v>
      </c>
      <c r="B139" s="8">
        <v>569</v>
      </c>
      <c r="C139" s="8">
        <v>203.66667193174362</v>
      </c>
      <c r="D139" s="8">
        <v>11632</v>
      </c>
      <c r="E139" s="11">
        <f t="shared" si="0"/>
        <v>4.8916781292984872E-2</v>
      </c>
      <c r="F139" s="11">
        <f t="shared" si="1"/>
        <v>0.35793791200657932</v>
      </c>
      <c r="G139" s="11">
        <f t="shared" si="2"/>
        <v>1.7509170558093503E-2</v>
      </c>
      <c r="H139" s="8">
        <v>30901</v>
      </c>
      <c r="I139" s="8">
        <v>98</v>
      </c>
      <c r="J139" s="8">
        <v>35.55555647611618</v>
      </c>
      <c r="K139" s="8">
        <v>1043</v>
      </c>
      <c r="L139" s="11">
        <f t="shared" si="3"/>
        <v>9.3959731543624164E-2</v>
      </c>
      <c r="M139" s="11">
        <f t="shared" si="4"/>
        <v>0.36281180077669573</v>
      </c>
      <c r="N139" s="11">
        <f t="shared" si="5"/>
        <v>3.4089699401837183E-2</v>
      </c>
      <c r="O139" s="18">
        <f t="shared" si="16"/>
        <v>1.9469625524939236</v>
      </c>
      <c r="U139" s="18"/>
      <c r="V139" s="18"/>
      <c r="W139" s="18"/>
      <c r="X139" s="18"/>
    </row>
    <row r="140" spans="1:24" ht="14.4">
      <c r="A140" s="8">
        <v>30902</v>
      </c>
      <c r="B140" s="8">
        <v>409</v>
      </c>
      <c r="C140" s="8">
        <v>147.55555954575539</v>
      </c>
      <c r="D140" s="8">
        <v>4581</v>
      </c>
      <c r="E140" s="11">
        <f t="shared" si="0"/>
        <v>8.9281816197336827E-2</v>
      </c>
      <c r="F140" s="11">
        <f t="shared" si="1"/>
        <v>0.36077153923167576</v>
      </c>
      <c r="G140" s="11">
        <f t="shared" si="2"/>
        <v>3.221033825491277E-2</v>
      </c>
      <c r="H140" s="8">
        <v>30902</v>
      </c>
      <c r="I140" s="8">
        <v>43</v>
      </c>
      <c r="J140" s="8">
        <v>15.444444864988327</v>
      </c>
      <c r="K140" s="8">
        <v>438</v>
      </c>
      <c r="L140" s="11">
        <f t="shared" si="3"/>
        <v>9.8173515981735154E-2</v>
      </c>
      <c r="M140" s="11">
        <f t="shared" si="4"/>
        <v>0.35917313639507736</v>
      </c>
      <c r="N140" s="11">
        <f t="shared" si="5"/>
        <v>3.526128964609207E-2</v>
      </c>
      <c r="O140" s="18">
        <f t="shared" si="16"/>
        <v>1.0947196321576649</v>
      </c>
      <c r="U140" s="18"/>
      <c r="V140" s="18"/>
      <c r="W140" s="18"/>
      <c r="X140" s="18"/>
    </row>
    <row r="141" spans="1:24" ht="14.4">
      <c r="A141" s="8">
        <v>30903</v>
      </c>
      <c r="B141" s="8">
        <v>150</v>
      </c>
      <c r="C141" s="8">
        <v>52.111112475395203</v>
      </c>
      <c r="D141" s="8">
        <v>6815</v>
      </c>
      <c r="E141" s="11">
        <f t="shared" si="0"/>
        <v>2.2010271460014674E-2</v>
      </c>
      <c r="F141" s="11">
        <f t="shared" si="1"/>
        <v>0.34740741650263468</v>
      </c>
      <c r="G141" s="11">
        <f t="shared" si="2"/>
        <v>7.6465315444453705E-3</v>
      </c>
      <c r="H141" s="8">
        <v>30903</v>
      </c>
      <c r="I141" s="8">
        <v>14</v>
      </c>
      <c r="J141" s="8">
        <v>4.7777779102325439</v>
      </c>
      <c r="K141" s="8">
        <v>381</v>
      </c>
      <c r="L141" s="11">
        <f t="shared" si="3"/>
        <v>3.6745406824146981E-2</v>
      </c>
      <c r="M141" s="11">
        <f t="shared" si="4"/>
        <v>0.341269850730896</v>
      </c>
      <c r="N141" s="11">
        <f t="shared" si="5"/>
        <v>1.2540099501922688E-2</v>
      </c>
      <c r="O141" s="18">
        <f t="shared" si="16"/>
        <v>1.6399722448058331</v>
      </c>
      <c r="U141" s="18"/>
      <c r="V141" s="18"/>
      <c r="W141" s="18"/>
      <c r="X141" s="18"/>
    </row>
    <row r="142" spans="1:24" ht="14.4">
      <c r="A142" s="8">
        <v>30904</v>
      </c>
      <c r="B142" s="8">
        <v>299</v>
      </c>
      <c r="C142" s="8">
        <v>106.00000283122063</v>
      </c>
      <c r="D142" s="8">
        <v>5338</v>
      </c>
      <c r="E142" s="11">
        <f t="shared" si="0"/>
        <v>5.6013488197826901E-2</v>
      </c>
      <c r="F142" s="11">
        <f t="shared" si="1"/>
        <v>0.3545150596361894</v>
      </c>
      <c r="G142" s="11">
        <f t="shared" si="2"/>
        <v>1.9857625108883593E-2</v>
      </c>
      <c r="H142" s="8">
        <v>30904</v>
      </c>
      <c r="I142" s="8">
        <v>36</v>
      </c>
      <c r="J142" s="8">
        <v>12.666666984558105</v>
      </c>
      <c r="K142" s="8">
        <v>401</v>
      </c>
      <c r="L142" s="11">
        <f t="shared" si="3"/>
        <v>8.9775561097256859E-2</v>
      </c>
      <c r="M142" s="11">
        <f t="shared" si="4"/>
        <v>0.35185186068216961</v>
      </c>
      <c r="N142" s="11">
        <f t="shared" si="5"/>
        <v>3.1587698215855629E-2</v>
      </c>
      <c r="O142" s="18">
        <f t="shared" si="16"/>
        <v>1.5907087601187726</v>
      </c>
      <c r="U142" s="18"/>
      <c r="V142" s="18"/>
      <c r="W142" s="18"/>
      <c r="X142" s="18"/>
    </row>
    <row r="143" spans="1:24" ht="14.4">
      <c r="A143" s="8">
        <v>30905</v>
      </c>
      <c r="B143" s="8">
        <v>100</v>
      </c>
      <c r="C143" s="8">
        <v>34.55555647611618</v>
      </c>
      <c r="D143" s="8">
        <v>8003</v>
      </c>
      <c r="E143" s="11">
        <f t="shared" si="0"/>
        <v>1.2495314257153568E-2</v>
      </c>
      <c r="F143" s="11">
        <f t="shared" si="1"/>
        <v>0.34555556476116178</v>
      </c>
      <c r="G143" s="11">
        <f t="shared" si="2"/>
        <v>4.3178253749988982E-3</v>
      </c>
      <c r="H143" s="8">
        <v>30905</v>
      </c>
      <c r="I143" s="8">
        <v>9</v>
      </c>
      <c r="J143" s="8">
        <v>3.0000000894069672</v>
      </c>
      <c r="K143" s="8">
        <v>489</v>
      </c>
      <c r="L143" s="11">
        <f t="shared" si="3"/>
        <v>1.8404907975460124E-2</v>
      </c>
      <c r="M143" s="11">
        <f t="shared" si="4"/>
        <v>0.3333333432674408</v>
      </c>
      <c r="N143" s="11">
        <f t="shared" si="5"/>
        <v>6.1349695079897081E-3</v>
      </c>
      <c r="O143" s="18">
        <f t="shared" si="16"/>
        <v>1.4208470642449902</v>
      </c>
      <c r="U143" s="18"/>
      <c r="V143" s="18"/>
      <c r="W143" s="18"/>
      <c r="X143" s="18"/>
    </row>
    <row r="144" spans="1:24" ht="14.4">
      <c r="A144" s="8">
        <v>31001</v>
      </c>
      <c r="B144" s="8">
        <v>1223</v>
      </c>
      <c r="C144" s="8">
        <v>435.33334472775459</v>
      </c>
      <c r="D144" s="8">
        <v>18877</v>
      </c>
      <c r="E144" s="11">
        <f t="shared" si="0"/>
        <v>6.4787837050378771E-2</v>
      </c>
      <c r="F144" s="11">
        <f t="shared" si="1"/>
        <v>0.35595531048876089</v>
      </c>
      <c r="G144" s="11">
        <f t="shared" si="2"/>
        <v>2.3061574653162824E-2</v>
      </c>
      <c r="H144" s="8">
        <v>31001</v>
      </c>
      <c r="I144" s="8">
        <v>354</v>
      </c>
      <c r="J144" s="8">
        <v>128.00000327825546</v>
      </c>
      <c r="K144" s="8">
        <v>2065</v>
      </c>
      <c r="L144" s="11">
        <f t="shared" si="3"/>
        <v>0.17142857142857143</v>
      </c>
      <c r="M144" s="11">
        <f t="shared" si="4"/>
        <v>0.36158193016456347</v>
      </c>
      <c r="N144" s="11">
        <f t="shared" si="5"/>
        <v>6.1985473742496598E-2</v>
      </c>
      <c r="O144" s="18">
        <f t="shared" si="16"/>
        <v>2.6878248634247308</v>
      </c>
      <c r="U144" s="18"/>
      <c r="V144" s="18"/>
      <c r="W144" s="18"/>
      <c r="X144" s="18"/>
    </row>
    <row r="145" spans="1:24" ht="14.4">
      <c r="A145" s="8">
        <v>31002</v>
      </c>
      <c r="B145" s="8">
        <v>163</v>
      </c>
      <c r="C145" s="8">
        <v>58.222223669290543</v>
      </c>
      <c r="D145" s="8">
        <v>1107</v>
      </c>
      <c r="E145" s="11">
        <f t="shared" si="0"/>
        <v>0.14724480578139115</v>
      </c>
      <c r="F145" s="11">
        <f t="shared" si="1"/>
        <v>0.35719155625331622</v>
      </c>
      <c r="G145" s="11">
        <f t="shared" si="2"/>
        <v>5.2594601327272401E-2</v>
      </c>
      <c r="H145" s="8">
        <v>31002</v>
      </c>
      <c r="I145" s="8">
        <v>76</v>
      </c>
      <c r="J145" s="8">
        <v>27.444445192813873</v>
      </c>
      <c r="K145" s="8">
        <v>385</v>
      </c>
      <c r="L145" s="11">
        <f t="shared" si="3"/>
        <v>0.19740259740259741</v>
      </c>
      <c r="M145" s="11">
        <f t="shared" si="4"/>
        <v>0.36111112095807729</v>
      </c>
      <c r="N145" s="11">
        <f t="shared" si="5"/>
        <v>7.1284273228087988E-2</v>
      </c>
      <c r="O145" s="18">
        <f t="shared" si="16"/>
        <v>1.355353428472976</v>
      </c>
      <c r="U145" s="18"/>
      <c r="V145" s="18"/>
      <c r="W145" s="18"/>
      <c r="X145" s="18"/>
    </row>
    <row r="146" spans="1:24" ht="14.4">
      <c r="A146" s="8">
        <v>31003</v>
      </c>
      <c r="B146" s="8">
        <v>1487</v>
      </c>
      <c r="C146" s="8">
        <v>544.11112469434738</v>
      </c>
      <c r="D146" s="8">
        <v>8573</v>
      </c>
      <c r="E146" s="11">
        <f t="shared" si="0"/>
        <v>0.17345153388545434</v>
      </c>
      <c r="F146" s="11">
        <f t="shared" si="1"/>
        <v>0.36591198701704597</v>
      </c>
      <c r="G146" s="11">
        <f t="shared" si="2"/>
        <v>6.3467995415181083E-2</v>
      </c>
      <c r="H146" s="8">
        <v>31003</v>
      </c>
      <c r="I146" s="8">
        <v>283</v>
      </c>
      <c r="J146" s="8">
        <v>104.22222480177879</v>
      </c>
      <c r="K146" s="8">
        <v>1352</v>
      </c>
      <c r="L146" s="11">
        <f t="shared" si="3"/>
        <v>0.20931952662721892</v>
      </c>
      <c r="M146" s="11">
        <f t="shared" si="4"/>
        <v>0.36827641272713357</v>
      </c>
      <c r="N146" s="11">
        <f t="shared" si="5"/>
        <v>7.70874443800139E-2</v>
      </c>
      <c r="O146" s="18">
        <f t="shared" si="16"/>
        <v>1.2145876654168779</v>
      </c>
      <c r="U146" s="18"/>
      <c r="V146" s="18"/>
      <c r="W146" s="18"/>
      <c r="X146" s="18"/>
    </row>
    <row r="147" spans="1:24" ht="14.4">
      <c r="A147" s="8">
        <v>31101</v>
      </c>
      <c r="B147" s="8">
        <v>211</v>
      </c>
      <c r="C147" s="8">
        <v>81.444446533918381</v>
      </c>
      <c r="D147" s="8">
        <v>893</v>
      </c>
      <c r="E147" s="11">
        <f t="shared" si="0"/>
        <v>0.23628219484882418</v>
      </c>
      <c r="F147" s="11">
        <f t="shared" si="1"/>
        <v>0.38599263760150893</v>
      </c>
      <c r="G147" s="11">
        <f t="shared" si="2"/>
        <v>9.1203187607971303E-2</v>
      </c>
      <c r="H147" s="8">
        <v>31101</v>
      </c>
      <c r="I147" s="8">
        <v>123</v>
      </c>
      <c r="J147" s="8">
        <v>46.222223311662674</v>
      </c>
      <c r="K147" s="8">
        <v>312</v>
      </c>
      <c r="L147" s="11">
        <f t="shared" si="3"/>
        <v>0.39423076923076922</v>
      </c>
      <c r="M147" s="11">
        <f t="shared" si="4"/>
        <v>0.37579043342815183</v>
      </c>
      <c r="N147" s="11">
        <f t="shared" si="5"/>
        <v>0.14814815163994446</v>
      </c>
      <c r="O147" s="18">
        <f t="shared" si="16"/>
        <v>1.6243747123921366</v>
      </c>
      <c r="U147" s="18"/>
      <c r="V147" s="18"/>
      <c r="W147" s="18"/>
      <c r="X147" s="18"/>
    </row>
    <row r="148" spans="1:24" ht="14.4">
      <c r="A148" s="8">
        <v>31201</v>
      </c>
      <c r="B148" s="8">
        <v>178</v>
      </c>
      <c r="C148" s="8">
        <v>67.555557131767273</v>
      </c>
      <c r="D148" s="8">
        <v>651</v>
      </c>
      <c r="E148" s="11">
        <f t="shared" si="0"/>
        <v>0.27342549923195086</v>
      </c>
      <c r="F148" s="11">
        <f t="shared" si="1"/>
        <v>0.37952560186386108</v>
      </c>
      <c r="G148" s="11">
        <f t="shared" si="2"/>
        <v>0.10377197716093284</v>
      </c>
      <c r="H148" s="8">
        <v>31201</v>
      </c>
      <c r="I148" s="8">
        <v>45</v>
      </c>
      <c r="J148" s="8">
        <v>17.222222656011581</v>
      </c>
      <c r="K148" s="8">
        <v>171</v>
      </c>
      <c r="L148" s="11">
        <f t="shared" si="3"/>
        <v>0.26315789473684209</v>
      </c>
      <c r="M148" s="11">
        <f t="shared" si="4"/>
        <v>0.38271605902247957</v>
      </c>
      <c r="N148" s="11">
        <f t="shared" si="5"/>
        <v>0.10071475237433672</v>
      </c>
      <c r="O148" s="18">
        <f t="shared" si="16"/>
        <v>0.97053901380471075</v>
      </c>
      <c r="U148" s="18"/>
      <c r="V148" s="18"/>
      <c r="W148" s="18"/>
      <c r="X148" s="18"/>
    </row>
    <row r="149" spans="1:24" ht="14.4">
      <c r="A149" s="8">
        <v>31202</v>
      </c>
      <c r="B149" s="8">
        <v>124</v>
      </c>
      <c r="C149" s="8">
        <v>46.111112296581268</v>
      </c>
      <c r="D149" s="8">
        <v>536</v>
      </c>
      <c r="E149" s="11">
        <f t="shared" si="0"/>
        <v>0.23134328358208955</v>
      </c>
      <c r="F149" s="11">
        <f t="shared" si="1"/>
        <v>0.37186380884339731</v>
      </c>
      <c r="G149" s="11">
        <f t="shared" si="2"/>
        <v>8.6028194583174011E-2</v>
      </c>
      <c r="H149" s="8">
        <v>31202</v>
      </c>
      <c r="I149" s="8">
        <v>18</v>
      </c>
      <c r="J149" s="8">
        <v>7.2222224175930023</v>
      </c>
      <c r="K149" s="8">
        <v>114</v>
      </c>
      <c r="L149" s="11">
        <f t="shared" si="3"/>
        <v>0.15789473684210525</v>
      </c>
      <c r="M149" s="11">
        <f t="shared" si="4"/>
        <v>0.40123457875516677</v>
      </c>
      <c r="N149" s="11">
        <f t="shared" si="5"/>
        <v>6.3352828224500016E-2</v>
      </c>
      <c r="O149" s="18">
        <f t="shared" si="16"/>
        <v>0.73641936264568542</v>
      </c>
      <c r="U149" s="18"/>
      <c r="V149" s="18"/>
      <c r="W149" s="18"/>
      <c r="X149" s="18"/>
    </row>
    <row r="150" spans="1:24" ht="14.4">
      <c r="A150" s="8">
        <v>31203</v>
      </c>
      <c r="B150" s="8">
        <v>68</v>
      </c>
      <c r="C150" s="8">
        <v>24.111111760139465</v>
      </c>
      <c r="D150" s="8">
        <v>480</v>
      </c>
      <c r="E150" s="11">
        <f t="shared" si="0"/>
        <v>0.14166666666666666</v>
      </c>
      <c r="F150" s="11">
        <f t="shared" si="1"/>
        <v>0.35457517294322743</v>
      </c>
      <c r="G150" s="11">
        <f t="shared" si="2"/>
        <v>5.0231482833623886E-2</v>
      </c>
      <c r="H150" s="8">
        <v>31203</v>
      </c>
      <c r="I150" s="8">
        <v>23</v>
      </c>
      <c r="J150" s="8">
        <v>8.7777779698371887</v>
      </c>
      <c r="K150" s="8">
        <v>186</v>
      </c>
      <c r="L150" s="11">
        <f t="shared" si="3"/>
        <v>0.12365591397849462</v>
      </c>
      <c r="M150" s="11">
        <f t="shared" si="4"/>
        <v>0.38164252042770386</v>
      </c>
      <c r="N150" s="11">
        <f t="shared" si="5"/>
        <v>4.7192354676544028E-2</v>
      </c>
      <c r="O150" s="18">
        <f t="shared" si="16"/>
        <v>0.9394975424646328</v>
      </c>
      <c r="U150" s="18"/>
      <c r="V150" s="18"/>
      <c r="W150" s="18"/>
      <c r="X150" s="18"/>
    </row>
    <row r="151" spans="1:24" ht="14.4">
      <c r="A151" s="8">
        <v>31204</v>
      </c>
      <c r="B151" s="8">
        <v>333</v>
      </c>
      <c r="C151" s="8">
        <v>126.00000315904617</v>
      </c>
      <c r="D151" s="8">
        <v>2675</v>
      </c>
      <c r="E151" s="11">
        <f t="shared" si="0"/>
        <v>0.12448598130841121</v>
      </c>
      <c r="F151" s="11">
        <f t="shared" si="1"/>
        <v>0.3783783878650035</v>
      </c>
      <c r="G151" s="11">
        <f t="shared" si="2"/>
        <v>4.7102804919269589E-2</v>
      </c>
      <c r="H151" s="8">
        <v>31204</v>
      </c>
      <c r="I151" s="8">
        <v>36</v>
      </c>
      <c r="J151" s="8">
        <v>13.000000327825546</v>
      </c>
      <c r="K151" s="8">
        <v>353</v>
      </c>
      <c r="L151" s="11">
        <f t="shared" si="3"/>
        <v>0.10198300283286119</v>
      </c>
      <c r="M151" s="11">
        <f t="shared" si="4"/>
        <v>0.36111112021737629</v>
      </c>
      <c r="N151" s="11">
        <f t="shared" si="5"/>
        <v>3.6827196396106363E-2</v>
      </c>
      <c r="O151" s="18">
        <f t="shared" si="16"/>
        <v>0.78184720547375486</v>
      </c>
      <c r="U151" s="18"/>
      <c r="V151" s="18"/>
      <c r="W151" s="18"/>
      <c r="X151" s="18"/>
    </row>
    <row r="152" spans="1:24" ht="14.4">
      <c r="A152" s="8">
        <v>31205</v>
      </c>
      <c r="B152" s="8">
        <v>551</v>
      </c>
      <c r="C152" s="8">
        <v>205.88889396190643</v>
      </c>
      <c r="D152" s="8">
        <v>4171</v>
      </c>
      <c r="E152" s="11">
        <f t="shared" si="0"/>
        <v>0.13210261328218653</v>
      </c>
      <c r="F152" s="11">
        <f t="shared" si="1"/>
        <v>0.37366405437732564</v>
      </c>
      <c r="G152" s="11">
        <f t="shared" si="2"/>
        <v>4.9361998072861769E-2</v>
      </c>
      <c r="H152" s="8">
        <v>31205</v>
      </c>
      <c r="I152" s="8">
        <v>62</v>
      </c>
      <c r="J152" s="8">
        <v>21.777778327465057</v>
      </c>
      <c r="K152" s="8">
        <v>438</v>
      </c>
      <c r="L152" s="11">
        <f t="shared" si="3"/>
        <v>0.14155251141552511</v>
      </c>
      <c r="M152" s="11">
        <f t="shared" si="4"/>
        <v>0.35125448915266222</v>
      </c>
      <c r="N152" s="11">
        <f t="shared" si="5"/>
        <v>4.9720955085536658E-2</v>
      </c>
      <c r="O152" s="18">
        <f t="shared" si="16"/>
        <v>1.0072719303652384</v>
      </c>
      <c r="U152" s="18"/>
      <c r="V152" s="18"/>
      <c r="W152" s="18"/>
      <c r="X152" s="18"/>
    </row>
    <row r="153" spans="1:24" ht="14.4">
      <c r="A153" s="8">
        <v>31206</v>
      </c>
      <c r="B153" s="8">
        <v>576</v>
      </c>
      <c r="C153" s="8">
        <v>210.00000512599945</v>
      </c>
      <c r="D153" s="8">
        <v>4017</v>
      </c>
      <c r="E153" s="11">
        <f t="shared" si="0"/>
        <v>0.14339058999253174</v>
      </c>
      <c r="F153" s="11">
        <f t="shared" si="1"/>
        <v>0.36458334223263794</v>
      </c>
      <c r="G153" s="11">
        <f t="shared" si="2"/>
        <v>5.2277820544187066E-2</v>
      </c>
      <c r="H153" s="8">
        <v>31206</v>
      </c>
      <c r="I153" s="8">
        <v>69</v>
      </c>
      <c r="J153" s="8">
        <v>24.555556148290634</v>
      </c>
      <c r="K153" s="8">
        <v>390</v>
      </c>
      <c r="L153" s="11">
        <f t="shared" si="3"/>
        <v>0.17692307692307693</v>
      </c>
      <c r="M153" s="11">
        <f t="shared" si="4"/>
        <v>0.35587762533754541</v>
      </c>
      <c r="N153" s="11">
        <f t="shared" si="5"/>
        <v>6.2962964482796493E-2</v>
      </c>
      <c r="O153" s="18">
        <f t="shared" si="16"/>
        <v>1.2043915340651581</v>
      </c>
      <c r="U153" s="18"/>
      <c r="V153" s="18"/>
      <c r="W153" s="18"/>
      <c r="X153" s="18"/>
    </row>
    <row r="154" spans="1:24" ht="14.4">
      <c r="A154" s="8">
        <v>31301</v>
      </c>
      <c r="B154" s="8">
        <v>118</v>
      </c>
      <c r="C154" s="8">
        <v>44.77777886390686</v>
      </c>
      <c r="D154" s="8">
        <v>1034</v>
      </c>
      <c r="E154" s="11">
        <f t="shared" si="0"/>
        <v>0.11411992263056092</v>
      </c>
      <c r="F154" s="11">
        <f t="shared" si="1"/>
        <v>0.37947270223649882</v>
      </c>
      <c r="G154" s="11">
        <f t="shared" si="2"/>
        <v>4.3305395419639126E-2</v>
      </c>
      <c r="H154" s="8">
        <v>31301</v>
      </c>
      <c r="I154" s="8">
        <v>47</v>
      </c>
      <c r="J154" s="8">
        <v>16.666667103767395</v>
      </c>
      <c r="K154" s="8">
        <v>246</v>
      </c>
      <c r="L154" s="11">
        <f t="shared" si="3"/>
        <v>0.1910569105691057</v>
      </c>
      <c r="M154" s="11">
        <f t="shared" si="4"/>
        <v>0.35460993837802968</v>
      </c>
      <c r="N154" s="11">
        <f t="shared" si="5"/>
        <v>6.7750679283607299E-2</v>
      </c>
      <c r="O154" s="18">
        <f t="shared" si="16"/>
        <v>1.5644858712658738</v>
      </c>
      <c r="U154" s="18"/>
      <c r="V154" s="18"/>
      <c r="W154" s="18"/>
      <c r="X154" s="18"/>
    </row>
    <row r="155" spans="1:24" ht="14.4">
      <c r="A155" s="8">
        <v>31302</v>
      </c>
      <c r="B155" s="8">
        <v>40</v>
      </c>
      <c r="C155" s="8">
        <v>15.111111551523209</v>
      </c>
      <c r="D155" s="8">
        <v>134</v>
      </c>
      <c r="E155" s="11">
        <f t="shared" si="0"/>
        <v>0.29850746268656714</v>
      </c>
      <c r="F155" s="11">
        <f t="shared" si="1"/>
        <v>0.37777778878808022</v>
      </c>
      <c r="G155" s="11">
        <f t="shared" si="2"/>
        <v>0.11276948919047169</v>
      </c>
      <c r="H155" s="8">
        <v>31302</v>
      </c>
      <c r="I155" s="8">
        <v>18</v>
      </c>
      <c r="J155" s="8">
        <v>6.4444445967674255</v>
      </c>
      <c r="K155" s="8">
        <v>51</v>
      </c>
      <c r="L155" s="11">
        <f t="shared" si="3"/>
        <v>0.35294117647058826</v>
      </c>
      <c r="M155" s="11">
        <f t="shared" si="4"/>
        <v>0.35802469982041252</v>
      </c>
      <c r="N155" s="11">
        <f t="shared" si="5"/>
        <v>0.1263616587601456</v>
      </c>
      <c r="O155" s="18">
        <f t="shared" si="16"/>
        <v>1.1205305589946961</v>
      </c>
      <c r="U155" s="18"/>
      <c r="V155" s="18"/>
      <c r="W155" s="18"/>
      <c r="X155" s="18"/>
    </row>
    <row r="156" spans="1:24" ht="14.4">
      <c r="A156" s="8">
        <v>31303</v>
      </c>
      <c r="B156" s="8">
        <v>48</v>
      </c>
      <c r="C156" s="8">
        <v>18.222222775220871</v>
      </c>
      <c r="D156" s="8">
        <v>117</v>
      </c>
      <c r="E156" s="11">
        <f t="shared" si="0"/>
        <v>0.41025641025641024</v>
      </c>
      <c r="F156" s="11">
        <f t="shared" si="1"/>
        <v>0.37962964115043479</v>
      </c>
      <c r="G156" s="11">
        <f t="shared" si="2"/>
        <v>0.15574549380530658</v>
      </c>
      <c r="H156" s="8">
        <v>31303</v>
      </c>
      <c r="I156" s="8">
        <v>42</v>
      </c>
      <c r="J156" s="8">
        <v>15.888889223337173</v>
      </c>
      <c r="K156" s="8">
        <v>76</v>
      </c>
      <c r="L156" s="11">
        <f t="shared" si="3"/>
        <v>0.55263157894736847</v>
      </c>
      <c r="M156" s="11">
        <f t="shared" si="4"/>
        <v>0.3783068862699327</v>
      </c>
      <c r="N156" s="11">
        <f t="shared" si="5"/>
        <v>0.20906433188601545</v>
      </c>
      <c r="O156" s="18">
        <f t="shared" si="16"/>
        <v>1.3423459438727734</v>
      </c>
      <c r="U156" s="18"/>
      <c r="V156" s="18"/>
      <c r="W156" s="18"/>
      <c r="X156" s="18"/>
    </row>
    <row r="157" spans="1:24" ht="14.4">
      <c r="A157" s="8">
        <v>31304</v>
      </c>
      <c r="B157" s="8">
        <v>103</v>
      </c>
      <c r="C157" s="8">
        <v>43.666667699813843</v>
      </c>
      <c r="D157" s="8">
        <v>213</v>
      </c>
      <c r="E157" s="11">
        <f t="shared" si="0"/>
        <v>0.48356807511737088</v>
      </c>
      <c r="F157" s="11">
        <f t="shared" si="1"/>
        <v>0.42394823009528004</v>
      </c>
      <c r="G157" s="11">
        <f t="shared" si="2"/>
        <v>0.20500782957659081</v>
      </c>
      <c r="H157" s="8">
        <v>31304</v>
      </c>
      <c r="I157" s="8">
        <v>47</v>
      </c>
      <c r="J157" s="8">
        <v>17.444444864988327</v>
      </c>
      <c r="K157" s="8">
        <v>119</v>
      </c>
      <c r="L157" s="11">
        <f t="shared" si="3"/>
        <v>0.3949579831932773</v>
      </c>
      <c r="M157" s="11">
        <f t="shared" si="4"/>
        <v>0.37115840138273037</v>
      </c>
      <c r="N157" s="11">
        <f t="shared" si="5"/>
        <v>0.14659197365536408</v>
      </c>
      <c r="O157" s="18">
        <f t="shared" si="16"/>
        <v>0.71505548816416009</v>
      </c>
      <c r="U157" s="18"/>
      <c r="V157" s="18"/>
      <c r="W157" s="18"/>
      <c r="X157" s="18"/>
    </row>
    <row r="158" spans="1:24" ht="14.4">
      <c r="A158" s="8">
        <v>31401</v>
      </c>
      <c r="B158" s="8">
        <v>168</v>
      </c>
      <c r="C158" s="8">
        <v>60.111112713813782</v>
      </c>
      <c r="D158" s="8">
        <v>1647</v>
      </c>
      <c r="E158" s="11">
        <f t="shared" si="0"/>
        <v>0.10200364298724955</v>
      </c>
      <c r="F158" s="11">
        <f t="shared" si="1"/>
        <v>0.35780424234412966</v>
      </c>
      <c r="G158" s="11">
        <f t="shared" si="2"/>
        <v>3.6497336195393922E-2</v>
      </c>
      <c r="H158" s="8">
        <v>31401</v>
      </c>
      <c r="I158" s="8">
        <v>27</v>
      </c>
      <c r="J158" s="8">
        <v>9.6666668951511383</v>
      </c>
      <c r="K158" s="8">
        <v>271</v>
      </c>
      <c r="L158" s="11">
        <f t="shared" si="3"/>
        <v>9.9630996309963096E-2</v>
      </c>
      <c r="M158" s="11">
        <f t="shared" si="4"/>
        <v>0.35802469982041252</v>
      </c>
      <c r="N158" s="11">
        <f t="shared" si="5"/>
        <v>3.5670357546683164E-2</v>
      </c>
      <c r="O158" s="18">
        <f t="shared" si="16"/>
        <v>0.97734139707392875</v>
      </c>
      <c r="U158" s="18"/>
      <c r="V158" s="18"/>
      <c r="W158" s="18"/>
      <c r="X158" s="18"/>
    </row>
    <row r="159" spans="1:24" ht="14.4">
      <c r="A159" s="8">
        <v>31402</v>
      </c>
      <c r="B159" s="8">
        <v>66</v>
      </c>
      <c r="C159" s="8">
        <v>23.111111700534821</v>
      </c>
      <c r="D159" s="8">
        <v>672</v>
      </c>
      <c r="E159" s="11">
        <f t="shared" si="0"/>
        <v>9.8214285714285712E-2</v>
      </c>
      <c r="F159" s="11">
        <f t="shared" si="1"/>
        <v>0.35016835909901245</v>
      </c>
      <c r="G159" s="11">
        <f t="shared" si="2"/>
        <v>3.439153526865301E-2</v>
      </c>
      <c r="H159" s="8">
        <v>31402</v>
      </c>
      <c r="I159" s="8">
        <v>16</v>
      </c>
      <c r="J159" s="8">
        <v>5.7777779400348663</v>
      </c>
      <c r="K159" s="8">
        <v>90</v>
      </c>
      <c r="L159" s="11">
        <f t="shared" si="3"/>
        <v>0.17777777777777778</v>
      </c>
      <c r="M159" s="11">
        <f t="shared" si="4"/>
        <v>0.36111112125217915</v>
      </c>
      <c r="N159" s="11">
        <f t="shared" si="5"/>
        <v>6.4197532667054066E-2</v>
      </c>
      <c r="O159" s="18">
        <f t="shared" si="16"/>
        <v>1.8666666714808875</v>
      </c>
      <c r="U159" s="18"/>
      <c r="V159" s="18"/>
      <c r="W159" s="18"/>
      <c r="X159" s="18"/>
    </row>
    <row r="160" spans="1:24" ht="14.4">
      <c r="A160" s="8">
        <v>31403</v>
      </c>
      <c r="B160" s="8">
        <v>62</v>
      </c>
      <c r="C160" s="8">
        <v>22.333333909511566</v>
      </c>
      <c r="D160" s="8">
        <v>835</v>
      </c>
      <c r="E160" s="11">
        <f t="shared" si="0"/>
        <v>7.4251497005988029E-2</v>
      </c>
      <c r="F160" s="11">
        <f t="shared" si="1"/>
        <v>0.36021506305663814</v>
      </c>
      <c r="G160" s="11">
        <f t="shared" si="2"/>
        <v>2.6746507676061754E-2</v>
      </c>
      <c r="H160" s="8">
        <v>31403</v>
      </c>
      <c r="I160" s="8">
        <v>9</v>
      </c>
      <c r="J160" s="8">
        <v>3.2222222983837128</v>
      </c>
      <c r="K160" s="8">
        <v>125</v>
      </c>
      <c r="L160" s="11">
        <f t="shared" si="3"/>
        <v>7.1999999999999995E-2</v>
      </c>
      <c r="M160" s="11">
        <f t="shared" si="4"/>
        <v>0.35802469982041252</v>
      </c>
      <c r="N160" s="11">
        <f t="shared" si="5"/>
        <v>2.57777783870697E-2</v>
      </c>
      <c r="O160" s="18">
        <f t="shared" si="16"/>
        <v>0.96378109244299315</v>
      </c>
      <c r="U160" s="18"/>
      <c r="V160" s="18"/>
      <c r="W160" s="18"/>
      <c r="X160" s="18"/>
    </row>
    <row r="161" spans="1:24" ht="14.4">
      <c r="A161" s="8">
        <v>31404</v>
      </c>
      <c r="B161" s="8">
        <v>4</v>
      </c>
      <c r="C161" s="8">
        <v>1.444444477558136</v>
      </c>
      <c r="D161" s="8">
        <v>98</v>
      </c>
      <c r="E161" s="11">
        <f t="shared" si="0"/>
        <v>4.0816326530612242E-2</v>
      </c>
      <c r="F161" s="11">
        <f t="shared" si="1"/>
        <v>0.361111119389534</v>
      </c>
      <c r="G161" s="11">
        <f t="shared" si="2"/>
        <v>1.4739229362838122E-2</v>
      </c>
      <c r="H161" s="8">
        <v>31404</v>
      </c>
      <c r="I161" s="8">
        <v>0</v>
      </c>
      <c r="J161" s="8">
        <v>0</v>
      </c>
      <c r="K161" s="8">
        <v>44</v>
      </c>
      <c r="L161" s="11">
        <f t="shared" si="3"/>
        <v>0</v>
      </c>
      <c r="M161" s="11" t="e">
        <f t="shared" si="4"/>
        <v>#DIV/0!</v>
      </c>
      <c r="N161" s="11" t="e">
        <f t="shared" si="5"/>
        <v>#DIV/0!</v>
      </c>
      <c r="O161" s="18" t="s">
        <v>22</v>
      </c>
      <c r="U161" s="18"/>
      <c r="V161" s="18"/>
      <c r="W161" s="18"/>
      <c r="X161" s="18"/>
    </row>
    <row r="162" spans="1:24" ht="14.4">
      <c r="A162" s="8">
        <v>31405</v>
      </c>
      <c r="B162" s="8">
        <v>17</v>
      </c>
      <c r="C162" s="8">
        <v>6.1111112833023071</v>
      </c>
      <c r="D162" s="8">
        <v>150</v>
      </c>
      <c r="E162" s="11">
        <f t="shared" si="0"/>
        <v>0.11333333333333333</v>
      </c>
      <c r="F162" s="11">
        <f t="shared" si="1"/>
        <v>0.35947713431190043</v>
      </c>
      <c r="G162" s="11">
        <f t="shared" si="2"/>
        <v>4.0740741888682049E-2</v>
      </c>
      <c r="H162" s="8">
        <v>31405</v>
      </c>
      <c r="I162" s="8">
        <v>8</v>
      </c>
      <c r="J162" s="8">
        <v>2.888888955116272</v>
      </c>
      <c r="K162" s="8">
        <v>51</v>
      </c>
      <c r="L162" s="11">
        <f t="shared" si="3"/>
        <v>0.15686274509803921</v>
      </c>
      <c r="M162" s="11">
        <f t="shared" si="4"/>
        <v>0.361111119389534</v>
      </c>
      <c r="N162" s="11">
        <f t="shared" si="5"/>
        <v>5.6644881472868079E-2</v>
      </c>
      <c r="O162" s="18">
        <f t="shared" ref="O162:O178" si="17">N162/G162</f>
        <v>1.3903743242487263</v>
      </c>
      <c r="U162" s="18"/>
      <c r="V162" s="18"/>
      <c r="W162" s="18"/>
      <c r="X162" s="18"/>
    </row>
    <row r="163" spans="1:24" ht="14.4">
      <c r="A163" s="8">
        <v>31501</v>
      </c>
      <c r="B163" s="8">
        <v>52</v>
      </c>
      <c r="C163" s="8">
        <v>18.77777823805809</v>
      </c>
      <c r="D163" s="8">
        <v>223</v>
      </c>
      <c r="E163" s="11">
        <f t="shared" si="0"/>
        <v>0.23318385650224216</v>
      </c>
      <c r="F163" s="11">
        <f t="shared" si="1"/>
        <v>0.3611111199626556</v>
      </c>
      <c r="G163" s="11">
        <f t="shared" si="2"/>
        <v>8.4205283578735843E-2</v>
      </c>
      <c r="H163" s="8">
        <v>31501</v>
      </c>
      <c r="I163" s="8">
        <v>18</v>
      </c>
      <c r="J163" s="8">
        <v>6.8888891339302063</v>
      </c>
      <c r="K163" s="8">
        <v>108</v>
      </c>
      <c r="L163" s="11">
        <f t="shared" si="3"/>
        <v>0.16666666666666666</v>
      </c>
      <c r="M163" s="11">
        <f t="shared" si="4"/>
        <v>0.3827160629961226</v>
      </c>
      <c r="N163" s="11">
        <f t="shared" si="5"/>
        <v>6.3786010499353757E-2</v>
      </c>
      <c r="O163" s="18">
        <f t="shared" si="17"/>
        <v>0.75750603511370973</v>
      </c>
      <c r="U163" s="18"/>
      <c r="V163" s="18"/>
      <c r="W163" s="18"/>
      <c r="X163" s="18"/>
    </row>
    <row r="164" spans="1:24" ht="14.4">
      <c r="A164" s="8">
        <v>31601</v>
      </c>
      <c r="B164" s="8">
        <v>155</v>
      </c>
      <c r="C164" s="8">
        <v>62.333334594964981</v>
      </c>
      <c r="D164" s="8">
        <v>664</v>
      </c>
      <c r="E164" s="11">
        <f t="shared" si="0"/>
        <v>0.23343373493975902</v>
      </c>
      <c r="F164" s="11">
        <f t="shared" si="1"/>
        <v>0.40215054577396764</v>
      </c>
      <c r="G164" s="11">
        <f t="shared" si="2"/>
        <v>9.3875503908079791E-2</v>
      </c>
      <c r="H164" s="8">
        <v>31601</v>
      </c>
      <c r="I164" s="8">
        <v>26</v>
      </c>
      <c r="J164" s="8">
        <v>10.666666954755783</v>
      </c>
      <c r="K164" s="8">
        <v>206</v>
      </c>
      <c r="L164" s="11">
        <f t="shared" si="3"/>
        <v>0.12621359223300971</v>
      </c>
      <c r="M164" s="11">
        <f t="shared" si="4"/>
        <v>0.41025642133676088</v>
      </c>
      <c r="N164" s="11">
        <f t="shared" si="5"/>
        <v>5.1779936673571759E-2</v>
      </c>
      <c r="O164" s="18">
        <f t="shared" si="17"/>
        <v>0.55158091853518243</v>
      </c>
      <c r="U164" s="18"/>
      <c r="V164" s="18"/>
      <c r="W164" s="18"/>
      <c r="X164" s="18"/>
    </row>
    <row r="165" spans="1:24" ht="14.4">
      <c r="A165" s="8">
        <v>31602</v>
      </c>
      <c r="B165" s="8">
        <v>339</v>
      </c>
      <c r="C165" s="8">
        <v>126.66666975617409</v>
      </c>
      <c r="D165" s="8">
        <v>2822</v>
      </c>
      <c r="E165" s="11">
        <f t="shared" si="0"/>
        <v>0.12012756909992912</v>
      </c>
      <c r="F165" s="11">
        <f t="shared" si="1"/>
        <v>0.37364799338104449</v>
      </c>
      <c r="G165" s="11">
        <f t="shared" si="2"/>
        <v>4.4885425143931283E-2</v>
      </c>
      <c r="H165" s="8">
        <v>31602</v>
      </c>
      <c r="I165" s="8">
        <v>31</v>
      </c>
      <c r="J165" s="8">
        <v>11.111111402511597</v>
      </c>
      <c r="K165" s="8">
        <v>233</v>
      </c>
      <c r="L165" s="11">
        <f t="shared" si="3"/>
        <v>0.13304721030042918</v>
      </c>
      <c r="M165" s="11">
        <f t="shared" si="4"/>
        <v>0.35842294846811601</v>
      </c>
      <c r="N165" s="11">
        <f t="shared" si="5"/>
        <v>4.7687173401337324E-2</v>
      </c>
      <c r="O165" s="18">
        <f t="shared" si="17"/>
        <v>1.0624200004438378</v>
      </c>
      <c r="U165" s="18"/>
      <c r="V165" s="18"/>
      <c r="W165" s="18"/>
      <c r="X165" s="18"/>
    </row>
    <row r="166" spans="1:24" ht="14.4">
      <c r="A166" s="8">
        <v>40101</v>
      </c>
      <c r="B166" s="8">
        <v>610</v>
      </c>
      <c r="C166" s="8">
        <v>222.88889473676682</v>
      </c>
      <c r="D166" s="8">
        <v>13043</v>
      </c>
      <c r="E166" s="11">
        <f t="shared" si="0"/>
        <v>4.6768381507321932E-2</v>
      </c>
      <c r="F166" s="11">
        <f t="shared" si="1"/>
        <v>0.36539163071601116</v>
      </c>
      <c r="G166" s="11">
        <f t="shared" si="2"/>
        <v>1.7088775184908901E-2</v>
      </c>
      <c r="H166" s="8">
        <v>40101</v>
      </c>
      <c r="I166" s="8">
        <v>113</v>
      </c>
      <c r="J166" s="8">
        <v>43.666667699813843</v>
      </c>
      <c r="K166" s="8">
        <v>1322</v>
      </c>
      <c r="L166" s="11">
        <f t="shared" si="3"/>
        <v>8.5476550680786689E-2</v>
      </c>
      <c r="M166" s="11">
        <f t="shared" si="4"/>
        <v>0.38643068760897203</v>
      </c>
      <c r="N166" s="11">
        <f t="shared" si="5"/>
        <v>3.3030762254019547E-2</v>
      </c>
      <c r="O166" s="18">
        <f t="shared" si="17"/>
        <v>1.9328923165417389</v>
      </c>
      <c r="U166" s="18"/>
      <c r="V166" s="18"/>
      <c r="W166" s="18"/>
      <c r="X166" s="18"/>
    </row>
    <row r="167" spans="1:24" ht="14.4">
      <c r="A167" s="8">
        <v>40102</v>
      </c>
      <c r="B167" s="8">
        <v>92</v>
      </c>
      <c r="C167" s="8">
        <v>31.888889729976654</v>
      </c>
      <c r="D167" s="8">
        <v>1053</v>
      </c>
      <c r="E167" s="11">
        <f t="shared" si="0"/>
        <v>8.7369420702754039E-2</v>
      </c>
      <c r="F167" s="11">
        <f t="shared" si="1"/>
        <v>0.34661836663018103</v>
      </c>
      <c r="G167" s="11">
        <f t="shared" si="2"/>
        <v>3.0283845897413727E-2</v>
      </c>
      <c r="H167" s="8">
        <v>40102</v>
      </c>
      <c r="I167" s="8">
        <v>25</v>
      </c>
      <c r="J167" s="8">
        <v>8.4444446861743927</v>
      </c>
      <c r="K167" s="8">
        <v>284</v>
      </c>
      <c r="L167" s="11">
        <f t="shared" si="3"/>
        <v>8.8028169014084501E-2</v>
      </c>
      <c r="M167" s="11">
        <f t="shared" si="4"/>
        <v>0.33777778744697573</v>
      </c>
      <c r="N167" s="11">
        <f t="shared" si="5"/>
        <v>2.9733960162585889E-2</v>
      </c>
      <c r="O167" s="18">
        <f t="shared" si="17"/>
        <v>0.981842275360581</v>
      </c>
      <c r="U167" s="18"/>
      <c r="V167" s="18"/>
      <c r="W167" s="18"/>
      <c r="X167" s="18"/>
    </row>
    <row r="168" spans="1:24" ht="14.4">
      <c r="A168" s="8">
        <v>40103</v>
      </c>
      <c r="B168" s="8">
        <v>195</v>
      </c>
      <c r="C168" s="8">
        <v>71.444446116685867</v>
      </c>
      <c r="D168" s="8">
        <v>425</v>
      </c>
      <c r="E168" s="11">
        <f t="shared" si="0"/>
        <v>0.45882352941176469</v>
      </c>
      <c r="F168" s="11">
        <f t="shared" si="1"/>
        <v>0.3663817749573634</v>
      </c>
      <c r="G168" s="11">
        <f t="shared" si="2"/>
        <v>0.16810457909808438</v>
      </c>
      <c r="H168" s="8">
        <v>40103</v>
      </c>
      <c r="I168" s="8">
        <v>277</v>
      </c>
      <c r="J168" s="8">
        <v>104.44444698095322</v>
      </c>
      <c r="K168" s="8">
        <v>421</v>
      </c>
      <c r="L168" s="11">
        <f t="shared" si="3"/>
        <v>0.65795724465558192</v>
      </c>
      <c r="M168" s="11">
        <f t="shared" si="4"/>
        <v>0.37705576527419932</v>
      </c>
      <c r="N168" s="11">
        <f t="shared" si="5"/>
        <v>0.24808657240131404</v>
      </c>
      <c r="O168" s="18">
        <f t="shared" si="17"/>
        <v>1.4757871185445959</v>
      </c>
      <c r="U168" s="18"/>
      <c r="V168" s="18"/>
      <c r="W168" s="18"/>
      <c r="X168" s="18"/>
    </row>
    <row r="169" spans="1:24" ht="14.4">
      <c r="A169" s="8">
        <v>40104</v>
      </c>
      <c r="B169" s="8">
        <v>113</v>
      </c>
      <c r="C169" s="8">
        <v>39.777778774499893</v>
      </c>
      <c r="D169" s="8">
        <v>740</v>
      </c>
      <c r="E169" s="11">
        <f t="shared" si="0"/>
        <v>0.1527027027027027</v>
      </c>
      <c r="F169" s="11">
        <f t="shared" si="1"/>
        <v>0.35201574136725572</v>
      </c>
      <c r="G169" s="11">
        <f t="shared" si="2"/>
        <v>5.3753755100675531E-2</v>
      </c>
      <c r="H169" s="8">
        <v>40104</v>
      </c>
      <c r="I169" s="8">
        <v>70</v>
      </c>
      <c r="J169" s="8">
        <v>25.333334028720856</v>
      </c>
      <c r="K169" s="8">
        <v>274</v>
      </c>
      <c r="L169" s="11">
        <f t="shared" si="3"/>
        <v>0.25547445255474455</v>
      </c>
      <c r="M169" s="11">
        <f t="shared" si="4"/>
        <v>0.36190477183886938</v>
      </c>
      <c r="N169" s="11">
        <f t="shared" si="5"/>
        <v>9.2457423462484881E-2</v>
      </c>
      <c r="O169" s="18">
        <f t="shared" si="17"/>
        <v>1.7200179464545531</v>
      </c>
      <c r="U169" s="18"/>
      <c r="V169" s="18"/>
      <c r="W169" s="18"/>
      <c r="X169" s="18"/>
    </row>
    <row r="170" spans="1:24" ht="14.4">
      <c r="A170" s="8">
        <v>40201</v>
      </c>
      <c r="B170" s="8">
        <v>137</v>
      </c>
      <c r="C170" s="8">
        <v>48.777779042720795</v>
      </c>
      <c r="D170" s="8">
        <v>1342</v>
      </c>
      <c r="E170" s="11">
        <f t="shared" si="0"/>
        <v>0.10208643815201192</v>
      </c>
      <c r="F170" s="11">
        <f t="shared" si="1"/>
        <v>0.35604218279358246</v>
      </c>
      <c r="G170" s="11">
        <f t="shared" si="2"/>
        <v>3.6347078273264381E-2</v>
      </c>
      <c r="H170" s="8">
        <v>40201</v>
      </c>
      <c r="I170" s="8">
        <v>73</v>
      </c>
      <c r="J170" s="8">
        <v>26.222222894430161</v>
      </c>
      <c r="K170" s="8">
        <v>354</v>
      </c>
      <c r="L170" s="11">
        <f t="shared" si="3"/>
        <v>0.20621468926553671</v>
      </c>
      <c r="M170" s="11">
        <f t="shared" si="4"/>
        <v>0.35920853280041315</v>
      </c>
      <c r="N170" s="11">
        <f t="shared" si="5"/>
        <v>7.4074075972966544E-2</v>
      </c>
      <c r="O170" s="18">
        <f t="shared" si="17"/>
        <v>2.0379650715268851</v>
      </c>
      <c r="U170" s="18"/>
      <c r="V170" s="18"/>
      <c r="W170" s="18"/>
      <c r="X170" s="18"/>
    </row>
    <row r="171" spans="1:24" ht="14.4">
      <c r="A171" s="8">
        <v>40202</v>
      </c>
      <c r="B171" s="8">
        <v>112</v>
      </c>
      <c r="C171" s="8">
        <v>40.111112087965012</v>
      </c>
      <c r="D171" s="8">
        <v>307</v>
      </c>
      <c r="E171" s="11">
        <f t="shared" si="0"/>
        <v>0.36482084690553745</v>
      </c>
      <c r="F171" s="11">
        <f t="shared" si="1"/>
        <v>0.35813492935683044</v>
      </c>
      <c r="G171" s="11">
        <f t="shared" si="2"/>
        <v>0.13065508823441371</v>
      </c>
      <c r="H171" s="8">
        <v>40202</v>
      </c>
      <c r="I171" s="8">
        <v>64</v>
      </c>
      <c r="J171" s="8">
        <v>23.444444954395294</v>
      </c>
      <c r="K171" s="8">
        <v>182</v>
      </c>
      <c r="L171" s="11">
        <f t="shared" si="3"/>
        <v>0.35164835164835168</v>
      </c>
      <c r="M171" s="11">
        <f t="shared" si="4"/>
        <v>0.36631945241242647</v>
      </c>
      <c r="N171" s="11">
        <f t="shared" si="5"/>
        <v>0.12881563161755658</v>
      </c>
      <c r="O171" s="18">
        <f t="shared" si="17"/>
        <v>0.98592127836952748</v>
      </c>
      <c r="U171" s="18"/>
      <c r="V171" s="18"/>
      <c r="W171" s="18"/>
      <c r="X171" s="18"/>
    </row>
    <row r="172" spans="1:24" ht="14.4">
      <c r="A172" s="8">
        <v>40301</v>
      </c>
      <c r="B172" s="8">
        <v>202</v>
      </c>
      <c r="C172" s="8">
        <v>78.888890504837036</v>
      </c>
      <c r="D172" s="8">
        <v>923</v>
      </c>
      <c r="E172" s="11">
        <f t="shared" si="0"/>
        <v>0.21885157096424701</v>
      </c>
      <c r="F172" s="11">
        <f t="shared" si="1"/>
        <v>0.39053906190513382</v>
      </c>
      <c r="G172" s="11">
        <f t="shared" si="2"/>
        <v>8.5470087220841845E-2</v>
      </c>
      <c r="H172" s="8">
        <v>40301</v>
      </c>
      <c r="I172" s="8">
        <v>160</v>
      </c>
      <c r="J172" s="8">
        <v>58.777779251337051</v>
      </c>
      <c r="K172" s="8">
        <v>510</v>
      </c>
      <c r="L172" s="11">
        <f t="shared" si="3"/>
        <v>0.31372549019607843</v>
      </c>
      <c r="M172" s="11">
        <f t="shared" si="4"/>
        <v>0.36736112032085655</v>
      </c>
      <c r="N172" s="11">
        <f t="shared" si="5"/>
        <v>0.11525054755164127</v>
      </c>
      <c r="O172" s="18">
        <f t="shared" si="17"/>
        <v>1.3484313787331372</v>
      </c>
      <c r="U172" s="18"/>
      <c r="V172" s="18"/>
      <c r="W172" s="18"/>
      <c r="X172" s="18"/>
    </row>
    <row r="173" spans="1:24" ht="14.4">
      <c r="A173" s="8">
        <v>40302</v>
      </c>
      <c r="B173" s="8">
        <v>31</v>
      </c>
      <c r="C173" s="8">
        <v>11.222222566604614</v>
      </c>
      <c r="D173" s="8">
        <v>122</v>
      </c>
      <c r="E173" s="11">
        <f t="shared" si="0"/>
        <v>0.25409836065573771</v>
      </c>
      <c r="F173" s="11">
        <f t="shared" si="1"/>
        <v>0.3620071795678908</v>
      </c>
      <c r="G173" s="11">
        <f t="shared" si="2"/>
        <v>9.1985430873808324E-2</v>
      </c>
      <c r="H173" s="8">
        <v>40302</v>
      </c>
      <c r="I173" s="8">
        <v>17</v>
      </c>
      <c r="J173" s="8">
        <v>6.1111112534999847</v>
      </c>
      <c r="K173" s="8">
        <v>92</v>
      </c>
      <c r="L173" s="11">
        <f t="shared" si="3"/>
        <v>0.18478260869565216</v>
      </c>
      <c r="M173" s="11">
        <f t="shared" si="4"/>
        <v>0.35947713255882263</v>
      </c>
      <c r="N173" s="11">
        <f t="shared" si="5"/>
        <v>6.6425122320652008E-2</v>
      </c>
      <c r="O173" s="18">
        <f t="shared" si="17"/>
        <v>0.72212655514739466</v>
      </c>
      <c r="U173" s="18"/>
      <c r="V173" s="18"/>
      <c r="W173" s="18"/>
      <c r="X173" s="18"/>
    </row>
    <row r="174" spans="1:24" ht="14.4">
      <c r="A174" s="8">
        <v>40401</v>
      </c>
      <c r="B174" s="8">
        <v>41</v>
      </c>
      <c r="C174" s="8">
        <v>15.000000387430191</v>
      </c>
      <c r="D174" s="8">
        <v>253</v>
      </c>
      <c r="E174" s="11">
        <f t="shared" si="0"/>
        <v>0.16205533596837945</v>
      </c>
      <c r="F174" s="11">
        <f t="shared" si="1"/>
        <v>0.36585366798610219</v>
      </c>
      <c r="G174" s="11">
        <f t="shared" si="2"/>
        <v>5.928853908075174E-2</v>
      </c>
      <c r="H174" s="8">
        <v>40401</v>
      </c>
      <c r="I174" s="8">
        <v>8</v>
      </c>
      <c r="J174" s="8">
        <v>3.4444445371627808</v>
      </c>
      <c r="K174" s="8">
        <v>88</v>
      </c>
      <c r="L174" s="11">
        <f t="shared" si="3"/>
        <v>9.0909090909090912E-2</v>
      </c>
      <c r="M174" s="11">
        <f t="shared" si="4"/>
        <v>0.4305555671453476</v>
      </c>
      <c r="N174" s="11">
        <f t="shared" si="5"/>
        <v>3.9141415195031601E-2</v>
      </c>
      <c r="O174" s="18">
        <f t="shared" si="17"/>
        <v>0.66018518590448816</v>
      </c>
      <c r="U174" s="18"/>
      <c r="V174" s="18"/>
      <c r="W174" s="18"/>
      <c r="X174" s="18"/>
    </row>
    <row r="175" spans="1:24" ht="14.4">
      <c r="A175" s="8">
        <v>40402</v>
      </c>
      <c r="B175" s="8">
        <v>59</v>
      </c>
      <c r="C175" s="8">
        <v>21.000000566244125</v>
      </c>
      <c r="D175" s="8">
        <v>258</v>
      </c>
      <c r="E175" s="11">
        <f t="shared" si="0"/>
        <v>0.22868217054263565</v>
      </c>
      <c r="F175" s="11">
        <f t="shared" si="1"/>
        <v>0.35593221298718858</v>
      </c>
      <c r="G175" s="11">
        <f t="shared" si="2"/>
        <v>8.1395351031953972E-2</v>
      </c>
      <c r="H175" s="8">
        <v>40402</v>
      </c>
      <c r="I175" s="8">
        <v>18</v>
      </c>
      <c r="J175" s="8">
        <v>6.4444445967674255</v>
      </c>
      <c r="K175" s="8">
        <v>62</v>
      </c>
      <c r="L175" s="11">
        <f t="shared" si="3"/>
        <v>0.29032258064516131</v>
      </c>
      <c r="M175" s="11">
        <f t="shared" si="4"/>
        <v>0.35802469982041252</v>
      </c>
      <c r="N175" s="11">
        <f t="shared" si="5"/>
        <v>0.10394265478657139</v>
      </c>
      <c r="O175" s="18">
        <f t="shared" si="17"/>
        <v>1.2770097243731506</v>
      </c>
      <c r="U175" s="18"/>
      <c r="V175" s="18"/>
      <c r="W175" s="18"/>
      <c r="X175" s="18"/>
    </row>
    <row r="176" spans="1:24" ht="14.4">
      <c r="A176" s="8">
        <v>40501</v>
      </c>
      <c r="B176" s="8">
        <v>1</v>
      </c>
      <c r="C176" s="8">
        <v>0.3333333432674408</v>
      </c>
      <c r="D176" s="8">
        <v>366</v>
      </c>
      <c r="E176" s="11">
        <f t="shared" si="0"/>
        <v>2.7322404371584699E-3</v>
      </c>
      <c r="F176" s="11">
        <f t="shared" si="1"/>
        <v>0.3333333432674408</v>
      </c>
      <c r="G176" s="11">
        <f t="shared" si="2"/>
        <v>9.1074683952852681E-4</v>
      </c>
      <c r="H176" s="8">
        <v>40501</v>
      </c>
      <c r="I176" s="8">
        <v>2</v>
      </c>
      <c r="J176" s="8">
        <v>0.8888888955116272</v>
      </c>
      <c r="K176" s="8">
        <v>93</v>
      </c>
      <c r="L176" s="11">
        <f t="shared" si="3"/>
        <v>2.1505376344086023E-2</v>
      </c>
      <c r="M176" s="11">
        <f t="shared" si="4"/>
        <v>0.4444444477558136</v>
      </c>
      <c r="N176" s="11">
        <f t="shared" si="5"/>
        <v>9.5579451130282499E-3</v>
      </c>
      <c r="O176" s="18">
        <f t="shared" si="17"/>
        <v>10.494623421340867</v>
      </c>
      <c r="U176" s="18"/>
      <c r="V176" s="18"/>
      <c r="W176" s="18"/>
      <c r="X176" s="18"/>
    </row>
    <row r="177" spans="1:24" ht="14.4">
      <c r="A177" s="8">
        <v>40502</v>
      </c>
      <c r="B177" s="8">
        <v>29</v>
      </c>
      <c r="C177" s="8">
        <v>11.555555820465088</v>
      </c>
      <c r="D177" s="8">
        <v>230</v>
      </c>
      <c r="E177" s="11">
        <f t="shared" si="0"/>
        <v>0.12608695652173912</v>
      </c>
      <c r="F177" s="11">
        <f t="shared" si="1"/>
        <v>0.39846744208500301</v>
      </c>
      <c r="G177" s="11">
        <f t="shared" si="2"/>
        <v>5.0241547045500379E-2</v>
      </c>
      <c r="H177" s="8">
        <v>40502</v>
      </c>
      <c r="I177" s="8">
        <v>7</v>
      </c>
      <c r="J177" s="8">
        <v>2.5555556416511536</v>
      </c>
      <c r="K177" s="8">
        <v>81</v>
      </c>
      <c r="L177" s="11">
        <f t="shared" si="3"/>
        <v>8.6419753086419748E-2</v>
      </c>
      <c r="M177" s="11">
        <f t="shared" si="4"/>
        <v>0.36507937737873625</v>
      </c>
      <c r="N177" s="11">
        <f t="shared" si="5"/>
        <v>3.1550069650014244E-2</v>
      </c>
      <c r="O177" s="18">
        <f t="shared" si="17"/>
        <v>0.62796771806094021</v>
      </c>
      <c r="U177" s="18"/>
      <c r="V177" s="18"/>
      <c r="W177" s="18"/>
      <c r="X177" s="18"/>
    </row>
    <row r="178" spans="1:24" ht="14.4">
      <c r="A178" s="8">
        <v>40503</v>
      </c>
      <c r="B178" s="8">
        <v>11</v>
      </c>
      <c r="C178" s="8">
        <v>3.8888889849185944</v>
      </c>
      <c r="D178" s="8">
        <v>133</v>
      </c>
      <c r="E178" s="11">
        <f t="shared" si="0"/>
        <v>8.2706766917293228E-2</v>
      </c>
      <c r="F178" s="11">
        <f t="shared" si="1"/>
        <v>0.35353536226532678</v>
      </c>
      <c r="G178" s="11">
        <f t="shared" si="2"/>
        <v>2.9239766803899205E-2</v>
      </c>
      <c r="H178" s="8">
        <v>40503</v>
      </c>
      <c r="I178" s="8">
        <v>8</v>
      </c>
      <c r="J178" s="8">
        <v>2.6666667461395264</v>
      </c>
      <c r="K178" s="8">
        <v>26</v>
      </c>
      <c r="L178" s="11">
        <f t="shared" si="3"/>
        <v>0.30769230769230771</v>
      </c>
      <c r="M178" s="11">
        <f t="shared" si="4"/>
        <v>0.3333333432674408</v>
      </c>
      <c r="N178" s="11">
        <f t="shared" si="5"/>
        <v>0.10256410562075102</v>
      </c>
      <c r="O178" s="18">
        <f t="shared" si="17"/>
        <v>3.507692325613001</v>
      </c>
      <c r="U178" s="18"/>
      <c r="V178" s="18"/>
      <c r="W178" s="18"/>
      <c r="X178" s="18"/>
    </row>
    <row r="179" spans="1:24" ht="14.4">
      <c r="A179" s="8">
        <v>40504</v>
      </c>
      <c r="B179" s="8">
        <v>1</v>
      </c>
      <c r="C179" s="8">
        <v>0.3333333432674408</v>
      </c>
      <c r="D179" s="8">
        <v>95</v>
      </c>
      <c r="E179" s="11">
        <f t="shared" si="0"/>
        <v>1.0526315789473684E-2</v>
      </c>
      <c r="F179" s="11">
        <f t="shared" si="1"/>
        <v>0.3333333432674408</v>
      </c>
      <c r="G179" s="11">
        <f t="shared" si="2"/>
        <v>3.5087720343941137E-3</v>
      </c>
      <c r="H179" s="8">
        <v>40504</v>
      </c>
      <c r="I179" s="8">
        <v>0</v>
      </c>
      <c r="J179" s="8">
        <v>0</v>
      </c>
      <c r="K179" s="8">
        <v>15</v>
      </c>
      <c r="L179" s="11">
        <f t="shared" si="3"/>
        <v>0</v>
      </c>
      <c r="M179" s="11" t="e">
        <f t="shared" si="4"/>
        <v>#DIV/0!</v>
      </c>
      <c r="N179" s="11" t="e">
        <f t="shared" si="5"/>
        <v>#DIV/0!</v>
      </c>
      <c r="O179" s="18" t="s">
        <v>22</v>
      </c>
      <c r="U179" s="18"/>
      <c r="V179" s="18"/>
      <c r="W179" s="18"/>
      <c r="X179" s="18"/>
    </row>
    <row r="180" spans="1:24" ht="14.4">
      <c r="A180" s="8">
        <v>40505</v>
      </c>
      <c r="B180" s="8">
        <v>15</v>
      </c>
      <c r="C180" s="8">
        <v>5.2222223877906799</v>
      </c>
      <c r="D180" s="8">
        <v>227</v>
      </c>
      <c r="E180" s="11">
        <f t="shared" si="0"/>
        <v>6.6079295154185022E-2</v>
      </c>
      <c r="F180" s="11">
        <f t="shared" si="1"/>
        <v>0.3481481591860453</v>
      </c>
      <c r="G180" s="11">
        <f t="shared" si="2"/>
        <v>2.300538496824088E-2</v>
      </c>
      <c r="H180" s="8">
        <v>40505</v>
      </c>
      <c r="I180" s="8">
        <v>0</v>
      </c>
      <c r="J180" s="8">
        <v>0</v>
      </c>
      <c r="K180" s="8">
        <v>33</v>
      </c>
      <c r="L180" s="11">
        <f t="shared" si="3"/>
        <v>0</v>
      </c>
      <c r="M180" s="11" t="e">
        <f t="shared" si="4"/>
        <v>#DIV/0!</v>
      </c>
      <c r="N180" s="11" t="e">
        <f t="shared" si="5"/>
        <v>#DIV/0!</v>
      </c>
      <c r="O180" s="18" t="s">
        <v>22</v>
      </c>
      <c r="U180" s="18"/>
      <c r="V180" s="18"/>
      <c r="W180" s="18"/>
      <c r="X180" s="18"/>
    </row>
    <row r="181" spans="1:24" ht="14.4">
      <c r="A181" s="8">
        <v>40601</v>
      </c>
      <c r="B181" s="8">
        <v>62</v>
      </c>
      <c r="C181" s="8">
        <v>22.777778327465057</v>
      </c>
      <c r="D181" s="8">
        <v>718</v>
      </c>
      <c r="E181" s="11">
        <f t="shared" si="0"/>
        <v>8.6350974930362118E-2</v>
      </c>
      <c r="F181" s="11">
        <f t="shared" si="1"/>
        <v>0.36738352141072672</v>
      </c>
      <c r="G181" s="11">
        <f t="shared" si="2"/>
        <v>3.1723925247165816E-2</v>
      </c>
      <c r="H181" s="8">
        <v>40601</v>
      </c>
      <c r="I181" s="8">
        <v>51</v>
      </c>
      <c r="J181" s="8">
        <v>17.333333820104599</v>
      </c>
      <c r="K181" s="8">
        <v>277</v>
      </c>
      <c r="L181" s="11">
        <f t="shared" si="3"/>
        <v>0.18411552346570398</v>
      </c>
      <c r="M181" s="11">
        <f t="shared" si="4"/>
        <v>0.33986929059028625</v>
      </c>
      <c r="N181" s="11">
        <f t="shared" si="5"/>
        <v>6.2575212346948017E-2</v>
      </c>
      <c r="O181" s="18">
        <f t="shared" ref="O181:O188" si="18">N181/G181</f>
        <v>1.9724927435497102</v>
      </c>
      <c r="U181" s="18"/>
      <c r="V181" s="18"/>
      <c r="W181" s="18"/>
      <c r="X181" s="18"/>
    </row>
    <row r="182" spans="1:24" ht="14.4">
      <c r="A182" s="8">
        <v>40602</v>
      </c>
      <c r="B182" s="8">
        <v>23</v>
      </c>
      <c r="C182" s="8">
        <v>8.4444446265697479</v>
      </c>
      <c r="D182" s="8">
        <v>268</v>
      </c>
      <c r="E182" s="11">
        <f t="shared" si="0"/>
        <v>8.5820895522388058E-2</v>
      </c>
      <c r="F182" s="11">
        <f t="shared" si="1"/>
        <v>0.36714976637259772</v>
      </c>
      <c r="G182" s="11">
        <f t="shared" si="2"/>
        <v>3.1509121740931893E-2</v>
      </c>
      <c r="H182" s="8">
        <v>40602</v>
      </c>
      <c r="I182" s="8">
        <v>13</v>
      </c>
      <c r="J182" s="8">
        <v>5.2222223579883575</v>
      </c>
      <c r="K182" s="8">
        <v>102</v>
      </c>
      <c r="L182" s="11">
        <f t="shared" si="3"/>
        <v>0.12745098039215685</v>
      </c>
      <c r="M182" s="11">
        <f t="shared" si="4"/>
        <v>0.40170941215295058</v>
      </c>
      <c r="N182" s="11">
        <f t="shared" si="5"/>
        <v>5.1198258411650564E-2</v>
      </c>
      <c r="O182" s="18">
        <f t="shared" si="18"/>
        <v>1.6248710082306583</v>
      </c>
      <c r="U182" s="18"/>
      <c r="V182" s="18"/>
      <c r="W182" s="18"/>
      <c r="X182" s="18"/>
    </row>
    <row r="183" spans="1:24" ht="14.4">
      <c r="A183" s="8">
        <v>40603</v>
      </c>
      <c r="B183" s="8">
        <v>16</v>
      </c>
      <c r="C183" s="8">
        <v>5.3333334922790527</v>
      </c>
      <c r="D183" s="8">
        <v>303</v>
      </c>
      <c r="E183" s="11">
        <f t="shared" si="0"/>
        <v>5.2805280528052806E-2</v>
      </c>
      <c r="F183" s="11">
        <f t="shared" si="1"/>
        <v>0.3333333432674408</v>
      </c>
      <c r="G183" s="11">
        <f t="shared" si="2"/>
        <v>1.7601760700590934E-2</v>
      </c>
      <c r="H183" s="8">
        <v>40603</v>
      </c>
      <c r="I183" s="8">
        <v>15</v>
      </c>
      <c r="J183" s="8">
        <v>5.2222223579883575</v>
      </c>
      <c r="K183" s="8">
        <v>118</v>
      </c>
      <c r="L183" s="11">
        <f t="shared" si="3"/>
        <v>0.1271186440677966</v>
      </c>
      <c r="M183" s="11">
        <f t="shared" si="4"/>
        <v>0.34814815719922382</v>
      </c>
      <c r="N183" s="11">
        <f t="shared" si="5"/>
        <v>4.4256121677867431E-2</v>
      </c>
      <c r="O183" s="18">
        <f t="shared" si="18"/>
        <v>2.5143008378918394</v>
      </c>
      <c r="U183" s="18"/>
      <c r="V183" s="18"/>
      <c r="W183" s="18"/>
      <c r="X183" s="18"/>
    </row>
    <row r="184" spans="1:24" ht="14.4">
      <c r="A184" s="8">
        <v>40701</v>
      </c>
      <c r="B184" s="8">
        <v>26</v>
      </c>
      <c r="C184" s="8">
        <v>8.8888891339302063</v>
      </c>
      <c r="D184" s="8">
        <v>770</v>
      </c>
      <c r="E184" s="11">
        <f t="shared" si="0"/>
        <v>3.3766233766233764E-2</v>
      </c>
      <c r="F184" s="11">
        <f t="shared" si="1"/>
        <v>0.34188035130500793</v>
      </c>
      <c r="G184" s="11">
        <f t="shared" si="2"/>
        <v>1.154401186224702E-2</v>
      </c>
      <c r="H184" s="8">
        <v>40701</v>
      </c>
      <c r="I184" s="8">
        <v>3</v>
      </c>
      <c r="J184" s="8">
        <v>1.0000000298023224</v>
      </c>
      <c r="K184" s="8">
        <v>126</v>
      </c>
      <c r="L184" s="11">
        <f t="shared" si="3"/>
        <v>2.3809523809523808E-2</v>
      </c>
      <c r="M184" s="11">
        <f t="shared" si="4"/>
        <v>0.3333333432674408</v>
      </c>
      <c r="N184" s="11">
        <f t="shared" si="5"/>
        <v>7.936508173034304E-3</v>
      </c>
      <c r="O184" s="18">
        <f t="shared" si="18"/>
        <v>0.68750000153668223</v>
      </c>
      <c r="U184" s="18"/>
      <c r="V184" s="18"/>
      <c r="W184" s="18"/>
      <c r="X184" s="18"/>
    </row>
    <row r="185" spans="1:24" ht="14.4">
      <c r="A185" s="8">
        <v>40702</v>
      </c>
      <c r="B185" s="8">
        <v>18</v>
      </c>
      <c r="C185" s="8">
        <v>6.8888890147209167</v>
      </c>
      <c r="D185" s="8">
        <v>324</v>
      </c>
      <c r="E185" s="11">
        <f t="shared" si="0"/>
        <v>5.5555555555555552E-2</v>
      </c>
      <c r="F185" s="11">
        <f t="shared" si="1"/>
        <v>0.38271605637338424</v>
      </c>
      <c r="G185" s="11">
        <f t="shared" si="2"/>
        <v>2.1262003131854678E-2</v>
      </c>
      <c r="H185" s="8">
        <v>40702</v>
      </c>
      <c r="I185" s="8">
        <v>3</v>
      </c>
      <c r="J185" s="8">
        <v>1.0000000298023224</v>
      </c>
      <c r="K185" s="8">
        <v>68</v>
      </c>
      <c r="L185" s="11">
        <f t="shared" si="3"/>
        <v>4.4117647058823532E-2</v>
      </c>
      <c r="M185" s="11">
        <f t="shared" si="4"/>
        <v>0.3333333432674408</v>
      </c>
      <c r="N185" s="11">
        <f t="shared" si="5"/>
        <v>1.4705882791210625E-2</v>
      </c>
      <c r="O185" s="18">
        <f t="shared" si="18"/>
        <v>0.69165086186909219</v>
      </c>
      <c r="U185" s="18"/>
      <c r="V185" s="18"/>
      <c r="W185" s="18"/>
      <c r="X185" s="18"/>
    </row>
    <row r="186" spans="1:24" ht="14.4">
      <c r="A186" s="8">
        <v>40801</v>
      </c>
      <c r="B186" s="8">
        <v>147</v>
      </c>
      <c r="C186" s="8">
        <v>53.666667997837067</v>
      </c>
      <c r="D186" s="8">
        <v>1072</v>
      </c>
      <c r="E186" s="11">
        <f t="shared" si="0"/>
        <v>0.13712686567164178</v>
      </c>
      <c r="F186" s="11">
        <f t="shared" si="1"/>
        <v>0.36507937413494601</v>
      </c>
      <c r="G186" s="11">
        <f t="shared" si="2"/>
        <v>5.0062190296489797E-2</v>
      </c>
      <c r="H186" s="8">
        <v>40801</v>
      </c>
      <c r="I186" s="8">
        <v>72</v>
      </c>
      <c r="J186" s="8">
        <v>25.333334028720856</v>
      </c>
      <c r="K186" s="8">
        <v>563</v>
      </c>
      <c r="L186" s="11">
        <f t="shared" si="3"/>
        <v>0.12788632326820604</v>
      </c>
      <c r="M186" s="11">
        <f t="shared" si="4"/>
        <v>0.35185186151001191</v>
      </c>
      <c r="N186" s="11">
        <f t="shared" si="5"/>
        <v>4.4997040903589441E-2</v>
      </c>
      <c r="O186" s="18">
        <f t="shared" si="18"/>
        <v>0.89882285687257457</v>
      </c>
      <c r="U186" s="18"/>
      <c r="V186" s="18"/>
      <c r="W186" s="18"/>
      <c r="X186" s="18"/>
    </row>
    <row r="187" spans="1:24" ht="14.4">
      <c r="A187" s="8">
        <v>40802</v>
      </c>
      <c r="B187" s="8">
        <v>62</v>
      </c>
      <c r="C187" s="8">
        <v>22.222222775220871</v>
      </c>
      <c r="D187" s="8">
        <v>243</v>
      </c>
      <c r="E187" s="11">
        <f t="shared" si="0"/>
        <v>0.2551440329218107</v>
      </c>
      <c r="F187" s="11">
        <f t="shared" si="1"/>
        <v>0.3584229479874334</v>
      </c>
      <c r="G187" s="11">
        <f t="shared" si="2"/>
        <v>9.1449476441238159E-2</v>
      </c>
      <c r="H187" s="8">
        <v>40802</v>
      </c>
      <c r="I187" s="8">
        <v>30</v>
      </c>
      <c r="J187" s="8">
        <v>11.33333358168602</v>
      </c>
      <c r="K187" s="8">
        <v>136</v>
      </c>
      <c r="L187" s="11">
        <f t="shared" si="3"/>
        <v>0.22058823529411764</v>
      </c>
      <c r="M187" s="11">
        <f t="shared" si="4"/>
        <v>0.37777778605620066</v>
      </c>
      <c r="N187" s="11">
        <f t="shared" si="5"/>
        <v>8.3333335159456026E-2</v>
      </c>
      <c r="O187" s="18">
        <f t="shared" si="18"/>
        <v>0.91124999729225076</v>
      </c>
      <c r="U187" s="18"/>
      <c r="V187" s="18"/>
      <c r="W187" s="18"/>
      <c r="X187" s="18"/>
    </row>
    <row r="188" spans="1:24" ht="14.4">
      <c r="A188" s="8">
        <v>40901</v>
      </c>
      <c r="B188" s="8">
        <v>93</v>
      </c>
      <c r="C188" s="8">
        <v>34.222223073244095</v>
      </c>
      <c r="D188" s="8">
        <v>1136</v>
      </c>
      <c r="E188" s="11">
        <f t="shared" si="0"/>
        <v>8.1866197183098594E-2</v>
      </c>
      <c r="F188" s="11">
        <f t="shared" si="1"/>
        <v>0.36798089326068917</v>
      </c>
      <c r="G188" s="11">
        <f t="shared" si="2"/>
        <v>3.0125196367292335E-2</v>
      </c>
      <c r="H188" s="8">
        <v>40901</v>
      </c>
      <c r="I188" s="8">
        <v>21</v>
      </c>
      <c r="J188" s="8">
        <v>9.2222224175930023</v>
      </c>
      <c r="K188" s="8">
        <v>288</v>
      </c>
      <c r="L188" s="11">
        <f t="shared" si="3"/>
        <v>7.2916666666666671E-2</v>
      </c>
      <c r="M188" s="11">
        <f t="shared" si="4"/>
        <v>0.43915344845680965</v>
      </c>
      <c r="N188" s="11">
        <f t="shared" si="5"/>
        <v>3.2021605616642371E-2</v>
      </c>
      <c r="O188" s="18">
        <f t="shared" si="18"/>
        <v>1.0629509340363674</v>
      </c>
      <c r="U188" s="18"/>
      <c r="V188" s="18"/>
      <c r="W188" s="18"/>
      <c r="X188" s="18"/>
    </row>
    <row r="189" spans="1:24" ht="14.4">
      <c r="A189" s="8">
        <v>40902</v>
      </c>
      <c r="B189" s="8">
        <v>2</v>
      </c>
      <c r="C189" s="8">
        <v>0.66666668653488159</v>
      </c>
      <c r="D189" s="8">
        <v>84</v>
      </c>
      <c r="E189" s="11">
        <f t="shared" si="0"/>
        <v>2.3809523809523808E-2</v>
      </c>
      <c r="F189" s="11">
        <f t="shared" si="1"/>
        <v>0.3333333432674408</v>
      </c>
      <c r="G189" s="11">
        <f t="shared" si="2"/>
        <v>7.936508173034304E-3</v>
      </c>
      <c r="H189" s="8">
        <v>40902</v>
      </c>
      <c r="I189" s="8">
        <v>0</v>
      </c>
      <c r="J189" s="8">
        <v>0</v>
      </c>
      <c r="K189" s="8">
        <v>27</v>
      </c>
      <c r="L189" s="11">
        <f t="shared" si="3"/>
        <v>0</v>
      </c>
      <c r="M189" s="11" t="e">
        <f t="shared" si="4"/>
        <v>#DIV/0!</v>
      </c>
      <c r="N189" s="11" t="e">
        <f t="shared" si="5"/>
        <v>#DIV/0!</v>
      </c>
      <c r="O189" s="18" t="s">
        <v>22</v>
      </c>
      <c r="U189" s="18"/>
      <c r="V189" s="18"/>
      <c r="W189" s="18"/>
      <c r="X189" s="18"/>
    </row>
    <row r="190" spans="1:24" ht="14.4">
      <c r="A190" s="8">
        <v>40903</v>
      </c>
      <c r="B190" s="8">
        <v>5</v>
      </c>
      <c r="C190" s="8">
        <v>2.0000000596046448</v>
      </c>
      <c r="D190" s="8">
        <v>28</v>
      </c>
      <c r="E190" s="11">
        <f t="shared" si="0"/>
        <v>0.17857142857142858</v>
      </c>
      <c r="F190" s="11">
        <f t="shared" si="1"/>
        <v>0.40000001192092893</v>
      </c>
      <c r="G190" s="11">
        <f t="shared" si="2"/>
        <v>7.1428573557308736E-2</v>
      </c>
      <c r="H190" s="8">
        <v>40903</v>
      </c>
      <c r="I190" s="8">
        <v>1</v>
      </c>
      <c r="J190" s="8">
        <v>0.3333333432674408</v>
      </c>
      <c r="K190" s="8">
        <v>8</v>
      </c>
      <c r="L190" s="11">
        <f t="shared" si="3"/>
        <v>0.125</v>
      </c>
      <c r="M190" s="11">
        <f t="shared" si="4"/>
        <v>0.3333333432674408</v>
      </c>
      <c r="N190" s="11">
        <f t="shared" si="5"/>
        <v>4.1666667908430099E-2</v>
      </c>
      <c r="O190" s="18">
        <f t="shared" ref="O190:O197" si="19">N190/G190</f>
        <v>0.58333333333333337</v>
      </c>
      <c r="U190" s="18"/>
      <c r="V190" s="18"/>
      <c r="W190" s="18"/>
      <c r="X190" s="18"/>
    </row>
    <row r="191" spans="1:24" ht="14.4">
      <c r="A191" s="8">
        <v>41001</v>
      </c>
      <c r="B191" s="8">
        <v>155</v>
      </c>
      <c r="C191" s="8">
        <v>54.666668057441711</v>
      </c>
      <c r="D191" s="8">
        <v>618</v>
      </c>
      <c r="E191" s="11">
        <f t="shared" si="0"/>
        <v>0.25080906148867316</v>
      </c>
      <c r="F191" s="11">
        <f t="shared" si="1"/>
        <v>0.352688181015753</v>
      </c>
      <c r="G191" s="11">
        <f t="shared" si="2"/>
        <v>8.845739167870828E-2</v>
      </c>
      <c r="H191" s="8">
        <v>41001</v>
      </c>
      <c r="I191" s="8">
        <v>130</v>
      </c>
      <c r="J191" s="8">
        <v>46.444445580244064</v>
      </c>
      <c r="K191" s="8">
        <v>448</v>
      </c>
      <c r="L191" s="11">
        <f t="shared" si="3"/>
        <v>0.29017857142857145</v>
      </c>
      <c r="M191" s="11">
        <f t="shared" si="4"/>
        <v>0.3572649660018774</v>
      </c>
      <c r="N191" s="11">
        <f t="shared" si="5"/>
        <v>0.10367063745590194</v>
      </c>
      <c r="O191" s="18">
        <f t="shared" si="19"/>
        <v>1.1719838838618559</v>
      </c>
      <c r="U191" s="18"/>
      <c r="V191" s="18"/>
      <c r="W191" s="18"/>
      <c r="X191" s="18"/>
    </row>
    <row r="192" spans="1:24" ht="14.4">
      <c r="A192" s="8">
        <v>41101</v>
      </c>
      <c r="B192" s="8">
        <v>29</v>
      </c>
      <c r="C192" s="8">
        <v>10.444444686174393</v>
      </c>
      <c r="D192" s="8">
        <v>276</v>
      </c>
      <c r="E192" s="11">
        <f t="shared" si="0"/>
        <v>0.10507246376811594</v>
      </c>
      <c r="F192" s="11">
        <f t="shared" si="1"/>
        <v>0.36015326504049627</v>
      </c>
      <c r="G192" s="11">
        <f t="shared" si="2"/>
        <v>3.7842190891936203E-2</v>
      </c>
      <c r="H192" s="8">
        <v>41101</v>
      </c>
      <c r="I192" s="8">
        <v>18</v>
      </c>
      <c r="J192" s="8">
        <v>6.3333334922790527</v>
      </c>
      <c r="K192" s="8">
        <v>131</v>
      </c>
      <c r="L192" s="11">
        <f t="shared" si="3"/>
        <v>0.13740458015267176</v>
      </c>
      <c r="M192" s="11">
        <f t="shared" si="4"/>
        <v>0.35185186068216961</v>
      </c>
      <c r="N192" s="11">
        <f t="shared" si="5"/>
        <v>4.8346057192969874E-2</v>
      </c>
      <c r="O192" s="18">
        <f t="shared" si="19"/>
        <v>1.277570247743556</v>
      </c>
      <c r="U192" s="18"/>
      <c r="V192" s="18"/>
      <c r="W192" s="18"/>
      <c r="X192" s="18"/>
    </row>
    <row r="193" spans="1:24" ht="14.4">
      <c r="A193" s="8">
        <v>41201</v>
      </c>
      <c r="B193" s="8">
        <v>115</v>
      </c>
      <c r="C193" s="8">
        <v>42.222223252058029</v>
      </c>
      <c r="D193" s="8">
        <v>407</v>
      </c>
      <c r="E193" s="11">
        <f t="shared" si="0"/>
        <v>0.28255528255528256</v>
      </c>
      <c r="F193" s="11">
        <f t="shared" si="1"/>
        <v>0.36714976740920025</v>
      </c>
      <c r="G193" s="11">
        <f t="shared" si="2"/>
        <v>0.10374010627041284</v>
      </c>
      <c r="H193" s="8">
        <v>41201</v>
      </c>
      <c r="I193" s="8">
        <v>45</v>
      </c>
      <c r="J193" s="8">
        <v>16.444444835186005</v>
      </c>
      <c r="K193" s="8">
        <v>157</v>
      </c>
      <c r="L193" s="11">
        <f t="shared" si="3"/>
        <v>0.28662420382165604</v>
      </c>
      <c r="M193" s="11">
        <f t="shared" si="4"/>
        <v>0.3654321074485779</v>
      </c>
      <c r="N193" s="11">
        <f t="shared" si="5"/>
        <v>0.1047416868483185</v>
      </c>
      <c r="O193" s="18">
        <f t="shared" si="19"/>
        <v>1.0096547093878514</v>
      </c>
      <c r="U193" s="18"/>
      <c r="V193" s="18"/>
      <c r="W193" s="18"/>
      <c r="X193" s="18"/>
    </row>
    <row r="194" spans="1:24" ht="14.4">
      <c r="A194" s="8">
        <v>41202</v>
      </c>
      <c r="B194" s="8">
        <v>20</v>
      </c>
      <c r="C194" s="8">
        <v>6.6666668653488159</v>
      </c>
      <c r="D194" s="8">
        <v>183</v>
      </c>
      <c r="E194" s="11">
        <f t="shared" si="0"/>
        <v>0.10928961748633879</v>
      </c>
      <c r="F194" s="11">
        <f t="shared" si="1"/>
        <v>0.3333333432674408</v>
      </c>
      <c r="G194" s="11">
        <f t="shared" si="2"/>
        <v>3.6429873581141067E-2</v>
      </c>
      <c r="H194" s="8">
        <v>41202</v>
      </c>
      <c r="I194" s="8">
        <v>4</v>
      </c>
      <c r="J194" s="8">
        <v>1.3333333730697632</v>
      </c>
      <c r="K194" s="8">
        <v>97</v>
      </c>
      <c r="L194" s="11">
        <f t="shared" si="3"/>
        <v>4.1237113402061855E-2</v>
      </c>
      <c r="M194" s="11">
        <f t="shared" si="4"/>
        <v>0.3333333432674408</v>
      </c>
      <c r="N194" s="11">
        <f t="shared" si="5"/>
        <v>1.3745704877007868E-2</v>
      </c>
      <c r="O194" s="18">
        <f t="shared" si="19"/>
        <v>0.37731958762886603</v>
      </c>
      <c r="U194" s="18"/>
      <c r="V194" s="18"/>
      <c r="W194" s="18"/>
      <c r="X194" s="18"/>
    </row>
    <row r="195" spans="1:24" ht="14.4">
      <c r="A195" s="8">
        <v>41301</v>
      </c>
      <c r="B195" s="8">
        <v>75</v>
      </c>
      <c r="C195" s="8">
        <v>28.000000655651093</v>
      </c>
      <c r="D195" s="8">
        <v>265</v>
      </c>
      <c r="E195" s="11">
        <f t="shared" si="0"/>
        <v>0.28301886792452829</v>
      </c>
      <c r="F195" s="11">
        <f t="shared" si="1"/>
        <v>0.37333334207534791</v>
      </c>
      <c r="G195" s="11">
        <f t="shared" si="2"/>
        <v>0.10566037983264563</v>
      </c>
      <c r="H195" s="8">
        <v>41301</v>
      </c>
      <c r="I195" s="8">
        <v>56</v>
      </c>
      <c r="J195" s="8">
        <v>19.66666716337204</v>
      </c>
      <c r="K195" s="8">
        <v>146</v>
      </c>
      <c r="L195" s="11">
        <f t="shared" si="3"/>
        <v>0.38356164383561642</v>
      </c>
      <c r="M195" s="11">
        <f t="shared" si="4"/>
        <v>0.351190485060215</v>
      </c>
      <c r="N195" s="11">
        <f t="shared" si="5"/>
        <v>0.13470319974912356</v>
      </c>
      <c r="O195" s="18">
        <f t="shared" si="19"/>
        <v>1.2748695392017193</v>
      </c>
      <c r="U195" s="18"/>
      <c r="V195" s="18"/>
      <c r="W195" s="18"/>
      <c r="X195" s="18"/>
    </row>
    <row r="196" spans="1:24" ht="14.4">
      <c r="A196" s="8">
        <v>41401</v>
      </c>
      <c r="B196" s="8">
        <v>90</v>
      </c>
      <c r="C196" s="8">
        <v>33.777778625488281</v>
      </c>
      <c r="D196" s="8">
        <v>570</v>
      </c>
      <c r="E196" s="11">
        <f t="shared" si="0"/>
        <v>0.15789473684210525</v>
      </c>
      <c r="F196" s="11">
        <f t="shared" si="1"/>
        <v>0.37530865139431424</v>
      </c>
      <c r="G196" s="11">
        <f t="shared" si="2"/>
        <v>5.9259260746470664E-2</v>
      </c>
      <c r="H196" s="8">
        <v>41401</v>
      </c>
      <c r="I196" s="8">
        <v>80</v>
      </c>
      <c r="J196" s="8">
        <v>29.888889700174332</v>
      </c>
      <c r="K196" s="8">
        <v>405</v>
      </c>
      <c r="L196" s="11">
        <f t="shared" si="3"/>
        <v>0.19753086419753085</v>
      </c>
      <c r="M196" s="11">
        <f t="shared" si="4"/>
        <v>0.37361112125217916</v>
      </c>
      <c r="N196" s="11">
        <f t="shared" si="5"/>
        <v>7.3799727654751429E-2</v>
      </c>
      <c r="O196" s="18">
        <f t="shared" si="19"/>
        <v>1.2453703729192531</v>
      </c>
      <c r="U196" s="18"/>
      <c r="V196" s="18"/>
      <c r="W196" s="18"/>
      <c r="X196" s="18"/>
    </row>
    <row r="197" spans="1:24" ht="14.4">
      <c r="A197" s="8">
        <v>41501</v>
      </c>
      <c r="B197" s="8">
        <v>12</v>
      </c>
      <c r="C197" s="8">
        <v>4.2222223281860352</v>
      </c>
      <c r="D197" s="8">
        <v>92</v>
      </c>
      <c r="E197" s="11">
        <f t="shared" si="0"/>
        <v>0.13043478260869565</v>
      </c>
      <c r="F197" s="11">
        <f t="shared" si="1"/>
        <v>0.35185186068216961</v>
      </c>
      <c r="G197" s="11">
        <f t="shared" si="2"/>
        <v>4.5893720958543861E-2</v>
      </c>
      <c r="H197" s="8">
        <v>41501</v>
      </c>
      <c r="I197" s="8">
        <v>2</v>
      </c>
      <c r="J197" s="8">
        <v>0.66666668653488159</v>
      </c>
      <c r="K197" s="8">
        <v>24</v>
      </c>
      <c r="L197" s="11">
        <f t="shared" si="3"/>
        <v>8.3333333333333329E-2</v>
      </c>
      <c r="M197" s="11">
        <f t="shared" si="4"/>
        <v>0.3333333432674408</v>
      </c>
      <c r="N197" s="11">
        <f t="shared" si="5"/>
        <v>2.7777778605620064E-2</v>
      </c>
      <c r="O197" s="18">
        <f t="shared" si="19"/>
        <v>0.60526316074288111</v>
      </c>
      <c r="U197" s="18"/>
      <c r="V197" s="18"/>
      <c r="W197" s="18"/>
      <c r="X197" s="18"/>
    </row>
    <row r="198" spans="1:24" ht="14.4">
      <c r="A198" s="8">
        <v>41502</v>
      </c>
      <c r="B198" s="8">
        <v>5</v>
      </c>
      <c r="C198" s="8">
        <v>1.666666716337204</v>
      </c>
      <c r="D198" s="8">
        <v>48</v>
      </c>
      <c r="E198" s="11">
        <f t="shared" si="0"/>
        <v>0.10416666666666667</v>
      </c>
      <c r="F198" s="11">
        <f t="shared" si="1"/>
        <v>0.3333333432674408</v>
      </c>
      <c r="G198" s="11">
        <f t="shared" si="2"/>
        <v>3.4722223257025085E-2</v>
      </c>
      <c r="H198" s="8">
        <v>41502</v>
      </c>
      <c r="I198" s="8">
        <v>0</v>
      </c>
      <c r="J198" s="8">
        <v>0</v>
      </c>
      <c r="K198" s="8">
        <v>11</v>
      </c>
      <c r="L198" s="11">
        <f t="shared" si="3"/>
        <v>0</v>
      </c>
      <c r="M198" s="11" t="e">
        <f t="shared" si="4"/>
        <v>#DIV/0!</v>
      </c>
      <c r="N198" s="11" t="e">
        <f t="shared" si="5"/>
        <v>#DIV/0!</v>
      </c>
      <c r="O198" s="18" t="s">
        <v>22</v>
      </c>
      <c r="U198" s="18"/>
      <c r="V198" s="18"/>
      <c r="W198" s="18"/>
      <c r="X198" s="18"/>
    </row>
    <row r="199" spans="1:24" ht="14.4">
      <c r="A199" s="8">
        <v>41503</v>
      </c>
      <c r="B199" s="8">
        <v>30</v>
      </c>
      <c r="C199" s="8">
        <v>11.333333551883698</v>
      </c>
      <c r="D199" s="8">
        <v>155</v>
      </c>
      <c r="E199" s="11">
        <f t="shared" si="0"/>
        <v>0.19354838709677419</v>
      </c>
      <c r="F199" s="11">
        <f t="shared" si="1"/>
        <v>0.37777778506278992</v>
      </c>
      <c r="G199" s="11">
        <f t="shared" si="2"/>
        <v>7.3118280979894826E-2</v>
      </c>
      <c r="H199" s="8">
        <v>41503</v>
      </c>
      <c r="I199" s="8">
        <v>1</v>
      </c>
      <c r="J199" s="8">
        <v>0.3333333432674408</v>
      </c>
      <c r="K199" s="8">
        <v>31</v>
      </c>
      <c r="L199" s="11">
        <f t="shared" si="3"/>
        <v>3.2258064516129031E-2</v>
      </c>
      <c r="M199" s="11">
        <f t="shared" si="4"/>
        <v>0.3333333432674408</v>
      </c>
      <c r="N199" s="11">
        <f t="shared" si="5"/>
        <v>1.0752688492498091E-2</v>
      </c>
      <c r="O199" s="18">
        <f t="shared" ref="O199:O225" si="20">N199/G199</f>
        <v>0.14705882507624507</v>
      </c>
      <c r="U199" s="18"/>
      <c r="V199" s="18"/>
      <c r="W199" s="18"/>
      <c r="X199" s="18"/>
    </row>
    <row r="200" spans="1:24" ht="14.4">
      <c r="A200" s="8">
        <v>41601</v>
      </c>
      <c r="B200" s="8">
        <v>88</v>
      </c>
      <c r="C200" s="8">
        <v>30.000000834465027</v>
      </c>
      <c r="D200" s="8">
        <v>404</v>
      </c>
      <c r="E200" s="11">
        <f t="shared" si="0"/>
        <v>0.21782178217821782</v>
      </c>
      <c r="F200" s="11">
        <f t="shared" si="1"/>
        <v>0.34090910039164801</v>
      </c>
      <c r="G200" s="11">
        <f t="shared" si="2"/>
        <v>7.4257427808081741E-2</v>
      </c>
      <c r="H200" s="8">
        <v>41601</v>
      </c>
      <c r="I200" s="8">
        <v>28</v>
      </c>
      <c r="J200" s="8">
        <v>9.6666669249534607</v>
      </c>
      <c r="K200" s="8">
        <v>158</v>
      </c>
      <c r="L200" s="11">
        <f t="shared" si="3"/>
        <v>0.17721518987341772</v>
      </c>
      <c r="M200" s="11">
        <f t="shared" si="4"/>
        <v>0.3452381044626236</v>
      </c>
      <c r="N200" s="11">
        <f t="shared" si="5"/>
        <v>6.1181436233882662E-2</v>
      </c>
      <c r="O200" s="18">
        <f t="shared" si="20"/>
        <v>0.82390998503215096</v>
      </c>
      <c r="U200" s="18"/>
      <c r="V200" s="18"/>
      <c r="W200" s="18"/>
      <c r="X200" s="18"/>
    </row>
    <row r="201" spans="1:24" ht="14.4">
      <c r="A201" s="8">
        <v>50101</v>
      </c>
      <c r="B201" s="8">
        <v>336</v>
      </c>
      <c r="C201" s="8">
        <v>125.22222524881363</v>
      </c>
      <c r="D201" s="8">
        <v>7954</v>
      </c>
      <c r="E201" s="11">
        <f t="shared" si="0"/>
        <v>4.2242896655770683E-2</v>
      </c>
      <c r="F201" s="11">
        <f t="shared" si="1"/>
        <v>0.3726851941928977</v>
      </c>
      <c r="G201" s="11">
        <f t="shared" si="2"/>
        <v>1.5743302143426407E-2</v>
      </c>
      <c r="H201" s="8">
        <v>50101</v>
      </c>
      <c r="I201" s="8">
        <v>60</v>
      </c>
      <c r="J201" s="8">
        <v>21.77777835726738</v>
      </c>
      <c r="K201" s="8">
        <v>784</v>
      </c>
      <c r="L201" s="11">
        <f t="shared" si="3"/>
        <v>7.6530612244897961E-2</v>
      </c>
      <c r="M201" s="11">
        <f t="shared" si="4"/>
        <v>0.36296297262112298</v>
      </c>
      <c r="N201" s="11">
        <f t="shared" si="5"/>
        <v>2.7777778516922678E-2</v>
      </c>
      <c r="O201" s="18">
        <f t="shared" si="20"/>
        <v>1.7644188153068796</v>
      </c>
      <c r="U201" s="18"/>
      <c r="V201" s="18"/>
      <c r="W201" s="18"/>
      <c r="X201" s="18"/>
    </row>
    <row r="202" spans="1:24" ht="14.4">
      <c r="A202" s="8">
        <v>50102</v>
      </c>
      <c r="B202" s="8">
        <v>207</v>
      </c>
      <c r="C202" s="8">
        <v>78.444446712732315</v>
      </c>
      <c r="D202" s="8">
        <v>906</v>
      </c>
      <c r="E202" s="11">
        <f t="shared" si="0"/>
        <v>0.22847682119205298</v>
      </c>
      <c r="F202" s="11">
        <f t="shared" si="1"/>
        <v>0.37895867977165371</v>
      </c>
      <c r="G202" s="11">
        <f t="shared" si="2"/>
        <v>8.6583274517364583E-2</v>
      </c>
      <c r="H202" s="8">
        <v>50102</v>
      </c>
      <c r="I202" s="8">
        <v>151</v>
      </c>
      <c r="J202" s="8">
        <v>55.555556893348694</v>
      </c>
      <c r="K202" s="8">
        <v>681</v>
      </c>
      <c r="L202" s="11">
        <f t="shared" si="3"/>
        <v>0.22173274596182085</v>
      </c>
      <c r="M202" s="11">
        <f t="shared" si="4"/>
        <v>0.36791759532019003</v>
      </c>
      <c r="N202" s="11">
        <f t="shared" si="5"/>
        <v>8.1579378698015709E-2</v>
      </c>
      <c r="O202" s="18">
        <f t="shared" si="20"/>
        <v>0.94220713125899014</v>
      </c>
      <c r="U202" s="18"/>
      <c r="V202" s="18"/>
      <c r="W202" s="18"/>
      <c r="X202" s="18"/>
    </row>
    <row r="203" spans="1:24" ht="14.4">
      <c r="A203" s="8">
        <v>50103</v>
      </c>
      <c r="B203" s="8">
        <v>57</v>
      </c>
      <c r="C203" s="8">
        <v>20.555556058883667</v>
      </c>
      <c r="D203" s="8">
        <v>744</v>
      </c>
      <c r="E203" s="11">
        <f t="shared" si="0"/>
        <v>7.6612903225806453E-2</v>
      </c>
      <c r="F203" s="11">
        <f t="shared" si="1"/>
        <v>0.36062379050673099</v>
      </c>
      <c r="G203" s="11">
        <f t="shared" si="2"/>
        <v>2.7628435563015682E-2</v>
      </c>
      <c r="H203" s="8">
        <v>50103</v>
      </c>
      <c r="I203" s="8">
        <v>40</v>
      </c>
      <c r="J203" s="8">
        <v>14.666666984558105</v>
      </c>
      <c r="K203" s="8">
        <v>656</v>
      </c>
      <c r="L203" s="11">
        <f t="shared" si="3"/>
        <v>6.097560975609756E-2</v>
      </c>
      <c r="M203" s="11">
        <f t="shared" si="4"/>
        <v>0.36666667461395264</v>
      </c>
      <c r="N203" s="11">
        <f t="shared" si="5"/>
        <v>2.235772406182638E-2</v>
      </c>
      <c r="O203" s="18">
        <f t="shared" si="20"/>
        <v>0.80922873866065559</v>
      </c>
      <c r="U203" s="18"/>
      <c r="V203" s="18"/>
      <c r="W203" s="18"/>
      <c r="X203" s="18"/>
    </row>
    <row r="204" spans="1:24" ht="14.4">
      <c r="A204" s="8">
        <v>50104</v>
      </c>
      <c r="B204" s="8">
        <v>28</v>
      </c>
      <c r="C204" s="8">
        <v>11.111111372709274</v>
      </c>
      <c r="D204" s="8">
        <v>110</v>
      </c>
      <c r="E204" s="11">
        <f t="shared" si="0"/>
        <v>0.25454545454545452</v>
      </c>
      <c r="F204" s="11">
        <f t="shared" si="1"/>
        <v>0.39682540616818834</v>
      </c>
      <c r="G204" s="11">
        <f t="shared" si="2"/>
        <v>0.10101010338826612</v>
      </c>
      <c r="H204" s="8">
        <v>50104</v>
      </c>
      <c r="I204" s="8">
        <v>38</v>
      </c>
      <c r="J204" s="8">
        <v>13.333333671092987</v>
      </c>
      <c r="K204" s="8">
        <v>110</v>
      </c>
      <c r="L204" s="11">
        <f t="shared" si="3"/>
        <v>0.34545454545454546</v>
      </c>
      <c r="M204" s="11">
        <f t="shared" si="4"/>
        <v>0.35087720187086807</v>
      </c>
      <c r="N204" s="11">
        <f t="shared" si="5"/>
        <v>0.12121212428266352</v>
      </c>
      <c r="O204" s="18">
        <f t="shared" si="20"/>
        <v>1.2000000021457673</v>
      </c>
      <c r="U204" s="18"/>
      <c r="V204" s="18"/>
      <c r="W204" s="18"/>
      <c r="X204" s="18"/>
    </row>
    <row r="205" spans="1:24" ht="14.4">
      <c r="A205" s="8">
        <v>50201</v>
      </c>
      <c r="B205" s="8">
        <v>125</v>
      </c>
      <c r="C205" s="8">
        <v>47.666667819023132</v>
      </c>
      <c r="D205" s="8">
        <v>1041</v>
      </c>
      <c r="E205" s="11">
        <f t="shared" si="0"/>
        <v>0.12007684918347743</v>
      </c>
      <c r="F205" s="11">
        <f t="shared" si="1"/>
        <v>0.38133334255218504</v>
      </c>
      <c r="G205" s="11">
        <f t="shared" si="2"/>
        <v>4.5789306262270055E-2</v>
      </c>
      <c r="H205" s="8">
        <v>50201</v>
      </c>
      <c r="I205" s="8">
        <v>28</v>
      </c>
      <c r="J205" s="8">
        <v>10.333333611488342</v>
      </c>
      <c r="K205" s="8">
        <v>147</v>
      </c>
      <c r="L205" s="11">
        <f t="shared" si="3"/>
        <v>0.19047619047619047</v>
      </c>
      <c r="M205" s="11">
        <f t="shared" si="4"/>
        <v>0.36904762898172649</v>
      </c>
      <c r="N205" s="11">
        <f t="shared" si="5"/>
        <v>7.02947864727098E-2</v>
      </c>
      <c r="O205" s="18">
        <f t="shared" si="20"/>
        <v>1.5351791108185455</v>
      </c>
      <c r="U205" s="18"/>
      <c r="V205" s="18"/>
      <c r="W205" s="18"/>
      <c r="X205" s="18"/>
    </row>
    <row r="206" spans="1:24" ht="14.4">
      <c r="A206" s="8">
        <v>50202</v>
      </c>
      <c r="B206" s="8">
        <v>59</v>
      </c>
      <c r="C206" s="8">
        <v>22.333333820104599</v>
      </c>
      <c r="D206" s="8">
        <v>723</v>
      </c>
      <c r="E206" s="11">
        <f t="shared" si="0"/>
        <v>8.1604426002766253E-2</v>
      </c>
      <c r="F206" s="11">
        <f t="shared" si="1"/>
        <v>0.37853108169668814</v>
      </c>
      <c r="G206" s="11">
        <f t="shared" si="2"/>
        <v>3.0889811646064455E-2</v>
      </c>
      <c r="H206" s="8">
        <v>50202</v>
      </c>
      <c r="I206" s="8">
        <v>28</v>
      </c>
      <c r="J206" s="8">
        <v>9.8888891637325287</v>
      </c>
      <c r="K206" s="8">
        <v>200</v>
      </c>
      <c r="L206" s="11">
        <f t="shared" si="3"/>
        <v>0.14000000000000001</v>
      </c>
      <c r="M206" s="11">
        <f t="shared" si="4"/>
        <v>0.35317461299044745</v>
      </c>
      <c r="N206" s="11">
        <f t="shared" si="5"/>
        <v>4.9444445818662648E-2</v>
      </c>
      <c r="O206" s="18">
        <f t="shared" si="20"/>
        <v>1.6006716513909907</v>
      </c>
      <c r="U206" s="18"/>
      <c r="V206" s="18"/>
      <c r="W206" s="18"/>
      <c r="X206" s="18"/>
    </row>
    <row r="207" spans="1:24" ht="14.4">
      <c r="A207" s="8">
        <v>50203</v>
      </c>
      <c r="B207" s="8">
        <v>140</v>
      </c>
      <c r="C207" s="8">
        <v>52.000001281499863</v>
      </c>
      <c r="D207" s="8">
        <v>3376</v>
      </c>
      <c r="E207" s="11">
        <f t="shared" si="0"/>
        <v>4.1469194312796206E-2</v>
      </c>
      <c r="F207" s="11">
        <f t="shared" si="1"/>
        <v>0.3714285805821419</v>
      </c>
      <c r="G207" s="11">
        <f t="shared" si="2"/>
        <v>1.5402843981486926E-2</v>
      </c>
      <c r="H207" s="8">
        <v>50203</v>
      </c>
      <c r="I207" s="8">
        <v>40</v>
      </c>
      <c r="J207" s="8">
        <v>14.222222596406937</v>
      </c>
      <c r="K207" s="8">
        <v>332</v>
      </c>
      <c r="L207" s="11">
        <f t="shared" si="3"/>
        <v>0.12048192771084337</v>
      </c>
      <c r="M207" s="11">
        <f t="shared" si="4"/>
        <v>0.35555556491017343</v>
      </c>
      <c r="N207" s="11">
        <f t="shared" si="5"/>
        <v>4.2838019868695593E-2</v>
      </c>
      <c r="O207" s="18">
        <f t="shared" si="20"/>
        <v>2.7811759906276858</v>
      </c>
      <c r="U207" s="18"/>
      <c r="V207" s="18"/>
      <c r="W207" s="18"/>
      <c r="X207" s="18"/>
    </row>
    <row r="208" spans="1:24" ht="14.4">
      <c r="A208" s="8">
        <v>50204</v>
      </c>
      <c r="B208" s="8">
        <v>54</v>
      </c>
      <c r="C208" s="8">
        <v>18.555556088685989</v>
      </c>
      <c r="D208" s="8">
        <v>406</v>
      </c>
      <c r="E208" s="11">
        <f t="shared" si="0"/>
        <v>0.13300492610837439</v>
      </c>
      <c r="F208" s="11">
        <f t="shared" si="1"/>
        <v>0.34362140904974053</v>
      </c>
      <c r="G208" s="11">
        <f t="shared" si="2"/>
        <v>4.5703340119916232E-2</v>
      </c>
      <c r="H208" s="8">
        <v>50204</v>
      </c>
      <c r="I208" s="8">
        <v>48</v>
      </c>
      <c r="J208" s="8">
        <v>17.333333730697632</v>
      </c>
      <c r="K208" s="8">
        <v>161</v>
      </c>
      <c r="L208" s="11">
        <f t="shared" si="3"/>
        <v>0.29813664596273293</v>
      </c>
      <c r="M208" s="11">
        <f t="shared" si="4"/>
        <v>0.361111119389534</v>
      </c>
      <c r="N208" s="11">
        <f t="shared" si="5"/>
        <v>0.10766045795464368</v>
      </c>
      <c r="O208" s="18">
        <f t="shared" si="20"/>
        <v>2.3556365393024805</v>
      </c>
      <c r="U208" s="18"/>
      <c r="V208" s="18"/>
      <c r="W208" s="18"/>
      <c r="X208" s="18"/>
    </row>
    <row r="209" spans="1:24" ht="14.4">
      <c r="A209" s="8">
        <v>50301</v>
      </c>
      <c r="B209" s="8">
        <v>231</v>
      </c>
      <c r="C209" s="8">
        <v>87.555557698011398</v>
      </c>
      <c r="D209" s="8">
        <v>1324</v>
      </c>
      <c r="E209" s="11">
        <f t="shared" si="0"/>
        <v>0.17447129909365558</v>
      </c>
      <c r="F209" s="11">
        <f t="shared" si="1"/>
        <v>0.37902838830307967</v>
      </c>
      <c r="G209" s="11">
        <f t="shared" si="2"/>
        <v>6.6129575300612836E-2</v>
      </c>
      <c r="H209" s="8">
        <v>50301</v>
      </c>
      <c r="I209" s="8">
        <v>107</v>
      </c>
      <c r="J209" s="8">
        <v>40.888889908790588</v>
      </c>
      <c r="K209" s="8">
        <v>502</v>
      </c>
      <c r="L209" s="11">
        <f t="shared" si="3"/>
        <v>0.21314741035856574</v>
      </c>
      <c r="M209" s="11">
        <f t="shared" si="4"/>
        <v>0.38213915802608028</v>
      </c>
      <c r="N209" s="11">
        <f t="shared" si="5"/>
        <v>8.1451971929861741E-2</v>
      </c>
      <c r="O209" s="18">
        <f t="shared" si="20"/>
        <v>1.2317026316832691</v>
      </c>
      <c r="U209" s="18"/>
      <c r="V209" s="18"/>
      <c r="W209" s="18"/>
      <c r="X209" s="18"/>
    </row>
    <row r="210" spans="1:24" ht="14.4">
      <c r="A210" s="8">
        <v>50302</v>
      </c>
      <c r="B210" s="8">
        <v>102</v>
      </c>
      <c r="C210" s="8">
        <v>38.222223073244095</v>
      </c>
      <c r="D210" s="8">
        <v>498</v>
      </c>
      <c r="E210" s="11">
        <f t="shared" si="0"/>
        <v>0.20481927710843373</v>
      </c>
      <c r="F210" s="11">
        <f t="shared" si="1"/>
        <v>0.37472767718866762</v>
      </c>
      <c r="G210" s="11">
        <f t="shared" si="2"/>
        <v>7.6751451954305411E-2</v>
      </c>
      <c r="H210" s="8">
        <v>50302</v>
      </c>
      <c r="I210" s="8">
        <v>89</v>
      </c>
      <c r="J210" s="8">
        <v>32.555556297302246</v>
      </c>
      <c r="K210" s="8">
        <v>381</v>
      </c>
      <c r="L210" s="11">
        <f t="shared" si="3"/>
        <v>0.23359580052493439</v>
      </c>
      <c r="M210" s="11">
        <f t="shared" si="4"/>
        <v>0.36579276738541849</v>
      </c>
      <c r="N210" s="11">
        <f t="shared" si="5"/>
        <v>8.5447654323627942E-2</v>
      </c>
      <c r="O210" s="18">
        <f t="shared" si="20"/>
        <v>1.1133034248589835</v>
      </c>
      <c r="U210" s="18"/>
      <c r="V210" s="18"/>
      <c r="W210" s="18"/>
      <c r="X210" s="18"/>
    </row>
    <row r="211" spans="1:24" ht="14.4">
      <c r="A211" s="8">
        <v>50303</v>
      </c>
      <c r="B211" s="8">
        <v>181</v>
      </c>
      <c r="C211" s="8">
        <v>68.222223967313766</v>
      </c>
      <c r="D211" s="8">
        <v>593</v>
      </c>
      <c r="E211" s="11">
        <f t="shared" si="0"/>
        <v>0.30522765598650925</v>
      </c>
      <c r="F211" s="11">
        <f t="shared" si="1"/>
        <v>0.37691836446029703</v>
      </c>
      <c r="G211" s="11">
        <f t="shared" si="2"/>
        <v>0.11504590888248525</v>
      </c>
      <c r="H211" s="8">
        <v>50303</v>
      </c>
      <c r="I211" s="8">
        <v>220</v>
      </c>
      <c r="J211" s="8">
        <v>79.555557489395142</v>
      </c>
      <c r="K211" s="8">
        <v>565</v>
      </c>
      <c r="L211" s="11">
        <f t="shared" si="3"/>
        <v>0.38938053097345132</v>
      </c>
      <c r="M211" s="11">
        <f t="shared" si="4"/>
        <v>0.36161617040634153</v>
      </c>
      <c r="N211" s="11">
        <f t="shared" si="5"/>
        <v>0.14080629644140732</v>
      </c>
      <c r="O211" s="18">
        <f t="shared" si="20"/>
        <v>1.223913981897742</v>
      </c>
      <c r="U211" s="18"/>
      <c r="V211" s="18"/>
      <c r="W211" s="18"/>
      <c r="X211" s="18"/>
    </row>
    <row r="212" spans="1:24" ht="14.4">
      <c r="A212" s="8">
        <v>50401</v>
      </c>
      <c r="B212" s="8">
        <v>121</v>
      </c>
      <c r="C212" s="8">
        <v>45.444445550441742</v>
      </c>
      <c r="D212" s="8">
        <v>832</v>
      </c>
      <c r="E212" s="11">
        <f t="shared" si="0"/>
        <v>0.14543269230769232</v>
      </c>
      <c r="F212" s="11">
        <f t="shared" si="1"/>
        <v>0.37557393016894003</v>
      </c>
      <c r="G212" s="11">
        <f t="shared" si="2"/>
        <v>5.4620727825050175E-2</v>
      </c>
      <c r="H212" s="8">
        <v>50401</v>
      </c>
      <c r="I212" s="8">
        <v>90</v>
      </c>
      <c r="J212" s="8">
        <v>33.888889729976654</v>
      </c>
      <c r="K212" s="8">
        <v>240</v>
      </c>
      <c r="L212" s="11">
        <f t="shared" si="3"/>
        <v>0.375</v>
      </c>
      <c r="M212" s="11">
        <f t="shared" si="4"/>
        <v>0.37654321922196282</v>
      </c>
      <c r="N212" s="11">
        <f t="shared" si="5"/>
        <v>0.14120370720823605</v>
      </c>
      <c r="O212" s="18">
        <f t="shared" si="20"/>
        <v>2.5851670754097342</v>
      </c>
      <c r="U212" s="18"/>
      <c r="V212" s="18"/>
      <c r="W212" s="18"/>
      <c r="X212" s="18"/>
    </row>
    <row r="213" spans="1:24" ht="14.4">
      <c r="A213" s="8">
        <v>50402</v>
      </c>
      <c r="B213" s="8">
        <v>221</v>
      </c>
      <c r="C213" s="8">
        <v>84.222224414348602</v>
      </c>
      <c r="D213" s="8">
        <v>750</v>
      </c>
      <c r="E213" s="11">
        <f t="shared" si="0"/>
        <v>0.29466666666666669</v>
      </c>
      <c r="F213" s="11">
        <f t="shared" si="1"/>
        <v>0.38109603807397557</v>
      </c>
      <c r="G213" s="11">
        <f t="shared" si="2"/>
        <v>0.11229629921913148</v>
      </c>
      <c r="H213" s="8">
        <v>50402</v>
      </c>
      <c r="I213" s="8">
        <v>175</v>
      </c>
      <c r="J213" s="8">
        <v>69.000001698732376</v>
      </c>
      <c r="K213" s="8">
        <v>674</v>
      </c>
      <c r="L213" s="11">
        <f t="shared" si="3"/>
        <v>0.25964391691394662</v>
      </c>
      <c r="M213" s="11">
        <f t="shared" si="4"/>
        <v>0.39428572399275641</v>
      </c>
      <c r="N213" s="11">
        <f t="shared" si="5"/>
        <v>0.10237388976073053</v>
      </c>
      <c r="O213" s="18">
        <f t="shared" si="20"/>
        <v>0.91164081517024287</v>
      </c>
      <c r="U213" s="18"/>
      <c r="V213" s="18"/>
      <c r="W213" s="18"/>
      <c r="X213" s="18"/>
    </row>
    <row r="214" spans="1:24" ht="14.4">
      <c r="A214" s="8">
        <v>50403</v>
      </c>
      <c r="B214" s="8">
        <v>441</v>
      </c>
      <c r="C214" s="8">
        <v>163.66667079925537</v>
      </c>
      <c r="D214" s="8">
        <v>1697</v>
      </c>
      <c r="E214" s="11">
        <f t="shared" si="0"/>
        <v>0.25987035945786685</v>
      </c>
      <c r="F214" s="11">
        <f t="shared" si="1"/>
        <v>0.37112623764003483</v>
      </c>
      <c r="G214" s="11">
        <f t="shared" si="2"/>
        <v>9.6444708779761565E-2</v>
      </c>
      <c r="H214" s="8">
        <v>50403</v>
      </c>
      <c r="I214" s="8">
        <v>257</v>
      </c>
      <c r="J214" s="8">
        <v>94.222224473953247</v>
      </c>
      <c r="K214" s="8">
        <v>899</v>
      </c>
      <c r="L214" s="11">
        <f t="shared" si="3"/>
        <v>0.28587319243604004</v>
      </c>
      <c r="M214" s="11">
        <f t="shared" si="4"/>
        <v>0.366623441532892</v>
      </c>
      <c r="N214" s="11">
        <f t="shared" si="5"/>
        <v>0.10480781365289571</v>
      </c>
      <c r="O214" s="18">
        <f t="shared" si="20"/>
        <v>1.0867139833687705</v>
      </c>
      <c r="U214" s="18"/>
      <c r="V214" s="18"/>
      <c r="W214" s="18"/>
      <c r="X214" s="18"/>
    </row>
    <row r="215" spans="1:24" ht="14.4">
      <c r="A215" s="8">
        <v>50404</v>
      </c>
      <c r="B215" s="8">
        <v>220</v>
      </c>
      <c r="C215" s="8">
        <v>85.777780055999756</v>
      </c>
      <c r="D215" s="8">
        <v>632</v>
      </c>
      <c r="E215" s="11">
        <f t="shared" si="0"/>
        <v>0.34810126582278483</v>
      </c>
      <c r="F215" s="11">
        <f t="shared" si="1"/>
        <v>0.38989900025454433</v>
      </c>
      <c r="G215" s="11">
        <f t="shared" si="2"/>
        <v>0.13572433553164517</v>
      </c>
      <c r="H215" s="8">
        <v>50404</v>
      </c>
      <c r="I215" s="8">
        <v>114</v>
      </c>
      <c r="J215" s="8">
        <v>41.666667640209198</v>
      </c>
      <c r="K215" s="8">
        <v>339</v>
      </c>
      <c r="L215" s="11">
        <f t="shared" si="3"/>
        <v>0.33628318584070799</v>
      </c>
      <c r="M215" s="11">
        <f t="shared" si="4"/>
        <v>0.36549708456323859</v>
      </c>
      <c r="N215" s="11">
        <f t="shared" si="5"/>
        <v>0.12291052401241653</v>
      </c>
      <c r="O215" s="18">
        <f t="shared" si="20"/>
        <v>0.90558943266116776</v>
      </c>
      <c r="U215" s="18"/>
      <c r="V215" s="18"/>
      <c r="W215" s="18"/>
      <c r="X215" s="18"/>
    </row>
    <row r="216" spans="1:24" ht="14.4">
      <c r="A216" s="8">
        <v>50405</v>
      </c>
      <c r="B216" s="8">
        <v>176</v>
      </c>
      <c r="C216" s="8">
        <v>65.444445967674255</v>
      </c>
      <c r="D216" s="8">
        <v>637</v>
      </c>
      <c r="E216" s="11">
        <f t="shared" si="0"/>
        <v>0.27629513343799056</v>
      </c>
      <c r="F216" s="11">
        <f t="shared" si="1"/>
        <v>0.3718434429981492</v>
      </c>
      <c r="G216" s="11">
        <f t="shared" si="2"/>
        <v>0.10273853370121547</v>
      </c>
      <c r="H216" s="8">
        <v>50405</v>
      </c>
      <c r="I216" s="8">
        <v>103</v>
      </c>
      <c r="J216" s="8">
        <v>39.777778744697571</v>
      </c>
      <c r="K216" s="8">
        <v>350</v>
      </c>
      <c r="L216" s="11">
        <f t="shared" si="3"/>
        <v>0.29428571428571426</v>
      </c>
      <c r="M216" s="11">
        <f t="shared" si="4"/>
        <v>0.38619202664754926</v>
      </c>
      <c r="N216" s="11">
        <f t="shared" si="5"/>
        <v>0.11365079641342163</v>
      </c>
      <c r="O216" s="18">
        <f t="shared" si="20"/>
        <v>1.1062139230441155</v>
      </c>
      <c r="U216" s="18"/>
      <c r="V216" s="18"/>
      <c r="W216" s="18"/>
      <c r="X216" s="18"/>
    </row>
    <row r="217" spans="1:24" ht="14.4">
      <c r="A217" s="8">
        <v>50501</v>
      </c>
      <c r="B217" s="8">
        <v>240</v>
      </c>
      <c r="C217" s="8">
        <v>93.444446682929993</v>
      </c>
      <c r="D217" s="8">
        <v>699</v>
      </c>
      <c r="E217" s="11">
        <f t="shared" si="0"/>
        <v>0.34334763948497854</v>
      </c>
      <c r="F217" s="11">
        <f t="shared" si="1"/>
        <v>0.38935186117887499</v>
      </c>
      <c r="G217" s="11">
        <f t="shared" si="2"/>
        <v>0.13368304246484977</v>
      </c>
      <c r="H217" s="8">
        <v>50501</v>
      </c>
      <c r="I217" s="8">
        <v>123</v>
      </c>
      <c r="J217" s="8">
        <v>46.333334535360336</v>
      </c>
      <c r="K217" s="8">
        <v>322</v>
      </c>
      <c r="L217" s="11">
        <f t="shared" si="3"/>
        <v>0.38198757763975155</v>
      </c>
      <c r="M217" s="11">
        <f t="shared" si="4"/>
        <v>0.37669377671024662</v>
      </c>
      <c r="N217" s="11">
        <f t="shared" si="5"/>
        <v>0.14389234327751657</v>
      </c>
      <c r="O217" s="18">
        <f t="shared" si="20"/>
        <v>1.0763694528821874</v>
      </c>
      <c r="U217" s="18"/>
      <c r="V217" s="18"/>
      <c r="W217" s="18"/>
      <c r="X217" s="18"/>
    </row>
    <row r="218" spans="1:24" ht="14.4">
      <c r="A218" s="8">
        <v>50502</v>
      </c>
      <c r="B218" s="8">
        <v>152</v>
      </c>
      <c r="C218" s="8">
        <v>57.00000137090683</v>
      </c>
      <c r="D218" s="8">
        <v>596</v>
      </c>
      <c r="E218" s="11">
        <f t="shared" si="0"/>
        <v>0.25503355704697989</v>
      </c>
      <c r="F218" s="11">
        <f t="shared" si="1"/>
        <v>0.37500000901912389</v>
      </c>
      <c r="G218" s="11">
        <f t="shared" si="2"/>
        <v>9.5637586192796706E-2</v>
      </c>
      <c r="H218" s="8">
        <v>50502</v>
      </c>
      <c r="I218" s="8">
        <v>98</v>
      </c>
      <c r="J218" s="8">
        <v>38.555556446313858</v>
      </c>
      <c r="K218" s="8">
        <v>333</v>
      </c>
      <c r="L218" s="11">
        <f t="shared" si="3"/>
        <v>0.29429429429429427</v>
      </c>
      <c r="M218" s="11">
        <f t="shared" si="4"/>
        <v>0.39342404537054959</v>
      </c>
      <c r="N218" s="11">
        <f t="shared" si="5"/>
        <v>0.11578245179073231</v>
      </c>
      <c r="O218" s="18">
        <f t="shared" si="20"/>
        <v>1.2106375369755296</v>
      </c>
      <c r="U218" s="18"/>
      <c r="V218" s="18"/>
      <c r="W218" s="18"/>
      <c r="X218" s="18"/>
    </row>
    <row r="219" spans="1:24" ht="14.4">
      <c r="A219" s="8">
        <v>50601</v>
      </c>
      <c r="B219" s="8">
        <v>193</v>
      </c>
      <c r="C219" s="8">
        <v>69.444446206092834</v>
      </c>
      <c r="D219" s="8">
        <v>1509</v>
      </c>
      <c r="E219" s="11">
        <f t="shared" si="0"/>
        <v>0.12789927104042412</v>
      </c>
      <c r="F219" s="11">
        <f t="shared" si="1"/>
        <v>0.3598157834512582</v>
      </c>
      <c r="G219" s="11">
        <f t="shared" si="2"/>
        <v>4.6020176412255025E-2</v>
      </c>
      <c r="H219" s="8">
        <v>50601</v>
      </c>
      <c r="I219" s="8">
        <v>128</v>
      </c>
      <c r="J219" s="8">
        <v>47.000001072883606</v>
      </c>
      <c r="K219" s="8">
        <v>439</v>
      </c>
      <c r="L219" s="11">
        <f t="shared" si="3"/>
        <v>0.29157175398633256</v>
      </c>
      <c r="M219" s="11">
        <f t="shared" si="4"/>
        <v>0.36718750838190317</v>
      </c>
      <c r="N219" s="11">
        <f t="shared" si="5"/>
        <v>0.1070615058607827</v>
      </c>
      <c r="O219" s="18">
        <f t="shared" si="20"/>
        <v>2.3264036387368687</v>
      </c>
      <c r="U219" s="18"/>
      <c r="V219" s="18"/>
      <c r="W219" s="18"/>
      <c r="X219" s="18"/>
    </row>
    <row r="220" spans="1:24" ht="14.4">
      <c r="A220" s="8">
        <v>50602</v>
      </c>
      <c r="B220" s="8">
        <v>46</v>
      </c>
      <c r="C220" s="8">
        <v>16.777778178453445</v>
      </c>
      <c r="D220" s="8">
        <v>422</v>
      </c>
      <c r="E220" s="11">
        <f t="shared" si="0"/>
        <v>0.10900473933649289</v>
      </c>
      <c r="F220" s="11">
        <f t="shared" si="1"/>
        <v>0.36473430822724884</v>
      </c>
      <c r="G220" s="11">
        <f t="shared" si="2"/>
        <v>3.9757768195387316E-2</v>
      </c>
      <c r="H220" s="8">
        <v>50602</v>
      </c>
      <c r="I220" s="8">
        <v>39</v>
      </c>
      <c r="J220" s="8">
        <v>14.44444477558136</v>
      </c>
      <c r="K220" s="8">
        <v>162</v>
      </c>
      <c r="L220" s="11">
        <f t="shared" si="3"/>
        <v>0.24074074074074073</v>
      </c>
      <c r="M220" s="11">
        <f t="shared" si="4"/>
        <v>0.3703703788610605</v>
      </c>
      <c r="N220" s="11">
        <f t="shared" si="5"/>
        <v>8.9163239355440488E-2</v>
      </c>
      <c r="O220" s="18">
        <f t="shared" si="20"/>
        <v>2.2426620859916673</v>
      </c>
      <c r="U220" s="18"/>
      <c r="V220" s="18"/>
      <c r="W220" s="18"/>
      <c r="X220" s="18"/>
    </row>
    <row r="221" spans="1:24" ht="14.4">
      <c r="A221" s="8">
        <v>50701</v>
      </c>
      <c r="B221" s="8">
        <v>100</v>
      </c>
      <c r="C221" s="8">
        <v>38.000000864267349</v>
      </c>
      <c r="D221" s="8">
        <v>586</v>
      </c>
      <c r="E221" s="11">
        <f t="shared" si="0"/>
        <v>0.17064846416382254</v>
      </c>
      <c r="F221" s="11">
        <f t="shared" si="1"/>
        <v>0.38000000864267347</v>
      </c>
      <c r="G221" s="11">
        <f t="shared" si="2"/>
        <v>6.4846417857111524E-2</v>
      </c>
      <c r="H221" s="8">
        <v>50701</v>
      </c>
      <c r="I221" s="8">
        <v>102</v>
      </c>
      <c r="J221" s="8">
        <v>37.000000953674316</v>
      </c>
      <c r="K221" s="8">
        <v>498</v>
      </c>
      <c r="L221" s="11">
        <f t="shared" si="3"/>
        <v>0.20481927710843373</v>
      </c>
      <c r="M221" s="11">
        <f t="shared" si="4"/>
        <v>0.36274510738896387</v>
      </c>
      <c r="N221" s="11">
        <f t="shared" si="5"/>
        <v>7.429719067002874E-2</v>
      </c>
      <c r="O221" s="18">
        <f t="shared" si="20"/>
        <v>1.1457408616423794</v>
      </c>
      <c r="U221" s="18"/>
      <c r="V221" s="18"/>
      <c r="W221" s="18"/>
      <c r="X221" s="18"/>
    </row>
    <row r="222" spans="1:24" ht="14.4">
      <c r="A222" s="8">
        <v>50702</v>
      </c>
      <c r="B222" s="8">
        <v>68</v>
      </c>
      <c r="C222" s="8">
        <v>25.000000536441803</v>
      </c>
      <c r="D222" s="8">
        <v>325</v>
      </c>
      <c r="E222" s="11">
        <f t="shared" si="0"/>
        <v>0.20923076923076922</v>
      </c>
      <c r="F222" s="11">
        <f t="shared" si="1"/>
        <v>0.36764706671237946</v>
      </c>
      <c r="G222" s="11">
        <f t="shared" si="2"/>
        <v>7.6923078573667078E-2</v>
      </c>
      <c r="H222" s="8">
        <v>50702</v>
      </c>
      <c r="I222" s="8">
        <v>71</v>
      </c>
      <c r="J222" s="8">
        <v>26.222222834825516</v>
      </c>
      <c r="K222" s="8">
        <v>274</v>
      </c>
      <c r="L222" s="11">
        <f t="shared" si="3"/>
        <v>0.25912408759124089</v>
      </c>
      <c r="M222" s="11">
        <f t="shared" si="4"/>
        <v>0.36932708218064109</v>
      </c>
      <c r="N222" s="11">
        <f t="shared" si="5"/>
        <v>9.5701543192793864E-2</v>
      </c>
      <c r="O222" s="18">
        <f t="shared" si="20"/>
        <v>1.2441200348104007</v>
      </c>
      <c r="U222" s="18"/>
      <c r="V222" s="18"/>
      <c r="W222" s="18"/>
      <c r="X222" s="18"/>
    </row>
    <row r="223" spans="1:24" ht="14.4">
      <c r="A223" s="8">
        <v>50801</v>
      </c>
      <c r="B223" s="8">
        <v>132</v>
      </c>
      <c r="C223" s="8">
        <v>47.555556684732437</v>
      </c>
      <c r="D223" s="8">
        <v>2943</v>
      </c>
      <c r="E223" s="11">
        <f t="shared" si="0"/>
        <v>4.4852191641182468E-2</v>
      </c>
      <c r="F223" s="11">
        <f t="shared" si="1"/>
        <v>0.36026936882373056</v>
      </c>
      <c r="G223" s="11">
        <f t="shared" si="2"/>
        <v>1.6158870772929813E-2</v>
      </c>
      <c r="H223" s="8">
        <v>50801</v>
      </c>
      <c r="I223" s="8">
        <v>48</v>
      </c>
      <c r="J223" s="8">
        <v>17.77777823805809</v>
      </c>
      <c r="K223" s="8">
        <v>365</v>
      </c>
      <c r="L223" s="11">
        <f t="shared" si="3"/>
        <v>0.13150684931506848</v>
      </c>
      <c r="M223" s="11">
        <f t="shared" si="4"/>
        <v>0.37037037995954353</v>
      </c>
      <c r="N223" s="11">
        <f t="shared" si="5"/>
        <v>4.8706241748104347E-2</v>
      </c>
      <c r="O223" s="18">
        <f t="shared" si="20"/>
        <v>3.0142107349295468</v>
      </c>
      <c r="U223" s="18"/>
      <c r="V223" s="18"/>
      <c r="W223" s="18"/>
      <c r="X223" s="18"/>
    </row>
    <row r="224" spans="1:24" ht="14.4">
      <c r="A224" s="8">
        <v>50802</v>
      </c>
      <c r="B224" s="8">
        <v>48</v>
      </c>
      <c r="C224" s="8">
        <v>16.666667103767395</v>
      </c>
      <c r="D224" s="8">
        <v>1262</v>
      </c>
      <c r="E224" s="11">
        <f t="shared" si="0"/>
        <v>3.8034865293185421E-2</v>
      </c>
      <c r="F224" s="11">
        <f t="shared" si="1"/>
        <v>0.3472222313284874</v>
      </c>
      <c r="G224" s="11">
        <f t="shared" si="2"/>
        <v>1.3206550795378285E-2</v>
      </c>
      <c r="H224" s="8">
        <v>50802</v>
      </c>
      <c r="I224" s="8">
        <v>20</v>
      </c>
      <c r="J224" s="8">
        <v>7.5555557310581207</v>
      </c>
      <c r="K224" s="8">
        <v>119</v>
      </c>
      <c r="L224" s="11">
        <f t="shared" si="3"/>
        <v>0.16806722689075632</v>
      </c>
      <c r="M224" s="11">
        <f t="shared" si="4"/>
        <v>0.37777778655290606</v>
      </c>
      <c r="N224" s="11">
        <f t="shared" si="5"/>
        <v>6.349206496687497E-2</v>
      </c>
      <c r="O224" s="18">
        <f t="shared" si="20"/>
        <v>4.8076190332069455</v>
      </c>
      <c r="U224" s="18"/>
      <c r="V224" s="18"/>
      <c r="W224" s="18"/>
      <c r="X224" s="18"/>
    </row>
    <row r="225" spans="1:24" ht="14.4">
      <c r="A225" s="8">
        <v>50901</v>
      </c>
      <c r="B225" s="8">
        <v>55</v>
      </c>
      <c r="C225" s="8">
        <v>20.111111551523209</v>
      </c>
      <c r="D225" s="8">
        <v>958</v>
      </c>
      <c r="E225" s="11">
        <f t="shared" si="0"/>
        <v>5.7411273486430062E-2</v>
      </c>
      <c r="F225" s="11">
        <f t="shared" si="1"/>
        <v>0.36565657366405835</v>
      </c>
      <c r="G225" s="11">
        <f t="shared" si="2"/>
        <v>2.0992809552738214E-2</v>
      </c>
      <c r="H225" s="8">
        <v>50901</v>
      </c>
      <c r="I225" s="8">
        <v>14</v>
      </c>
      <c r="J225" s="8">
        <v>4.7777779102325439</v>
      </c>
      <c r="K225" s="8">
        <v>195</v>
      </c>
      <c r="L225" s="11">
        <f t="shared" si="3"/>
        <v>7.179487179487179E-2</v>
      </c>
      <c r="M225" s="11">
        <f t="shared" si="4"/>
        <v>0.341269850730896</v>
      </c>
      <c r="N225" s="11">
        <f t="shared" si="5"/>
        <v>2.4501425180679711E-2</v>
      </c>
      <c r="O225" s="18">
        <f t="shared" si="20"/>
        <v>1.167134161777019</v>
      </c>
      <c r="U225" s="18"/>
      <c r="V225" s="18"/>
      <c r="W225" s="18"/>
      <c r="X225" s="18"/>
    </row>
    <row r="226" spans="1:24" ht="14.4">
      <c r="A226" s="8">
        <v>50902</v>
      </c>
      <c r="B226" s="8">
        <v>5</v>
      </c>
      <c r="C226" s="8">
        <v>1.7777778208255768</v>
      </c>
      <c r="D226" s="8">
        <v>78</v>
      </c>
      <c r="E226" s="11">
        <f t="shared" si="0"/>
        <v>6.4102564102564097E-2</v>
      </c>
      <c r="F226" s="11">
        <f t="shared" si="1"/>
        <v>0.35555556416511536</v>
      </c>
      <c r="G226" s="11">
        <f t="shared" si="2"/>
        <v>2.2792023343917649E-2</v>
      </c>
      <c r="H226" s="8">
        <v>50902</v>
      </c>
      <c r="I226" s="8">
        <v>0</v>
      </c>
      <c r="J226" s="8">
        <v>0</v>
      </c>
      <c r="K226" s="8">
        <v>30</v>
      </c>
      <c r="L226" s="11">
        <f t="shared" si="3"/>
        <v>0</v>
      </c>
      <c r="M226" s="11" t="e">
        <f t="shared" si="4"/>
        <v>#DIV/0!</v>
      </c>
      <c r="N226" s="11" t="e">
        <f t="shared" si="5"/>
        <v>#DIV/0!</v>
      </c>
      <c r="O226" s="18" t="s">
        <v>22</v>
      </c>
      <c r="U226" s="18"/>
      <c r="V226" s="18"/>
      <c r="W226" s="18"/>
      <c r="X226" s="18"/>
    </row>
    <row r="227" spans="1:24" ht="14.4">
      <c r="A227" s="8">
        <v>51001</v>
      </c>
      <c r="B227" s="8">
        <v>25</v>
      </c>
      <c r="C227" s="8">
        <v>9.3333335816860199</v>
      </c>
      <c r="D227" s="8">
        <v>194</v>
      </c>
      <c r="E227" s="11">
        <f t="shared" si="0"/>
        <v>0.12886597938144329</v>
      </c>
      <c r="F227" s="11">
        <f t="shared" si="1"/>
        <v>0.37333334326744078</v>
      </c>
      <c r="G227" s="11">
        <f t="shared" si="2"/>
        <v>4.8109966915907312E-2</v>
      </c>
      <c r="H227" s="8">
        <v>51001</v>
      </c>
      <c r="I227" s="8">
        <v>5</v>
      </c>
      <c r="J227" s="8">
        <v>1.888888955116272</v>
      </c>
      <c r="K227" s="8">
        <v>75</v>
      </c>
      <c r="L227" s="11">
        <f t="shared" si="3"/>
        <v>6.6666666666666666E-2</v>
      </c>
      <c r="M227" s="11">
        <f t="shared" si="4"/>
        <v>0.37777779102325437</v>
      </c>
      <c r="N227" s="11">
        <f t="shared" si="5"/>
        <v>2.5185186068216958E-2</v>
      </c>
      <c r="O227" s="18">
        <f>N227/G227</f>
        <v>0.52349206791679592</v>
      </c>
      <c r="U227" s="18"/>
      <c r="V227" s="18"/>
      <c r="W227" s="18"/>
      <c r="X227" s="18"/>
    </row>
    <row r="228" spans="1:24" ht="14.4">
      <c r="A228" s="8">
        <v>51002</v>
      </c>
      <c r="B228" s="8">
        <v>0</v>
      </c>
      <c r="C228" s="8">
        <v>0</v>
      </c>
      <c r="D228" s="8">
        <v>2</v>
      </c>
      <c r="E228" s="11">
        <f t="shared" si="0"/>
        <v>0</v>
      </c>
      <c r="F228" s="11" t="e">
        <f t="shared" si="1"/>
        <v>#DIV/0!</v>
      </c>
      <c r="G228" s="11" t="e">
        <f t="shared" si="2"/>
        <v>#DIV/0!</v>
      </c>
      <c r="H228" s="8">
        <v>51002</v>
      </c>
      <c r="I228" s="8">
        <v>0</v>
      </c>
      <c r="J228" s="8">
        <v>0</v>
      </c>
      <c r="K228" s="8">
        <v>1</v>
      </c>
      <c r="L228" s="11">
        <f t="shared" si="3"/>
        <v>0</v>
      </c>
      <c r="M228" s="11" t="e">
        <f t="shared" si="4"/>
        <v>#DIV/0!</v>
      </c>
      <c r="N228" s="11" t="e">
        <f t="shared" si="5"/>
        <v>#DIV/0!</v>
      </c>
      <c r="O228" s="18" t="s">
        <v>22</v>
      </c>
      <c r="U228" s="18"/>
      <c r="V228" s="18"/>
      <c r="W228" s="18"/>
      <c r="X228" s="18"/>
    </row>
    <row r="229" spans="1:24" ht="14.4">
      <c r="A229" s="8">
        <v>51003</v>
      </c>
      <c r="B229" s="8">
        <v>2</v>
      </c>
      <c r="C229" s="8">
        <v>0.66666668653488159</v>
      </c>
      <c r="D229" s="8">
        <v>71</v>
      </c>
      <c r="E229" s="11">
        <f t="shared" si="0"/>
        <v>2.8169014084507043E-2</v>
      </c>
      <c r="F229" s="11">
        <f t="shared" si="1"/>
        <v>0.3333333432674408</v>
      </c>
      <c r="G229" s="11">
        <f t="shared" si="2"/>
        <v>9.3896716413363612E-3</v>
      </c>
      <c r="H229" s="8">
        <v>51003</v>
      </c>
      <c r="I229" s="8">
        <v>0</v>
      </c>
      <c r="J229" s="8">
        <v>0</v>
      </c>
      <c r="K229" s="8">
        <v>6</v>
      </c>
      <c r="L229" s="11">
        <f t="shared" si="3"/>
        <v>0</v>
      </c>
      <c r="M229" s="11" t="e">
        <f t="shared" si="4"/>
        <v>#DIV/0!</v>
      </c>
      <c r="N229" s="11" t="e">
        <f t="shared" si="5"/>
        <v>#DIV/0!</v>
      </c>
      <c r="O229" s="18" t="s">
        <v>22</v>
      </c>
      <c r="U229" s="18"/>
      <c r="V229" s="18"/>
      <c r="W229" s="18"/>
      <c r="X229" s="18"/>
    </row>
    <row r="230" spans="1:24" ht="14.4">
      <c r="A230" s="8">
        <v>51101</v>
      </c>
      <c r="B230" s="8">
        <v>80</v>
      </c>
      <c r="C230" s="8">
        <v>30.000000655651093</v>
      </c>
      <c r="D230" s="8">
        <v>663</v>
      </c>
      <c r="E230" s="11">
        <f t="shared" si="0"/>
        <v>0.12066365007541478</v>
      </c>
      <c r="F230" s="11">
        <f t="shared" si="1"/>
        <v>0.37500000819563867</v>
      </c>
      <c r="G230" s="11">
        <f t="shared" si="2"/>
        <v>4.524886976719622E-2</v>
      </c>
      <c r="H230" s="8">
        <v>51101</v>
      </c>
      <c r="I230" s="8">
        <v>30</v>
      </c>
      <c r="J230" s="8">
        <v>10.444444745779037</v>
      </c>
      <c r="K230" s="8">
        <v>277</v>
      </c>
      <c r="L230" s="11">
        <f t="shared" si="3"/>
        <v>0.10830324909747292</v>
      </c>
      <c r="M230" s="11">
        <f t="shared" si="4"/>
        <v>0.34814815819263456</v>
      </c>
      <c r="N230" s="11">
        <f t="shared" si="5"/>
        <v>3.7705576699563308E-2</v>
      </c>
      <c r="O230" s="18">
        <f t="shared" ref="O230:O241" si="21">N230/G230</f>
        <v>0.83329322684869522</v>
      </c>
      <c r="U230" s="18"/>
      <c r="V230" s="18"/>
      <c r="W230" s="18"/>
      <c r="X230" s="18"/>
    </row>
    <row r="231" spans="1:24" ht="14.4">
      <c r="A231" s="8">
        <v>51102</v>
      </c>
      <c r="B231" s="8">
        <v>133</v>
      </c>
      <c r="C231" s="8">
        <v>47.222223460674286</v>
      </c>
      <c r="D231" s="8">
        <v>882</v>
      </c>
      <c r="E231" s="11">
        <f t="shared" si="0"/>
        <v>0.15079365079365079</v>
      </c>
      <c r="F231" s="11">
        <f t="shared" si="1"/>
        <v>0.35505431173439311</v>
      </c>
      <c r="G231" s="11">
        <f t="shared" si="2"/>
        <v>5.3539935896456101E-2</v>
      </c>
      <c r="H231" s="8">
        <v>51102</v>
      </c>
      <c r="I231" s="8">
        <v>40</v>
      </c>
      <c r="J231" s="8">
        <v>14.000000357627869</v>
      </c>
      <c r="K231" s="8">
        <v>253</v>
      </c>
      <c r="L231" s="11">
        <f t="shared" si="3"/>
        <v>0.15810276679841898</v>
      </c>
      <c r="M231" s="11">
        <f t="shared" si="4"/>
        <v>0.35000000894069672</v>
      </c>
      <c r="N231" s="11">
        <f t="shared" si="5"/>
        <v>5.5335969792995529E-2</v>
      </c>
      <c r="O231" s="18">
        <f t="shared" si="21"/>
        <v>1.0335456863454764</v>
      </c>
      <c r="U231" s="18"/>
      <c r="V231" s="18"/>
      <c r="W231" s="18"/>
      <c r="X231" s="18"/>
    </row>
    <row r="232" spans="1:24" ht="14.4">
      <c r="A232" s="8">
        <v>51103</v>
      </c>
      <c r="B232" s="8">
        <v>226</v>
      </c>
      <c r="C232" s="8">
        <v>86.777780055999756</v>
      </c>
      <c r="D232" s="8">
        <v>550</v>
      </c>
      <c r="E232" s="11">
        <f t="shared" si="0"/>
        <v>0.41090909090909089</v>
      </c>
      <c r="F232" s="11">
        <f t="shared" si="1"/>
        <v>0.38397247812389274</v>
      </c>
      <c r="G232" s="11">
        <f t="shared" si="2"/>
        <v>0.15777778191999955</v>
      </c>
      <c r="H232" s="8">
        <v>51103</v>
      </c>
      <c r="I232" s="8">
        <v>104</v>
      </c>
      <c r="J232" s="8">
        <v>39.444445252418518</v>
      </c>
      <c r="K232" s="8">
        <v>305</v>
      </c>
      <c r="L232" s="11">
        <f t="shared" si="3"/>
        <v>0.34098360655737703</v>
      </c>
      <c r="M232" s="11">
        <f t="shared" si="4"/>
        <v>0.37927351204248577</v>
      </c>
      <c r="N232" s="11">
        <f t="shared" si="5"/>
        <v>0.12932605000792957</v>
      </c>
      <c r="O232" s="18">
        <f t="shared" si="21"/>
        <v>0.81967212641830467</v>
      </c>
      <c r="U232" s="18"/>
      <c r="V232" s="18"/>
      <c r="W232" s="18"/>
      <c r="X232" s="18"/>
    </row>
    <row r="233" spans="1:24" ht="14.4">
      <c r="A233" s="8">
        <v>51201</v>
      </c>
      <c r="B233" s="8">
        <v>191</v>
      </c>
      <c r="C233" s="8">
        <v>68.444446176290512</v>
      </c>
      <c r="D233" s="8">
        <v>2736</v>
      </c>
      <c r="E233" s="11">
        <f t="shared" si="0"/>
        <v>6.9809941520467836E-2</v>
      </c>
      <c r="F233" s="11">
        <f t="shared" si="1"/>
        <v>0.35834788573974091</v>
      </c>
      <c r="G233" s="11">
        <f t="shared" si="2"/>
        <v>2.5016244947474602E-2</v>
      </c>
      <c r="H233" s="8">
        <v>51201</v>
      </c>
      <c r="I233" s="8">
        <v>103</v>
      </c>
      <c r="J233" s="8">
        <v>36.555556446313858</v>
      </c>
      <c r="K233" s="8">
        <v>608</v>
      </c>
      <c r="L233" s="11">
        <f t="shared" si="3"/>
        <v>0.16940789473684212</v>
      </c>
      <c r="M233" s="11">
        <f t="shared" si="4"/>
        <v>0.35490831501275588</v>
      </c>
      <c r="N233" s="11">
        <f t="shared" si="5"/>
        <v>6.012427047091095E-2</v>
      </c>
      <c r="O233" s="18">
        <f t="shared" si="21"/>
        <v>2.4034090886602275</v>
      </c>
      <c r="U233" s="18"/>
      <c r="V233" s="18"/>
      <c r="W233" s="18"/>
      <c r="X233" s="18"/>
    </row>
    <row r="234" spans="1:24" ht="14.4">
      <c r="A234" s="8">
        <v>51202</v>
      </c>
      <c r="B234" s="8">
        <v>111</v>
      </c>
      <c r="C234" s="8">
        <v>39.333334296941757</v>
      </c>
      <c r="D234" s="8">
        <v>601</v>
      </c>
      <c r="E234" s="11">
        <f t="shared" si="0"/>
        <v>0.18469217970049917</v>
      </c>
      <c r="F234" s="11">
        <f t="shared" si="1"/>
        <v>0.35435436303551132</v>
      </c>
      <c r="G234" s="11">
        <f t="shared" si="2"/>
        <v>6.5446479695410578E-2</v>
      </c>
      <c r="H234" s="8">
        <v>51202</v>
      </c>
      <c r="I234" s="8">
        <v>66</v>
      </c>
      <c r="J234" s="8">
        <v>22.888889491558075</v>
      </c>
      <c r="K234" s="8">
        <v>322</v>
      </c>
      <c r="L234" s="11">
        <f t="shared" si="3"/>
        <v>0.20496894409937888</v>
      </c>
      <c r="M234" s="11">
        <f t="shared" si="4"/>
        <v>0.34680135593269812</v>
      </c>
      <c r="N234" s="11">
        <f t="shared" si="5"/>
        <v>7.1083507737757998E-2</v>
      </c>
      <c r="O234" s="18">
        <f t="shared" si="21"/>
        <v>1.0861318755200016</v>
      </c>
      <c r="U234" s="18"/>
      <c r="V234" s="18"/>
      <c r="W234" s="18"/>
      <c r="X234" s="18"/>
    </row>
    <row r="235" spans="1:24" ht="14.4">
      <c r="A235" s="8">
        <v>51203</v>
      </c>
      <c r="B235" s="8">
        <v>97</v>
      </c>
      <c r="C235" s="8">
        <v>35.444445431232452</v>
      </c>
      <c r="D235" s="8">
        <v>1983</v>
      </c>
      <c r="E235" s="11">
        <f t="shared" si="0"/>
        <v>4.891578416540595E-2</v>
      </c>
      <c r="F235" s="11">
        <f t="shared" si="1"/>
        <v>0.36540665393023147</v>
      </c>
      <c r="G235" s="11">
        <f t="shared" si="2"/>
        <v>1.7874153016254387E-2</v>
      </c>
      <c r="H235" s="8">
        <v>51203</v>
      </c>
      <c r="I235" s="8">
        <v>53</v>
      </c>
      <c r="J235" s="8">
        <v>19.222222775220871</v>
      </c>
      <c r="K235" s="8">
        <v>437</v>
      </c>
      <c r="L235" s="11">
        <f t="shared" si="3"/>
        <v>0.12128146453089245</v>
      </c>
      <c r="M235" s="11">
        <f t="shared" si="4"/>
        <v>0.36268344858907303</v>
      </c>
      <c r="N235" s="11">
        <f t="shared" si="5"/>
        <v>4.3986779805997418E-2</v>
      </c>
      <c r="O235" s="18">
        <f t="shared" si="21"/>
        <v>2.4609154775611883</v>
      </c>
      <c r="U235" s="18"/>
      <c r="V235" s="18"/>
      <c r="W235" s="18"/>
      <c r="X235" s="18"/>
    </row>
    <row r="236" spans="1:24" ht="14.4">
      <c r="A236" s="8">
        <v>51204</v>
      </c>
      <c r="B236" s="8">
        <v>80</v>
      </c>
      <c r="C236" s="8">
        <v>29.111111789941788</v>
      </c>
      <c r="D236" s="8">
        <v>408</v>
      </c>
      <c r="E236" s="11">
        <f t="shared" si="0"/>
        <v>0.19607843137254902</v>
      </c>
      <c r="F236" s="11">
        <f t="shared" si="1"/>
        <v>0.36388889737427232</v>
      </c>
      <c r="G236" s="11">
        <f t="shared" si="2"/>
        <v>7.1350764191033783E-2</v>
      </c>
      <c r="H236" s="8">
        <v>51204</v>
      </c>
      <c r="I236" s="8">
        <v>57</v>
      </c>
      <c r="J236" s="8">
        <v>20.888889342546463</v>
      </c>
      <c r="K236" s="8">
        <v>221</v>
      </c>
      <c r="L236" s="11">
        <f t="shared" si="3"/>
        <v>0.25791855203619912</v>
      </c>
      <c r="M236" s="11">
        <f t="shared" si="4"/>
        <v>0.36647174285169232</v>
      </c>
      <c r="N236" s="11">
        <f t="shared" si="5"/>
        <v>9.4519861278490783E-2</v>
      </c>
      <c r="O236" s="18">
        <f t="shared" si="21"/>
        <v>1.3247210783254444</v>
      </c>
      <c r="U236" s="18"/>
      <c r="V236" s="18"/>
      <c r="W236" s="18"/>
      <c r="X236" s="18"/>
    </row>
    <row r="237" spans="1:24" ht="14.4">
      <c r="A237" s="8">
        <v>51301</v>
      </c>
      <c r="B237" s="8">
        <v>21</v>
      </c>
      <c r="C237" s="8">
        <v>7.4444446563720703</v>
      </c>
      <c r="D237" s="8">
        <v>125</v>
      </c>
      <c r="E237" s="11">
        <f t="shared" si="0"/>
        <v>0.16800000000000001</v>
      </c>
      <c r="F237" s="11">
        <f t="shared" si="1"/>
        <v>0.35449736458914621</v>
      </c>
      <c r="G237" s="11">
        <f t="shared" si="2"/>
        <v>5.9555557250976568E-2</v>
      </c>
      <c r="H237" s="8">
        <v>51301</v>
      </c>
      <c r="I237" s="8">
        <v>20</v>
      </c>
      <c r="J237" s="8">
        <v>7.3333334922790527</v>
      </c>
      <c r="K237" s="8">
        <v>79</v>
      </c>
      <c r="L237" s="11">
        <f t="shared" si="3"/>
        <v>0.25316455696202533</v>
      </c>
      <c r="M237" s="11">
        <f t="shared" si="4"/>
        <v>0.36666667461395264</v>
      </c>
      <c r="N237" s="11">
        <f t="shared" si="5"/>
        <v>9.2827006231380418E-2</v>
      </c>
      <c r="O237" s="18">
        <f t="shared" si="21"/>
        <v>1.5586623736923941</v>
      </c>
      <c r="U237" s="18"/>
      <c r="V237" s="18"/>
      <c r="W237" s="18"/>
      <c r="X237" s="18"/>
    </row>
    <row r="238" spans="1:24" ht="14.4">
      <c r="A238" s="8">
        <v>51302</v>
      </c>
      <c r="B238" s="8">
        <v>21</v>
      </c>
      <c r="C238" s="8">
        <v>7.5555557310581207</v>
      </c>
      <c r="D238" s="8">
        <v>221</v>
      </c>
      <c r="E238" s="11">
        <f t="shared" si="0"/>
        <v>9.5022624434389136E-2</v>
      </c>
      <c r="F238" s="11">
        <f t="shared" si="1"/>
        <v>0.35978836814562482</v>
      </c>
      <c r="G238" s="11">
        <f t="shared" si="2"/>
        <v>3.418803498216344E-2</v>
      </c>
      <c r="H238" s="8">
        <v>51302</v>
      </c>
      <c r="I238" s="8">
        <v>20</v>
      </c>
      <c r="J238" s="8">
        <v>6.8888890743255615</v>
      </c>
      <c r="K238" s="8">
        <v>95</v>
      </c>
      <c r="L238" s="11">
        <f t="shared" si="3"/>
        <v>0.21052631578947367</v>
      </c>
      <c r="M238" s="11">
        <f t="shared" si="4"/>
        <v>0.34444445371627808</v>
      </c>
      <c r="N238" s="11">
        <f t="shared" si="5"/>
        <v>7.2514621835005913E-2</v>
      </c>
      <c r="O238" s="18">
        <f t="shared" si="21"/>
        <v>2.1210526394055171</v>
      </c>
      <c r="U238" s="18"/>
      <c r="V238" s="18"/>
      <c r="W238" s="18"/>
      <c r="X238" s="18"/>
    </row>
    <row r="239" spans="1:24" ht="14.4">
      <c r="A239" s="8">
        <v>51401</v>
      </c>
      <c r="B239" s="8">
        <v>12</v>
      </c>
      <c r="C239" s="8">
        <v>4.0000001192092896</v>
      </c>
      <c r="D239" s="8">
        <v>366</v>
      </c>
      <c r="E239" s="11">
        <f t="shared" si="0"/>
        <v>3.2786885245901641E-2</v>
      </c>
      <c r="F239" s="11">
        <f t="shared" si="1"/>
        <v>0.3333333432674408</v>
      </c>
      <c r="G239" s="11">
        <f t="shared" si="2"/>
        <v>1.0928962074342321E-2</v>
      </c>
      <c r="H239" s="8">
        <v>51401</v>
      </c>
      <c r="I239" s="8">
        <v>1</v>
      </c>
      <c r="J239" s="8">
        <v>0.3333333432674408</v>
      </c>
      <c r="K239" s="8">
        <v>76</v>
      </c>
      <c r="L239" s="11">
        <f t="shared" si="3"/>
        <v>1.3157894736842105E-2</v>
      </c>
      <c r="M239" s="11">
        <f t="shared" si="4"/>
        <v>0.3333333432674408</v>
      </c>
      <c r="N239" s="11">
        <f t="shared" si="5"/>
        <v>4.3859650429926419E-3</v>
      </c>
      <c r="O239" s="18">
        <f t="shared" si="21"/>
        <v>0.40131578947368418</v>
      </c>
      <c r="U239" s="18"/>
      <c r="V239" s="18"/>
      <c r="W239" s="18"/>
      <c r="X239" s="18"/>
    </row>
    <row r="240" spans="1:24" ht="14.4">
      <c r="A240" s="8">
        <v>51402</v>
      </c>
      <c r="B240" s="8">
        <v>20</v>
      </c>
      <c r="C240" s="8">
        <v>7.6666668057441711</v>
      </c>
      <c r="D240" s="8">
        <v>109</v>
      </c>
      <c r="E240" s="11">
        <f t="shared" si="0"/>
        <v>0.1834862385321101</v>
      </c>
      <c r="F240" s="11">
        <f t="shared" si="1"/>
        <v>0.38333334028720856</v>
      </c>
      <c r="G240" s="11">
        <f t="shared" si="2"/>
        <v>7.0336392713249277E-2</v>
      </c>
      <c r="H240" s="8">
        <v>51402</v>
      </c>
      <c r="I240" s="8">
        <v>15</v>
      </c>
      <c r="J240" s="8">
        <v>5.2222223579883575</v>
      </c>
      <c r="K240" s="8">
        <v>53</v>
      </c>
      <c r="L240" s="11">
        <f t="shared" si="3"/>
        <v>0.28301886792452829</v>
      </c>
      <c r="M240" s="11">
        <f t="shared" si="4"/>
        <v>0.34814815719922382</v>
      </c>
      <c r="N240" s="11">
        <f t="shared" si="5"/>
        <v>9.853249732053504E-2</v>
      </c>
      <c r="O240" s="18">
        <f t="shared" si="21"/>
        <v>1.4008750451880148</v>
      </c>
      <c r="U240" s="18"/>
      <c r="V240" s="18"/>
      <c r="W240" s="18"/>
      <c r="X240" s="18"/>
    </row>
    <row r="241" spans="1:24" ht="14.4">
      <c r="A241" s="8">
        <v>51501</v>
      </c>
      <c r="B241" s="8">
        <v>105</v>
      </c>
      <c r="C241" s="8">
        <v>38.777778834104538</v>
      </c>
      <c r="D241" s="8">
        <v>2494</v>
      </c>
      <c r="E241" s="11">
        <f t="shared" si="0"/>
        <v>4.2101042502004811E-2</v>
      </c>
      <c r="F241" s="11">
        <f t="shared" si="1"/>
        <v>0.36931217937242417</v>
      </c>
      <c r="G241" s="11">
        <f t="shared" si="2"/>
        <v>1.5548427760266454E-2</v>
      </c>
      <c r="H241" s="8">
        <v>51501</v>
      </c>
      <c r="I241" s="8">
        <v>11</v>
      </c>
      <c r="J241" s="8">
        <v>4.0000000894069672</v>
      </c>
      <c r="K241" s="8">
        <v>250</v>
      </c>
      <c r="L241" s="11">
        <f t="shared" si="3"/>
        <v>4.3999999999999997E-2</v>
      </c>
      <c r="M241" s="11">
        <f t="shared" si="4"/>
        <v>0.36363637176426972</v>
      </c>
      <c r="N241" s="11">
        <f t="shared" si="5"/>
        <v>1.6000000357627865E-2</v>
      </c>
      <c r="O241" s="18">
        <f t="shared" si="21"/>
        <v>1.0290429749119323</v>
      </c>
      <c r="U241" s="18"/>
      <c r="V241" s="18"/>
      <c r="W241" s="18"/>
      <c r="X241" s="18"/>
    </row>
    <row r="242" spans="1:24" ht="14.4">
      <c r="A242" s="8">
        <v>51601</v>
      </c>
      <c r="B242" s="8">
        <v>1</v>
      </c>
      <c r="C242" s="8">
        <v>0.3333333432674408</v>
      </c>
      <c r="D242" s="8">
        <v>130</v>
      </c>
      <c r="E242" s="11">
        <f t="shared" si="0"/>
        <v>7.6923076923076927E-3</v>
      </c>
      <c r="F242" s="11">
        <f t="shared" si="1"/>
        <v>0.3333333432674408</v>
      </c>
      <c r="G242" s="11">
        <f t="shared" si="2"/>
        <v>2.5641026405187756E-3</v>
      </c>
      <c r="H242" s="8">
        <v>51601</v>
      </c>
      <c r="I242" s="8">
        <v>0</v>
      </c>
      <c r="J242" s="8">
        <v>0</v>
      </c>
      <c r="K242" s="8">
        <v>47</v>
      </c>
      <c r="L242" s="11">
        <f t="shared" si="3"/>
        <v>0</v>
      </c>
      <c r="M242" s="11" t="e">
        <f t="shared" si="4"/>
        <v>#DIV/0!</v>
      </c>
      <c r="N242" s="11" t="e">
        <f t="shared" si="5"/>
        <v>#DIV/0!</v>
      </c>
      <c r="O242" s="18" t="s">
        <v>22</v>
      </c>
      <c r="U242" s="18"/>
      <c r="V242" s="18"/>
      <c r="W242" s="18"/>
      <c r="X242" s="18"/>
    </row>
    <row r="243" spans="1:24" ht="14.4">
      <c r="A243" s="8">
        <v>60101</v>
      </c>
      <c r="B243" s="8">
        <v>277</v>
      </c>
      <c r="C243" s="8">
        <v>98.333335906267166</v>
      </c>
      <c r="D243" s="8">
        <v>10162</v>
      </c>
      <c r="E243" s="11">
        <f t="shared" si="0"/>
        <v>2.7258413698090928E-2</v>
      </c>
      <c r="F243" s="11">
        <f t="shared" si="1"/>
        <v>0.35499399244139773</v>
      </c>
      <c r="G243" s="11">
        <f t="shared" si="2"/>
        <v>9.6765731063045823E-3</v>
      </c>
      <c r="H243" s="8">
        <v>60101</v>
      </c>
      <c r="I243" s="8">
        <v>31</v>
      </c>
      <c r="J243" s="8">
        <v>11.111111372709274</v>
      </c>
      <c r="K243" s="8">
        <v>833</v>
      </c>
      <c r="L243" s="11">
        <f t="shared" si="3"/>
        <v>3.721488595438175E-2</v>
      </c>
      <c r="M243" s="11">
        <f t="shared" si="4"/>
        <v>0.3584229475067508</v>
      </c>
      <c r="N243" s="11">
        <f t="shared" si="5"/>
        <v>1.3338669114897088E-2</v>
      </c>
      <c r="O243" s="18">
        <f t="shared" ref="O243:O263" si="22">N243/G243</f>
        <v>1.3784496813449938</v>
      </c>
      <c r="U243" s="18"/>
      <c r="V243" s="18"/>
      <c r="W243" s="18"/>
      <c r="X243" s="18"/>
    </row>
    <row r="244" spans="1:24" ht="14.4">
      <c r="A244" s="8">
        <v>60201</v>
      </c>
      <c r="B244" s="8">
        <v>51</v>
      </c>
      <c r="C244" s="8">
        <v>17.888889402151108</v>
      </c>
      <c r="D244" s="8">
        <v>612</v>
      </c>
      <c r="E244" s="11">
        <f t="shared" si="0"/>
        <v>8.3333333333333329E-2</v>
      </c>
      <c r="F244" s="11">
        <f t="shared" si="1"/>
        <v>0.35076253729708057</v>
      </c>
      <c r="G244" s="11">
        <f t="shared" si="2"/>
        <v>2.9230211441423379E-2</v>
      </c>
      <c r="H244" s="8">
        <v>60201</v>
      </c>
      <c r="I244" s="8">
        <v>6</v>
      </c>
      <c r="J244" s="8">
        <v>2.0000000596046448</v>
      </c>
      <c r="K244" s="8">
        <v>179</v>
      </c>
      <c r="L244" s="11">
        <f t="shared" si="3"/>
        <v>3.3519553072625698E-2</v>
      </c>
      <c r="M244" s="11">
        <f t="shared" si="4"/>
        <v>0.3333333432674408</v>
      </c>
      <c r="N244" s="11">
        <f t="shared" si="5"/>
        <v>1.1173184690528741E-2</v>
      </c>
      <c r="O244" s="18">
        <f t="shared" si="22"/>
        <v>0.38224782304156529</v>
      </c>
      <c r="U244" s="18"/>
      <c r="V244" s="18"/>
      <c r="W244" s="18"/>
      <c r="X244" s="18"/>
    </row>
    <row r="245" spans="1:24" ht="14.4">
      <c r="A245" s="8">
        <v>60202</v>
      </c>
      <c r="B245" s="8">
        <v>33</v>
      </c>
      <c r="C245" s="8">
        <v>12.333333671092987</v>
      </c>
      <c r="D245" s="8">
        <v>1473</v>
      </c>
      <c r="E245" s="11">
        <f t="shared" si="0"/>
        <v>2.2403258655804479E-2</v>
      </c>
      <c r="F245" s="11">
        <f t="shared" si="1"/>
        <v>0.37373738397251477</v>
      </c>
      <c r="G245" s="11">
        <f t="shared" si="2"/>
        <v>8.3729352824799645E-3</v>
      </c>
      <c r="H245" s="8">
        <v>60202</v>
      </c>
      <c r="I245" s="8">
        <v>3</v>
      </c>
      <c r="J245" s="8">
        <v>1.1111111342906952</v>
      </c>
      <c r="K245" s="8">
        <v>154</v>
      </c>
      <c r="L245" s="11">
        <f t="shared" si="3"/>
        <v>1.948051948051948E-2</v>
      </c>
      <c r="M245" s="11">
        <f t="shared" si="4"/>
        <v>0.37037037809689838</v>
      </c>
      <c r="N245" s="11">
        <f t="shared" si="5"/>
        <v>7.2150073655239946E-3</v>
      </c>
      <c r="O245" s="18">
        <f t="shared" si="22"/>
        <v>0.86170585608384098</v>
      </c>
      <c r="U245" s="18"/>
      <c r="V245" s="18"/>
      <c r="W245" s="18"/>
      <c r="X245" s="18"/>
    </row>
    <row r="246" spans="1:24" ht="14.4">
      <c r="A246" s="8">
        <v>60301</v>
      </c>
      <c r="B246" s="8">
        <v>136</v>
      </c>
      <c r="C246" s="8">
        <v>49.000001221895218</v>
      </c>
      <c r="D246" s="8">
        <v>4040</v>
      </c>
      <c r="E246" s="11">
        <f t="shared" si="0"/>
        <v>3.3663366336633666E-2</v>
      </c>
      <c r="F246" s="11">
        <f t="shared" si="1"/>
        <v>0.3602941266315825</v>
      </c>
      <c r="G246" s="11">
        <f t="shared" si="2"/>
        <v>1.2128713173736441E-2</v>
      </c>
      <c r="H246" s="8">
        <v>60301</v>
      </c>
      <c r="I246" s="8">
        <v>11</v>
      </c>
      <c r="J246" s="8">
        <v>3.8888889849185944</v>
      </c>
      <c r="K246" s="8">
        <v>332</v>
      </c>
      <c r="L246" s="11">
        <f t="shared" si="3"/>
        <v>3.313253012048193E-2</v>
      </c>
      <c r="M246" s="11">
        <f t="shared" si="4"/>
        <v>0.35353536226532678</v>
      </c>
      <c r="N246" s="11">
        <f t="shared" si="5"/>
        <v>1.1713521038911431E-2</v>
      </c>
      <c r="O246" s="18">
        <f t="shared" si="22"/>
        <v>0.9657678330027567</v>
      </c>
      <c r="U246" s="18"/>
      <c r="V246" s="18"/>
      <c r="W246" s="18"/>
      <c r="X246" s="18"/>
    </row>
    <row r="247" spans="1:24" ht="14.4">
      <c r="A247" s="8">
        <v>60302</v>
      </c>
      <c r="B247" s="8">
        <v>56</v>
      </c>
      <c r="C247" s="8">
        <v>19.777778297662735</v>
      </c>
      <c r="D247" s="8">
        <v>955</v>
      </c>
      <c r="E247" s="11">
        <f t="shared" si="0"/>
        <v>5.8638743455497383E-2</v>
      </c>
      <c r="F247" s="11">
        <f t="shared" si="1"/>
        <v>0.35317461245826315</v>
      </c>
      <c r="G247" s="11">
        <f t="shared" si="2"/>
        <v>2.0709715494934802E-2</v>
      </c>
      <c r="H247" s="8">
        <v>60302</v>
      </c>
      <c r="I247" s="8">
        <v>5</v>
      </c>
      <c r="J247" s="8">
        <v>1.666666716337204</v>
      </c>
      <c r="K247" s="8">
        <v>88</v>
      </c>
      <c r="L247" s="11">
        <f t="shared" si="3"/>
        <v>5.6818181818181816E-2</v>
      </c>
      <c r="M247" s="11">
        <f t="shared" si="4"/>
        <v>0.3333333432674408</v>
      </c>
      <c r="N247" s="11">
        <f t="shared" si="5"/>
        <v>1.8939394503831863E-2</v>
      </c>
      <c r="O247" s="18">
        <f t="shared" si="22"/>
        <v>0.91451736787326099</v>
      </c>
      <c r="U247" s="18"/>
      <c r="V247" s="18"/>
      <c r="W247" s="18"/>
      <c r="X247" s="18"/>
    </row>
    <row r="248" spans="1:24" ht="14.4">
      <c r="A248" s="8">
        <v>60303</v>
      </c>
      <c r="B248" s="8">
        <v>89</v>
      </c>
      <c r="C248" s="8">
        <v>31.222223073244095</v>
      </c>
      <c r="D248" s="8">
        <v>2398</v>
      </c>
      <c r="E248" s="11">
        <f t="shared" si="0"/>
        <v>3.711426188490409E-2</v>
      </c>
      <c r="F248" s="11">
        <f t="shared" si="1"/>
        <v>0.35081149520498983</v>
      </c>
      <c r="G248" s="11">
        <f t="shared" si="2"/>
        <v>1.3020109705272767E-2</v>
      </c>
      <c r="H248" s="8">
        <v>60303</v>
      </c>
      <c r="I248" s="8">
        <v>23</v>
      </c>
      <c r="J248" s="8">
        <v>8.1111113727092743</v>
      </c>
      <c r="K248" s="8">
        <v>297</v>
      </c>
      <c r="L248" s="11">
        <f t="shared" si="3"/>
        <v>7.7441077441077436E-2</v>
      </c>
      <c r="M248" s="11">
        <f t="shared" si="4"/>
        <v>0.35265701620475104</v>
      </c>
      <c r="N248" s="11">
        <f t="shared" si="5"/>
        <v>2.7310139302051426E-2</v>
      </c>
      <c r="O248" s="18">
        <f t="shared" si="22"/>
        <v>2.0975352681545849</v>
      </c>
      <c r="U248" s="18"/>
      <c r="V248" s="18"/>
      <c r="W248" s="18"/>
      <c r="X248" s="18"/>
    </row>
    <row r="249" spans="1:24" ht="14.4">
      <c r="A249" s="8">
        <v>60401</v>
      </c>
      <c r="B249" s="8">
        <v>25</v>
      </c>
      <c r="C249" s="8">
        <v>8.7777779996395111</v>
      </c>
      <c r="D249" s="8">
        <v>570</v>
      </c>
      <c r="E249" s="11">
        <f t="shared" si="0"/>
        <v>4.3859649122807015E-2</v>
      </c>
      <c r="F249" s="11">
        <f t="shared" si="1"/>
        <v>0.35111111998558042</v>
      </c>
      <c r="G249" s="11">
        <f t="shared" si="2"/>
        <v>1.539961052568335E-2</v>
      </c>
      <c r="H249" s="8">
        <v>60401</v>
      </c>
      <c r="I249" s="8">
        <v>11</v>
      </c>
      <c r="J249" s="8">
        <v>3.8888890147209167</v>
      </c>
      <c r="K249" s="8">
        <v>102</v>
      </c>
      <c r="L249" s="11">
        <f t="shared" si="3"/>
        <v>0.10784313725490197</v>
      </c>
      <c r="M249" s="11">
        <f t="shared" si="4"/>
        <v>0.35353536497462879</v>
      </c>
      <c r="N249" s="11">
        <f t="shared" si="5"/>
        <v>3.8126362889420756E-2</v>
      </c>
      <c r="O249" s="18">
        <f t="shared" si="22"/>
        <v>2.4758004642931652</v>
      </c>
      <c r="U249" s="18"/>
      <c r="V249" s="18"/>
      <c r="W249" s="18"/>
      <c r="X249" s="18"/>
    </row>
    <row r="250" spans="1:24" ht="14.4">
      <c r="A250" s="8">
        <v>60402</v>
      </c>
      <c r="B250" s="8">
        <v>6</v>
      </c>
      <c r="C250" s="8">
        <v>2.3333333730697632</v>
      </c>
      <c r="D250" s="8">
        <v>159</v>
      </c>
      <c r="E250" s="11">
        <f t="shared" si="0"/>
        <v>3.7735849056603772E-2</v>
      </c>
      <c r="F250" s="11">
        <f t="shared" si="1"/>
        <v>0.3888888955116272</v>
      </c>
      <c r="G250" s="11">
        <f t="shared" si="2"/>
        <v>1.467505266081612E-2</v>
      </c>
      <c r="H250" s="8">
        <v>60402</v>
      </c>
      <c r="I250" s="8">
        <v>3</v>
      </c>
      <c r="J250" s="8">
        <v>1.1111111342906952</v>
      </c>
      <c r="K250" s="8">
        <v>55</v>
      </c>
      <c r="L250" s="11">
        <f t="shared" si="3"/>
        <v>5.4545454545454543E-2</v>
      </c>
      <c r="M250" s="11">
        <f t="shared" si="4"/>
        <v>0.37037037809689838</v>
      </c>
      <c r="N250" s="11">
        <f t="shared" si="5"/>
        <v>2.0202020623467182E-2</v>
      </c>
      <c r="O250" s="18">
        <f t="shared" si="22"/>
        <v>1.3766233818982216</v>
      </c>
      <c r="U250" s="18"/>
      <c r="V250" s="18"/>
      <c r="W250" s="18"/>
      <c r="X250" s="18"/>
    </row>
    <row r="251" spans="1:24" ht="14.4">
      <c r="A251" s="8">
        <v>60501</v>
      </c>
      <c r="B251" s="8">
        <v>224</v>
      </c>
      <c r="C251" s="8">
        <v>83.888890892267227</v>
      </c>
      <c r="D251" s="8">
        <v>2340</v>
      </c>
      <c r="E251" s="11">
        <f t="shared" si="0"/>
        <v>9.5726495726495733E-2</v>
      </c>
      <c r="F251" s="11">
        <f t="shared" si="1"/>
        <v>0.37450397719762157</v>
      </c>
      <c r="G251" s="11">
        <f t="shared" si="2"/>
        <v>3.5849953372763775E-2</v>
      </c>
      <c r="H251" s="8">
        <v>60501</v>
      </c>
      <c r="I251" s="8">
        <v>47</v>
      </c>
      <c r="J251" s="8">
        <v>17.333333730697632</v>
      </c>
      <c r="K251" s="8">
        <v>279</v>
      </c>
      <c r="L251" s="11">
        <f t="shared" si="3"/>
        <v>0.16845878136200718</v>
      </c>
      <c r="M251" s="11">
        <f t="shared" si="4"/>
        <v>0.36879433469569428</v>
      </c>
      <c r="N251" s="11">
        <f t="shared" si="5"/>
        <v>6.2126644196048859E-2</v>
      </c>
      <c r="O251" s="18">
        <f t="shared" si="22"/>
        <v>1.7329630404275012</v>
      </c>
      <c r="U251" s="18"/>
      <c r="V251" s="18"/>
      <c r="W251" s="18"/>
      <c r="X251" s="18"/>
    </row>
    <row r="252" spans="1:24" ht="14.4">
      <c r="A252" s="8">
        <v>60502</v>
      </c>
      <c r="B252" s="8">
        <v>26</v>
      </c>
      <c r="C252" s="8">
        <v>10.555555880069733</v>
      </c>
      <c r="D252" s="8">
        <v>443</v>
      </c>
      <c r="E252" s="11">
        <f t="shared" si="0"/>
        <v>5.8690744920993229E-2</v>
      </c>
      <c r="F252" s="11">
        <f t="shared" si="1"/>
        <v>0.40598291846422047</v>
      </c>
      <c r="G252" s="11">
        <f t="shared" si="2"/>
        <v>2.3827439909863954E-2</v>
      </c>
      <c r="H252" s="8">
        <v>60502</v>
      </c>
      <c r="I252" s="8">
        <v>5</v>
      </c>
      <c r="J252" s="8">
        <v>2.1111111342906952</v>
      </c>
      <c r="K252" s="8">
        <v>132</v>
      </c>
      <c r="L252" s="11">
        <f t="shared" si="3"/>
        <v>3.787878787878788E-2</v>
      </c>
      <c r="M252" s="11">
        <f t="shared" si="4"/>
        <v>0.42222222685813904</v>
      </c>
      <c r="N252" s="11">
        <f t="shared" si="5"/>
        <v>1.5993266168868904E-2</v>
      </c>
      <c r="O252" s="18">
        <f t="shared" si="22"/>
        <v>0.67121210794652342</v>
      </c>
      <c r="U252" s="18"/>
      <c r="V252" s="18"/>
      <c r="W252" s="18"/>
      <c r="X252" s="18"/>
    </row>
    <row r="253" spans="1:24" ht="14.4">
      <c r="A253" s="8">
        <v>60601</v>
      </c>
      <c r="B253" s="8">
        <v>59</v>
      </c>
      <c r="C253" s="8">
        <v>23.111111640930176</v>
      </c>
      <c r="D253" s="8">
        <v>851</v>
      </c>
      <c r="E253" s="11">
        <f t="shared" si="0"/>
        <v>6.9330199764982378E-2</v>
      </c>
      <c r="F253" s="11">
        <f t="shared" si="1"/>
        <v>0.39171375662593516</v>
      </c>
      <c r="G253" s="11">
        <f t="shared" si="2"/>
        <v>2.7157592997567773E-2</v>
      </c>
      <c r="H253" s="8">
        <v>60601</v>
      </c>
      <c r="I253" s="8">
        <v>19</v>
      </c>
      <c r="J253" s="8">
        <v>6.8888890743255615</v>
      </c>
      <c r="K253" s="8">
        <v>213</v>
      </c>
      <c r="L253" s="11">
        <f t="shared" si="3"/>
        <v>8.9201877934272297E-2</v>
      </c>
      <c r="M253" s="11">
        <f t="shared" si="4"/>
        <v>0.36257310917502955</v>
      </c>
      <c r="N253" s="11">
        <f t="shared" si="5"/>
        <v>3.234220222688057E-2</v>
      </c>
      <c r="O253" s="18">
        <f t="shared" si="22"/>
        <v>1.1909082748893516</v>
      </c>
      <c r="U253" s="18"/>
      <c r="V253" s="18"/>
      <c r="W253" s="18"/>
      <c r="X253" s="18"/>
    </row>
    <row r="254" spans="1:24" ht="14.4">
      <c r="A254" s="8">
        <v>70101</v>
      </c>
      <c r="B254" s="8">
        <v>1081</v>
      </c>
      <c r="C254" s="8">
        <v>383.55556565523148</v>
      </c>
      <c r="D254" s="8">
        <v>53144</v>
      </c>
      <c r="E254" s="11">
        <f t="shared" si="0"/>
        <v>2.034096040945356E-2</v>
      </c>
      <c r="F254" s="11">
        <f t="shared" si="1"/>
        <v>0.35481550939429368</v>
      </c>
      <c r="G254" s="11">
        <f t="shared" si="2"/>
        <v>7.2172882292494255E-3</v>
      </c>
      <c r="H254" s="8">
        <v>70101</v>
      </c>
      <c r="I254" s="8">
        <v>118</v>
      </c>
      <c r="J254" s="8">
        <v>42.222223311662674</v>
      </c>
      <c r="K254" s="8">
        <v>4272</v>
      </c>
      <c r="L254" s="11">
        <f t="shared" si="3"/>
        <v>2.7621722846441949E-2</v>
      </c>
      <c r="M254" s="11">
        <f t="shared" si="4"/>
        <v>0.35781545179375146</v>
      </c>
      <c r="N254" s="11">
        <f t="shared" si="5"/>
        <v>9.8834792396214118E-3</v>
      </c>
      <c r="O254" s="18">
        <f t="shared" si="22"/>
        <v>1.3694172832902451</v>
      </c>
      <c r="U254" s="18"/>
      <c r="V254" s="18"/>
      <c r="W254" s="18"/>
      <c r="X254" s="18"/>
    </row>
    <row r="255" spans="1:24" ht="14.4">
      <c r="A255" s="8">
        <v>70102</v>
      </c>
      <c r="B255" s="8">
        <v>649</v>
      </c>
      <c r="C255" s="8">
        <v>227.22222831845284</v>
      </c>
      <c r="D255" s="8">
        <v>10858</v>
      </c>
      <c r="E255" s="11">
        <f t="shared" si="0"/>
        <v>5.9771596979185854E-2</v>
      </c>
      <c r="F255" s="11">
        <f t="shared" si="1"/>
        <v>0.35011129170793964</v>
      </c>
      <c r="G255" s="11">
        <f t="shared" si="2"/>
        <v>2.0926711025829142E-2</v>
      </c>
      <c r="H255" s="8">
        <v>70102</v>
      </c>
      <c r="I255" s="8">
        <v>38</v>
      </c>
      <c r="J255" s="8">
        <v>13.222222566604614</v>
      </c>
      <c r="K255" s="8">
        <v>675</v>
      </c>
      <c r="L255" s="11">
        <f t="shared" si="3"/>
        <v>5.6296296296296296E-2</v>
      </c>
      <c r="M255" s="11">
        <f t="shared" si="4"/>
        <v>0.34795322543696355</v>
      </c>
      <c r="N255" s="11">
        <f t="shared" si="5"/>
        <v>1.958847787645128E-2</v>
      </c>
      <c r="O255" s="18">
        <f t="shared" si="22"/>
        <v>0.93605143456484274</v>
      </c>
      <c r="U255" s="18"/>
      <c r="V255" s="18"/>
      <c r="W255" s="18"/>
      <c r="X255" s="18"/>
    </row>
    <row r="256" spans="1:24" ht="14.4">
      <c r="A256" s="8">
        <v>70103</v>
      </c>
      <c r="B256" s="8">
        <v>94</v>
      </c>
      <c r="C256" s="8">
        <v>38.444445461034775</v>
      </c>
      <c r="D256" s="8">
        <v>3796</v>
      </c>
      <c r="E256" s="11">
        <f t="shared" si="0"/>
        <v>2.476290832455216E-2</v>
      </c>
      <c r="F256" s="11">
        <f t="shared" si="1"/>
        <v>0.40898346235143379</v>
      </c>
      <c r="G256" s="11">
        <f t="shared" si="2"/>
        <v>1.0127619984466485E-2</v>
      </c>
      <c r="H256" s="8">
        <v>70103</v>
      </c>
      <c r="I256" s="8">
        <v>11</v>
      </c>
      <c r="J256" s="8">
        <v>4.3333334624767303</v>
      </c>
      <c r="K256" s="8">
        <v>326</v>
      </c>
      <c r="L256" s="11">
        <f t="shared" si="3"/>
        <v>3.3742331288343558E-2</v>
      </c>
      <c r="M256" s="11">
        <f t="shared" si="4"/>
        <v>0.39393940567970276</v>
      </c>
      <c r="N256" s="11">
        <f t="shared" si="5"/>
        <v>1.32924339339777E-2</v>
      </c>
      <c r="O256" s="18">
        <f t="shared" si="22"/>
        <v>1.3124933552369991</v>
      </c>
      <c r="U256" s="18"/>
      <c r="V256" s="18"/>
      <c r="W256" s="18"/>
      <c r="X256" s="18"/>
    </row>
    <row r="257" spans="1:24" ht="14.4">
      <c r="A257" s="8">
        <v>70104</v>
      </c>
      <c r="B257" s="8">
        <v>575</v>
      </c>
      <c r="C257" s="8">
        <v>202.55556103587151</v>
      </c>
      <c r="D257" s="8">
        <v>14801</v>
      </c>
      <c r="E257" s="11">
        <f t="shared" ref="E257:E346" si="23">B257/D257</f>
        <v>3.8848726437402878E-2</v>
      </c>
      <c r="F257" s="11">
        <f t="shared" ref="F257:F346" si="24">C257/B257</f>
        <v>0.35227054093195043</v>
      </c>
      <c r="G257" s="11">
        <f t="shared" ref="G257:G346" si="25">E257*F257</f>
        <v>1.3685261876621274E-2</v>
      </c>
      <c r="H257" s="8">
        <v>70104</v>
      </c>
      <c r="I257" s="8">
        <v>42</v>
      </c>
      <c r="J257" s="8">
        <v>15.666667103767395</v>
      </c>
      <c r="K257" s="8">
        <v>1120</v>
      </c>
      <c r="L257" s="11">
        <f t="shared" ref="L257:L346" si="26">I257/K257</f>
        <v>3.7499999999999999E-2</v>
      </c>
      <c r="M257" s="11">
        <f t="shared" ref="M257:M346" si="27">J257/I257</f>
        <v>0.37301588342303321</v>
      </c>
      <c r="N257" s="11">
        <f t="shared" ref="N257:N346" si="28">L257*M257</f>
        <v>1.3988095628363745E-2</v>
      </c>
      <c r="O257" s="18">
        <f t="shared" si="22"/>
        <v>1.0221284586639738</v>
      </c>
      <c r="U257" s="18"/>
      <c r="V257" s="18"/>
      <c r="W257" s="18"/>
      <c r="X257" s="18"/>
    </row>
    <row r="258" spans="1:24" ht="14.4">
      <c r="A258" s="8">
        <v>70105</v>
      </c>
      <c r="B258" s="8">
        <v>173</v>
      </c>
      <c r="C258" s="8">
        <v>61.555557310581207</v>
      </c>
      <c r="D258" s="8">
        <v>3085</v>
      </c>
      <c r="E258" s="11">
        <f t="shared" si="23"/>
        <v>5.6077795786061591E-2</v>
      </c>
      <c r="F258" s="11">
        <f t="shared" si="24"/>
        <v>0.35581247000335958</v>
      </c>
      <c r="G258" s="11">
        <f t="shared" si="25"/>
        <v>1.9953179030982565E-2</v>
      </c>
      <c r="H258" s="8">
        <v>70105</v>
      </c>
      <c r="I258" s="8">
        <v>21</v>
      </c>
      <c r="J258" s="8">
        <v>7.4444446563720703</v>
      </c>
      <c r="K258" s="8">
        <v>297</v>
      </c>
      <c r="L258" s="11">
        <f t="shared" si="26"/>
        <v>7.0707070707070704E-2</v>
      </c>
      <c r="M258" s="11">
        <f t="shared" si="27"/>
        <v>0.35449736458914621</v>
      </c>
      <c r="N258" s="11">
        <f t="shared" si="28"/>
        <v>2.5065470223474984E-2</v>
      </c>
      <c r="O258" s="18">
        <f t="shared" si="22"/>
        <v>1.2562143698783157</v>
      </c>
      <c r="U258" s="18"/>
      <c r="V258" s="18"/>
      <c r="W258" s="18"/>
      <c r="X258" s="18"/>
    </row>
    <row r="259" spans="1:24" ht="14.4">
      <c r="A259" s="8">
        <v>70201</v>
      </c>
      <c r="B259" s="8">
        <v>653</v>
      </c>
      <c r="C259" s="8">
        <v>234.44445011019707</v>
      </c>
      <c r="D259" s="8">
        <v>12331</v>
      </c>
      <c r="E259" s="11">
        <f t="shared" si="23"/>
        <v>5.2955964641959292E-2</v>
      </c>
      <c r="F259" s="11">
        <f t="shared" si="24"/>
        <v>0.35902672298651922</v>
      </c>
      <c r="G259" s="11">
        <f t="shared" si="25"/>
        <v>1.9012606447992627E-2</v>
      </c>
      <c r="H259" s="8">
        <v>70201</v>
      </c>
      <c r="I259" s="8">
        <v>82</v>
      </c>
      <c r="J259" s="8">
        <v>29.777778476476669</v>
      </c>
      <c r="K259" s="8">
        <v>1216</v>
      </c>
      <c r="L259" s="11">
        <f t="shared" si="26"/>
        <v>6.7434210526315791E-2</v>
      </c>
      <c r="M259" s="11">
        <f t="shared" si="27"/>
        <v>0.36314363995703253</v>
      </c>
      <c r="N259" s="11">
        <f t="shared" si="28"/>
        <v>2.4488304668155155E-2</v>
      </c>
      <c r="O259" s="18">
        <f t="shared" si="22"/>
        <v>1.2880035535969692</v>
      </c>
      <c r="U259" s="18"/>
      <c r="V259" s="18"/>
      <c r="W259" s="18"/>
      <c r="X259" s="18"/>
    </row>
    <row r="260" spans="1:24" ht="14.4">
      <c r="A260" s="8">
        <v>70202</v>
      </c>
      <c r="B260" s="8">
        <v>19</v>
      </c>
      <c r="C260" s="8">
        <v>7.0000001490116119</v>
      </c>
      <c r="D260" s="8">
        <v>689</v>
      </c>
      <c r="E260" s="11">
        <f t="shared" si="23"/>
        <v>2.7576197387518143E-2</v>
      </c>
      <c r="F260" s="11">
        <f t="shared" si="24"/>
        <v>0.36842106047429535</v>
      </c>
      <c r="G260" s="11">
        <f t="shared" si="25"/>
        <v>1.0159651885357926E-2</v>
      </c>
      <c r="H260" s="8">
        <v>70202</v>
      </c>
      <c r="I260" s="8">
        <v>3</v>
      </c>
      <c r="J260" s="8">
        <v>1.0000000298023224</v>
      </c>
      <c r="K260" s="8">
        <v>99</v>
      </c>
      <c r="L260" s="11">
        <f t="shared" si="26"/>
        <v>3.0303030303030304E-2</v>
      </c>
      <c r="M260" s="11">
        <f t="shared" si="27"/>
        <v>0.3333333432674408</v>
      </c>
      <c r="N260" s="11">
        <f t="shared" si="28"/>
        <v>1.0101010402043661E-2</v>
      </c>
      <c r="O260" s="18">
        <f t="shared" si="22"/>
        <v>0.99422800269379508</v>
      </c>
      <c r="U260" s="18"/>
      <c r="V260" s="18"/>
      <c r="W260" s="18"/>
      <c r="X260" s="18"/>
    </row>
    <row r="261" spans="1:24" ht="14.4">
      <c r="A261" s="8">
        <v>70301</v>
      </c>
      <c r="B261" s="8">
        <v>677</v>
      </c>
      <c r="C261" s="8">
        <v>256.22222849726677</v>
      </c>
      <c r="D261" s="8">
        <v>3738</v>
      </c>
      <c r="E261" s="11">
        <f t="shared" si="23"/>
        <v>0.18111289459604066</v>
      </c>
      <c r="F261" s="11">
        <f t="shared" si="24"/>
        <v>0.37846710265475153</v>
      </c>
      <c r="G261" s="11">
        <f t="shared" si="25"/>
        <v>6.854527247117892E-2</v>
      </c>
      <c r="H261" s="8">
        <v>70301</v>
      </c>
      <c r="I261" s="8">
        <v>127</v>
      </c>
      <c r="J261" s="8">
        <v>49.333334535360336</v>
      </c>
      <c r="K261" s="8">
        <v>520</v>
      </c>
      <c r="L261" s="11">
        <f t="shared" si="26"/>
        <v>0.24423076923076922</v>
      </c>
      <c r="M261" s="11">
        <f t="shared" si="27"/>
        <v>0.38845145303433337</v>
      </c>
      <c r="N261" s="11">
        <f t="shared" si="28"/>
        <v>9.4871797183385259E-2</v>
      </c>
      <c r="O261" s="18">
        <f t="shared" si="22"/>
        <v>1.3840749881514556</v>
      </c>
      <c r="U261" s="18"/>
      <c r="V261" s="18"/>
      <c r="W261" s="18"/>
      <c r="X261" s="18"/>
    </row>
    <row r="262" spans="1:24" ht="14.4">
      <c r="A262" s="8">
        <v>70302</v>
      </c>
      <c r="B262" s="8">
        <v>317</v>
      </c>
      <c r="C262" s="8">
        <v>122.77778089046478</v>
      </c>
      <c r="D262" s="8">
        <v>1309</v>
      </c>
      <c r="E262" s="11">
        <f t="shared" si="23"/>
        <v>0.24216959511077157</v>
      </c>
      <c r="F262" s="11">
        <f t="shared" si="24"/>
        <v>0.38731161164184474</v>
      </c>
      <c r="G262" s="11">
        <f t="shared" si="25"/>
        <v>9.3795096173005937E-2</v>
      </c>
      <c r="H262" s="8">
        <v>70302</v>
      </c>
      <c r="I262" s="8">
        <v>15</v>
      </c>
      <c r="J262" s="8">
        <v>5.2222223579883575</v>
      </c>
      <c r="K262" s="8">
        <v>154</v>
      </c>
      <c r="L262" s="11">
        <f t="shared" si="26"/>
        <v>9.7402597402597407E-2</v>
      </c>
      <c r="M262" s="11">
        <f t="shared" si="27"/>
        <v>0.34814815719922382</v>
      </c>
      <c r="N262" s="11">
        <f t="shared" si="28"/>
        <v>3.3910534792132192E-2</v>
      </c>
      <c r="O262" s="18">
        <f t="shared" si="22"/>
        <v>0.3615384617718595</v>
      </c>
      <c r="U262" s="18"/>
      <c r="V262" s="18"/>
      <c r="W262" s="18"/>
      <c r="X262" s="18"/>
    </row>
    <row r="263" spans="1:24" ht="14.4">
      <c r="A263" s="8">
        <v>70303</v>
      </c>
      <c r="B263" s="8">
        <v>357</v>
      </c>
      <c r="C263" s="8">
        <v>127.77778092026711</v>
      </c>
      <c r="D263" s="8">
        <v>1348</v>
      </c>
      <c r="E263" s="11">
        <f t="shared" si="23"/>
        <v>0.26483679525222553</v>
      </c>
      <c r="F263" s="11">
        <f t="shared" si="24"/>
        <v>0.35792095495873139</v>
      </c>
      <c r="G263" s="11">
        <f t="shared" si="25"/>
        <v>9.4790638664886587E-2</v>
      </c>
      <c r="H263" s="8">
        <v>70303</v>
      </c>
      <c r="I263" s="8">
        <v>12</v>
      </c>
      <c r="J263" s="8">
        <v>4.1111112236976624</v>
      </c>
      <c r="K263" s="8">
        <v>70</v>
      </c>
      <c r="L263" s="11">
        <f t="shared" si="26"/>
        <v>0.17142857142857143</v>
      </c>
      <c r="M263" s="11">
        <f t="shared" si="27"/>
        <v>0.34259260197480518</v>
      </c>
      <c r="N263" s="11">
        <f t="shared" si="28"/>
        <v>5.8730160338538034E-2</v>
      </c>
      <c r="O263" s="18">
        <f t="shared" si="22"/>
        <v>0.61957764148173755</v>
      </c>
      <c r="U263" s="18"/>
      <c r="V263" s="18"/>
      <c r="W263" s="18"/>
      <c r="X263" s="18"/>
    </row>
    <row r="264" spans="1:24" ht="14.4">
      <c r="A264" s="8">
        <v>70401</v>
      </c>
      <c r="B264" s="8">
        <v>43</v>
      </c>
      <c r="C264" s="8">
        <v>15.5555559694767</v>
      </c>
      <c r="D264" s="8">
        <v>911</v>
      </c>
      <c r="E264" s="11">
        <f t="shared" si="23"/>
        <v>4.7200878155872671E-2</v>
      </c>
      <c r="F264" s="11">
        <f t="shared" si="24"/>
        <v>0.36175711556922557</v>
      </c>
      <c r="G264" s="11">
        <f t="shared" si="25"/>
        <v>1.7075253534002965E-2</v>
      </c>
      <c r="H264" s="8">
        <v>70401</v>
      </c>
      <c r="I264" s="8">
        <v>0</v>
      </c>
      <c r="J264" s="8">
        <v>0</v>
      </c>
      <c r="K264" s="8">
        <v>164</v>
      </c>
      <c r="L264" s="11">
        <f t="shared" si="26"/>
        <v>0</v>
      </c>
      <c r="M264" s="11" t="e">
        <f t="shared" si="27"/>
        <v>#DIV/0!</v>
      </c>
      <c r="N264" s="11" t="e">
        <f t="shared" si="28"/>
        <v>#DIV/0!</v>
      </c>
      <c r="O264" s="18" t="s">
        <v>22</v>
      </c>
      <c r="U264" s="18"/>
      <c r="V264" s="18"/>
      <c r="W264" s="18"/>
      <c r="X264" s="18"/>
    </row>
    <row r="265" spans="1:24" ht="14.4">
      <c r="A265" s="8">
        <v>70402</v>
      </c>
      <c r="B265" s="8">
        <v>104</v>
      </c>
      <c r="C265" s="8">
        <v>37.33333432674408</v>
      </c>
      <c r="D265" s="8">
        <v>1309</v>
      </c>
      <c r="E265" s="11">
        <f t="shared" si="23"/>
        <v>7.944996180290298E-2</v>
      </c>
      <c r="F265" s="11">
        <f t="shared" si="24"/>
        <v>0.35897436852638537</v>
      </c>
      <c r="G265" s="11">
        <f t="shared" si="25"/>
        <v>2.8520499867642535E-2</v>
      </c>
      <c r="H265" s="8">
        <v>70402</v>
      </c>
      <c r="I265" s="8">
        <v>14</v>
      </c>
      <c r="J265" s="8">
        <v>5.0000001192092896</v>
      </c>
      <c r="K265" s="8">
        <v>125</v>
      </c>
      <c r="L265" s="11">
        <f t="shared" si="26"/>
        <v>0.112</v>
      </c>
      <c r="M265" s="11">
        <f t="shared" si="27"/>
        <v>0.3571428656578064</v>
      </c>
      <c r="N265" s="11">
        <f t="shared" si="28"/>
        <v>4.0000000953674314E-2</v>
      </c>
      <c r="O265" s="18">
        <f t="shared" ref="O265:O272" si="29">N265/G265</f>
        <v>1.4024999961187798</v>
      </c>
      <c r="U265" s="18"/>
      <c r="V265" s="18"/>
      <c r="W265" s="18"/>
      <c r="X265" s="18"/>
    </row>
    <row r="266" spans="1:24" ht="14.4">
      <c r="A266" s="8">
        <v>70403</v>
      </c>
      <c r="B266" s="8">
        <v>849</v>
      </c>
      <c r="C266" s="8">
        <v>314.66667386889458</v>
      </c>
      <c r="D266" s="8">
        <v>3947</v>
      </c>
      <c r="E266" s="11">
        <f t="shared" si="23"/>
        <v>0.21510007600709399</v>
      </c>
      <c r="F266" s="11">
        <f t="shared" si="24"/>
        <v>0.37063212469834461</v>
      </c>
      <c r="G266" s="11">
        <f t="shared" si="25"/>
        <v>7.9722998193284669E-2</v>
      </c>
      <c r="H266" s="8">
        <v>70403</v>
      </c>
      <c r="I266" s="8">
        <v>127</v>
      </c>
      <c r="J266" s="8">
        <v>48.555556565523148</v>
      </c>
      <c r="K266" s="8">
        <v>440</v>
      </c>
      <c r="L266" s="11">
        <f t="shared" si="26"/>
        <v>0.28863636363636364</v>
      </c>
      <c r="M266" s="11">
        <f t="shared" si="27"/>
        <v>0.38232721705136335</v>
      </c>
      <c r="N266" s="11">
        <f t="shared" si="28"/>
        <v>0.11035353764891624</v>
      </c>
      <c r="O266" s="18">
        <f t="shared" si="29"/>
        <v>1.3842120862209581</v>
      </c>
      <c r="U266" s="18"/>
      <c r="V266" s="18"/>
      <c r="W266" s="18"/>
      <c r="X266" s="18"/>
    </row>
    <row r="267" spans="1:24" ht="14.4">
      <c r="A267" s="8">
        <v>70404</v>
      </c>
      <c r="B267" s="8">
        <v>49</v>
      </c>
      <c r="C267" s="8">
        <v>18.111111611127853</v>
      </c>
      <c r="D267" s="8">
        <v>619</v>
      </c>
      <c r="E267" s="11">
        <f t="shared" si="23"/>
        <v>7.9159935379644594E-2</v>
      </c>
      <c r="F267" s="11">
        <f t="shared" si="24"/>
        <v>0.36961452267607864</v>
      </c>
      <c r="G267" s="11">
        <f t="shared" si="25"/>
        <v>2.9258661730416566E-2</v>
      </c>
      <c r="H267" s="8">
        <v>70404</v>
      </c>
      <c r="I267" s="8">
        <v>15</v>
      </c>
      <c r="J267" s="8">
        <v>5.4444445669651031</v>
      </c>
      <c r="K267" s="8">
        <v>68</v>
      </c>
      <c r="L267" s="11">
        <f t="shared" si="26"/>
        <v>0.22058823529411764</v>
      </c>
      <c r="M267" s="11">
        <f t="shared" si="27"/>
        <v>0.3629629711310069</v>
      </c>
      <c r="N267" s="11">
        <f t="shared" si="28"/>
        <v>8.0065361278898572E-2</v>
      </c>
      <c r="O267" s="18">
        <f t="shared" si="29"/>
        <v>2.7364669654615352</v>
      </c>
      <c r="U267" s="18"/>
      <c r="V267" s="18"/>
      <c r="W267" s="18"/>
      <c r="X267" s="18"/>
    </row>
    <row r="268" spans="1:24" ht="14.4">
      <c r="A268" s="8">
        <v>70501</v>
      </c>
      <c r="B268" s="8">
        <v>595</v>
      </c>
      <c r="C268" s="8">
        <v>221.11111643910408</v>
      </c>
      <c r="D268" s="8">
        <v>3384</v>
      </c>
      <c r="E268" s="11">
        <f t="shared" si="23"/>
        <v>0.17582742316784869</v>
      </c>
      <c r="F268" s="11">
        <f t="shared" si="24"/>
        <v>0.37161532174639339</v>
      </c>
      <c r="G268" s="11">
        <f t="shared" si="25"/>
        <v>6.5340164432359349E-2</v>
      </c>
      <c r="H268" s="8">
        <v>70501</v>
      </c>
      <c r="I268" s="8">
        <v>62</v>
      </c>
      <c r="J268" s="8">
        <v>22.444444954395294</v>
      </c>
      <c r="K268" s="8">
        <v>282</v>
      </c>
      <c r="L268" s="11">
        <f t="shared" si="26"/>
        <v>0.21985815602836881</v>
      </c>
      <c r="M268" s="11">
        <f t="shared" si="27"/>
        <v>0.36200717668379506</v>
      </c>
      <c r="N268" s="11">
        <f t="shared" si="28"/>
        <v>7.9590230334735085E-2</v>
      </c>
      <c r="O268" s="18">
        <f t="shared" si="29"/>
        <v>1.2180904505853749</v>
      </c>
      <c r="U268" s="18"/>
      <c r="V268" s="18"/>
      <c r="W268" s="18"/>
      <c r="X268" s="18"/>
    </row>
    <row r="269" spans="1:24" ht="14.4">
      <c r="A269" s="8">
        <v>70502</v>
      </c>
      <c r="B269" s="8">
        <v>195</v>
      </c>
      <c r="C269" s="8">
        <v>71.111112892627716</v>
      </c>
      <c r="D269" s="8">
        <v>2464</v>
      </c>
      <c r="E269" s="11">
        <f t="shared" si="23"/>
        <v>7.9139610389610385E-2</v>
      </c>
      <c r="F269" s="11">
        <f t="shared" si="24"/>
        <v>0.36467237380834727</v>
      </c>
      <c r="G269" s="11">
        <f t="shared" si="25"/>
        <v>2.886002958304696E-2</v>
      </c>
      <c r="H269" s="8">
        <v>70502</v>
      </c>
      <c r="I269" s="8">
        <v>19</v>
      </c>
      <c r="J269" s="8">
        <v>6.7777779400348663</v>
      </c>
      <c r="K269" s="8">
        <v>229</v>
      </c>
      <c r="L269" s="11">
        <f t="shared" si="26"/>
        <v>8.296943231441048E-2</v>
      </c>
      <c r="M269" s="11">
        <f t="shared" si="27"/>
        <v>0.35672515473867716</v>
      </c>
      <c r="N269" s="11">
        <f t="shared" si="28"/>
        <v>2.9597283580938279E-2</v>
      </c>
      <c r="O269" s="18">
        <f t="shared" si="29"/>
        <v>1.0255458503869448</v>
      </c>
      <c r="U269" s="18"/>
      <c r="V269" s="18"/>
      <c r="W269" s="18"/>
      <c r="X269" s="18"/>
    </row>
    <row r="270" spans="1:24" ht="14.4">
      <c r="A270" s="8">
        <v>70503</v>
      </c>
      <c r="B270" s="8">
        <v>74</v>
      </c>
      <c r="C270" s="8">
        <v>26.111111789941788</v>
      </c>
      <c r="D270" s="8">
        <v>1267</v>
      </c>
      <c r="E270" s="11">
        <f t="shared" si="23"/>
        <v>5.8405682715074979E-2</v>
      </c>
      <c r="F270" s="11">
        <f t="shared" si="24"/>
        <v>0.35285286202624039</v>
      </c>
      <c r="G270" s="11">
        <f t="shared" si="25"/>
        <v>2.0608612304610724E-2</v>
      </c>
      <c r="H270" s="8">
        <v>70503</v>
      </c>
      <c r="I270" s="8">
        <v>2</v>
      </c>
      <c r="J270" s="8">
        <v>0.66666668653488159</v>
      </c>
      <c r="K270" s="8">
        <v>95</v>
      </c>
      <c r="L270" s="11">
        <f t="shared" si="26"/>
        <v>2.1052631578947368E-2</v>
      </c>
      <c r="M270" s="11">
        <f t="shared" si="27"/>
        <v>0.3333333432674408</v>
      </c>
      <c r="N270" s="11">
        <f t="shared" si="28"/>
        <v>7.0175440687882274E-3</v>
      </c>
      <c r="O270" s="18">
        <f t="shared" si="29"/>
        <v>0.34051511887669439</v>
      </c>
      <c r="U270" s="18"/>
      <c r="V270" s="18"/>
      <c r="W270" s="18"/>
      <c r="X270" s="18"/>
    </row>
    <row r="271" spans="1:24" ht="14.4">
      <c r="A271" s="8">
        <v>70601</v>
      </c>
      <c r="B271" s="8">
        <v>55</v>
      </c>
      <c r="C271" s="8">
        <v>19.000000536441803</v>
      </c>
      <c r="D271" s="8">
        <v>986</v>
      </c>
      <c r="E271" s="11">
        <f t="shared" si="23"/>
        <v>5.5780933062880324E-2</v>
      </c>
      <c r="F271" s="11">
        <f t="shared" si="24"/>
        <v>0.34545455520803275</v>
      </c>
      <c r="G271" s="11">
        <f t="shared" si="25"/>
        <v>1.9269777420326369E-2</v>
      </c>
      <c r="H271" s="8">
        <v>70601</v>
      </c>
      <c r="I271" s="8">
        <v>3</v>
      </c>
      <c r="J271" s="8">
        <v>1.1111111342906952</v>
      </c>
      <c r="K271" s="8">
        <v>102</v>
      </c>
      <c r="L271" s="11">
        <f t="shared" si="26"/>
        <v>2.9411764705882353E-2</v>
      </c>
      <c r="M271" s="11">
        <f t="shared" si="27"/>
        <v>0.37037037809689838</v>
      </c>
      <c r="N271" s="11">
        <f t="shared" si="28"/>
        <v>1.0893246414614657E-2</v>
      </c>
      <c r="O271" s="18">
        <f t="shared" si="29"/>
        <v>0.56530214008201862</v>
      </c>
      <c r="U271" s="18"/>
      <c r="V271" s="18"/>
      <c r="W271" s="18"/>
      <c r="X271" s="18"/>
    </row>
    <row r="272" spans="1:24" ht="14.4">
      <c r="A272" s="8">
        <v>70602</v>
      </c>
      <c r="B272" s="8">
        <v>187</v>
      </c>
      <c r="C272" s="8">
        <v>67.44444614648819</v>
      </c>
      <c r="D272" s="8">
        <v>1552</v>
      </c>
      <c r="E272" s="11">
        <f t="shared" si="23"/>
        <v>0.12048969072164949</v>
      </c>
      <c r="F272" s="11">
        <f t="shared" si="24"/>
        <v>0.36066548741437532</v>
      </c>
      <c r="G272" s="11">
        <f t="shared" si="25"/>
        <v>4.345647303253105E-2</v>
      </c>
      <c r="H272" s="8">
        <v>70602</v>
      </c>
      <c r="I272" s="8">
        <v>12</v>
      </c>
      <c r="J272" s="8">
        <v>4.333333432674408</v>
      </c>
      <c r="K272" s="8">
        <v>231</v>
      </c>
      <c r="L272" s="11">
        <f t="shared" si="26"/>
        <v>5.1948051948051951E-2</v>
      </c>
      <c r="M272" s="11">
        <f t="shared" si="27"/>
        <v>0.361111119389534</v>
      </c>
      <c r="N272" s="11">
        <f t="shared" si="28"/>
        <v>1.8759019189066702E-2</v>
      </c>
      <c r="O272" s="18">
        <f t="shared" si="29"/>
        <v>0.43167376181274308</v>
      </c>
      <c r="U272" s="18"/>
      <c r="V272" s="18"/>
      <c r="W272" s="18"/>
      <c r="X272" s="18"/>
    </row>
    <row r="273" spans="1:24" ht="14.4">
      <c r="A273" s="8">
        <v>70603</v>
      </c>
      <c r="B273" s="8">
        <v>32</v>
      </c>
      <c r="C273" s="8">
        <v>11.444444715976715</v>
      </c>
      <c r="D273" s="8">
        <v>400</v>
      </c>
      <c r="E273" s="11">
        <f t="shared" si="23"/>
        <v>0.08</v>
      </c>
      <c r="F273" s="11">
        <f t="shared" si="24"/>
        <v>0.35763889737427235</v>
      </c>
      <c r="G273" s="11">
        <f t="shared" si="25"/>
        <v>2.8611111789941787E-2</v>
      </c>
      <c r="H273" s="8">
        <v>70603</v>
      </c>
      <c r="I273" s="8">
        <v>0</v>
      </c>
      <c r="J273" s="8">
        <v>0</v>
      </c>
      <c r="K273" s="8">
        <v>32</v>
      </c>
      <c r="L273" s="11">
        <f t="shared" si="26"/>
        <v>0</v>
      </c>
      <c r="M273" s="11" t="e">
        <f t="shared" si="27"/>
        <v>#DIV/0!</v>
      </c>
      <c r="N273" s="11" t="e">
        <f t="shared" si="28"/>
        <v>#DIV/0!</v>
      </c>
      <c r="O273" s="18" t="s">
        <v>22</v>
      </c>
      <c r="U273" s="18"/>
      <c r="V273" s="18"/>
      <c r="W273" s="18"/>
      <c r="X273" s="18"/>
    </row>
    <row r="274" spans="1:24" ht="14.4">
      <c r="A274" s="8">
        <v>70701</v>
      </c>
      <c r="B274" s="8">
        <v>17</v>
      </c>
      <c r="C274" s="8">
        <v>6.5555557310581207</v>
      </c>
      <c r="D274" s="8">
        <v>302</v>
      </c>
      <c r="E274" s="11">
        <f t="shared" si="23"/>
        <v>5.6291390728476824E-2</v>
      </c>
      <c r="F274" s="11">
        <f t="shared" si="24"/>
        <v>0.38562092535636006</v>
      </c>
      <c r="G274" s="11">
        <f t="shared" si="25"/>
        <v>2.170713818231166E-2</v>
      </c>
      <c r="H274" s="8">
        <v>70701</v>
      </c>
      <c r="I274" s="8">
        <v>6</v>
      </c>
      <c r="J274" s="8">
        <v>2.0000000596046448</v>
      </c>
      <c r="K274" s="8">
        <v>72</v>
      </c>
      <c r="L274" s="11">
        <f t="shared" si="26"/>
        <v>8.3333333333333329E-2</v>
      </c>
      <c r="M274" s="11">
        <f t="shared" si="27"/>
        <v>0.3333333432674408</v>
      </c>
      <c r="N274" s="11">
        <f t="shared" si="28"/>
        <v>2.7777778605620064E-2</v>
      </c>
      <c r="O274" s="18">
        <f t="shared" ref="O274:O346" si="30">N274/G274</f>
        <v>1.2796610208274781</v>
      </c>
      <c r="U274" s="18"/>
      <c r="V274" s="18"/>
      <c r="W274" s="18"/>
      <c r="X274" s="18"/>
    </row>
    <row r="275" spans="1:24" ht="14.4">
      <c r="A275" s="8">
        <v>70702</v>
      </c>
      <c r="B275" s="8">
        <v>75</v>
      </c>
      <c r="C275" s="8">
        <v>27.333333998918533</v>
      </c>
      <c r="D275" s="8">
        <v>1170</v>
      </c>
      <c r="E275" s="11">
        <f t="shared" si="23"/>
        <v>6.4102564102564097E-2</v>
      </c>
      <c r="F275" s="11">
        <f t="shared" si="24"/>
        <v>0.36444445331891379</v>
      </c>
      <c r="G275" s="11">
        <f t="shared" si="25"/>
        <v>2.3361823930699601E-2</v>
      </c>
      <c r="H275" s="8">
        <v>70702</v>
      </c>
      <c r="I275" s="8">
        <v>33</v>
      </c>
      <c r="J275" s="8">
        <v>13.44444477558136</v>
      </c>
      <c r="K275" s="8">
        <v>220</v>
      </c>
      <c r="L275" s="11">
        <f t="shared" si="26"/>
        <v>0.15</v>
      </c>
      <c r="M275" s="11">
        <f t="shared" si="27"/>
        <v>0.40740741744185938</v>
      </c>
      <c r="N275" s="11">
        <f t="shared" si="28"/>
        <v>6.1111112616278905E-2</v>
      </c>
      <c r="O275" s="18">
        <f t="shared" si="30"/>
        <v>2.615853659267299</v>
      </c>
      <c r="U275" s="18"/>
      <c r="V275" s="18"/>
      <c r="W275" s="18"/>
      <c r="X275" s="18"/>
    </row>
    <row r="276" spans="1:24" ht="14.4">
      <c r="A276" s="8">
        <v>70703</v>
      </c>
      <c r="B276" s="8">
        <v>188</v>
      </c>
      <c r="C276" s="8">
        <v>67.77777948975563</v>
      </c>
      <c r="D276" s="8">
        <v>1849</v>
      </c>
      <c r="E276" s="11">
        <f t="shared" si="23"/>
        <v>0.10167658193618172</v>
      </c>
      <c r="F276" s="11">
        <f t="shared" si="24"/>
        <v>0.36052010366891291</v>
      </c>
      <c r="G276" s="11">
        <f t="shared" si="25"/>
        <v>3.665645186033295E-2</v>
      </c>
      <c r="H276" s="8">
        <v>70703</v>
      </c>
      <c r="I276" s="8">
        <v>28</v>
      </c>
      <c r="J276" s="8">
        <v>9.7777780294418335</v>
      </c>
      <c r="K276" s="8">
        <v>278</v>
      </c>
      <c r="L276" s="11">
        <f t="shared" si="26"/>
        <v>0.10071942446043165</v>
      </c>
      <c r="M276" s="11">
        <f t="shared" si="27"/>
        <v>0.3492063581943512</v>
      </c>
      <c r="N276" s="11">
        <f t="shared" si="28"/>
        <v>3.5171863415258395E-2</v>
      </c>
      <c r="O276" s="18">
        <f t="shared" si="30"/>
        <v>0.95949994149103468</v>
      </c>
      <c r="U276" s="18"/>
      <c r="V276" s="18"/>
      <c r="W276" s="18"/>
      <c r="X276" s="18"/>
    </row>
    <row r="277" spans="1:24" ht="14.4">
      <c r="A277" s="8">
        <v>70704</v>
      </c>
      <c r="B277" s="8">
        <v>18</v>
      </c>
      <c r="C277" s="8">
        <v>7.0000002086162567</v>
      </c>
      <c r="D277" s="8">
        <v>399</v>
      </c>
      <c r="E277" s="11">
        <f t="shared" si="23"/>
        <v>4.5112781954887216E-2</v>
      </c>
      <c r="F277" s="11">
        <f t="shared" si="24"/>
        <v>0.38888890047868091</v>
      </c>
      <c r="G277" s="11">
        <f t="shared" si="25"/>
        <v>1.7543860171970568E-2</v>
      </c>
      <c r="H277" s="8">
        <v>70704</v>
      </c>
      <c r="I277" s="8">
        <v>5</v>
      </c>
      <c r="J277" s="8">
        <v>1.7777778208255768</v>
      </c>
      <c r="K277" s="8">
        <v>90</v>
      </c>
      <c r="L277" s="11">
        <f t="shared" si="26"/>
        <v>5.5555555555555552E-2</v>
      </c>
      <c r="M277" s="11">
        <f t="shared" si="27"/>
        <v>0.35555556416511536</v>
      </c>
      <c r="N277" s="11">
        <f t="shared" si="28"/>
        <v>1.9753086898061965E-2</v>
      </c>
      <c r="O277" s="18">
        <f t="shared" si="30"/>
        <v>1.1259259196343248</v>
      </c>
      <c r="U277" s="18"/>
      <c r="V277" s="18"/>
      <c r="W277" s="18"/>
      <c r="X277" s="18"/>
    </row>
    <row r="278" spans="1:24" ht="14.4">
      <c r="A278" s="8">
        <v>70705</v>
      </c>
      <c r="B278" s="8">
        <v>35</v>
      </c>
      <c r="C278" s="8">
        <v>13.000000327825546</v>
      </c>
      <c r="D278" s="8">
        <v>497</v>
      </c>
      <c r="E278" s="11">
        <f t="shared" si="23"/>
        <v>7.0422535211267609E-2</v>
      </c>
      <c r="F278" s="11">
        <f t="shared" si="24"/>
        <v>0.37142858079501562</v>
      </c>
      <c r="G278" s="11">
        <f t="shared" si="25"/>
        <v>2.6156942309508144E-2</v>
      </c>
      <c r="H278" s="8">
        <v>70705</v>
      </c>
      <c r="I278" s="8">
        <v>8</v>
      </c>
      <c r="J278" s="8">
        <v>2.7777778506278992</v>
      </c>
      <c r="K278" s="8">
        <v>105</v>
      </c>
      <c r="L278" s="11">
        <f t="shared" si="26"/>
        <v>7.6190476190476197E-2</v>
      </c>
      <c r="M278" s="11">
        <f t="shared" si="27"/>
        <v>0.3472222313284874</v>
      </c>
      <c r="N278" s="11">
        <f t="shared" si="28"/>
        <v>2.6455027148837136E-2</v>
      </c>
      <c r="O278" s="18">
        <f t="shared" si="30"/>
        <v>1.0113960124162005</v>
      </c>
      <c r="U278" s="18"/>
      <c r="V278" s="18"/>
      <c r="W278" s="18"/>
      <c r="X278" s="18"/>
    </row>
    <row r="279" spans="1:24" ht="14.4">
      <c r="A279" s="8">
        <v>70706</v>
      </c>
      <c r="B279" s="8">
        <v>56</v>
      </c>
      <c r="C279" s="8">
        <v>20.666667312383652</v>
      </c>
      <c r="D279" s="8">
        <v>1663</v>
      </c>
      <c r="E279" s="11">
        <f t="shared" si="23"/>
        <v>3.3674082982561637E-2</v>
      </c>
      <c r="F279" s="11">
        <f t="shared" si="24"/>
        <v>0.3690476305782795</v>
      </c>
      <c r="G279" s="11">
        <f t="shared" si="25"/>
        <v>1.2427340536610735E-2</v>
      </c>
      <c r="H279" s="8">
        <v>70706</v>
      </c>
      <c r="I279" s="8">
        <v>14</v>
      </c>
      <c r="J279" s="8">
        <v>5.4444445669651031</v>
      </c>
      <c r="K279" s="8">
        <v>128</v>
      </c>
      <c r="L279" s="11">
        <f t="shared" si="26"/>
        <v>0.109375</v>
      </c>
      <c r="M279" s="11">
        <f t="shared" si="27"/>
        <v>0.38888889764036449</v>
      </c>
      <c r="N279" s="11">
        <f t="shared" si="28"/>
        <v>4.2534723179414868E-2</v>
      </c>
      <c r="O279" s="18">
        <f t="shared" si="30"/>
        <v>3.4226730211591363</v>
      </c>
      <c r="U279" s="18"/>
      <c r="V279" s="18"/>
      <c r="W279" s="18"/>
      <c r="X279" s="18"/>
    </row>
    <row r="280" spans="1:24" ht="14.4">
      <c r="A280" s="8">
        <v>70707</v>
      </c>
      <c r="B280" s="8">
        <v>217</v>
      </c>
      <c r="C280" s="8">
        <v>80.444446414709091</v>
      </c>
      <c r="D280" s="8">
        <v>721</v>
      </c>
      <c r="E280" s="11">
        <f t="shared" si="23"/>
        <v>0.30097087378640774</v>
      </c>
      <c r="F280" s="11">
        <f t="shared" si="24"/>
        <v>0.37071173462999579</v>
      </c>
      <c r="G280" s="11">
        <f t="shared" si="25"/>
        <v>0.11157343469446475</v>
      </c>
      <c r="H280" s="8">
        <v>70707</v>
      </c>
      <c r="I280" s="8">
        <v>5</v>
      </c>
      <c r="J280" s="8">
        <v>1.8888889253139496</v>
      </c>
      <c r="K280" s="8">
        <v>42</v>
      </c>
      <c r="L280" s="11">
        <f t="shared" si="26"/>
        <v>0.11904761904761904</v>
      </c>
      <c r="M280" s="11">
        <f t="shared" si="27"/>
        <v>0.37777778506278992</v>
      </c>
      <c r="N280" s="11">
        <f t="shared" si="28"/>
        <v>4.4973545840808322E-2</v>
      </c>
      <c r="O280" s="18">
        <f t="shared" si="30"/>
        <v>0.40308471244938288</v>
      </c>
      <c r="U280" s="18"/>
      <c r="V280" s="18"/>
      <c r="W280" s="18"/>
      <c r="X280" s="18"/>
    </row>
    <row r="281" spans="1:24" ht="14.4">
      <c r="A281" s="8">
        <v>70801</v>
      </c>
      <c r="B281" s="8">
        <v>14</v>
      </c>
      <c r="C281" s="8">
        <v>4.6666668057441711</v>
      </c>
      <c r="D281" s="8">
        <v>888</v>
      </c>
      <c r="E281" s="11">
        <f t="shared" si="23"/>
        <v>1.5765765765765764E-2</v>
      </c>
      <c r="F281" s="11">
        <f t="shared" si="24"/>
        <v>0.3333333432674408</v>
      </c>
      <c r="G281" s="11">
        <f t="shared" si="25"/>
        <v>5.2552554118740664E-3</v>
      </c>
      <c r="H281" s="8">
        <v>70801</v>
      </c>
      <c r="I281" s="8">
        <v>2</v>
      </c>
      <c r="J281" s="8">
        <v>0.77777779102325439</v>
      </c>
      <c r="K281" s="8">
        <v>87</v>
      </c>
      <c r="L281" s="11">
        <f t="shared" si="26"/>
        <v>2.2988505747126436E-2</v>
      </c>
      <c r="M281" s="11">
        <f t="shared" si="27"/>
        <v>0.3888888955116272</v>
      </c>
      <c r="N281" s="11">
        <f t="shared" si="28"/>
        <v>8.9399746094626937E-3</v>
      </c>
      <c r="O281" s="18">
        <f t="shared" si="30"/>
        <v>1.7011494035595554</v>
      </c>
      <c r="U281" s="18"/>
      <c r="V281" s="18"/>
      <c r="W281" s="18"/>
      <c r="X281" s="18"/>
    </row>
    <row r="282" spans="1:24" ht="14.4">
      <c r="A282" s="8">
        <v>70802</v>
      </c>
      <c r="B282" s="8">
        <v>4</v>
      </c>
      <c r="C282" s="8">
        <v>1.444444477558136</v>
      </c>
      <c r="D282" s="8">
        <v>162</v>
      </c>
      <c r="E282" s="11">
        <f t="shared" si="23"/>
        <v>2.4691358024691357E-2</v>
      </c>
      <c r="F282" s="11">
        <f t="shared" si="24"/>
        <v>0.361111119389534</v>
      </c>
      <c r="G282" s="11">
        <f t="shared" si="25"/>
        <v>8.9163239355440488E-3</v>
      </c>
      <c r="H282" s="8">
        <v>70802</v>
      </c>
      <c r="I282" s="8">
        <v>2</v>
      </c>
      <c r="J282" s="8">
        <v>0.8888888955116272</v>
      </c>
      <c r="K282" s="8">
        <v>21</v>
      </c>
      <c r="L282" s="11">
        <f t="shared" si="26"/>
        <v>9.5238095238095233E-2</v>
      </c>
      <c r="M282" s="11">
        <f t="shared" si="27"/>
        <v>0.4444444477558136</v>
      </c>
      <c r="N282" s="11">
        <f t="shared" si="28"/>
        <v>4.2328042643410814E-2</v>
      </c>
      <c r="O282" s="18">
        <f t="shared" si="30"/>
        <v>4.747252673792417</v>
      </c>
      <c r="U282" s="18"/>
      <c r="V282" s="18"/>
      <c r="W282" s="18"/>
      <c r="X282" s="18"/>
    </row>
    <row r="283" spans="1:24" ht="14.4">
      <c r="A283" s="8">
        <v>70803</v>
      </c>
      <c r="B283" s="8">
        <v>19</v>
      </c>
      <c r="C283" s="8">
        <v>6.6666668355464935</v>
      </c>
      <c r="D283" s="8">
        <v>146</v>
      </c>
      <c r="E283" s="11">
        <f t="shared" si="23"/>
        <v>0.13013698630136986</v>
      </c>
      <c r="F283" s="11">
        <f t="shared" si="24"/>
        <v>0.35087720187086807</v>
      </c>
      <c r="G283" s="11">
        <f t="shared" si="25"/>
        <v>4.5662101613332146E-2</v>
      </c>
      <c r="H283" s="8">
        <v>70803</v>
      </c>
      <c r="I283" s="8">
        <v>2</v>
      </c>
      <c r="J283" s="8">
        <v>0.77777779102325439</v>
      </c>
      <c r="K283" s="8">
        <v>19</v>
      </c>
      <c r="L283" s="11">
        <f t="shared" si="26"/>
        <v>0.10526315789473684</v>
      </c>
      <c r="M283" s="11">
        <f t="shared" si="27"/>
        <v>0.3888888955116272</v>
      </c>
      <c r="N283" s="11">
        <f t="shared" si="28"/>
        <v>4.0935673211750227E-2</v>
      </c>
      <c r="O283" s="18">
        <f t="shared" si="30"/>
        <v>0.89649122062743769</v>
      </c>
      <c r="U283" s="18"/>
      <c r="V283" s="18"/>
      <c r="W283" s="18"/>
      <c r="X283" s="18"/>
    </row>
    <row r="284" spans="1:24" ht="14.4">
      <c r="A284" s="8">
        <v>70804</v>
      </c>
      <c r="B284" s="8">
        <v>13</v>
      </c>
      <c r="C284" s="8">
        <v>6.0000001788139343</v>
      </c>
      <c r="D284" s="8">
        <v>110</v>
      </c>
      <c r="E284" s="11">
        <f t="shared" si="23"/>
        <v>0.11818181818181818</v>
      </c>
      <c r="F284" s="11">
        <f t="shared" si="24"/>
        <v>0.46153847529337955</v>
      </c>
      <c r="G284" s="11">
        <f t="shared" si="25"/>
        <v>5.4545456171035761E-2</v>
      </c>
      <c r="H284" s="8">
        <v>70804</v>
      </c>
      <c r="I284" s="8">
        <v>7</v>
      </c>
      <c r="J284" s="8">
        <v>2.666666716337204</v>
      </c>
      <c r="K284" s="8">
        <v>34</v>
      </c>
      <c r="L284" s="11">
        <f t="shared" si="26"/>
        <v>0.20588235294117646</v>
      </c>
      <c r="M284" s="11">
        <f t="shared" si="27"/>
        <v>0.380952388048172</v>
      </c>
      <c r="N284" s="11">
        <f t="shared" si="28"/>
        <v>7.8431374009917759E-2</v>
      </c>
      <c r="O284" s="18">
        <f t="shared" si="30"/>
        <v>1.4379084806621469</v>
      </c>
      <c r="U284" s="18"/>
      <c r="V284" s="18"/>
      <c r="W284" s="18"/>
      <c r="X284" s="18"/>
    </row>
    <row r="285" spans="1:24" ht="14.4">
      <c r="A285" s="8">
        <v>70805</v>
      </c>
      <c r="B285" s="8">
        <v>7</v>
      </c>
      <c r="C285" s="8">
        <v>2.4444445073604584</v>
      </c>
      <c r="D285" s="8">
        <v>71</v>
      </c>
      <c r="E285" s="11">
        <f t="shared" si="23"/>
        <v>9.8591549295774641E-2</v>
      </c>
      <c r="F285" s="11">
        <f t="shared" si="24"/>
        <v>0.3492063581943512</v>
      </c>
      <c r="G285" s="11">
        <f t="shared" si="25"/>
        <v>3.4428795878316314E-2</v>
      </c>
      <c r="H285" s="8">
        <v>70805</v>
      </c>
      <c r="I285" s="8">
        <v>3</v>
      </c>
      <c r="J285" s="8">
        <v>1.0000000298023224</v>
      </c>
      <c r="K285" s="8">
        <v>25</v>
      </c>
      <c r="L285" s="11">
        <f t="shared" si="26"/>
        <v>0.12</v>
      </c>
      <c r="M285" s="11">
        <f t="shared" si="27"/>
        <v>0.3333333432674408</v>
      </c>
      <c r="N285" s="11">
        <f t="shared" si="28"/>
        <v>4.0000001192092897E-2</v>
      </c>
      <c r="O285" s="18">
        <f t="shared" si="30"/>
        <v>1.1618181865397563</v>
      </c>
      <c r="U285" s="18"/>
      <c r="V285" s="18"/>
      <c r="W285" s="18"/>
      <c r="X285" s="18"/>
    </row>
    <row r="286" spans="1:24" ht="14.4">
      <c r="A286" s="8">
        <v>70901</v>
      </c>
      <c r="B286" s="8">
        <v>57</v>
      </c>
      <c r="C286" s="8">
        <v>20.77777823805809</v>
      </c>
      <c r="D286" s="8">
        <v>1027</v>
      </c>
      <c r="E286" s="11">
        <f t="shared" si="23"/>
        <v>5.5501460564751706E-2</v>
      </c>
      <c r="F286" s="11">
        <f t="shared" si="24"/>
        <v>0.36452242522908929</v>
      </c>
      <c r="G286" s="11">
        <f t="shared" si="25"/>
        <v>2.0231527008819951E-2</v>
      </c>
      <c r="H286" s="8">
        <v>70901</v>
      </c>
      <c r="I286" s="8">
        <v>15</v>
      </c>
      <c r="J286" s="8">
        <v>5.6666667759418488</v>
      </c>
      <c r="K286" s="8">
        <v>163</v>
      </c>
      <c r="L286" s="11">
        <f t="shared" si="26"/>
        <v>9.202453987730061E-2</v>
      </c>
      <c r="M286" s="11">
        <f t="shared" si="27"/>
        <v>0.37777778506278992</v>
      </c>
      <c r="N286" s="11">
        <f t="shared" si="28"/>
        <v>3.4764826846269012E-2</v>
      </c>
      <c r="O286" s="18">
        <f t="shared" si="30"/>
        <v>1.7183491305976686</v>
      </c>
      <c r="U286" s="18"/>
      <c r="V286" s="18"/>
      <c r="W286" s="18"/>
      <c r="X286" s="18"/>
    </row>
    <row r="287" spans="1:24" ht="14.4">
      <c r="A287" s="8">
        <v>70902</v>
      </c>
      <c r="B287" s="8">
        <v>51</v>
      </c>
      <c r="C287" s="8">
        <v>18.555555999279022</v>
      </c>
      <c r="D287" s="8">
        <v>813</v>
      </c>
      <c r="E287" s="11">
        <f t="shared" si="23"/>
        <v>6.273062730627306E-2</v>
      </c>
      <c r="F287" s="11">
        <f t="shared" si="24"/>
        <v>0.3638344313584122</v>
      </c>
      <c r="G287" s="11">
        <f t="shared" si="25"/>
        <v>2.2823562114734342E-2</v>
      </c>
      <c r="H287" s="8">
        <v>70902</v>
      </c>
      <c r="I287" s="8">
        <v>5</v>
      </c>
      <c r="J287" s="8">
        <v>1.888888955116272</v>
      </c>
      <c r="K287" s="8">
        <v>93</v>
      </c>
      <c r="L287" s="11">
        <f t="shared" si="26"/>
        <v>5.3763440860215055E-2</v>
      </c>
      <c r="M287" s="11">
        <f t="shared" si="27"/>
        <v>0.37777779102325437</v>
      </c>
      <c r="N287" s="11">
        <f t="shared" si="28"/>
        <v>2.0310633925981418E-2</v>
      </c>
      <c r="O287" s="18">
        <f t="shared" si="30"/>
        <v>0.88989763402748434</v>
      </c>
      <c r="U287" s="18"/>
      <c r="V287" s="18"/>
      <c r="W287" s="18"/>
      <c r="X287" s="18"/>
    </row>
    <row r="288" spans="1:24" ht="14.4">
      <c r="A288" s="8">
        <v>70903</v>
      </c>
      <c r="B288" s="8">
        <v>125</v>
      </c>
      <c r="C288" s="8">
        <v>48.555556923151016</v>
      </c>
      <c r="D288" s="8">
        <v>1093</v>
      </c>
      <c r="E288" s="11">
        <f t="shared" si="23"/>
        <v>0.11436413540713632</v>
      </c>
      <c r="F288" s="11">
        <f t="shared" si="24"/>
        <v>0.38844445538520811</v>
      </c>
      <c r="G288" s="11">
        <f t="shared" si="25"/>
        <v>4.4424114293825263E-2</v>
      </c>
      <c r="H288" s="8">
        <v>70903</v>
      </c>
      <c r="I288" s="8">
        <v>4</v>
      </c>
      <c r="J288" s="8">
        <v>1.444444477558136</v>
      </c>
      <c r="K288" s="8">
        <v>92</v>
      </c>
      <c r="L288" s="11">
        <f t="shared" si="26"/>
        <v>4.3478260869565216E-2</v>
      </c>
      <c r="M288" s="11">
        <f t="shared" si="27"/>
        <v>0.361111119389534</v>
      </c>
      <c r="N288" s="11">
        <f t="shared" si="28"/>
        <v>1.5700483451718868E-2</v>
      </c>
      <c r="O288" s="18">
        <f t="shared" si="30"/>
        <v>0.35342254316820809</v>
      </c>
      <c r="U288" s="18"/>
      <c r="V288" s="18"/>
      <c r="W288" s="18"/>
      <c r="X288" s="18"/>
    </row>
    <row r="289" spans="1:24" ht="14.4">
      <c r="A289" s="8">
        <v>70904</v>
      </c>
      <c r="B289" s="8">
        <v>36</v>
      </c>
      <c r="C289" s="8">
        <v>13.777778178453445</v>
      </c>
      <c r="D289" s="8">
        <v>343</v>
      </c>
      <c r="E289" s="11">
        <f t="shared" si="23"/>
        <v>0.10495626822157435</v>
      </c>
      <c r="F289" s="11">
        <f t="shared" si="24"/>
        <v>0.38271606051259571</v>
      </c>
      <c r="G289" s="11">
        <f t="shared" si="25"/>
        <v>4.0168449499864277E-2</v>
      </c>
      <c r="H289" s="8">
        <v>70904</v>
      </c>
      <c r="I289" s="8">
        <v>2</v>
      </c>
      <c r="J289" s="8">
        <v>0.66666668653488159</v>
      </c>
      <c r="K289" s="8">
        <v>24</v>
      </c>
      <c r="L289" s="11">
        <f t="shared" si="26"/>
        <v>8.3333333333333329E-2</v>
      </c>
      <c r="M289" s="11">
        <f t="shared" si="27"/>
        <v>0.3333333432674408</v>
      </c>
      <c r="N289" s="11">
        <f t="shared" si="28"/>
        <v>2.7777778605620064E-2</v>
      </c>
      <c r="O289" s="18">
        <f t="shared" si="30"/>
        <v>0.69153225856312728</v>
      </c>
      <c r="U289" s="18"/>
      <c r="V289" s="18"/>
      <c r="W289" s="18"/>
      <c r="X289" s="18"/>
    </row>
    <row r="290" spans="1:24" ht="14.4">
      <c r="A290" s="8">
        <v>71001</v>
      </c>
      <c r="B290" s="8">
        <v>287</v>
      </c>
      <c r="C290" s="8">
        <v>106.44444692134857</v>
      </c>
      <c r="D290" s="8">
        <v>4887</v>
      </c>
      <c r="E290" s="11">
        <f t="shared" si="23"/>
        <v>5.8727235522815634E-2</v>
      </c>
      <c r="F290" s="11">
        <f t="shared" si="24"/>
        <v>0.37088657463884522</v>
      </c>
      <c r="G290" s="11">
        <f t="shared" si="25"/>
        <v>2.1781143221065804E-2</v>
      </c>
      <c r="H290" s="8">
        <v>71001</v>
      </c>
      <c r="I290" s="8">
        <v>23</v>
      </c>
      <c r="J290" s="8">
        <v>8.0000002086162567</v>
      </c>
      <c r="K290" s="8">
        <v>364</v>
      </c>
      <c r="L290" s="11">
        <f t="shared" si="26"/>
        <v>6.3186813186813184E-2</v>
      </c>
      <c r="M290" s="11">
        <f t="shared" si="27"/>
        <v>0.34782609602679376</v>
      </c>
      <c r="N290" s="11">
        <f t="shared" si="28"/>
        <v>2.1978022551143561E-2</v>
      </c>
      <c r="O290" s="18">
        <f t="shared" si="30"/>
        <v>1.0090389805566928</v>
      </c>
      <c r="U290" s="18"/>
      <c r="V290" s="18"/>
      <c r="W290" s="18"/>
      <c r="X290" s="18"/>
    </row>
    <row r="291" spans="1:24" ht="14.4">
      <c r="A291" s="8">
        <v>71002</v>
      </c>
      <c r="B291" s="8">
        <v>89</v>
      </c>
      <c r="C291" s="8">
        <v>32.000000804662704</v>
      </c>
      <c r="D291" s="8">
        <v>1190</v>
      </c>
      <c r="E291" s="11">
        <f t="shared" si="23"/>
        <v>7.4789915966386553E-2</v>
      </c>
      <c r="F291" s="11">
        <f t="shared" si="24"/>
        <v>0.35955057083890679</v>
      </c>
      <c r="G291" s="11">
        <f t="shared" si="25"/>
        <v>2.6890756978708154E-2</v>
      </c>
      <c r="H291" s="8">
        <v>71002</v>
      </c>
      <c r="I291" s="8">
        <v>25</v>
      </c>
      <c r="J291" s="8">
        <v>8.6666668951511383</v>
      </c>
      <c r="K291" s="8">
        <v>202</v>
      </c>
      <c r="L291" s="11">
        <f t="shared" si="26"/>
        <v>0.12376237623762376</v>
      </c>
      <c r="M291" s="11">
        <f t="shared" si="27"/>
        <v>0.34666667580604554</v>
      </c>
      <c r="N291" s="11">
        <f t="shared" si="28"/>
        <v>4.2904291560154149E-2</v>
      </c>
      <c r="O291" s="18">
        <f t="shared" si="30"/>
        <v>1.5955033022731699</v>
      </c>
      <c r="U291" s="18"/>
      <c r="V291" s="18"/>
      <c r="W291" s="18"/>
      <c r="X291" s="18"/>
    </row>
    <row r="292" spans="1:24" ht="14.4">
      <c r="A292" s="8">
        <v>71003</v>
      </c>
      <c r="B292" s="8">
        <v>81</v>
      </c>
      <c r="C292" s="8">
        <v>31.22222313284874</v>
      </c>
      <c r="D292" s="8">
        <v>1026</v>
      </c>
      <c r="E292" s="11">
        <f t="shared" si="23"/>
        <v>7.8947368421052627E-2</v>
      </c>
      <c r="F292" s="11">
        <f t="shared" si="24"/>
        <v>0.38545954484998446</v>
      </c>
      <c r="G292" s="11">
        <f t="shared" si="25"/>
        <v>3.0431016698682981E-2</v>
      </c>
      <c r="H292" s="8">
        <v>71003</v>
      </c>
      <c r="I292" s="8">
        <v>15</v>
      </c>
      <c r="J292" s="8">
        <v>5.1111112534999847</v>
      </c>
      <c r="K292" s="8">
        <v>71</v>
      </c>
      <c r="L292" s="11">
        <f t="shared" si="26"/>
        <v>0.21126760563380281</v>
      </c>
      <c r="M292" s="11">
        <f t="shared" si="27"/>
        <v>0.34074075023333233</v>
      </c>
      <c r="N292" s="11">
        <f t="shared" si="28"/>
        <v>7.1987482443661766E-2</v>
      </c>
      <c r="O292" s="18">
        <f t="shared" si="30"/>
        <v>2.365595706395748</v>
      </c>
      <c r="U292" s="18"/>
      <c r="V292" s="18"/>
      <c r="W292" s="18"/>
      <c r="X292" s="18"/>
    </row>
    <row r="293" spans="1:24" ht="14.4">
      <c r="A293" s="8">
        <v>71004</v>
      </c>
      <c r="B293" s="8">
        <v>86</v>
      </c>
      <c r="C293" s="8">
        <v>33.222223162651062</v>
      </c>
      <c r="D293" s="8">
        <v>815</v>
      </c>
      <c r="E293" s="11">
        <f t="shared" si="23"/>
        <v>0.10552147239263804</v>
      </c>
      <c r="F293" s="11">
        <f t="shared" si="24"/>
        <v>0.38630492049594256</v>
      </c>
      <c r="G293" s="11">
        <f t="shared" si="25"/>
        <v>4.0763464003252835E-2</v>
      </c>
      <c r="H293" s="8">
        <v>71004</v>
      </c>
      <c r="I293" s="8">
        <v>2</v>
      </c>
      <c r="J293" s="8">
        <v>0.66666668653488159</v>
      </c>
      <c r="K293" s="8">
        <v>102</v>
      </c>
      <c r="L293" s="11">
        <f t="shared" si="26"/>
        <v>1.9607843137254902E-2</v>
      </c>
      <c r="M293" s="11">
        <f t="shared" si="27"/>
        <v>0.3333333432674408</v>
      </c>
      <c r="N293" s="11">
        <f t="shared" si="28"/>
        <v>6.5359479072047214E-3</v>
      </c>
      <c r="O293" s="18">
        <f t="shared" si="30"/>
        <v>0.16033838308449858</v>
      </c>
      <c r="U293" s="18"/>
      <c r="V293" s="18"/>
      <c r="W293" s="18"/>
      <c r="X293" s="18"/>
    </row>
    <row r="294" spans="1:24" ht="14.4">
      <c r="A294" s="8">
        <v>71005</v>
      </c>
      <c r="B294" s="8">
        <v>57</v>
      </c>
      <c r="C294" s="8">
        <v>20.666667193174362</v>
      </c>
      <c r="D294" s="8">
        <v>824</v>
      </c>
      <c r="E294" s="11">
        <f t="shared" si="23"/>
        <v>6.9174757281553395E-2</v>
      </c>
      <c r="F294" s="11">
        <f t="shared" si="24"/>
        <v>0.36257310865218179</v>
      </c>
      <c r="G294" s="11">
        <f t="shared" si="25"/>
        <v>2.5080906787832962E-2</v>
      </c>
      <c r="H294" s="8">
        <v>71005</v>
      </c>
      <c r="I294" s="8">
        <v>9</v>
      </c>
      <c r="J294" s="8">
        <v>3.5555556118488312</v>
      </c>
      <c r="K294" s="8">
        <v>184</v>
      </c>
      <c r="L294" s="11">
        <f t="shared" si="26"/>
        <v>4.8913043478260872E-2</v>
      </c>
      <c r="M294" s="11">
        <f t="shared" si="27"/>
        <v>0.39506173464987016</v>
      </c>
      <c r="N294" s="11">
        <f t="shared" si="28"/>
        <v>1.932367180352626E-2</v>
      </c>
      <c r="O294" s="18">
        <f t="shared" si="30"/>
        <v>0.77045347550593335</v>
      </c>
      <c r="U294" s="18"/>
      <c r="V294" s="18"/>
      <c r="W294" s="18"/>
      <c r="X294" s="18"/>
    </row>
    <row r="295" spans="1:24" ht="14.4">
      <c r="A295" s="8">
        <v>71101</v>
      </c>
      <c r="B295" s="8">
        <v>383</v>
      </c>
      <c r="C295" s="8">
        <v>141.44444799423218</v>
      </c>
      <c r="D295" s="8">
        <v>2913</v>
      </c>
      <c r="E295" s="11">
        <f t="shared" si="23"/>
        <v>0.1314795743220048</v>
      </c>
      <c r="F295" s="11">
        <f t="shared" si="24"/>
        <v>0.3693066527264548</v>
      </c>
      <c r="G295" s="11">
        <f t="shared" si="25"/>
        <v>4.8556281494758727E-2</v>
      </c>
      <c r="H295" s="8">
        <v>71101</v>
      </c>
      <c r="I295" s="8">
        <v>69</v>
      </c>
      <c r="J295" s="8">
        <v>25.444445013999939</v>
      </c>
      <c r="K295" s="8">
        <v>349</v>
      </c>
      <c r="L295" s="11">
        <f t="shared" si="26"/>
        <v>0.19770773638968481</v>
      </c>
      <c r="M295" s="11">
        <f t="shared" si="27"/>
        <v>0.36876007266666577</v>
      </c>
      <c r="N295" s="11">
        <f t="shared" si="28"/>
        <v>7.2906719237822173E-2</v>
      </c>
      <c r="O295" s="18">
        <f t="shared" si="30"/>
        <v>1.5014889318839599</v>
      </c>
      <c r="U295" s="18"/>
      <c r="V295" s="18"/>
      <c r="W295" s="18"/>
      <c r="X295" s="18"/>
    </row>
    <row r="296" spans="1:24" ht="14.4">
      <c r="A296" s="8">
        <v>71102</v>
      </c>
      <c r="B296" s="8">
        <v>56</v>
      </c>
      <c r="C296" s="8">
        <v>20.555556178092957</v>
      </c>
      <c r="D296" s="8">
        <v>762</v>
      </c>
      <c r="E296" s="11">
        <f t="shared" si="23"/>
        <v>7.3490813648293962E-2</v>
      </c>
      <c r="F296" s="11">
        <f t="shared" si="24"/>
        <v>0.36706350318023134</v>
      </c>
      <c r="G296" s="11">
        <f t="shared" si="25"/>
        <v>2.6975795509308339E-2</v>
      </c>
      <c r="H296" s="8">
        <v>71102</v>
      </c>
      <c r="I296" s="8">
        <v>6</v>
      </c>
      <c r="J296" s="8">
        <v>2.3333334028720856</v>
      </c>
      <c r="K296" s="8">
        <v>63</v>
      </c>
      <c r="L296" s="11">
        <f t="shared" si="26"/>
        <v>9.5238095238095233E-2</v>
      </c>
      <c r="M296" s="11">
        <f t="shared" si="27"/>
        <v>0.38888890047868091</v>
      </c>
      <c r="N296" s="11">
        <f t="shared" si="28"/>
        <v>3.7037038140826754E-2</v>
      </c>
      <c r="O296" s="18">
        <f t="shared" si="30"/>
        <v>1.3729729723094415</v>
      </c>
      <c r="U296" s="18"/>
      <c r="V296" s="18"/>
      <c r="W296" s="18"/>
      <c r="X296" s="18"/>
    </row>
    <row r="297" spans="1:24" ht="14.4">
      <c r="A297" s="8">
        <v>71103</v>
      </c>
      <c r="B297" s="8">
        <v>67</v>
      </c>
      <c r="C297" s="8">
        <v>24.555556297302246</v>
      </c>
      <c r="D297" s="8">
        <v>719</v>
      </c>
      <c r="E297" s="11">
        <f t="shared" si="23"/>
        <v>9.3184979137691235E-2</v>
      </c>
      <c r="F297" s="11">
        <f t="shared" si="24"/>
        <v>0.36650084025824248</v>
      </c>
      <c r="G297" s="11">
        <f t="shared" si="25"/>
        <v>3.4152373153410631E-2</v>
      </c>
      <c r="H297" s="8">
        <v>71103</v>
      </c>
      <c r="I297" s="8">
        <v>11</v>
      </c>
      <c r="J297" s="8">
        <v>3.7777778804302216</v>
      </c>
      <c r="K297" s="8">
        <v>63</v>
      </c>
      <c r="L297" s="11">
        <f t="shared" si="26"/>
        <v>0.17460317460317459</v>
      </c>
      <c r="M297" s="11">
        <f t="shared" si="27"/>
        <v>0.34343435276638379</v>
      </c>
      <c r="N297" s="11">
        <f t="shared" si="28"/>
        <v>5.9964728260797164E-2</v>
      </c>
      <c r="O297" s="18">
        <f t="shared" si="30"/>
        <v>1.7557997504723557</v>
      </c>
      <c r="U297" s="18"/>
      <c r="V297" s="18"/>
      <c r="W297" s="18"/>
      <c r="X297" s="18"/>
    </row>
    <row r="298" spans="1:24" ht="14.4">
      <c r="A298" s="8">
        <v>71104</v>
      </c>
      <c r="B298" s="8">
        <v>135</v>
      </c>
      <c r="C298" s="8">
        <v>49.555556863546371</v>
      </c>
      <c r="D298" s="8">
        <v>2962</v>
      </c>
      <c r="E298" s="11">
        <f t="shared" si="23"/>
        <v>4.5577312626603646E-2</v>
      </c>
      <c r="F298" s="11">
        <f t="shared" si="24"/>
        <v>0.36707819898923238</v>
      </c>
      <c r="G298" s="11">
        <f t="shared" si="25"/>
        <v>1.6730437833742867E-2</v>
      </c>
      <c r="H298" s="8">
        <v>71104</v>
      </c>
      <c r="I298" s="8">
        <v>30</v>
      </c>
      <c r="J298" s="8">
        <v>11.000000238418579</v>
      </c>
      <c r="K298" s="8">
        <v>340</v>
      </c>
      <c r="L298" s="11">
        <f t="shared" si="26"/>
        <v>8.8235294117647065E-2</v>
      </c>
      <c r="M298" s="11">
        <f t="shared" si="27"/>
        <v>0.36666667461395264</v>
      </c>
      <c r="N298" s="11">
        <f t="shared" si="28"/>
        <v>3.2352941877701706E-2</v>
      </c>
      <c r="O298" s="18">
        <f t="shared" si="30"/>
        <v>1.9337773583217597</v>
      </c>
      <c r="U298" s="18"/>
      <c r="V298" s="18"/>
      <c r="W298" s="18"/>
      <c r="X298" s="18"/>
    </row>
    <row r="299" spans="1:24" ht="14.4">
      <c r="A299" s="8">
        <v>71105</v>
      </c>
      <c r="B299" s="8">
        <v>28</v>
      </c>
      <c r="C299" s="8">
        <v>9.4444447159767151</v>
      </c>
      <c r="D299" s="8">
        <v>310</v>
      </c>
      <c r="E299" s="11">
        <f t="shared" si="23"/>
        <v>9.0322580645161285E-2</v>
      </c>
      <c r="F299" s="11">
        <f t="shared" si="24"/>
        <v>0.3373015969991684</v>
      </c>
      <c r="G299" s="11">
        <f t="shared" si="25"/>
        <v>3.0465950696699079E-2</v>
      </c>
      <c r="H299" s="8">
        <v>71105</v>
      </c>
      <c r="I299" s="8">
        <v>11</v>
      </c>
      <c r="J299" s="8">
        <v>3.6666667759418488</v>
      </c>
      <c r="K299" s="8">
        <v>59</v>
      </c>
      <c r="L299" s="11">
        <f t="shared" si="26"/>
        <v>0.1864406779661017</v>
      </c>
      <c r="M299" s="11">
        <f t="shared" si="27"/>
        <v>0.3333333432674408</v>
      </c>
      <c r="N299" s="11">
        <f t="shared" si="28"/>
        <v>6.2146894507488962E-2</v>
      </c>
      <c r="O299" s="18">
        <f t="shared" si="30"/>
        <v>2.0398803610688718</v>
      </c>
      <c r="U299" s="18"/>
      <c r="V299" s="18"/>
      <c r="W299" s="18"/>
      <c r="X299" s="18"/>
    </row>
    <row r="300" spans="1:24" ht="14.4">
      <c r="A300" s="8">
        <v>71106</v>
      </c>
      <c r="B300" s="8">
        <v>64</v>
      </c>
      <c r="C300" s="8">
        <v>24.00000062584877</v>
      </c>
      <c r="D300" s="8">
        <v>1440</v>
      </c>
      <c r="E300" s="11">
        <f t="shared" si="23"/>
        <v>4.4444444444444446E-2</v>
      </c>
      <c r="F300" s="11">
        <f t="shared" si="24"/>
        <v>0.37500000977888703</v>
      </c>
      <c r="G300" s="11">
        <f t="shared" si="25"/>
        <v>1.666666710128387E-2</v>
      </c>
      <c r="H300" s="8">
        <v>71106</v>
      </c>
      <c r="I300" s="8">
        <v>12</v>
      </c>
      <c r="J300" s="8">
        <v>4.8888890147209167</v>
      </c>
      <c r="K300" s="8">
        <v>163</v>
      </c>
      <c r="L300" s="11">
        <f t="shared" si="26"/>
        <v>7.3619631901840496E-2</v>
      </c>
      <c r="M300" s="11">
        <f t="shared" si="27"/>
        <v>0.40740741789340973</v>
      </c>
      <c r="N300" s="11">
        <f t="shared" si="28"/>
        <v>2.9993184139392129E-2</v>
      </c>
      <c r="O300" s="18">
        <f t="shared" si="30"/>
        <v>1.7995910014355352</v>
      </c>
      <c r="U300" s="18"/>
      <c r="V300" s="18"/>
      <c r="W300" s="18"/>
      <c r="X300" s="18"/>
    </row>
    <row r="301" spans="1:24" ht="14.4">
      <c r="A301" s="8">
        <v>71201</v>
      </c>
      <c r="B301" s="8">
        <v>48</v>
      </c>
      <c r="C301" s="8">
        <v>17.111111521720886</v>
      </c>
      <c r="D301" s="8">
        <v>572</v>
      </c>
      <c r="E301" s="11">
        <f t="shared" si="23"/>
        <v>8.3916083916083919E-2</v>
      </c>
      <c r="F301" s="11">
        <f t="shared" si="24"/>
        <v>0.35648149003585178</v>
      </c>
      <c r="G301" s="11">
        <f t="shared" si="25"/>
        <v>2.9914530632379172E-2</v>
      </c>
      <c r="H301" s="8">
        <v>71201</v>
      </c>
      <c r="I301" s="8">
        <v>5</v>
      </c>
      <c r="J301" s="8">
        <v>1.7777778208255768</v>
      </c>
      <c r="K301" s="8">
        <v>92</v>
      </c>
      <c r="L301" s="11">
        <f t="shared" si="26"/>
        <v>5.434782608695652E-2</v>
      </c>
      <c r="M301" s="11">
        <f t="shared" si="27"/>
        <v>0.35555556416511536</v>
      </c>
      <c r="N301" s="11">
        <f t="shared" si="28"/>
        <v>1.93236719654954E-2</v>
      </c>
      <c r="O301" s="18">
        <f t="shared" si="30"/>
        <v>0.64596273305988838</v>
      </c>
      <c r="U301" s="18"/>
      <c r="V301" s="18"/>
      <c r="W301" s="18"/>
      <c r="X301" s="18"/>
    </row>
    <row r="302" spans="1:24" ht="14.4">
      <c r="A302" s="8">
        <v>71301</v>
      </c>
      <c r="B302" s="8">
        <v>73</v>
      </c>
      <c r="C302" s="8">
        <v>27.222223073244095</v>
      </c>
      <c r="D302" s="8">
        <v>950</v>
      </c>
      <c r="E302" s="11">
        <f t="shared" si="23"/>
        <v>7.6842105263157892E-2</v>
      </c>
      <c r="F302" s="11">
        <f t="shared" si="24"/>
        <v>0.37290716538690538</v>
      </c>
      <c r="G302" s="11">
        <f t="shared" si="25"/>
        <v>2.8654971656046413E-2</v>
      </c>
      <c r="H302" s="8">
        <v>71301</v>
      </c>
      <c r="I302" s="8">
        <v>6</v>
      </c>
      <c r="J302" s="8">
        <v>2.2222222685813904</v>
      </c>
      <c r="K302" s="8">
        <v>105</v>
      </c>
      <c r="L302" s="11">
        <f t="shared" si="26"/>
        <v>5.7142857142857141E-2</v>
      </c>
      <c r="M302" s="11">
        <f t="shared" si="27"/>
        <v>0.37037037809689838</v>
      </c>
      <c r="N302" s="11">
        <f t="shared" si="28"/>
        <v>2.1164021605537049E-2</v>
      </c>
      <c r="O302" s="18">
        <f t="shared" si="30"/>
        <v>0.73858113906287126</v>
      </c>
      <c r="U302" s="18"/>
      <c r="V302" s="18"/>
      <c r="W302" s="18"/>
      <c r="X302" s="18"/>
    </row>
    <row r="303" spans="1:24" ht="14.4">
      <c r="A303" s="8">
        <v>71302</v>
      </c>
      <c r="B303" s="8">
        <v>21</v>
      </c>
      <c r="C303" s="8">
        <v>7.4444446265697479</v>
      </c>
      <c r="D303" s="8">
        <v>478</v>
      </c>
      <c r="E303" s="11">
        <f t="shared" si="23"/>
        <v>4.3933054393305436E-2</v>
      </c>
      <c r="F303" s="11">
        <f t="shared" si="24"/>
        <v>0.35449736316998798</v>
      </c>
      <c r="G303" s="11">
        <f t="shared" si="25"/>
        <v>1.5574151938430434E-2</v>
      </c>
      <c r="H303" s="8">
        <v>71302</v>
      </c>
      <c r="I303" s="8">
        <v>8</v>
      </c>
      <c r="J303" s="8">
        <v>2.7777778506278992</v>
      </c>
      <c r="K303" s="8">
        <v>73</v>
      </c>
      <c r="L303" s="11">
        <f t="shared" si="26"/>
        <v>0.1095890410958904</v>
      </c>
      <c r="M303" s="11">
        <f t="shared" si="27"/>
        <v>0.3472222313284874</v>
      </c>
      <c r="N303" s="11">
        <f t="shared" si="28"/>
        <v>3.8051751378464373E-2</v>
      </c>
      <c r="O303" s="18">
        <f t="shared" si="30"/>
        <v>2.4432631406766174</v>
      </c>
      <c r="U303" s="18"/>
      <c r="V303" s="18"/>
      <c r="W303" s="18"/>
      <c r="X303" s="18"/>
    </row>
    <row r="304" spans="1:24" ht="14.4">
      <c r="A304" s="8">
        <v>71401</v>
      </c>
      <c r="B304" s="8">
        <v>63</v>
      </c>
      <c r="C304" s="8">
        <v>23.333333879709244</v>
      </c>
      <c r="D304" s="8">
        <v>866</v>
      </c>
      <c r="E304" s="11">
        <f t="shared" si="23"/>
        <v>7.2748267898383373E-2</v>
      </c>
      <c r="F304" s="11">
        <f t="shared" si="24"/>
        <v>0.37037037904300385</v>
      </c>
      <c r="G304" s="11">
        <f t="shared" si="25"/>
        <v>2.6943803556246239E-2</v>
      </c>
      <c r="H304" s="8">
        <v>71401</v>
      </c>
      <c r="I304" s="8">
        <v>3</v>
      </c>
      <c r="J304" s="8">
        <v>1.0000000298023224</v>
      </c>
      <c r="K304" s="8">
        <v>86</v>
      </c>
      <c r="L304" s="11">
        <f t="shared" si="26"/>
        <v>3.4883720930232558E-2</v>
      </c>
      <c r="M304" s="11">
        <f t="shared" si="27"/>
        <v>0.3333333432674408</v>
      </c>
      <c r="N304" s="11">
        <f t="shared" si="28"/>
        <v>1.1627907323282819E-2</v>
      </c>
      <c r="O304" s="18">
        <f t="shared" si="30"/>
        <v>0.43156146455006283</v>
      </c>
      <c r="U304" s="18"/>
      <c r="V304" s="18"/>
      <c r="W304" s="18"/>
      <c r="X304" s="18"/>
    </row>
    <row r="305" spans="1:24" ht="14.4">
      <c r="A305" s="8">
        <v>71402</v>
      </c>
      <c r="B305" s="8">
        <v>63</v>
      </c>
      <c r="C305" s="8">
        <v>22.111111700534821</v>
      </c>
      <c r="D305" s="8">
        <v>1102</v>
      </c>
      <c r="E305" s="11">
        <f t="shared" si="23"/>
        <v>5.7168784029038112E-2</v>
      </c>
      <c r="F305" s="11">
        <f t="shared" si="24"/>
        <v>0.3509700269926162</v>
      </c>
      <c r="G305" s="11">
        <f t="shared" si="25"/>
        <v>2.0064529673806553E-2</v>
      </c>
      <c r="H305" s="8">
        <v>71402</v>
      </c>
      <c r="I305" s="8">
        <v>11</v>
      </c>
      <c r="J305" s="8">
        <v>3.6666667759418488</v>
      </c>
      <c r="K305" s="8">
        <v>87</v>
      </c>
      <c r="L305" s="11">
        <f t="shared" si="26"/>
        <v>0.12643678160919541</v>
      </c>
      <c r="M305" s="11">
        <f t="shared" si="27"/>
        <v>0.3333333432674408</v>
      </c>
      <c r="N305" s="11">
        <f t="shared" si="28"/>
        <v>4.2145595125768383E-2</v>
      </c>
      <c r="O305" s="18">
        <f t="shared" si="30"/>
        <v>2.1005025191688289</v>
      </c>
      <c r="U305" s="18"/>
      <c r="V305" s="18"/>
      <c r="W305" s="18"/>
      <c r="X305" s="18"/>
    </row>
    <row r="306" spans="1:24" ht="14.4">
      <c r="A306" s="8">
        <v>71403</v>
      </c>
      <c r="B306" s="8">
        <v>63</v>
      </c>
      <c r="C306" s="8">
        <v>22.666667312383652</v>
      </c>
      <c r="D306" s="8">
        <v>988</v>
      </c>
      <c r="E306" s="11">
        <f t="shared" si="23"/>
        <v>6.3765182186234823E-2</v>
      </c>
      <c r="F306" s="11">
        <f t="shared" si="24"/>
        <v>0.35978837003783576</v>
      </c>
      <c r="G306" s="11">
        <f t="shared" si="25"/>
        <v>2.2941970963951067E-2</v>
      </c>
      <c r="H306" s="8">
        <v>71403</v>
      </c>
      <c r="I306" s="8">
        <v>9</v>
      </c>
      <c r="J306" s="8">
        <v>3.0000000894069672</v>
      </c>
      <c r="K306" s="8">
        <v>88</v>
      </c>
      <c r="L306" s="11">
        <f t="shared" si="26"/>
        <v>0.10227272727272728</v>
      </c>
      <c r="M306" s="11">
        <f t="shared" si="27"/>
        <v>0.3333333432674408</v>
      </c>
      <c r="N306" s="11">
        <f t="shared" si="28"/>
        <v>3.4090910106897354E-2</v>
      </c>
      <c r="O306" s="18">
        <f t="shared" si="30"/>
        <v>1.4859625687986755</v>
      </c>
      <c r="U306" s="18"/>
      <c r="V306" s="18"/>
      <c r="W306" s="18"/>
      <c r="X306" s="18"/>
    </row>
    <row r="307" spans="1:24" ht="14.4">
      <c r="A307" s="8">
        <v>71501</v>
      </c>
      <c r="B307" s="8">
        <v>604</v>
      </c>
      <c r="C307" s="8">
        <v>233.66667258739471</v>
      </c>
      <c r="D307" s="8">
        <v>2939</v>
      </c>
      <c r="E307" s="11">
        <f t="shared" si="23"/>
        <v>0.20551207893841442</v>
      </c>
      <c r="F307" s="11">
        <f t="shared" si="24"/>
        <v>0.38686535196588528</v>
      </c>
      <c r="G307" s="11">
        <f t="shared" si="25"/>
        <v>7.9505502751750487E-2</v>
      </c>
      <c r="H307" s="8">
        <v>71501</v>
      </c>
      <c r="I307" s="8">
        <v>34</v>
      </c>
      <c r="J307" s="8">
        <v>13.111111462116241</v>
      </c>
      <c r="K307" s="8">
        <v>205</v>
      </c>
      <c r="L307" s="11">
        <f t="shared" si="26"/>
        <v>0.16585365853658537</v>
      </c>
      <c r="M307" s="11">
        <f t="shared" si="27"/>
        <v>0.38562092535636006</v>
      </c>
      <c r="N307" s="11">
        <f t="shared" si="28"/>
        <v>6.3956641278615819E-2</v>
      </c>
      <c r="O307" s="18">
        <f t="shared" si="30"/>
        <v>0.80443037355936564</v>
      </c>
      <c r="U307" s="18"/>
      <c r="V307" s="18"/>
      <c r="W307" s="18"/>
      <c r="X307" s="18"/>
    </row>
    <row r="308" spans="1:24" ht="14.4">
      <c r="A308" s="8">
        <v>71502</v>
      </c>
      <c r="B308" s="8">
        <v>65</v>
      </c>
      <c r="C308" s="8">
        <v>23.888889402151108</v>
      </c>
      <c r="D308" s="8">
        <v>330</v>
      </c>
      <c r="E308" s="11">
        <f t="shared" si="23"/>
        <v>0.19696969696969696</v>
      </c>
      <c r="F308" s="11">
        <f t="shared" si="24"/>
        <v>0.36752137541770935</v>
      </c>
      <c r="G308" s="11">
        <f t="shared" si="25"/>
        <v>7.2390573945912445E-2</v>
      </c>
      <c r="H308" s="8">
        <v>71502</v>
      </c>
      <c r="I308" s="8">
        <v>6</v>
      </c>
      <c r="J308" s="8">
        <v>2.444444477558136</v>
      </c>
      <c r="K308" s="8">
        <v>31</v>
      </c>
      <c r="L308" s="11">
        <f t="shared" si="26"/>
        <v>0.19354838709677419</v>
      </c>
      <c r="M308" s="11">
        <f t="shared" si="27"/>
        <v>0.40740741292635602</v>
      </c>
      <c r="N308" s="11">
        <f t="shared" si="28"/>
        <v>7.8853047663165685E-2</v>
      </c>
      <c r="O308" s="18">
        <f t="shared" si="30"/>
        <v>1.0892723094319126</v>
      </c>
      <c r="U308" s="18"/>
      <c r="V308" s="18"/>
      <c r="W308" s="18"/>
      <c r="X308" s="18"/>
    </row>
    <row r="309" spans="1:24" ht="14.4">
      <c r="A309" s="8">
        <v>71503</v>
      </c>
      <c r="B309" s="8">
        <v>234</v>
      </c>
      <c r="C309" s="8">
        <v>87.444446563720703</v>
      </c>
      <c r="D309" s="8">
        <v>1580</v>
      </c>
      <c r="E309" s="11">
        <f t="shared" si="23"/>
        <v>0.14810126582278482</v>
      </c>
      <c r="F309" s="11">
        <f t="shared" si="24"/>
        <v>0.3736942160842765</v>
      </c>
      <c r="G309" s="11">
        <f t="shared" si="25"/>
        <v>5.5344586432734627E-2</v>
      </c>
      <c r="H309" s="8">
        <v>71503</v>
      </c>
      <c r="I309" s="8">
        <v>32</v>
      </c>
      <c r="J309" s="8">
        <v>11.888889133930206</v>
      </c>
      <c r="K309" s="8">
        <v>278</v>
      </c>
      <c r="L309" s="11">
        <f t="shared" si="26"/>
        <v>0.11510791366906475</v>
      </c>
      <c r="M309" s="11">
        <f t="shared" si="27"/>
        <v>0.37152778543531895</v>
      </c>
      <c r="N309" s="11">
        <f t="shared" si="28"/>
        <v>4.2765788251547504E-2</v>
      </c>
      <c r="O309" s="18">
        <f t="shared" si="30"/>
        <v>0.77271854408966822</v>
      </c>
      <c r="U309" s="18"/>
      <c r="V309" s="18"/>
      <c r="W309" s="18"/>
      <c r="X309" s="18"/>
    </row>
    <row r="310" spans="1:24" ht="14.4">
      <c r="A310" s="8">
        <v>80101</v>
      </c>
      <c r="B310" s="8">
        <v>715</v>
      </c>
      <c r="C310" s="8">
        <v>257.55556219816208</v>
      </c>
      <c r="D310" s="8">
        <v>7403</v>
      </c>
      <c r="E310" s="11">
        <f t="shared" si="23"/>
        <v>9.658246656760773E-2</v>
      </c>
      <c r="F310" s="11">
        <f t="shared" si="24"/>
        <v>0.360217569507919</v>
      </c>
      <c r="G310" s="11">
        <f t="shared" si="25"/>
        <v>3.4790701364063502E-2</v>
      </c>
      <c r="H310" s="8">
        <v>80101</v>
      </c>
      <c r="I310" s="8">
        <v>58</v>
      </c>
      <c r="J310" s="8">
        <v>21.77777823805809</v>
      </c>
      <c r="K310" s="8">
        <v>550</v>
      </c>
      <c r="L310" s="11">
        <f t="shared" si="26"/>
        <v>0.10545454545454545</v>
      </c>
      <c r="M310" s="11">
        <f t="shared" si="27"/>
        <v>0.3754789351389326</v>
      </c>
      <c r="N310" s="11">
        <f t="shared" si="28"/>
        <v>3.9595960432832894E-2</v>
      </c>
      <c r="O310" s="18">
        <f t="shared" si="30"/>
        <v>1.1381190628635303</v>
      </c>
      <c r="U310" s="18"/>
      <c r="V310" s="18"/>
      <c r="W310" s="18"/>
      <c r="X310" s="18"/>
    </row>
    <row r="311" spans="1:24" ht="14.4">
      <c r="A311" s="8">
        <v>80102</v>
      </c>
      <c r="B311" s="8">
        <v>506</v>
      </c>
      <c r="C311" s="8">
        <v>191.22222650051117</v>
      </c>
      <c r="D311" s="8">
        <v>1538</v>
      </c>
      <c r="E311" s="11">
        <f t="shared" si="23"/>
        <v>0.32899869960988298</v>
      </c>
      <c r="F311" s="11">
        <f t="shared" si="24"/>
        <v>0.37790953853855963</v>
      </c>
      <c r="G311" s="11">
        <f t="shared" si="25"/>
        <v>0.12433174674935708</v>
      </c>
      <c r="H311" s="8">
        <v>80102</v>
      </c>
      <c r="I311" s="8">
        <v>12</v>
      </c>
      <c r="J311" s="8">
        <v>4.6666667461395264</v>
      </c>
      <c r="K311" s="8">
        <v>94</v>
      </c>
      <c r="L311" s="11">
        <f t="shared" si="26"/>
        <v>0.1276595744680851</v>
      </c>
      <c r="M311" s="11">
        <f t="shared" si="27"/>
        <v>0.3888888955116272</v>
      </c>
      <c r="N311" s="11">
        <f t="shared" si="28"/>
        <v>4.9645390916377936E-2</v>
      </c>
      <c r="O311" s="18">
        <f t="shared" si="30"/>
        <v>0.39929778366629964</v>
      </c>
      <c r="U311" s="18"/>
      <c r="V311" s="18"/>
      <c r="W311" s="18"/>
      <c r="X311" s="18"/>
    </row>
    <row r="312" spans="1:24" ht="14.4">
      <c r="A312" s="8">
        <v>80201</v>
      </c>
      <c r="B312" s="8">
        <v>848</v>
      </c>
      <c r="C312" s="8">
        <v>311.66667455434799</v>
      </c>
      <c r="D312" s="8">
        <v>4283</v>
      </c>
      <c r="E312" s="11">
        <f t="shared" si="23"/>
        <v>0.19799206163903807</v>
      </c>
      <c r="F312" s="11">
        <f t="shared" si="24"/>
        <v>0.3675314558423915</v>
      </c>
      <c r="G312" s="11">
        <f t="shared" si="25"/>
        <v>7.2768310659432178E-2</v>
      </c>
      <c r="H312" s="8">
        <v>80201</v>
      </c>
      <c r="I312" s="8">
        <v>85</v>
      </c>
      <c r="J312" s="8">
        <v>30.44444528222084</v>
      </c>
      <c r="K312" s="8">
        <v>412</v>
      </c>
      <c r="L312" s="11">
        <f t="shared" si="26"/>
        <v>0.20631067961165048</v>
      </c>
      <c r="M312" s="11">
        <f t="shared" si="27"/>
        <v>0.3581699444967158</v>
      </c>
      <c r="N312" s="11">
        <f t="shared" si="28"/>
        <v>7.3894284665584564E-2</v>
      </c>
      <c r="O312" s="18">
        <f t="shared" si="30"/>
        <v>1.0154734113785069</v>
      </c>
      <c r="U312" s="18"/>
      <c r="V312" s="18"/>
      <c r="W312" s="18"/>
      <c r="X312" s="18"/>
    </row>
    <row r="313" spans="1:24" ht="14.4">
      <c r="A313" s="8">
        <v>80202</v>
      </c>
      <c r="B313" s="8">
        <v>214</v>
      </c>
      <c r="C313" s="8">
        <v>77.222224175930023</v>
      </c>
      <c r="D313" s="8">
        <v>2212</v>
      </c>
      <c r="E313" s="11">
        <f t="shared" si="23"/>
        <v>9.6745027124773966E-2</v>
      </c>
      <c r="F313" s="11">
        <f t="shared" si="24"/>
        <v>0.36085151484079447</v>
      </c>
      <c r="G313" s="11">
        <f t="shared" si="25"/>
        <v>3.4910589591288434E-2</v>
      </c>
      <c r="H313" s="8">
        <v>80202</v>
      </c>
      <c r="I313" s="8">
        <v>6</v>
      </c>
      <c r="J313" s="8">
        <v>2.3333333730697632</v>
      </c>
      <c r="K313" s="8">
        <v>148</v>
      </c>
      <c r="L313" s="11">
        <f t="shared" si="26"/>
        <v>4.0540540540540543E-2</v>
      </c>
      <c r="M313" s="11">
        <f t="shared" si="27"/>
        <v>0.3888888955116272</v>
      </c>
      <c r="N313" s="11">
        <f t="shared" si="28"/>
        <v>1.5765766034255158E-2</v>
      </c>
      <c r="O313" s="18">
        <f t="shared" si="30"/>
        <v>0.4516041183729918</v>
      </c>
      <c r="U313" s="18"/>
      <c r="V313" s="18"/>
      <c r="W313" s="18"/>
      <c r="X313" s="18"/>
    </row>
    <row r="314" spans="1:24" ht="14.4">
      <c r="A314" s="8">
        <v>80301</v>
      </c>
      <c r="B314" s="8">
        <v>161</v>
      </c>
      <c r="C314" s="8">
        <v>60.222223818302155</v>
      </c>
      <c r="D314" s="8">
        <v>952</v>
      </c>
      <c r="E314" s="11">
        <f t="shared" si="23"/>
        <v>0.16911764705882354</v>
      </c>
      <c r="F314" s="11">
        <f t="shared" si="24"/>
        <v>0.37405107961678358</v>
      </c>
      <c r="G314" s="11">
        <f t="shared" si="25"/>
        <v>6.3258638464603112E-2</v>
      </c>
      <c r="H314" s="8">
        <v>80301</v>
      </c>
      <c r="I314" s="8">
        <v>18</v>
      </c>
      <c r="J314" s="8">
        <v>6.3333334922790527</v>
      </c>
      <c r="K314" s="8">
        <v>82</v>
      </c>
      <c r="L314" s="11">
        <f t="shared" si="26"/>
        <v>0.21951219512195122</v>
      </c>
      <c r="M314" s="11">
        <f t="shared" si="27"/>
        <v>0.35185186068216961</v>
      </c>
      <c r="N314" s="11">
        <f t="shared" si="28"/>
        <v>7.723577429608601E-2</v>
      </c>
      <c r="O314" s="18">
        <f t="shared" si="30"/>
        <v>1.2209522078048505</v>
      </c>
      <c r="U314" s="18"/>
      <c r="V314" s="18"/>
      <c r="W314" s="18"/>
      <c r="X314" s="18"/>
    </row>
    <row r="315" spans="1:24" ht="14.4">
      <c r="A315" s="8">
        <v>80302</v>
      </c>
      <c r="B315" s="8">
        <v>369</v>
      </c>
      <c r="C315" s="8">
        <v>134.44444778561592</v>
      </c>
      <c r="D315" s="8">
        <v>2239</v>
      </c>
      <c r="E315" s="11">
        <f t="shared" si="23"/>
        <v>0.16480571683787404</v>
      </c>
      <c r="F315" s="11">
        <f t="shared" si="24"/>
        <v>0.36434809697998893</v>
      </c>
      <c r="G315" s="11">
        <f t="shared" si="25"/>
        <v>6.0046649301302324E-2</v>
      </c>
      <c r="H315" s="8">
        <v>80302</v>
      </c>
      <c r="I315" s="8">
        <v>18</v>
      </c>
      <c r="J315" s="8">
        <v>7.1111113131046295</v>
      </c>
      <c r="K315" s="8">
        <v>130</v>
      </c>
      <c r="L315" s="11">
        <f t="shared" si="26"/>
        <v>0.13846153846153847</v>
      </c>
      <c r="M315" s="11">
        <f t="shared" si="27"/>
        <v>0.39506173961692387</v>
      </c>
      <c r="N315" s="11">
        <f t="shared" si="28"/>
        <v>5.4700856254651001E-2</v>
      </c>
      <c r="O315" s="18">
        <f t="shared" si="30"/>
        <v>0.91097266693721446</v>
      </c>
      <c r="U315" s="18"/>
      <c r="V315" s="18"/>
      <c r="W315" s="18"/>
      <c r="X315" s="18"/>
    </row>
    <row r="316" spans="1:24" ht="14.4">
      <c r="A316" s="8">
        <v>80303</v>
      </c>
      <c r="B316" s="8">
        <v>65</v>
      </c>
      <c r="C316" s="8">
        <v>25.333333909511566</v>
      </c>
      <c r="D316" s="8">
        <v>845</v>
      </c>
      <c r="E316" s="11">
        <f t="shared" si="23"/>
        <v>7.6923076923076927E-2</v>
      </c>
      <c r="F316" s="11">
        <f t="shared" si="24"/>
        <v>0.38974359860787022</v>
      </c>
      <c r="G316" s="11">
        <f t="shared" si="25"/>
        <v>2.9980276815990019E-2</v>
      </c>
      <c r="H316" s="8">
        <v>80303</v>
      </c>
      <c r="I316" s="8">
        <v>14</v>
      </c>
      <c r="J316" s="8">
        <v>5.1111112236976624</v>
      </c>
      <c r="K316" s="8">
        <v>71</v>
      </c>
      <c r="L316" s="11">
        <f t="shared" si="26"/>
        <v>0.19718309859154928</v>
      </c>
      <c r="M316" s="11">
        <f t="shared" si="27"/>
        <v>0.3650793731212616</v>
      </c>
      <c r="N316" s="11">
        <f t="shared" si="28"/>
        <v>7.1987482023910726E-2</v>
      </c>
      <c r="O316" s="18">
        <f t="shared" si="30"/>
        <v>2.401161352370039</v>
      </c>
      <c r="U316" s="18"/>
      <c r="V316" s="18"/>
      <c r="W316" s="18"/>
      <c r="X316" s="18"/>
    </row>
    <row r="317" spans="1:24" ht="14.4">
      <c r="A317" s="8">
        <v>80304</v>
      </c>
      <c r="B317" s="8">
        <v>211</v>
      </c>
      <c r="C317" s="8">
        <v>87.888890981674194</v>
      </c>
      <c r="D317" s="8">
        <v>1683</v>
      </c>
      <c r="E317" s="11">
        <f t="shared" si="23"/>
        <v>0.12537136066547833</v>
      </c>
      <c r="F317" s="11">
        <f t="shared" si="24"/>
        <v>0.41653502834916678</v>
      </c>
      <c r="G317" s="11">
        <f t="shared" si="25"/>
        <v>5.2221563268968631E-2</v>
      </c>
      <c r="H317" s="8">
        <v>80304</v>
      </c>
      <c r="I317" s="8">
        <v>17</v>
      </c>
      <c r="J317" s="8">
        <v>7.3333334922790527</v>
      </c>
      <c r="K317" s="8">
        <v>96</v>
      </c>
      <c r="L317" s="11">
        <f t="shared" si="26"/>
        <v>0.17708333333333334</v>
      </c>
      <c r="M317" s="11">
        <f t="shared" si="27"/>
        <v>0.43137255836935606</v>
      </c>
      <c r="N317" s="11">
        <f t="shared" si="28"/>
        <v>7.6388890544573471E-2</v>
      </c>
      <c r="O317" s="18">
        <f t="shared" si="30"/>
        <v>1.4627844469368017</v>
      </c>
      <c r="U317" s="18"/>
      <c r="V317" s="18"/>
      <c r="W317" s="18"/>
      <c r="X317" s="18"/>
    </row>
    <row r="318" spans="1:24" ht="14.4">
      <c r="A318" s="8">
        <v>80401</v>
      </c>
      <c r="B318" s="8">
        <v>213</v>
      </c>
      <c r="C318" s="8">
        <v>83.888890773057938</v>
      </c>
      <c r="D318" s="8">
        <v>1170</v>
      </c>
      <c r="E318" s="11">
        <f t="shared" si="23"/>
        <v>0.18205128205128204</v>
      </c>
      <c r="F318" s="11">
        <f t="shared" si="24"/>
        <v>0.39384455761999032</v>
      </c>
      <c r="G318" s="11">
        <f t="shared" si="25"/>
        <v>7.1699906643639261E-2</v>
      </c>
      <c r="H318" s="8">
        <v>80401</v>
      </c>
      <c r="I318" s="8">
        <v>9</v>
      </c>
      <c r="J318" s="8">
        <v>3.11111119389534</v>
      </c>
      <c r="K318" s="8">
        <v>108</v>
      </c>
      <c r="L318" s="11">
        <f t="shared" si="26"/>
        <v>8.3333333333333329E-2</v>
      </c>
      <c r="M318" s="11">
        <f t="shared" si="27"/>
        <v>0.34567902154392666</v>
      </c>
      <c r="N318" s="11">
        <f t="shared" si="28"/>
        <v>2.8806585128660554E-2</v>
      </c>
      <c r="O318" s="18">
        <f t="shared" si="30"/>
        <v>0.40176600608190727</v>
      </c>
      <c r="U318" s="18"/>
      <c r="V318" s="18"/>
      <c r="W318" s="18"/>
      <c r="X318" s="18"/>
    </row>
    <row r="319" spans="1:24" ht="14.4">
      <c r="A319" s="8">
        <v>80402</v>
      </c>
      <c r="B319" s="8">
        <v>380</v>
      </c>
      <c r="C319" s="8">
        <v>143.11111479997635</v>
      </c>
      <c r="D319" s="8">
        <v>1684</v>
      </c>
      <c r="E319" s="11">
        <f t="shared" si="23"/>
        <v>0.22565320665083136</v>
      </c>
      <c r="F319" s="11">
        <f t="shared" si="24"/>
        <v>0.376608196842043</v>
      </c>
      <c r="G319" s="11">
        <f t="shared" si="25"/>
        <v>8.4982847268394501E-2</v>
      </c>
      <c r="H319" s="8">
        <v>80402</v>
      </c>
      <c r="I319" s="8">
        <v>28</v>
      </c>
      <c r="J319" s="8">
        <v>10.333333641290665</v>
      </c>
      <c r="K319" s="8">
        <v>150</v>
      </c>
      <c r="L319" s="11">
        <f t="shared" si="26"/>
        <v>0.18666666666666668</v>
      </c>
      <c r="M319" s="11">
        <f t="shared" si="27"/>
        <v>0.36904763004609514</v>
      </c>
      <c r="N319" s="11">
        <f t="shared" si="28"/>
        <v>6.8888890941937758E-2</v>
      </c>
      <c r="O319" s="18">
        <f t="shared" si="30"/>
        <v>0.8106211212760559</v>
      </c>
      <c r="U319" s="18"/>
      <c r="V319" s="18"/>
      <c r="W319" s="18"/>
      <c r="X319" s="18"/>
    </row>
    <row r="320" spans="1:24" ht="14.4">
      <c r="A320" s="8">
        <v>80501</v>
      </c>
      <c r="B320" s="8">
        <v>137</v>
      </c>
      <c r="C320" s="8">
        <v>53.666667968034744</v>
      </c>
      <c r="D320" s="8">
        <v>1354</v>
      </c>
      <c r="E320" s="11">
        <f t="shared" si="23"/>
        <v>0.10118168389955687</v>
      </c>
      <c r="F320" s="11">
        <f t="shared" si="24"/>
        <v>0.39172750341631202</v>
      </c>
      <c r="G320" s="11">
        <f t="shared" si="25"/>
        <v>3.9635648425431866E-2</v>
      </c>
      <c r="H320" s="8">
        <v>80501</v>
      </c>
      <c r="I320" s="8">
        <v>18</v>
      </c>
      <c r="J320" s="8">
        <v>6.8888890743255615</v>
      </c>
      <c r="K320" s="8">
        <v>123</v>
      </c>
      <c r="L320" s="11">
        <f t="shared" si="26"/>
        <v>0.14634146341463414</v>
      </c>
      <c r="M320" s="11">
        <f t="shared" si="27"/>
        <v>0.38271605968475342</v>
      </c>
      <c r="N320" s="11">
        <f t="shared" si="28"/>
        <v>5.600722824654928E-2</v>
      </c>
      <c r="O320" s="18">
        <f t="shared" si="30"/>
        <v>1.4130518982657221</v>
      </c>
      <c r="U320" s="18"/>
      <c r="V320" s="18"/>
      <c r="W320" s="18"/>
      <c r="X320" s="18"/>
    </row>
    <row r="321" spans="1:24" ht="14.4">
      <c r="A321" s="8">
        <v>80601</v>
      </c>
      <c r="B321" s="8">
        <v>35</v>
      </c>
      <c r="C321" s="8">
        <v>15.222222685813904</v>
      </c>
      <c r="D321" s="8">
        <v>385</v>
      </c>
      <c r="E321" s="11">
        <f t="shared" si="23"/>
        <v>9.0909090909090912E-2</v>
      </c>
      <c r="F321" s="11">
        <f t="shared" si="24"/>
        <v>0.43492064816611153</v>
      </c>
      <c r="G321" s="11">
        <f t="shared" si="25"/>
        <v>3.9538240742373776E-2</v>
      </c>
      <c r="H321" s="8">
        <v>80601</v>
      </c>
      <c r="I321" s="8">
        <v>3</v>
      </c>
      <c r="J321" s="8">
        <v>1.0000000298023224</v>
      </c>
      <c r="K321" s="8">
        <v>49</v>
      </c>
      <c r="L321" s="11">
        <f t="shared" si="26"/>
        <v>6.1224489795918366E-2</v>
      </c>
      <c r="M321" s="11">
        <f t="shared" si="27"/>
        <v>0.3333333432674408</v>
      </c>
      <c r="N321" s="11">
        <f t="shared" si="28"/>
        <v>2.0408163873516783E-2</v>
      </c>
      <c r="O321" s="18">
        <f t="shared" si="30"/>
        <v>0.51616266911049036</v>
      </c>
      <c r="U321" s="18"/>
      <c r="V321" s="18"/>
      <c r="W321" s="18"/>
      <c r="X321" s="18"/>
    </row>
    <row r="322" spans="1:24" ht="14.4">
      <c r="A322" s="8">
        <v>80602</v>
      </c>
      <c r="B322" s="8">
        <v>214</v>
      </c>
      <c r="C322" s="8">
        <v>77.333335280418396</v>
      </c>
      <c r="D322" s="8">
        <v>1547</v>
      </c>
      <c r="E322" s="11">
        <f t="shared" si="23"/>
        <v>0.13833225597931481</v>
      </c>
      <c r="F322" s="11">
        <f t="shared" si="24"/>
        <v>0.36137072560943173</v>
      </c>
      <c r="G322" s="11">
        <f t="shared" si="25"/>
        <v>4.9989227718434642E-2</v>
      </c>
      <c r="H322" s="8">
        <v>80602</v>
      </c>
      <c r="I322" s="8">
        <v>24</v>
      </c>
      <c r="J322" s="8">
        <v>8.8888891041278839</v>
      </c>
      <c r="K322" s="8">
        <v>144</v>
      </c>
      <c r="L322" s="11">
        <f t="shared" si="26"/>
        <v>0.16666666666666666</v>
      </c>
      <c r="M322" s="11">
        <f t="shared" si="27"/>
        <v>0.37037037933866185</v>
      </c>
      <c r="N322" s="11">
        <f t="shared" si="28"/>
        <v>6.1728396556443639E-2</v>
      </c>
      <c r="O322" s="18">
        <f t="shared" si="30"/>
        <v>1.2348339707132525</v>
      </c>
      <c r="U322" s="18"/>
      <c r="V322" s="18"/>
      <c r="W322" s="18"/>
      <c r="X322" s="18"/>
    </row>
    <row r="323" spans="1:24" ht="14.4">
      <c r="A323" s="8">
        <v>80701</v>
      </c>
      <c r="B323" s="8">
        <v>86</v>
      </c>
      <c r="C323" s="8">
        <v>34.1111119389534</v>
      </c>
      <c r="D323" s="8">
        <v>649</v>
      </c>
      <c r="E323" s="11">
        <f t="shared" si="23"/>
        <v>0.13251155624036981</v>
      </c>
      <c r="F323" s="11">
        <f t="shared" si="24"/>
        <v>0.39664083649945814</v>
      </c>
      <c r="G323" s="11">
        <f t="shared" si="25"/>
        <v>5.2559494513025273E-2</v>
      </c>
      <c r="H323" s="8">
        <v>80701</v>
      </c>
      <c r="I323" s="8">
        <v>2</v>
      </c>
      <c r="J323" s="8">
        <v>0.66666668653488159</v>
      </c>
      <c r="K323" s="8">
        <v>44</v>
      </c>
      <c r="L323" s="11">
        <f t="shared" si="26"/>
        <v>4.5454545454545456E-2</v>
      </c>
      <c r="M323" s="11">
        <f t="shared" si="27"/>
        <v>0.3333333432674408</v>
      </c>
      <c r="N323" s="11">
        <f t="shared" si="28"/>
        <v>1.5151515603065491E-2</v>
      </c>
      <c r="O323" s="18">
        <f t="shared" si="30"/>
        <v>0.28827361723029221</v>
      </c>
      <c r="U323" s="18"/>
      <c r="V323" s="18"/>
      <c r="W323" s="18"/>
      <c r="X323" s="18"/>
    </row>
    <row r="324" spans="1:24" ht="14.4">
      <c r="A324" s="8">
        <v>80702</v>
      </c>
      <c r="B324" s="8">
        <v>148</v>
      </c>
      <c r="C324" s="8">
        <v>56.111112475395203</v>
      </c>
      <c r="D324" s="8">
        <v>755</v>
      </c>
      <c r="E324" s="11">
        <f t="shared" si="23"/>
        <v>0.19602649006622516</v>
      </c>
      <c r="F324" s="11">
        <f t="shared" si="24"/>
        <v>0.37912913834726486</v>
      </c>
      <c r="G324" s="11">
        <f t="shared" si="25"/>
        <v>7.4319354272046625E-2</v>
      </c>
      <c r="H324" s="8">
        <v>80702</v>
      </c>
      <c r="I324" s="8">
        <v>5</v>
      </c>
      <c r="J324" s="8">
        <v>1.7777778208255768</v>
      </c>
      <c r="K324" s="8">
        <v>41</v>
      </c>
      <c r="L324" s="11">
        <f t="shared" si="26"/>
        <v>0.12195121951219512</v>
      </c>
      <c r="M324" s="11">
        <f t="shared" si="27"/>
        <v>0.35555556416511536</v>
      </c>
      <c r="N324" s="11">
        <f t="shared" si="28"/>
        <v>4.3360434654282361E-2</v>
      </c>
      <c r="O324" s="18">
        <f t="shared" si="30"/>
        <v>0.58343395309331025</v>
      </c>
      <c r="U324" s="18"/>
      <c r="V324" s="18"/>
      <c r="W324" s="18"/>
      <c r="X324" s="18"/>
    </row>
    <row r="325" spans="1:24" ht="14.4">
      <c r="A325" s="8">
        <v>80703</v>
      </c>
      <c r="B325" s="8">
        <v>26</v>
      </c>
      <c r="C325" s="8">
        <v>9.3333335518836975</v>
      </c>
      <c r="D325" s="8">
        <v>228</v>
      </c>
      <c r="E325" s="11">
        <f t="shared" si="23"/>
        <v>0.11403508771929824</v>
      </c>
      <c r="F325" s="11">
        <f t="shared" si="24"/>
        <v>0.35897436738014221</v>
      </c>
      <c r="G325" s="11">
        <f t="shared" si="25"/>
        <v>4.093567347317411E-2</v>
      </c>
      <c r="H325" s="8">
        <v>80703</v>
      </c>
      <c r="I325" s="8">
        <v>4</v>
      </c>
      <c r="J325" s="8">
        <v>2.2222223281860352</v>
      </c>
      <c r="K325" s="8">
        <v>13</v>
      </c>
      <c r="L325" s="11">
        <f t="shared" si="26"/>
        <v>0.30769230769230771</v>
      </c>
      <c r="M325" s="11">
        <f t="shared" si="27"/>
        <v>0.55555558204650879</v>
      </c>
      <c r="N325" s="11">
        <f t="shared" si="28"/>
        <v>0.17094017909123349</v>
      </c>
      <c r="O325" s="18">
        <f t="shared" si="30"/>
        <v>4.1758242771614276</v>
      </c>
      <c r="U325" s="18"/>
      <c r="V325" s="18"/>
      <c r="W325" s="18"/>
      <c r="X325" s="18"/>
    </row>
    <row r="326" spans="1:24" ht="14.4">
      <c r="A326" s="8">
        <v>80801</v>
      </c>
      <c r="B326" s="8">
        <v>80</v>
      </c>
      <c r="C326" s="8">
        <v>28.777778446674347</v>
      </c>
      <c r="D326" s="8">
        <v>607</v>
      </c>
      <c r="E326" s="11">
        <f t="shared" si="23"/>
        <v>0.13179571663920922</v>
      </c>
      <c r="F326" s="11">
        <f t="shared" si="24"/>
        <v>0.35972223058342934</v>
      </c>
      <c r="G326" s="11">
        <f t="shared" si="25"/>
        <v>4.7409849170797935E-2</v>
      </c>
      <c r="H326" s="8">
        <v>80801</v>
      </c>
      <c r="I326" s="8">
        <v>2</v>
      </c>
      <c r="J326" s="8">
        <v>0.66666668653488159</v>
      </c>
      <c r="K326" s="8">
        <v>52</v>
      </c>
      <c r="L326" s="11">
        <f t="shared" si="26"/>
        <v>3.8461538461538464E-2</v>
      </c>
      <c r="M326" s="11">
        <f t="shared" si="27"/>
        <v>0.3333333432674408</v>
      </c>
      <c r="N326" s="11">
        <f t="shared" si="28"/>
        <v>1.2820513202593878E-2</v>
      </c>
      <c r="O326" s="18">
        <f t="shared" si="30"/>
        <v>0.27041877219239635</v>
      </c>
      <c r="U326" s="18"/>
      <c r="V326" s="18"/>
      <c r="W326" s="18"/>
      <c r="X326" s="18"/>
    </row>
    <row r="327" spans="1:24" ht="14.4">
      <c r="A327" s="8">
        <v>80802</v>
      </c>
      <c r="B327" s="8">
        <v>219</v>
      </c>
      <c r="C327" s="8">
        <v>81.222224235534668</v>
      </c>
      <c r="D327" s="8">
        <v>853</v>
      </c>
      <c r="E327" s="11">
        <f t="shared" si="23"/>
        <v>0.25674091441969521</v>
      </c>
      <c r="F327" s="11">
        <f t="shared" si="24"/>
        <v>0.37087773623531811</v>
      </c>
      <c r="G327" s="11">
        <f t="shared" si="25"/>
        <v>9.5219489138962096E-2</v>
      </c>
      <c r="H327" s="8">
        <v>80802</v>
      </c>
      <c r="I327" s="8">
        <v>14</v>
      </c>
      <c r="J327" s="8">
        <v>5.0000001192092896</v>
      </c>
      <c r="K327" s="8">
        <v>77</v>
      </c>
      <c r="L327" s="11">
        <f t="shared" si="26"/>
        <v>0.18181818181818182</v>
      </c>
      <c r="M327" s="11">
        <f t="shared" si="27"/>
        <v>0.3571428656578064</v>
      </c>
      <c r="N327" s="11">
        <f t="shared" si="28"/>
        <v>6.4935066483237533E-2</v>
      </c>
      <c r="O327" s="18">
        <f t="shared" si="30"/>
        <v>0.68195142686044175</v>
      </c>
      <c r="U327" s="18"/>
      <c r="V327" s="18"/>
      <c r="W327" s="18"/>
      <c r="X327" s="18"/>
    </row>
    <row r="328" spans="1:24" ht="14.4">
      <c r="A328" s="8">
        <v>80803</v>
      </c>
      <c r="B328" s="8">
        <v>53</v>
      </c>
      <c r="C328" s="8">
        <v>19.111111611127853</v>
      </c>
      <c r="D328" s="8">
        <v>314</v>
      </c>
      <c r="E328" s="11">
        <f t="shared" si="23"/>
        <v>0.16878980891719744</v>
      </c>
      <c r="F328" s="11">
        <f t="shared" si="24"/>
        <v>0.36058701153071421</v>
      </c>
      <c r="G328" s="11">
        <f t="shared" si="25"/>
        <v>6.0863412774292525E-2</v>
      </c>
      <c r="H328" s="8">
        <v>80803</v>
      </c>
      <c r="I328" s="8">
        <v>6</v>
      </c>
      <c r="J328" s="8">
        <v>2.2222222685813904</v>
      </c>
      <c r="K328" s="8">
        <v>47</v>
      </c>
      <c r="L328" s="11">
        <f t="shared" si="26"/>
        <v>0.1276595744680851</v>
      </c>
      <c r="M328" s="11">
        <f t="shared" si="27"/>
        <v>0.37037037809689838</v>
      </c>
      <c r="N328" s="11">
        <f t="shared" si="28"/>
        <v>4.7281324863433831E-2</v>
      </c>
      <c r="O328" s="18">
        <f t="shared" si="30"/>
        <v>0.77684314283809774</v>
      </c>
      <c r="U328" s="18"/>
      <c r="V328" s="18"/>
      <c r="W328" s="18"/>
      <c r="X328" s="18"/>
    </row>
    <row r="329" spans="1:24" ht="14.4">
      <c r="A329" s="8">
        <v>80901</v>
      </c>
      <c r="B329" s="8">
        <v>48</v>
      </c>
      <c r="C329" s="8">
        <v>23.666667312383652</v>
      </c>
      <c r="D329" s="8">
        <v>216</v>
      </c>
      <c r="E329" s="11">
        <f t="shared" si="23"/>
        <v>0.22222222222222221</v>
      </c>
      <c r="F329" s="11">
        <f t="shared" si="24"/>
        <v>0.49305556900799274</v>
      </c>
      <c r="G329" s="11">
        <f t="shared" si="25"/>
        <v>0.10956790422399838</v>
      </c>
      <c r="H329" s="8">
        <v>80901</v>
      </c>
      <c r="I329" s="8">
        <v>25</v>
      </c>
      <c r="J329" s="8">
        <v>9.6666668951511383</v>
      </c>
      <c r="K329" s="8">
        <v>162</v>
      </c>
      <c r="L329" s="11">
        <f t="shared" si="26"/>
        <v>0.15432098765432098</v>
      </c>
      <c r="M329" s="11">
        <f t="shared" si="27"/>
        <v>0.38666667580604552</v>
      </c>
      <c r="N329" s="11">
        <f t="shared" si="28"/>
        <v>5.9670783303402086E-2</v>
      </c>
      <c r="O329" s="18">
        <f t="shared" si="30"/>
        <v>0.54460093698070888</v>
      </c>
      <c r="U329" s="18"/>
      <c r="V329" s="18"/>
      <c r="W329" s="18"/>
      <c r="X329" s="18"/>
    </row>
    <row r="330" spans="1:24" ht="14.4">
      <c r="A330" s="8">
        <v>90101</v>
      </c>
      <c r="B330" s="8">
        <v>176</v>
      </c>
      <c r="C330" s="8">
        <v>63.33333495259285</v>
      </c>
      <c r="D330" s="8">
        <v>3445</v>
      </c>
      <c r="E330" s="11">
        <f t="shared" si="23"/>
        <v>5.108853410740203E-2</v>
      </c>
      <c r="F330" s="11">
        <f t="shared" si="24"/>
        <v>0.35984849404882302</v>
      </c>
      <c r="G330" s="11">
        <f t="shared" si="25"/>
        <v>1.8384132061710551E-2</v>
      </c>
      <c r="H330" s="8">
        <v>90101</v>
      </c>
      <c r="I330" s="8">
        <v>27</v>
      </c>
      <c r="J330" s="8">
        <v>9.3333336114883423</v>
      </c>
      <c r="K330" s="8">
        <v>236</v>
      </c>
      <c r="L330" s="11">
        <f t="shared" si="26"/>
        <v>0.11440677966101695</v>
      </c>
      <c r="M330" s="11">
        <f t="shared" si="27"/>
        <v>0.34567902264771638</v>
      </c>
      <c r="N330" s="11">
        <f t="shared" si="28"/>
        <v>3.9548023777492974E-2</v>
      </c>
      <c r="O330" s="18">
        <f t="shared" si="30"/>
        <v>2.1512042910016622</v>
      </c>
      <c r="U330" s="18"/>
      <c r="V330" s="18"/>
      <c r="W330" s="18"/>
      <c r="X330" s="18"/>
    </row>
    <row r="331" spans="1:24" ht="14.4">
      <c r="A331" s="8">
        <v>90102</v>
      </c>
      <c r="B331" s="8">
        <v>70</v>
      </c>
      <c r="C331" s="8">
        <v>26.888889521360397</v>
      </c>
      <c r="D331" s="8">
        <v>710</v>
      </c>
      <c r="E331" s="11">
        <f t="shared" si="23"/>
        <v>9.8591549295774641E-2</v>
      </c>
      <c r="F331" s="11">
        <f t="shared" si="24"/>
        <v>0.38412699316229137</v>
      </c>
      <c r="G331" s="11">
        <f t="shared" si="25"/>
        <v>3.7871675382197739E-2</v>
      </c>
      <c r="H331" s="8">
        <v>90102</v>
      </c>
      <c r="I331" s="8">
        <v>7</v>
      </c>
      <c r="J331" s="8">
        <v>2.5555556118488312</v>
      </c>
      <c r="K331" s="8">
        <v>55</v>
      </c>
      <c r="L331" s="11">
        <f t="shared" si="26"/>
        <v>0.12727272727272726</v>
      </c>
      <c r="M331" s="11">
        <f t="shared" si="27"/>
        <v>0.3650793731212616</v>
      </c>
      <c r="N331" s="11">
        <f t="shared" si="28"/>
        <v>4.6464647488160565E-2</v>
      </c>
      <c r="O331" s="18">
        <f t="shared" si="30"/>
        <v>1.2268970680394591</v>
      </c>
      <c r="U331" s="18"/>
      <c r="V331" s="18"/>
      <c r="W331" s="18"/>
      <c r="X331" s="18"/>
    </row>
    <row r="332" spans="1:24" ht="14.4">
      <c r="A332" s="8">
        <v>90103</v>
      </c>
      <c r="B332" s="8">
        <v>45</v>
      </c>
      <c r="C332" s="8">
        <v>16.555555939674377</v>
      </c>
      <c r="D332" s="8">
        <v>316</v>
      </c>
      <c r="E332" s="11">
        <f t="shared" si="23"/>
        <v>0.14240506329113925</v>
      </c>
      <c r="F332" s="11">
        <f t="shared" si="24"/>
        <v>0.36790124310387506</v>
      </c>
      <c r="G332" s="11">
        <f t="shared" si="25"/>
        <v>5.2390999809096138E-2</v>
      </c>
      <c r="H332" s="8">
        <v>90103</v>
      </c>
      <c r="I332" s="8">
        <v>21</v>
      </c>
      <c r="J332" s="8">
        <v>7.4444446265697479</v>
      </c>
      <c r="K332" s="8">
        <v>67</v>
      </c>
      <c r="L332" s="11">
        <f t="shared" si="26"/>
        <v>0.31343283582089554</v>
      </c>
      <c r="M332" s="11">
        <f t="shared" si="27"/>
        <v>0.35449736316998798</v>
      </c>
      <c r="N332" s="11">
        <f t="shared" si="28"/>
        <v>0.11111111382939923</v>
      </c>
      <c r="O332" s="18">
        <f t="shared" si="30"/>
        <v>2.1208053718056377</v>
      </c>
      <c r="U332" s="18"/>
      <c r="V332" s="18"/>
      <c r="W332" s="18"/>
      <c r="X332" s="18"/>
    </row>
    <row r="333" spans="1:24" ht="14.4">
      <c r="A333" s="8">
        <v>90104</v>
      </c>
      <c r="B333" s="8">
        <v>65</v>
      </c>
      <c r="C333" s="8">
        <v>24.444444984197617</v>
      </c>
      <c r="D333" s="8">
        <v>494</v>
      </c>
      <c r="E333" s="11">
        <f t="shared" si="23"/>
        <v>0.13157894736842105</v>
      </c>
      <c r="F333" s="11">
        <f t="shared" si="24"/>
        <v>0.37606838437227103</v>
      </c>
      <c r="G333" s="11">
        <f t="shared" si="25"/>
        <v>4.9482682154246185E-2</v>
      </c>
      <c r="H333" s="8">
        <v>90104</v>
      </c>
      <c r="I333" s="8">
        <v>14</v>
      </c>
      <c r="J333" s="8">
        <v>5.4444445371627808</v>
      </c>
      <c r="K333" s="8">
        <v>73</v>
      </c>
      <c r="L333" s="11">
        <f t="shared" si="26"/>
        <v>0.19178082191780821</v>
      </c>
      <c r="M333" s="11">
        <f t="shared" si="27"/>
        <v>0.3888888955116272</v>
      </c>
      <c r="N333" s="11">
        <f t="shared" si="28"/>
        <v>7.4581432015928498E-2</v>
      </c>
      <c r="O333" s="18">
        <f t="shared" si="30"/>
        <v>1.5072229064593774</v>
      </c>
      <c r="U333" s="18"/>
      <c r="V333" s="18"/>
      <c r="W333" s="18"/>
      <c r="X333" s="18"/>
    </row>
    <row r="334" spans="1:24" ht="14.4">
      <c r="A334" s="8">
        <v>90201</v>
      </c>
      <c r="B334" s="8">
        <v>99</v>
      </c>
      <c r="C334" s="8">
        <v>35.333334237337112</v>
      </c>
      <c r="D334" s="8">
        <v>815</v>
      </c>
      <c r="E334" s="11">
        <f t="shared" si="23"/>
        <v>0.12147239263803682</v>
      </c>
      <c r="F334" s="11">
        <f t="shared" si="24"/>
        <v>0.35690236603370823</v>
      </c>
      <c r="G334" s="11">
        <f t="shared" si="25"/>
        <v>4.3353784340290941E-2</v>
      </c>
      <c r="H334" s="8">
        <v>90201</v>
      </c>
      <c r="I334" s="8">
        <v>52</v>
      </c>
      <c r="J334" s="8">
        <v>18.222222685813904</v>
      </c>
      <c r="K334" s="8">
        <v>269</v>
      </c>
      <c r="L334" s="11">
        <f t="shared" si="26"/>
        <v>0.19330855018587362</v>
      </c>
      <c r="M334" s="11">
        <f t="shared" si="27"/>
        <v>0.35042735934257507</v>
      </c>
      <c r="N334" s="11">
        <f t="shared" si="28"/>
        <v>6.7740604779977343E-2</v>
      </c>
      <c r="O334" s="18">
        <f t="shared" si="30"/>
        <v>1.5625073061274251</v>
      </c>
      <c r="U334" s="18"/>
      <c r="V334" s="18"/>
      <c r="W334" s="18"/>
      <c r="X334" s="18"/>
    </row>
    <row r="335" spans="1:24" ht="14.4">
      <c r="A335" s="8">
        <v>90202</v>
      </c>
      <c r="B335" s="8">
        <v>86</v>
      </c>
      <c r="C335" s="8">
        <v>33.888889640569687</v>
      </c>
      <c r="D335" s="8">
        <v>258</v>
      </c>
      <c r="E335" s="11">
        <f t="shared" si="23"/>
        <v>0.33333333333333331</v>
      </c>
      <c r="F335" s="11">
        <f t="shared" si="24"/>
        <v>0.39405685628569403</v>
      </c>
      <c r="G335" s="11">
        <f t="shared" si="25"/>
        <v>0.13135228542856467</v>
      </c>
      <c r="H335" s="8">
        <v>90202</v>
      </c>
      <c r="I335" s="8">
        <v>9</v>
      </c>
      <c r="J335" s="8">
        <v>4.1111111640930176</v>
      </c>
      <c r="K335" s="8">
        <v>23</v>
      </c>
      <c r="L335" s="11">
        <f t="shared" si="26"/>
        <v>0.39130434782608697</v>
      </c>
      <c r="M335" s="11">
        <f t="shared" si="27"/>
        <v>0.45679012934366864</v>
      </c>
      <c r="N335" s="11">
        <f t="shared" si="28"/>
        <v>0.17874396365621817</v>
      </c>
      <c r="O335" s="18">
        <f t="shared" si="30"/>
        <v>1.3607982767336564</v>
      </c>
      <c r="U335" s="18"/>
      <c r="V335" s="18"/>
      <c r="W335" s="18"/>
      <c r="X335" s="18"/>
    </row>
    <row r="336" spans="1:24" ht="14.4">
      <c r="A336" s="8">
        <v>90203</v>
      </c>
      <c r="B336" s="8">
        <v>175</v>
      </c>
      <c r="C336" s="8">
        <v>64.555557161569595</v>
      </c>
      <c r="D336" s="8">
        <v>1056</v>
      </c>
      <c r="E336" s="11">
        <f t="shared" si="23"/>
        <v>0.16571969696969696</v>
      </c>
      <c r="F336" s="11">
        <f t="shared" si="24"/>
        <v>0.36888889806611197</v>
      </c>
      <c r="G336" s="11">
        <f t="shared" si="25"/>
        <v>6.1132156403001507E-2</v>
      </c>
      <c r="H336" s="8">
        <v>90203</v>
      </c>
      <c r="I336" s="8">
        <v>5</v>
      </c>
      <c r="J336" s="8">
        <v>2.0000000298023224</v>
      </c>
      <c r="K336" s="8">
        <v>132</v>
      </c>
      <c r="L336" s="11">
        <f t="shared" si="26"/>
        <v>3.787878787878788E-2</v>
      </c>
      <c r="M336" s="11">
        <f t="shared" si="27"/>
        <v>0.40000000596046448</v>
      </c>
      <c r="N336" s="11">
        <f t="shared" si="28"/>
        <v>1.5151515377290321E-2</v>
      </c>
      <c r="O336" s="18">
        <f t="shared" si="30"/>
        <v>0.24784853453241512</v>
      </c>
      <c r="U336" s="18"/>
      <c r="V336" s="18"/>
      <c r="W336" s="18"/>
      <c r="X336" s="18"/>
    </row>
    <row r="337" spans="1:24" ht="14.4">
      <c r="A337" s="8">
        <v>90301</v>
      </c>
      <c r="B337" s="8">
        <v>171</v>
      </c>
      <c r="C337" s="8">
        <v>61.000001668930054</v>
      </c>
      <c r="D337" s="8">
        <v>678</v>
      </c>
      <c r="E337" s="11">
        <f t="shared" si="23"/>
        <v>0.25221238938053098</v>
      </c>
      <c r="F337" s="11">
        <f t="shared" si="24"/>
        <v>0.35672515595865528</v>
      </c>
      <c r="G337" s="11">
        <f t="shared" si="25"/>
        <v>8.9970503936475002E-2</v>
      </c>
      <c r="H337" s="8">
        <v>90301</v>
      </c>
      <c r="I337" s="8">
        <v>49</v>
      </c>
      <c r="J337" s="8">
        <v>17.444444864988327</v>
      </c>
      <c r="K337" s="8">
        <v>120</v>
      </c>
      <c r="L337" s="11">
        <f t="shared" si="26"/>
        <v>0.40833333333333333</v>
      </c>
      <c r="M337" s="11">
        <f t="shared" si="27"/>
        <v>0.35600907887731281</v>
      </c>
      <c r="N337" s="11">
        <f t="shared" si="28"/>
        <v>0.14537037387490273</v>
      </c>
      <c r="O337" s="18">
        <f t="shared" si="30"/>
        <v>1.6157559146000073</v>
      </c>
      <c r="U337" s="18"/>
      <c r="V337" s="18"/>
      <c r="W337" s="18"/>
      <c r="X337" s="18"/>
    </row>
    <row r="338" spans="1:24" ht="14.4">
      <c r="A338" s="8">
        <v>90302</v>
      </c>
      <c r="B338" s="8">
        <v>182</v>
      </c>
      <c r="C338" s="8">
        <v>71.111112833023071</v>
      </c>
      <c r="D338" s="8">
        <v>978</v>
      </c>
      <c r="E338" s="11">
        <f t="shared" si="23"/>
        <v>0.18609406952965235</v>
      </c>
      <c r="F338" s="11">
        <f t="shared" si="24"/>
        <v>0.39072040018144544</v>
      </c>
      <c r="G338" s="11">
        <f t="shared" si="25"/>
        <v>7.2710749318019505E-2</v>
      </c>
      <c r="H338" s="8">
        <v>90302</v>
      </c>
      <c r="I338" s="8">
        <v>21</v>
      </c>
      <c r="J338" s="8">
        <v>8.0000002384185791</v>
      </c>
      <c r="K338" s="8">
        <v>116</v>
      </c>
      <c r="L338" s="11">
        <f t="shared" si="26"/>
        <v>0.18103448275862069</v>
      </c>
      <c r="M338" s="11">
        <f t="shared" si="27"/>
        <v>0.38095239230564665</v>
      </c>
      <c r="N338" s="11">
        <f t="shared" si="28"/>
        <v>6.8965519296711894E-2</v>
      </c>
      <c r="O338" s="18">
        <f t="shared" si="30"/>
        <v>0.94849138461045335</v>
      </c>
      <c r="U338" s="18"/>
      <c r="V338" s="18"/>
      <c r="W338" s="18"/>
      <c r="X338" s="18"/>
    </row>
    <row r="339" spans="1:24" ht="14.4">
      <c r="A339" s="8">
        <v>90303</v>
      </c>
      <c r="B339" s="8">
        <v>413</v>
      </c>
      <c r="C339" s="8">
        <v>158.77778187394142</v>
      </c>
      <c r="D339" s="8">
        <v>1559</v>
      </c>
      <c r="E339" s="11">
        <f t="shared" si="23"/>
        <v>0.26491340602950608</v>
      </c>
      <c r="F339" s="11">
        <f t="shared" si="24"/>
        <v>0.384449835045863</v>
      </c>
      <c r="G339" s="11">
        <f t="shared" si="25"/>
        <v>0.10184591524948135</v>
      </c>
      <c r="H339" s="8">
        <v>90303</v>
      </c>
      <c r="I339" s="8">
        <v>43</v>
      </c>
      <c r="J339" s="8">
        <v>17.666667103767395</v>
      </c>
      <c r="K339" s="8">
        <v>178</v>
      </c>
      <c r="L339" s="11">
        <f t="shared" si="26"/>
        <v>0.24157303370786518</v>
      </c>
      <c r="M339" s="11">
        <f t="shared" si="27"/>
        <v>0.41085272334342782</v>
      </c>
      <c r="N339" s="11">
        <f t="shared" si="28"/>
        <v>9.9250938785210088E-2</v>
      </c>
      <c r="O339" s="18">
        <f t="shared" si="30"/>
        <v>0.97452056414914023</v>
      </c>
      <c r="U339" s="18"/>
      <c r="V339" s="18"/>
      <c r="W339" s="18"/>
      <c r="X339" s="18"/>
    </row>
    <row r="340" spans="1:24" ht="14.4">
      <c r="A340" s="8">
        <v>90401</v>
      </c>
      <c r="B340" s="8">
        <v>50</v>
      </c>
      <c r="C340" s="8">
        <v>19.666667103767395</v>
      </c>
      <c r="D340" s="8">
        <v>385</v>
      </c>
      <c r="E340" s="11">
        <f t="shared" si="23"/>
        <v>0.12987012987012986</v>
      </c>
      <c r="F340" s="11">
        <f t="shared" si="24"/>
        <v>0.39333334207534792</v>
      </c>
      <c r="G340" s="11">
        <f t="shared" si="25"/>
        <v>5.1082252217577645E-2</v>
      </c>
      <c r="H340" s="8">
        <v>90401</v>
      </c>
      <c r="I340" s="8">
        <v>8</v>
      </c>
      <c r="J340" s="8">
        <v>3.3333333730697632</v>
      </c>
      <c r="K340" s="8">
        <v>38</v>
      </c>
      <c r="L340" s="11">
        <f t="shared" si="26"/>
        <v>0.21052631578947367</v>
      </c>
      <c r="M340" s="11">
        <f t="shared" si="27"/>
        <v>0.4166666716337204</v>
      </c>
      <c r="N340" s="11">
        <f t="shared" si="28"/>
        <v>8.7719299291309547E-2</v>
      </c>
      <c r="O340" s="18">
        <f t="shared" si="30"/>
        <v>1.7172167530452958</v>
      </c>
      <c r="U340" s="18"/>
      <c r="V340" s="18"/>
      <c r="W340" s="18"/>
      <c r="X340" s="18"/>
    </row>
    <row r="341" spans="1:24" ht="14.4">
      <c r="A341" s="8">
        <v>90402</v>
      </c>
      <c r="B341" s="8">
        <v>118</v>
      </c>
      <c r="C341" s="8">
        <v>44.555556446313858</v>
      </c>
      <c r="D341" s="8">
        <v>432</v>
      </c>
      <c r="E341" s="11">
        <f t="shared" si="23"/>
        <v>0.27314814814814814</v>
      </c>
      <c r="F341" s="11">
        <f t="shared" si="24"/>
        <v>0.3775894614094395</v>
      </c>
      <c r="G341" s="11">
        <f t="shared" si="25"/>
        <v>0.10313786214424504</v>
      </c>
      <c r="H341" s="8">
        <v>90402</v>
      </c>
      <c r="I341" s="8">
        <v>54</v>
      </c>
      <c r="J341" s="8">
        <v>19.888889312744141</v>
      </c>
      <c r="K341" s="8">
        <v>124</v>
      </c>
      <c r="L341" s="11">
        <f t="shared" si="26"/>
        <v>0.43548387096774194</v>
      </c>
      <c r="M341" s="11">
        <f t="shared" si="27"/>
        <v>0.36831276505081739</v>
      </c>
      <c r="N341" s="11">
        <f t="shared" si="28"/>
        <v>0.16039426865116241</v>
      </c>
      <c r="O341" s="18">
        <f t="shared" si="30"/>
        <v>1.5551443991231904</v>
      </c>
      <c r="U341" s="18"/>
      <c r="V341" s="18"/>
      <c r="W341" s="18"/>
      <c r="X341" s="18"/>
    </row>
    <row r="342" spans="1:24" ht="14.4">
      <c r="A342" s="8">
        <v>90501</v>
      </c>
      <c r="B342" s="8">
        <v>61</v>
      </c>
      <c r="C342" s="8">
        <v>23.555556178092957</v>
      </c>
      <c r="D342" s="8">
        <v>243</v>
      </c>
      <c r="E342" s="11">
        <f t="shared" si="23"/>
        <v>0.25102880658436216</v>
      </c>
      <c r="F342" s="11">
        <f t="shared" si="24"/>
        <v>0.38615665865726156</v>
      </c>
      <c r="G342" s="11">
        <f t="shared" si="25"/>
        <v>9.693644517733728E-2</v>
      </c>
      <c r="H342" s="8">
        <v>90501</v>
      </c>
      <c r="I342" s="8">
        <v>3</v>
      </c>
      <c r="J342" s="8">
        <v>1.0000000298023224</v>
      </c>
      <c r="K342" s="8">
        <v>11</v>
      </c>
      <c r="L342" s="11">
        <f t="shared" si="26"/>
        <v>0.27272727272727271</v>
      </c>
      <c r="M342" s="11">
        <f t="shared" si="27"/>
        <v>0.3333333432674408</v>
      </c>
      <c r="N342" s="11">
        <f t="shared" si="28"/>
        <v>9.0909093618392944E-2</v>
      </c>
      <c r="O342" s="18">
        <f t="shared" si="30"/>
        <v>0.93782161551398147</v>
      </c>
      <c r="U342" s="18"/>
      <c r="V342" s="18"/>
      <c r="W342" s="18"/>
      <c r="X342" s="18"/>
    </row>
    <row r="343" spans="1:24" ht="14.4">
      <c r="A343" s="8">
        <v>90502</v>
      </c>
      <c r="B343" s="8">
        <v>51</v>
      </c>
      <c r="C343" s="8">
        <v>18.444444894790649</v>
      </c>
      <c r="D343" s="8">
        <v>467</v>
      </c>
      <c r="E343" s="11">
        <f t="shared" si="23"/>
        <v>0.10920770877944326</v>
      </c>
      <c r="F343" s="11">
        <f t="shared" si="24"/>
        <v>0.36165578225079703</v>
      </c>
      <c r="G343" s="11">
        <f t="shared" si="25"/>
        <v>3.9495599346446787E-2</v>
      </c>
      <c r="H343" s="8">
        <v>90502</v>
      </c>
      <c r="I343" s="8">
        <v>19</v>
      </c>
      <c r="J343" s="8">
        <v>6.3333335220813751</v>
      </c>
      <c r="K343" s="8">
        <v>137</v>
      </c>
      <c r="L343" s="11">
        <f t="shared" si="26"/>
        <v>0.13868613138686131</v>
      </c>
      <c r="M343" s="11">
        <f t="shared" si="27"/>
        <v>0.3333333432674408</v>
      </c>
      <c r="N343" s="11">
        <f t="shared" si="28"/>
        <v>4.6228711840010039E-2</v>
      </c>
      <c r="O343" s="18">
        <f t="shared" si="30"/>
        <v>1.1704775368643443</v>
      </c>
      <c r="U343" s="18"/>
      <c r="V343" s="18"/>
      <c r="W343" s="18"/>
      <c r="X343" s="18"/>
    </row>
    <row r="344" spans="1:24" ht="14.4">
      <c r="A344" s="8">
        <v>90503</v>
      </c>
      <c r="B344" s="8">
        <v>80</v>
      </c>
      <c r="C344" s="8">
        <v>30.000000655651093</v>
      </c>
      <c r="D344" s="8">
        <v>311</v>
      </c>
      <c r="E344" s="11">
        <f t="shared" si="23"/>
        <v>0.25723472668810288</v>
      </c>
      <c r="F344" s="11">
        <f t="shared" si="24"/>
        <v>0.37500000819563867</v>
      </c>
      <c r="G344" s="11">
        <f t="shared" si="25"/>
        <v>9.6463024616241455E-2</v>
      </c>
      <c r="H344" s="8">
        <v>90503</v>
      </c>
      <c r="I344" s="8">
        <v>10</v>
      </c>
      <c r="J344" s="8">
        <v>3.333333432674408</v>
      </c>
      <c r="K344" s="8">
        <v>50</v>
      </c>
      <c r="L344" s="11">
        <f t="shared" si="26"/>
        <v>0.2</v>
      </c>
      <c r="M344" s="11">
        <f t="shared" si="27"/>
        <v>0.3333333432674408</v>
      </c>
      <c r="N344" s="11">
        <f t="shared" si="28"/>
        <v>6.6666668653488165E-2</v>
      </c>
      <c r="O344" s="18">
        <f t="shared" si="30"/>
        <v>0.69111111660356872</v>
      </c>
      <c r="U344" s="18"/>
      <c r="V344" s="18"/>
      <c r="W344" s="18"/>
      <c r="X344" s="18"/>
    </row>
    <row r="345" spans="1:24" ht="13.2">
      <c r="A345" s="20">
        <v>10</v>
      </c>
      <c r="B345" s="21">
        <f t="shared" ref="B345:D345" si="31">SUM(B246:B248)</f>
        <v>281</v>
      </c>
      <c r="C345" s="21">
        <f t="shared" si="31"/>
        <v>100.00000259280205</v>
      </c>
      <c r="D345" s="21">
        <f t="shared" si="31"/>
        <v>7393</v>
      </c>
      <c r="E345" s="11">
        <f t="shared" si="23"/>
        <v>3.8008927363722439E-2</v>
      </c>
      <c r="F345" s="11">
        <f t="shared" si="24"/>
        <v>0.35587189534804997</v>
      </c>
      <c r="G345" s="11">
        <f t="shared" si="25"/>
        <v>1.3526309021074264E-2</v>
      </c>
      <c r="I345" s="21">
        <f t="shared" ref="I345:K345" si="32">SUM(I246:I248)</f>
        <v>39</v>
      </c>
      <c r="J345" s="21">
        <f t="shared" si="32"/>
        <v>13.666667073965073</v>
      </c>
      <c r="K345" s="21">
        <f t="shared" si="32"/>
        <v>717</v>
      </c>
      <c r="L345" s="11">
        <f t="shared" si="26"/>
        <v>5.4393305439330547E-2</v>
      </c>
      <c r="M345" s="11">
        <f t="shared" si="27"/>
        <v>0.35042736087089932</v>
      </c>
      <c r="N345" s="11">
        <f t="shared" si="28"/>
        <v>1.9060902474149335E-2</v>
      </c>
      <c r="O345" s="18">
        <f t="shared" si="30"/>
        <v>1.4091724833768076</v>
      </c>
      <c r="U345" s="18"/>
      <c r="V345" s="18"/>
      <c r="W345" s="18"/>
      <c r="X345" s="18"/>
    </row>
    <row r="346" spans="1:24" ht="13.2">
      <c r="A346" s="20">
        <v>11</v>
      </c>
      <c r="B346" s="21">
        <f t="shared" ref="B346:D346" si="33">SUM(B2:B344)</f>
        <v>54919</v>
      </c>
      <c r="C346" s="21">
        <f t="shared" si="33"/>
        <v>20284.556066721678</v>
      </c>
      <c r="D346" s="21">
        <f t="shared" si="33"/>
        <v>609949</v>
      </c>
      <c r="E346" s="11">
        <f t="shared" si="23"/>
        <v>9.0038675364661633E-2</v>
      </c>
      <c r="F346" s="11">
        <f t="shared" si="24"/>
        <v>0.36935406811343391</v>
      </c>
      <c r="G346" s="11">
        <f t="shared" si="25"/>
        <v>3.3256151033482596E-2</v>
      </c>
      <c r="I346" s="21">
        <f t="shared" ref="I346:K346" si="34">SUM(I2:I344)</f>
        <v>15121</v>
      </c>
      <c r="J346" s="21">
        <f t="shared" si="34"/>
        <v>5548.7779155671597</v>
      </c>
      <c r="K346" s="21">
        <f t="shared" si="34"/>
        <v>98135</v>
      </c>
      <c r="L346" s="11">
        <f t="shared" si="26"/>
        <v>0.15408366026392215</v>
      </c>
      <c r="M346" s="11">
        <f t="shared" si="27"/>
        <v>0.36695839663826202</v>
      </c>
      <c r="N346" s="11">
        <f t="shared" si="28"/>
        <v>5.6542292918603555E-2</v>
      </c>
      <c r="O346" s="18">
        <f t="shared" si="30"/>
        <v>1.7002055608202</v>
      </c>
      <c r="U346" s="18"/>
      <c r="V346" s="18"/>
      <c r="W346" s="18"/>
      <c r="X346" s="18"/>
    </row>
    <row r="347" spans="1:24" ht="13.2">
      <c r="E347" s="11"/>
      <c r="F347" s="11"/>
      <c r="G347" s="11"/>
      <c r="L347" s="11"/>
      <c r="M347" s="11"/>
      <c r="N347" s="11"/>
      <c r="O347" s="18"/>
      <c r="U347" s="18"/>
      <c r="V347" s="18"/>
      <c r="W347" s="18"/>
      <c r="X347" s="18"/>
    </row>
    <row r="348" spans="1:24" ht="13.2">
      <c r="E348" s="11"/>
      <c r="F348" s="11"/>
      <c r="G348" s="11"/>
      <c r="L348" s="11"/>
      <c r="M348" s="11"/>
      <c r="N348" s="11"/>
      <c r="O348" s="18"/>
      <c r="U348" s="18"/>
      <c r="V348" s="18"/>
      <c r="W348" s="18"/>
      <c r="X348" s="18"/>
    </row>
    <row r="349" spans="1:24" ht="13.2">
      <c r="E349" s="11"/>
      <c r="F349" s="11"/>
      <c r="G349" s="11"/>
      <c r="L349" s="11"/>
      <c r="M349" s="11"/>
      <c r="N349" s="11"/>
      <c r="O349" s="18"/>
      <c r="U349" s="18"/>
      <c r="V349" s="18"/>
      <c r="W349" s="18"/>
      <c r="X349" s="18"/>
    </row>
    <row r="350" spans="1:24" ht="13.2">
      <c r="E350" s="11"/>
      <c r="F350" s="11"/>
      <c r="G350" s="11"/>
      <c r="L350" s="11"/>
      <c r="M350" s="11"/>
      <c r="N350" s="11"/>
      <c r="O350" s="18"/>
      <c r="U350" s="18"/>
      <c r="V350" s="18"/>
      <c r="W350" s="18"/>
      <c r="X350" s="18"/>
    </row>
    <row r="351" spans="1:24" ht="13.2">
      <c r="E351" s="11"/>
      <c r="F351" s="11"/>
      <c r="G351" s="11"/>
      <c r="L351" s="11"/>
      <c r="M351" s="11"/>
      <c r="N351" s="11"/>
      <c r="O351" s="18"/>
      <c r="U351" s="18"/>
      <c r="V351" s="18"/>
      <c r="W351" s="18"/>
      <c r="X351" s="18"/>
    </row>
    <row r="352" spans="1:24" ht="13.2">
      <c r="E352" s="11"/>
      <c r="F352" s="11"/>
      <c r="G352" s="11"/>
      <c r="L352" s="11"/>
      <c r="M352" s="11"/>
      <c r="N352" s="11"/>
      <c r="O352" s="18"/>
      <c r="U352" s="18"/>
      <c r="V352" s="18"/>
      <c r="W352" s="18"/>
      <c r="X352" s="18"/>
    </row>
    <row r="353" spans="5:24" ht="13.2">
      <c r="E353" s="11"/>
      <c r="F353" s="11"/>
      <c r="G353" s="11"/>
      <c r="L353" s="11"/>
      <c r="M353" s="11"/>
      <c r="N353" s="11"/>
      <c r="O353" s="18"/>
      <c r="U353" s="18"/>
      <c r="V353" s="18"/>
      <c r="W353" s="18"/>
      <c r="X353" s="18"/>
    </row>
    <row r="354" spans="5:24" ht="13.2">
      <c r="E354" s="11"/>
      <c r="F354" s="11"/>
      <c r="G354" s="11"/>
      <c r="L354" s="11"/>
      <c r="M354" s="11"/>
      <c r="N354" s="11"/>
      <c r="O354" s="18"/>
      <c r="U354" s="18"/>
      <c r="V354" s="18"/>
      <c r="W354" s="18"/>
      <c r="X354" s="18"/>
    </row>
    <row r="355" spans="5:24" ht="13.2">
      <c r="E355" s="11"/>
      <c r="F355" s="11"/>
      <c r="G355" s="11"/>
      <c r="L355" s="11"/>
      <c r="M355" s="11"/>
      <c r="N355" s="11"/>
      <c r="O355" s="18"/>
      <c r="U355" s="18"/>
      <c r="V355" s="18"/>
      <c r="W355" s="18"/>
      <c r="X355" s="18"/>
    </row>
    <row r="356" spans="5:24" ht="13.2">
      <c r="E356" s="11"/>
      <c r="F356" s="11"/>
      <c r="G356" s="11"/>
      <c r="L356" s="11"/>
      <c r="M356" s="11"/>
      <c r="N356" s="11"/>
      <c r="O356" s="18"/>
      <c r="U356" s="18"/>
      <c r="V356" s="18"/>
      <c r="W356" s="18"/>
      <c r="X356" s="18"/>
    </row>
    <row r="357" spans="5:24" ht="13.2">
      <c r="E357" s="11"/>
      <c r="F357" s="11"/>
      <c r="G357" s="11"/>
      <c r="L357" s="11"/>
      <c r="M357" s="11"/>
      <c r="N357" s="11"/>
      <c r="O357" s="18"/>
      <c r="U357" s="18"/>
      <c r="V357" s="18"/>
      <c r="W357" s="18"/>
      <c r="X357" s="18"/>
    </row>
    <row r="358" spans="5:24" ht="13.2">
      <c r="E358" s="11"/>
      <c r="F358" s="11"/>
      <c r="G358" s="11"/>
      <c r="L358" s="11"/>
      <c r="M358" s="11"/>
      <c r="N358" s="11"/>
      <c r="O358" s="18"/>
      <c r="U358" s="18"/>
      <c r="V358" s="18"/>
      <c r="W358" s="18"/>
      <c r="X358" s="18"/>
    </row>
    <row r="359" spans="5:24" ht="13.2">
      <c r="E359" s="11"/>
      <c r="F359" s="11"/>
      <c r="G359" s="11"/>
      <c r="L359" s="11"/>
      <c r="M359" s="11"/>
      <c r="N359" s="11"/>
      <c r="O359" s="18"/>
      <c r="U359" s="18"/>
      <c r="V359" s="18"/>
      <c r="W359" s="18"/>
      <c r="X359" s="18"/>
    </row>
    <row r="360" spans="5:24" ht="13.2">
      <c r="E360" s="11"/>
      <c r="F360" s="11"/>
      <c r="G360" s="11"/>
      <c r="L360" s="11"/>
      <c r="M360" s="11"/>
      <c r="N360" s="11"/>
      <c r="O360" s="18"/>
      <c r="U360" s="18"/>
      <c r="V360" s="18"/>
      <c r="W360" s="18"/>
      <c r="X360" s="18"/>
    </row>
    <row r="361" spans="5:24" ht="13.2">
      <c r="E361" s="11"/>
      <c r="F361" s="11"/>
      <c r="G361" s="11"/>
      <c r="L361" s="11"/>
      <c r="M361" s="11"/>
      <c r="N361" s="11"/>
      <c r="O361" s="18"/>
      <c r="U361" s="18"/>
      <c r="V361" s="18"/>
      <c r="W361" s="18"/>
      <c r="X361" s="18"/>
    </row>
    <row r="362" spans="5:24" ht="13.2">
      <c r="E362" s="11"/>
      <c r="F362" s="11"/>
      <c r="G362" s="11"/>
      <c r="L362" s="11"/>
      <c r="M362" s="11"/>
      <c r="N362" s="11"/>
      <c r="O362" s="18"/>
      <c r="U362" s="18"/>
      <c r="V362" s="18"/>
      <c r="W362" s="18"/>
      <c r="X362" s="18"/>
    </row>
    <row r="363" spans="5:24" ht="13.2">
      <c r="E363" s="11"/>
      <c r="F363" s="11"/>
      <c r="G363" s="11"/>
      <c r="L363" s="11"/>
      <c r="M363" s="11"/>
      <c r="N363" s="11"/>
      <c r="O363" s="18"/>
      <c r="U363" s="18"/>
      <c r="V363" s="18"/>
      <c r="W363" s="18"/>
      <c r="X363" s="18"/>
    </row>
    <row r="364" spans="5:24" ht="13.2">
      <c r="E364" s="11"/>
      <c r="F364" s="11"/>
      <c r="G364" s="11"/>
      <c r="L364" s="11"/>
      <c r="M364" s="11"/>
      <c r="N364" s="11"/>
      <c r="O364" s="18"/>
      <c r="U364" s="18"/>
      <c r="V364" s="18"/>
      <c r="W364" s="18"/>
      <c r="X364" s="18"/>
    </row>
    <row r="365" spans="5:24" ht="13.2">
      <c r="E365" s="11"/>
      <c r="F365" s="11"/>
      <c r="G365" s="11"/>
      <c r="L365" s="11"/>
      <c r="M365" s="11"/>
      <c r="N365" s="11"/>
      <c r="O365" s="18"/>
      <c r="U365" s="18"/>
      <c r="V365" s="18"/>
      <c r="W365" s="18"/>
      <c r="X365" s="18"/>
    </row>
    <row r="366" spans="5:24" ht="13.2">
      <c r="E366" s="11"/>
      <c r="F366" s="11"/>
      <c r="G366" s="11"/>
      <c r="L366" s="11"/>
      <c r="M366" s="11"/>
      <c r="N366" s="11"/>
      <c r="O366" s="18"/>
      <c r="U366" s="18"/>
      <c r="V366" s="18"/>
      <c r="W366" s="18"/>
      <c r="X366" s="18"/>
    </row>
    <row r="367" spans="5:24" ht="13.2">
      <c r="E367" s="11"/>
      <c r="F367" s="11"/>
      <c r="G367" s="11"/>
      <c r="L367" s="11"/>
      <c r="M367" s="11"/>
      <c r="N367" s="11"/>
      <c r="O367" s="18"/>
      <c r="U367" s="18"/>
      <c r="V367" s="18"/>
      <c r="W367" s="18"/>
      <c r="X367" s="18"/>
    </row>
    <row r="368" spans="5:24" ht="13.2">
      <c r="E368" s="11"/>
      <c r="F368" s="11"/>
      <c r="G368" s="11"/>
      <c r="L368" s="11"/>
      <c r="M368" s="11"/>
      <c r="N368" s="11"/>
      <c r="O368" s="18"/>
      <c r="U368" s="18"/>
      <c r="V368" s="18"/>
      <c r="W368" s="18"/>
      <c r="X368" s="18"/>
    </row>
    <row r="369" spans="5:24" ht="13.2">
      <c r="E369" s="11"/>
      <c r="F369" s="11"/>
      <c r="G369" s="11"/>
      <c r="L369" s="11"/>
      <c r="M369" s="11"/>
      <c r="N369" s="11"/>
      <c r="O369" s="18"/>
      <c r="U369" s="18"/>
      <c r="V369" s="18"/>
      <c r="W369" s="18"/>
      <c r="X369" s="18"/>
    </row>
    <row r="370" spans="5:24" ht="13.2">
      <c r="E370" s="11"/>
      <c r="F370" s="11"/>
      <c r="G370" s="11"/>
      <c r="L370" s="11"/>
      <c r="M370" s="11"/>
      <c r="N370" s="11"/>
      <c r="O370" s="18"/>
      <c r="U370" s="18"/>
      <c r="V370" s="18"/>
      <c r="W370" s="18"/>
      <c r="X370" s="18"/>
    </row>
    <row r="371" spans="5:24" ht="13.2">
      <c r="E371" s="11"/>
      <c r="F371" s="11"/>
      <c r="G371" s="11"/>
      <c r="L371" s="11"/>
      <c r="M371" s="11"/>
      <c r="N371" s="11"/>
      <c r="O371" s="18"/>
      <c r="U371" s="18"/>
      <c r="V371" s="18"/>
      <c r="W371" s="18"/>
      <c r="X371" s="18"/>
    </row>
    <row r="372" spans="5:24" ht="13.2">
      <c r="E372" s="11"/>
      <c r="F372" s="11"/>
      <c r="G372" s="11"/>
      <c r="L372" s="11"/>
      <c r="M372" s="11"/>
      <c r="N372" s="11"/>
      <c r="O372" s="18"/>
      <c r="U372" s="18"/>
      <c r="V372" s="18"/>
      <c r="W372" s="18"/>
      <c r="X372" s="18"/>
    </row>
    <row r="373" spans="5:24" ht="13.2">
      <c r="E373" s="11"/>
      <c r="F373" s="11"/>
      <c r="G373" s="11"/>
      <c r="L373" s="11"/>
      <c r="M373" s="11"/>
      <c r="N373" s="11"/>
      <c r="O373" s="18"/>
      <c r="U373" s="18"/>
      <c r="V373" s="18"/>
      <c r="W373" s="18"/>
      <c r="X373" s="18"/>
    </row>
    <row r="374" spans="5:24" ht="13.2">
      <c r="E374" s="11"/>
      <c r="F374" s="11"/>
      <c r="G374" s="11"/>
      <c r="L374" s="11"/>
      <c r="M374" s="11"/>
      <c r="N374" s="11"/>
      <c r="O374" s="18"/>
      <c r="U374" s="18"/>
      <c r="V374" s="18"/>
      <c r="W374" s="18"/>
      <c r="X374" s="18"/>
    </row>
    <row r="375" spans="5:24" ht="13.2">
      <c r="E375" s="11"/>
      <c r="F375" s="11"/>
      <c r="G375" s="11"/>
      <c r="L375" s="11"/>
      <c r="M375" s="11"/>
      <c r="N375" s="11"/>
      <c r="O375" s="18"/>
      <c r="U375" s="18"/>
      <c r="V375" s="18"/>
      <c r="W375" s="18"/>
      <c r="X375" s="18"/>
    </row>
    <row r="376" spans="5:24" ht="13.2">
      <c r="E376" s="11"/>
      <c r="F376" s="11"/>
      <c r="G376" s="11"/>
      <c r="L376" s="11"/>
      <c r="M376" s="11"/>
      <c r="N376" s="11"/>
      <c r="O376" s="18"/>
      <c r="U376" s="18"/>
      <c r="V376" s="18"/>
      <c r="W376" s="18"/>
      <c r="X376" s="18"/>
    </row>
    <row r="377" spans="5:24" ht="13.2">
      <c r="E377" s="11"/>
      <c r="F377" s="11"/>
      <c r="G377" s="11"/>
      <c r="L377" s="11"/>
      <c r="M377" s="11"/>
      <c r="N377" s="11"/>
      <c r="O377" s="18"/>
      <c r="U377" s="18"/>
      <c r="V377" s="18"/>
      <c r="W377" s="18"/>
      <c r="X377" s="18"/>
    </row>
    <row r="378" spans="5:24" ht="13.2">
      <c r="E378" s="11"/>
      <c r="F378" s="11"/>
      <c r="G378" s="11"/>
      <c r="L378" s="11"/>
      <c r="M378" s="11"/>
      <c r="N378" s="11"/>
      <c r="O378" s="18"/>
      <c r="U378" s="18"/>
      <c r="V378" s="18"/>
      <c r="W378" s="18"/>
      <c r="X378" s="18"/>
    </row>
    <row r="379" spans="5:24" ht="13.2">
      <c r="E379" s="11"/>
      <c r="F379" s="11"/>
      <c r="G379" s="11"/>
      <c r="L379" s="11"/>
      <c r="M379" s="11"/>
      <c r="N379" s="11"/>
      <c r="O379" s="18"/>
      <c r="U379" s="18"/>
      <c r="V379" s="18"/>
      <c r="W379" s="18"/>
      <c r="X379" s="18"/>
    </row>
    <row r="380" spans="5:24" ht="13.2">
      <c r="E380" s="11"/>
      <c r="F380" s="11"/>
      <c r="G380" s="11"/>
      <c r="L380" s="11"/>
      <c r="M380" s="11"/>
      <c r="N380" s="11"/>
      <c r="O380" s="18"/>
      <c r="U380" s="18"/>
      <c r="V380" s="18"/>
      <c r="W380" s="18"/>
      <c r="X380" s="18"/>
    </row>
    <row r="381" spans="5:24" ht="13.2">
      <c r="E381" s="11"/>
      <c r="F381" s="11"/>
      <c r="G381" s="11"/>
      <c r="L381" s="11"/>
      <c r="M381" s="11"/>
      <c r="N381" s="11"/>
      <c r="O381" s="18"/>
      <c r="U381" s="18"/>
      <c r="V381" s="18"/>
      <c r="W381" s="18"/>
      <c r="X381" s="18"/>
    </row>
    <row r="382" spans="5:24" ht="13.2">
      <c r="E382" s="11"/>
      <c r="F382" s="11"/>
      <c r="G382" s="11"/>
      <c r="L382" s="11"/>
      <c r="M382" s="11"/>
      <c r="N382" s="11"/>
      <c r="O382" s="18"/>
      <c r="U382" s="18"/>
      <c r="V382" s="18"/>
      <c r="W382" s="18"/>
      <c r="X382" s="18"/>
    </row>
    <row r="383" spans="5:24" ht="13.2">
      <c r="E383" s="11"/>
      <c r="F383" s="11"/>
      <c r="G383" s="11"/>
      <c r="L383" s="11"/>
      <c r="M383" s="11"/>
      <c r="N383" s="11"/>
      <c r="O383" s="18"/>
      <c r="U383" s="18"/>
      <c r="V383" s="18"/>
      <c r="W383" s="18"/>
      <c r="X383" s="18"/>
    </row>
    <row r="384" spans="5:24" ht="13.2">
      <c r="E384" s="11"/>
      <c r="F384" s="11"/>
      <c r="G384" s="11"/>
      <c r="L384" s="11"/>
      <c r="M384" s="11"/>
      <c r="N384" s="11"/>
      <c r="O384" s="18"/>
      <c r="U384" s="18"/>
      <c r="V384" s="18"/>
      <c r="W384" s="18"/>
      <c r="X384" s="18"/>
    </row>
    <row r="385" spans="5:24" ht="13.2">
      <c r="E385" s="11"/>
      <c r="F385" s="11"/>
      <c r="G385" s="11"/>
      <c r="L385" s="11"/>
      <c r="M385" s="11"/>
      <c r="N385" s="11"/>
      <c r="O385" s="18"/>
      <c r="U385" s="18"/>
      <c r="V385" s="18"/>
      <c r="W385" s="18"/>
      <c r="X385" s="18"/>
    </row>
    <row r="386" spans="5:24" ht="13.2">
      <c r="E386" s="11"/>
      <c r="F386" s="11"/>
      <c r="G386" s="11"/>
      <c r="L386" s="11"/>
      <c r="M386" s="11"/>
      <c r="N386" s="11"/>
      <c r="O386" s="18"/>
      <c r="U386" s="18"/>
      <c r="V386" s="18"/>
      <c r="W386" s="18"/>
      <c r="X386" s="18"/>
    </row>
    <row r="387" spans="5:24" ht="13.2">
      <c r="E387" s="11"/>
      <c r="F387" s="11"/>
      <c r="G387" s="11"/>
      <c r="L387" s="11"/>
      <c r="M387" s="11"/>
      <c r="N387" s="11"/>
      <c r="O387" s="18"/>
      <c r="U387" s="18"/>
      <c r="V387" s="18"/>
      <c r="W387" s="18"/>
      <c r="X387" s="18"/>
    </row>
    <row r="388" spans="5:24" ht="13.2">
      <c r="E388" s="11"/>
      <c r="F388" s="11"/>
      <c r="G388" s="11"/>
      <c r="L388" s="11"/>
      <c r="M388" s="11"/>
      <c r="N388" s="11"/>
      <c r="O388" s="18"/>
      <c r="U388" s="18"/>
      <c r="V388" s="18"/>
      <c r="W388" s="18"/>
      <c r="X388" s="18"/>
    </row>
    <row r="389" spans="5:24" ht="13.2">
      <c r="E389" s="11"/>
      <c r="F389" s="11"/>
      <c r="G389" s="11"/>
      <c r="L389" s="11"/>
      <c r="M389" s="11"/>
      <c r="N389" s="11"/>
      <c r="O389" s="18"/>
      <c r="U389" s="18"/>
      <c r="V389" s="18"/>
      <c r="W389" s="18"/>
      <c r="X389" s="18"/>
    </row>
    <row r="390" spans="5:24" ht="13.2">
      <c r="E390" s="11"/>
      <c r="F390" s="11"/>
      <c r="G390" s="11"/>
      <c r="L390" s="11"/>
      <c r="M390" s="11"/>
      <c r="N390" s="11"/>
      <c r="O390" s="18"/>
      <c r="U390" s="18"/>
      <c r="V390" s="18"/>
      <c r="W390" s="18"/>
      <c r="X390" s="18"/>
    </row>
    <row r="391" spans="5:24" ht="13.2">
      <c r="E391" s="11"/>
      <c r="F391" s="11"/>
      <c r="G391" s="11"/>
      <c r="L391" s="11"/>
      <c r="M391" s="11"/>
      <c r="N391" s="11"/>
      <c r="O391" s="18"/>
      <c r="U391" s="18"/>
      <c r="V391" s="18"/>
      <c r="W391" s="18"/>
      <c r="X391" s="18"/>
    </row>
    <row r="392" spans="5:24" ht="13.2">
      <c r="E392" s="11"/>
      <c r="F392" s="11"/>
      <c r="G392" s="11"/>
      <c r="L392" s="11"/>
      <c r="M392" s="11"/>
      <c r="N392" s="11"/>
      <c r="O392" s="18"/>
      <c r="U392" s="18"/>
      <c r="V392" s="18"/>
      <c r="W392" s="18"/>
      <c r="X392" s="18"/>
    </row>
    <row r="393" spans="5:24" ht="13.2">
      <c r="E393" s="11"/>
      <c r="F393" s="11"/>
      <c r="G393" s="11"/>
      <c r="L393" s="11"/>
      <c r="M393" s="11"/>
      <c r="N393" s="11"/>
      <c r="O393" s="18"/>
      <c r="U393" s="18"/>
      <c r="V393" s="18"/>
      <c r="W393" s="18"/>
      <c r="X393" s="18"/>
    </row>
    <row r="394" spans="5:24" ht="13.2">
      <c r="E394" s="11"/>
      <c r="F394" s="11"/>
      <c r="G394" s="11"/>
      <c r="L394" s="11"/>
      <c r="M394" s="11"/>
      <c r="N394" s="11"/>
      <c r="O394" s="18"/>
      <c r="U394" s="18"/>
      <c r="V394" s="18"/>
      <c r="W394" s="18"/>
      <c r="X394" s="18"/>
    </row>
    <row r="395" spans="5:24" ht="13.2">
      <c r="E395" s="11"/>
      <c r="F395" s="11"/>
      <c r="G395" s="11"/>
      <c r="L395" s="11"/>
      <c r="M395" s="11"/>
      <c r="N395" s="11"/>
      <c r="O395" s="18"/>
      <c r="U395" s="18"/>
      <c r="V395" s="18"/>
      <c r="W395" s="18"/>
      <c r="X395" s="18"/>
    </row>
    <row r="396" spans="5:24" ht="13.2">
      <c r="E396" s="11"/>
      <c r="F396" s="11"/>
      <c r="G396" s="11"/>
      <c r="L396" s="11"/>
      <c r="M396" s="11"/>
      <c r="N396" s="11"/>
      <c r="O396" s="18"/>
      <c r="U396" s="18"/>
      <c r="V396" s="18"/>
      <c r="W396" s="18"/>
      <c r="X396" s="18"/>
    </row>
    <row r="397" spans="5:24" ht="13.2">
      <c r="E397" s="11"/>
      <c r="F397" s="11"/>
      <c r="G397" s="11"/>
      <c r="L397" s="11"/>
      <c r="M397" s="11"/>
      <c r="N397" s="11"/>
      <c r="O397" s="18"/>
      <c r="U397" s="18"/>
      <c r="V397" s="18"/>
      <c r="W397" s="18"/>
      <c r="X397" s="18"/>
    </row>
    <row r="398" spans="5:24" ht="13.2">
      <c r="E398" s="11"/>
      <c r="F398" s="11"/>
      <c r="G398" s="11"/>
      <c r="L398" s="11"/>
      <c r="M398" s="11"/>
      <c r="N398" s="11"/>
      <c r="O398" s="18"/>
      <c r="U398" s="18"/>
      <c r="V398" s="18"/>
      <c r="W398" s="18"/>
      <c r="X398" s="18"/>
    </row>
    <row r="399" spans="5:24" ht="13.2">
      <c r="E399" s="11"/>
      <c r="F399" s="11"/>
      <c r="G399" s="11"/>
      <c r="L399" s="11"/>
      <c r="M399" s="11"/>
      <c r="N399" s="11"/>
      <c r="O399" s="18"/>
      <c r="U399" s="18"/>
      <c r="V399" s="18"/>
      <c r="W399" s="18"/>
      <c r="X399" s="18"/>
    </row>
    <row r="400" spans="5:24" ht="13.2">
      <c r="E400" s="11"/>
      <c r="F400" s="11"/>
      <c r="G400" s="11"/>
      <c r="L400" s="11"/>
      <c r="M400" s="11"/>
      <c r="N400" s="11"/>
      <c r="O400" s="18"/>
      <c r="U400" s="18"/>
      <c r="V400" s="18"/>
      <c r="W400" s="18"/>
      <c r="X400" s="18"/>
    </row>
    <row r="401" spans="5:24" ht="13.2">
      <c r="E401" s="11"/>
      <c r="F401" s="11"/>
      <c r="G401" s="11"/>
      <c r="L401" s="11"/>
      <c r="M401" s="11"/>
      <c r="N401" s="11"/>
      <c r="O401" s="18"/>
      <c r="U401" s="18"/>
      <c r="V401" s="18"/>
      <c r="W401" s="18"/>
      <c r="X401" s="18"/>
    </row>
    <row r="402" spans="5:24" ht="13.2">
      <c r="E402" s="11"/>
      <c r="F402" s="11"/>
      <c r="G402" s="11"/>
      <c r="L402" s="11"/>
      <c r="M402" s="11"/>
      <c r="N402" s="11"/>
      <c r="O402" s="18"/>
      <c r="U402" s="18"/>
      <c r="V402" s="18"/>
      <c r="W402" s="18"/>
      <c r="X402" s="18"/>
    </row>
    <row r="403" spans="5:24" ht="13.2">
      <c r="E403" s="11"/>
      <c r="F403" s="11"/>
      <c r="G403" s="11"/>
      <c r="L403" s="11"/>
      <c r="M403" s="11"/>
      <c r="N403" s="11"/>
      <c r="O403" s="18"/>
      <c r="U403" s="18"/>
      <c r="V403" s="18"/>
      <c r="W403" s="18"/>
      <c r="X403" s="18"/>
    </row>
    <row r="404" spans="5:24" ht="13.2">
      <c r="E404" s="11"/>
      <c r="F404" s="11"/>
      <c r="G404" s="11"/>
      <c r="L404" s="11"/>
      <c r="M404" s="11"/>
      <c r="N404" s="11"/>
      <c r="O404" s="18"/>
      <c r="U404" s="18"/>
      <c r="V404" s="18"/>
      <c r="W404" s="18"/>
      <c r="X404" s="18"/>
    </row>
    <row r="405" spans="5:24" ht="13.2">
      <c r="E405" s="11"/>
      <c r="F405" s="11"/>
      <c r="G405" s="11"/>
      <c r="L405" s="11"/>
      <c r="M405" s="11"/>
      <c r="N405" s="11"/>
      <c r="O405" s="18"/>
      <c r="U405" s="18"/>
      <c r="V405" s="18"/>
      <c r="W405" s="18"/>
      <c r="X405" s="18"/>
    </row>
    <row r="406" spans="5:24" ht="13.2">
      <c r="E406" s="11"/>
      <c r="F406" s="11"/>
      <c r="G406" s="11"/>
      <c r="L406" s="11"/>
      <c r="M406" s="11"/>
      <c r="N406" s="11"/>
      <c r="O406" s="18"/>
      <c r="U406" s="18"/>
      <c r="V406" s="18"/>
      <c r="W406" s="18"/>
      <c r="X406" s="18"/>
    </row>
    <row r="407" spans="5:24" ht="13.2">
      <c r="E407" s="11"/>
      <c r="F407" s="11"/>
      <c r="G407" s="11"/>
      <c r="L407" s="11"/>
      <c r="M407" s="11"/>
      <c r="N407" s="11"/>
      <c r="O407" s="18"/>
      <c r="U407" s="18"/>
      <c r="V407" s="18"/>
      <c r="W407" s="18"/>
      <c r="X407" s="18"/>
    </row>
    <row r="408" spans="5:24" ht="13.2">
      <c r="E408" s="11"/>
      <c r="F408" s="11"/>
      <c r="G408" s="11"/>
      <c r="L408" s="11"/>
      <c r="M408" s="11"/>
      <c r="N408" s="11"/>
      <c r="O408" s="18"/>
      <c r="U408" s="18"/>
      <c r="V408" s="18"/>
      <c r="W408" s="18"/>
      <c r="X408" s="18"/>
    </row>
    <row r="409" spans="5:24" ht="13.2">
      <c r="E409" s="11"/>
      <c r="F409" s="11"/>
      <c r="G409" s="11"/>
      <c r="L409" s="11"/>
      <c r="M409" s="11"/>
      <c r="N409" s="11"/>
      <c r="O409" s="18"/>
      <c r="U409" s="18"/>
      <c r="V409" s="18"/>
      <c r="W409" s="18"/>
      <c r="X409" s="18"/>
    </row>
    <row r="410" spans="5:24" ht="13.2">
      <c r="E410" s="11"/>
      <c r="F410" s="11"/>
      <c r="G410" s="11"/>
      <c r="L410" s="11"/>
      <c r="M410" s="11"/>
      <c r="N410" s="11"/>
      <c r="O410" s="18"/>
      <c r="U410" s="18"/>
      <c r="V410" s="18"/>
      <c r="W410" s="18"/>
      <c r="X410" s="18"/>
    </row>
    <row r="411" spans="5:24" ht="13.2">
      <c r="E411" s="11"/>
      <c r="F411" s="11"/>
      <c r="G411" s="11"/>
      <c r="L411" s="11"/>
      <c r="M411" s="11"/>
      <c r="N411" s="11"/>
      <c r="O411" s="18"/>
      <c r="U411" s="18"/>
      <c r="V411" s="18"/>
      <c r="W411" s="18"/>
      <c r="X411" s="18"/>
    </row>
    <row r="412" spans="5:24" ht="13.2">
      <c r="E412" s="11"/>
      <c r="F412" s="11"/>
      <c r="G412" s="11"/>
      <c r="L412" s="11"/>
      <c r="M412" s="11"/>
      <c r="N412" s="11"/>
      <c r="O412" s="18"/>
      <c r="U412" s="18"/>
      <c r="V412" s="18"/>
      <c r="W412" s="18"/>
      <c r="X412" s="18"/>
    </row>
    <row r="413" spans="5:24" ht="13.2">
      <c r="E413" s="11"/>
      <c r="F413" s="11"/>
      <c r="G413" s="11"/>
      <c r="L413" s="11"/>
      <c r="M413" s="11"/>
      <c r="N413" s="11"/>
      <c r="O413" s="18"/>
      <c r="U413" s="18"/>
      <c r="V413" s="18"/>
      <c r="W413" s="18"/>
      <c r="X413" s="18"/>
    </row>
    <row r="414" spans="5:24" ht="13.2">
      <c r="E414" s="11"/>
      <c r="F414" s="11"/>
      <c r="G414" s="11"/>
      <c r="L414" s="11"/>
      <c r="M414" s="11"/>
      <c r="N414" s="11"/>
      <c r="O414" s="18"/>
      <c r="U414" s="18"/>
      <c r="V414" s="18"/>
      <c r="W414" s="18"/>
      <c r="X414" s="18"/>
    </row>
    <row r="415" spans="5:24" ht="13.2">
      <c r="E415" s="11"/>
      <c r="F415" s="11"/>
      <c r="G415" s="11"/>
      <c r="L415" s="11"/>
      <c r="M415" s="11"/>
      <c r="N415" s="11"/>
      <c r="O415" s="18"/>
      <c r="U415" s="18"/>
      <c r="V415" s="18"/>
      <c r="W415" s="18"/>
      <c r="X415" s="18"/>
    </row>
    <row r="416" spans="5:24" ht="13.2">
      <c r="E416" s="11"/>
      <c r="F416" s="11"/>
      <c r="G416" s="11"/>
      <c r="L416" s="11"/>
      <c r="M416" s="11"/>
      <c r="N416" s="11"/>
      <c r="O416" s="18"/>
      <c r="U416" s="18"/>
      <c r="V416" s="18"/>
      <c r="W416" s="18"/>
      <c r="X416" s="18"/>
    </row>
    <row r="417" spans="5:24" ht="13.2">
      <c r="E417" s="11"/>
      <c r="F417" s="11"/>
      <c r="G417" s="11"/>
      <c r="L417" s="11"/>
      <c r="M417" s="11"/>
      <c r="N417" s="11"/>
      <c r="O417" s="18"/>
      <c r="U417" s="18"/>
      <c r="V417" s="18"/>
      <c r="W417" s="18"/>
      <c r="X417" s="18"/>
    </row>
    <row r="418" spans="5:24" ht="13.2">
      <c r="E418" s="11"/>
      <c r="F418" s="11"/>
      <c r="G418" s="11"/>
      <c r="L418" s="11"/>
      <c r="M418" s="11"/>
      <c r="N418" s="11"/>
      <c r="O418" s="18"/>
      <c r="U418" s="18"/>
      <c r="V418" s="18"/>
      <c r="W418" s="18"/>
      <c r="X418" s="18"/>
    </row>
    <row r="419" spans="5:24" ht="13.2">
      <c r="E419" s="11"/>
      <c r="F419" s="11"/>
      <c r="G419" s="11"/>
      <c r="L419" s="11"/>
      <c r="M419" s="11"/>
      <c r="N419" s="11"/>
      <c r="O419" s="18"/>
      <c r="U419" s="18"/>
      <c r="V419" s="18"/>
      <c r="W419" s="18"/>
      <c r="X419" s="18"/>
    </row>
    <row r="420" spans="5:24" ht="13.2">
      <c r="E420" s="11"/>
      <c r="F420" s="11"/>
      <c r="G420" s="11"/>
      <c r="L420" s="11"/>
      <c r="M420" s="11"/>
      <c r="N420" s="11"/>
      <c r="O420" s="18"/>
      <c r="U420" s="18"/>
      <c r="V420" s="18"/>
      <c r="W420" s="18"/>
      <c r="X420" s="18"/>
    </row>
    <row r="421" spans="5:24" ht="13.2">
      <c r="E421" s="11"/>
      <c r="F421" s="11"/>
      <c r="G421" s="11"/>
      <c r="L421" s="11"/>
      <c r="M421" s="11"/>
      <c r="N421" s="11"/>
      <c r="O421" s="18"/>
      <c r="U421" s="18"/>
      <c r="V421" s="18"/>
      <c r="W421" s="18"/>
      <c r="X421" s="18"/>
    </row>
    <row r="422" spans="5:24" ht="13.2">
      <c r="E422" s="11"/>
      <c r="F422" s="11"/>
      <c r="G422" s="11"/>
      <c r="L422" s="11"/>
      <c r="M422" s="11"/>
      <c r="N422" s="11"/>
      <c r="O422" s="18"/>
      <c r="U422" s="18"/>
      <c r="V422" s="18"/>
      <c r="W422" s="18"/>
      <c r="X422" s="18"/>
    </row>
    <row r="423" spans="5:24" ht="13.2">
      <c r="E423" s="11"/>
      <c r="F423" s="11"/>
      <c r="G423" s="11"/>
      <c r="L423" s="11"/>
      <c r="M423" s="11"/>
      <c r="N423" s="11"/>
      <c r="O423" s="18"/>
      <c r="U423" s="18"/>
      <c r="V423" s="18"/>
      <c r="W423" s="18"/>
      <c r="X423" s="18"/>
    </row>
    <row r="424" spans="5:24" ht="13.2">
      <c r="E424" s="11"/>
      <c r="F424" s="11"/>
      <c r="G424" s="11"/>
      <c r="L424" s="11"/>
      <c r="M424" s="11"/>
      <c r="N424" s="11"/>
      <c r="O424" s="18"/>
      <c r="U424" s="18"/>
      <c r="V424" s="18"/>
      <c r="W424" s="18"/>
      <c r="X424" s="18"/>
    </row>
    <row r="425" spans="5:24" ht="13.2">
      <c r="E425" s="11"/>
      <c r="F425" s="11"/>
      <c r="G425" s="11"/>
      <c r="L425" s="11"/>
      <c r="M425" s="11"/>
      <c r="N425" s="11"/>
      <c r="O425" s="18"/>
      <c r="U425" s="18"/>
      <c r="V425" s="18"/>
      <c r="W425" s="18"/>
      <c r="X425" s="18"/>
    </row>
    <row r="426" spans="5:24" ht="13.2">
      <c r="E426" s="11"/>
      <c r="F426" s="11"/>
      <c r="G426" s="11"/>
      <c r="L426" s="11"/>
      <c r="M426" s="11"/>
      <c r="N426" s="11"/>
      <c r="O426" s="18"/>
      <c r="U426" s="18"/>
      <c r="V426" s="18"/>
      <c r="W426" s="18"/>
      <c r="X426" s="18"/>
    </row>
    <row r="427" spans="5:24" ht="13.2">
      <c r="E427" s="11"/>
      <c r="F427" s="11"/>
      <c r="G427" s="11"/>
      <c r="L427" s="11"/>
      <c r="M427" s="11"/>
      <c r="N427" s="11"/>
      <c r="O427" s="18"/>
      <c r="U427" s="18"/>
      <c r="V427" s="18"/>
      <c r="W427" s="18"/>
      <c r="X427" s="18"/>
    </row>
    <row r="428" spans="5:24" ht="13.2">
      <c r="E428" s="11"/>
      <c r="F428" s="11"/>
      <c r="G428" s="11"/>
      <c r="L428" s="11"/>
      <c r="M428" s="11"/>
      <c r="N428" s="11"/>
      <c r="O428" s="18"/>
      <c r="U428" s="18"/>
      <c r="V428" s="18"/>
      <c r="W428" s="18"/>
      <c r="X428" s="18"/>
    </row>
    <row r="429" spans="5:24" ht="13.2">
      <c r="E429" s="11"/>
      <c r="F429" s="11"/>
      <c r="G429" s="11"/>
      <c r="L429" s="11"/>
      <c r="M429" s="11"/>
      <c r="N429" s="11"/>
      <c r="O429" s="18"/>
      <c r="U429" s="18"/>
      <c r="V429" s="18"/>
      <c r="W429" s="18"/>
      <c r="X429" s="18"/>
    </row>
    <row r="430" spans="5:24" ht="13.2">
      <c r="E430" s="11"/>
      <c r="F430" s="11"/>
      <c r="G430" s="11"/>
      <c r="L430" s="11"/>
      <c r="M430" s="11"/>
      <c r="N430" s="11"/>
      <c r="O430" s="18"/>
      <c r="U430" s="18"/>
      <c r="V430" s="18"/>
      <c r="W430" s="18"/>
      <c r="X430" s="18"/>
    </row>
    <row r="431" spans="5:24" ht="13.2">
      <c r="E431" s="11"/>
      <c r="F431" s="11"/>
      <c r="G431" s="11"/>
      <c r="L431" s="11"/>
      <c r="M431" s="11"/>
      <c r="N431" s="11"/>
      <c r="O431" s="18"/>
      <c r="U431" s="18"/>
      <c r="V431" s="18"/>
      <c r="W431" s="18"/>
      <c r="X431" s="18"/>
    </row>
    <row r="432" spans="5:24" ht="13.2">
      <c r="E432" s="11"/>
      <c r="F432" s="11"/>
      <c r="G432" s="11"/>
      <c r="L432" s="11"/>
      <c r="M432" s="11"/>
      <c r="N432" s="11"/>
      <c r="O432" s="18"/>
      <c r="U432" s="18"/>
      <c r="V432" s="18"/>
      <c r="W432" s="18"/>
      <c r="X432" s="18"/>
    </row>
    <row r="433" spans="5:24" ht="13.2">
      <c r="E433" s="11"/>
      <c r="F433" s="11"/>
      <c r="G433" s="11"/>
      <c r="L433" s="11"/>
      <c r="M433" s="11"/>
      <c r="N433" s="11"/>
      <c r="O433" s="18"/>
      <c r="U433" s="18"/>
      <c r="V433" s="18"/>
      <c r="W433" s="18"/>
      <c r="X433" s="18"/>
    </row>
    <row r="434" spans="5:24" ht="13.2">
      <c r="E434" s="11"/>
      <c r="F434" s="11"/>
      <c r="G434" s="11"/>
      <c r="L434" s="11"/>
      <c r="M434" s="11"/>
      <c r="N434" s="11"/>
      <c r="O434" s="18"/>
      <c r="U434" s="18"/>
      <c r="V434" s="18"/>
      <c r="W434" s="18"/>
      <c r="X434" s="18"/>
    </row>
    <row r="435" spans="5:24" ht="13.2">
      <c r="E435" s="11"/>
      <c r="F435" s="11"/>
      <c r="G435" s="11"/>
      <c r="L435" s="11"/>
      <c r="M435" s="11"/>
      <c r="N435" s="11"/>
      <c r="O435" s="18"/>
      <c r="U435" s="18"/>
      <c r="V435" s="18"/>
      <c r="W435" s="18"/>
      <c r="X435" s="18"/>
    </row>
    <row r="436" spans="5:24" ht="13.2">
      <c r="E436" s="11"/>
      <c r="F436" s="11"/>
      <c r="G436" s="11"/>
      <c r="L436" s="11"/>
      <c r="M436" s="11"/>
      <c r="N436" s="11"/>
      <c r="O436" s="18"/>
      <c r="U436" s="18"/>
      <c r="V436" s="18"/>
      <c r="W436" s="18"/>
      <c r="X436" s="18"/>
    </row>
    <row r="437" spans="5:24" ht="13.2">
      <c r="E437" s="11"/>
      <c r="F437" s="11"/>
      <c r="G437" s="11"/>
      <c r="L437" s="11"/>
      <c r="M437" s="11"/>
      <c r="N437" s="11"/>
      <c r="O437" s="18"/>
      <c r="U437" s="18"/>
      <c r="V437" s="18"/>
      <c r="W437" s="18"/>
      <c r="X437" s="18"/>
    </row>
    <row r="438" spans="5:24" ht="13.2">
      <c r="E438" s="11"/>
      <c r="F438" s="11"/>
      <c r="G438" s="11"/>
      <c r="L438" s="11"/>
      <c r="M438" s="11"/>
      <c r="N438" s="11"/>
      <c r="O438" s="18"/>
      <c r="U438" s="18"/>
      <c r="V438" s="18"/>
      <c r="W438" s="18"/>
      <c r="X438" s="18"/>
    </row>
    <row r="439" spans="5:24" ht="13.2">
      <c r="E439" s="11"/>
      <c r="F439" s="11"/>
      <c r="G439" s="11"/>
      <c r="L439" s="11"/>
      <c r="M439" s="11"/>
      <c r="N439" s="11"/>
      <c r="O439" s="18"/>
      <c r="U439" s="18"/>
      <c r="V439" s="18"/>
      <c r="W439" s="18"/>
      <c r="X439" s="18"/>
    </row>
    <row r="440" spans="5:24" ht="13.2">
      <c r="E440" s="11"/>
      <c r="F440" s="11"/>
      <c r="G440" s="11"/>
      <c r="L440" s="11"/>
      <c r="M440" s="11"/>
      <c r="N440" s="11"/>
      <c r="O440" s="18"/>
      <c r="U440" s="18"/>
      <c r="V440" s="18"/>
      <c r="W440" s="18"/>
      <c r="X440" s="18"/>
    </row>
    <row r="441" spans="5:24" ht="13.2">
      <c r="E441" s="11"/>
      <c r="F441" s="11"/>
      <c r="G441" s="11"/>
      <c r="L441" s="11"/>
      <c r="M441" s="11"/>
      <c r="N441" s="11"/>
      <c r="O441" s="18"/>
      <c r="U441" s="18"/>
      <c r="V441" s="18"/>
      <c r="W441" s="18"/>
      <c r="X441" s="18"/>
    </row>
    <row r="442" spans="5:24" ht="13.2">
      <c r="E442" s="11"/>
      <c r="F442" s="11"/>
      <c r="G442" s="11"/>
      <c r="L442" s="11"/>
      <c r="M442" s="11"/>
      <c r="N442" s="11"/>
      <c r="O442" s="18"/>
      <c r="U442" s="18"/>
      <c r="V442" s="18"/>
      <c r="W442" s="18"/>
      <c r="X442" s="18"/>
    </row>
    <row r="443" spans="5:24" ht="13.2">
      <c r="E443" s="11"/>
      <c r="F443" s="11"/>
      <c r="G443" s="11"/>
      <c r="L443" s="11"/>
      <c r="M443" s="11"/>
      <c r="N443" s="11"/>
      <c r="O443" s="18"/>
      <c r="U443" s="18"/>
      <c r="V443" s="18"/>
      <c r="W443" s="18"/>
      <c r="X443" s="18"/>
    </row>
    <row r="444" spans="5:24" ht="13.2">
      <c r="E444" s="11"/>
      <c r="F444" s="11"/>
      <c r="G444" s="11"/>
      <c r="L444" s="11"/>
      <c r="M444" s="11"/>
      <c r="N444" s="11"/>
      <c r="O444" s="18"/>
      <c r="U444" s="18"/>
      <c r="V444" s="18"/>
      <c r="W444" s="18"/>
      <c r="X444" s="18"/>
    </row>
    <row r="445" spans="5:24" ht="13.2">
      <c r="E445" s="11"/>
      <c r="F445" s="11"/>
      <c r="G445" s="11"/>
      <c r="L445" s="11"/>
      <c r="M445" s="11"/>
      <c r="N445" s="11"/>
      <c r="O445" s="18"/>
      <c r="U445" s="18"/>
      <c r="V445" s="18"/>
      <c r="W445" s="18"/>
      <c r="X445" s="18"/>
    </row>
    <row r="446" spans="5:24" ht="13.2">
      <c r="E446" s="11"/>
      <c r="F446" s="11"/>
      <c r="G446" s="11"/>
      <c r="L446" s="11"/>
      <c r="M446" s="11"/>
      <c r="N446" s="11"/>
      <c r="O446" s="18"/>
      <c r="U446" s="18"/>
      <c r="V446" s="18"/>
      <c r="W446" s="18"/>
      <c r="X446" s="18"/>
    </row>
    <row r="447" spans="5:24" ht="13.2">
      <c r="E447" s="11"/>
      <c r="F447" s="11"/>
      <c r="G447" s="11"/>
      <c r="L447" s="11"/>
      <c r="M447" s="11"/>
      <c r="N447" s="11"/>
      <c r="O447" s="18"/>
      <c r="U447" s="18"/>
      <c r="V447" s="18"/>
      <c r="W447" s="18"/>
      <c r="X447" s="18"/>
    </row>
    <row r="448" spans="5:24" ht="13.2">
      <c r="E448" s="11"/>
      <c r="F448" s="11"/>
      <c r="G448" s="11"/>
      <c r="L448" s="11"/>
      <c r="M448" s="11"/>
      <c r="N448" s="11"/>
      <c r="O448" s="18"/>
      <c r="U448" s="18"/>
      <c r="V448" s="18"/>
      <c r="W448" s="18"/>
      <c r="X448" s="18"/>
    </row>
    <row r="449" spans="5:24" ht="13.2">
      <c r="E449" s="11"/>
      <c r="F449" s="11"/>
      <c r="G449" s="11"/>
      <c r="L449" s="11"/>
      <c r="M449" s="11"/>
      <c r="N449" s="11"/>
      <c r="O449" s="18"/>
      <c r="U449" s="18"/>
      <c r="V449" s="18"/>
      <c r="W449" s="18"/>
      <c r="X449" s="18"/>
    </row>
    <row r="450" spans="5:24" ht="13.2">
      <c r="E450" s="11"/>
      <c r="F450" s="11"/>
      <c r="G450" s="11"/>
      <c r="L450" s="11"/>
      <c r="M450" s="11"/>
      <c r="N450" s="11"/>
      <c r="O450" s="18"/>
      <c r="U450" s="18"/>
      <c r="V450" s="18"/>
      <c r="W450" s="18"/>
      <c r="X450" s="18"/>
    </row>
    <row r="451" spans="5:24" ht="13.2">
      <c r="E451" s="11"/>
      <c r="F451" s="11"/>
      <c r="G451" s="11"/>
      <c r="L451" s="11"/>
      <c r="M451" s="11"/>
      <c r="N451" s="11"/>
      <c r="O451" s="18"/>
      <c r="U451" s="18"/>
      <c r="V451" s="18"/>
      <c r="W451" s="18"/>
      <c r="X451" s="18"/>
    </row>
    <row r="452" spans="5:24" ht="13.2">
      <c r="E452" s="11"/>
      <c r="F452" s="11"/>
      <c r="G452" s="11"/>
      <c r="L452" s="11"/>
      <c r="M452" s="11"/>
      <c r="N452" s="11"/>
      <c r="O452" s="18"/>
      <c r="U452" s="18"/>
      <c r="V452" s="18"/>
      <c r="W452" s="18"/>
      <c r="X452" s="18"/>
    </row>
    <row r="453" spans="5:24" ht="13.2">
      <c r="E453" s="11"/>
      <c r="F453" s="11"/>
      <c r="G453" s="11"/>
      <c r="L453" s="11"/>
      <c r="M453" s="11"/>
      <c r="N453" s="11"/>
      <c r="O453" s="18"/>
      <c r="U453" s="18"/>
      <c r="V453" s="18"/>
      <c r="W453" s="18"/>
      <c r="X453" s="18"/>
    </row>
    <row r="454" spans="5:24" ht="13.2">
      <c r="E454" s="11"/>
      <c r="F454" s="11"/>
      <c r="G454" s="11"/>
      <c r="L454" s="11"/>
      <c r="M454" s="11"/>
      <c r="N454" s="11"/>
      <c r="O454" s="18"/>
      <c r="U454" s="18"/>
      <c r="V454" s="18"/>
      <c r="W454" s="18"/>
      <c r="X454" s="18"/>
    </row>
    <row r="455" spans="5:24" ht="13.2">
      <c r="E455" s="11"/>
      <c r="F455" s="11"/>
      <c r="G455" s="11"/>
      <c r="L455" s="11"/>
      <c r="M455" s="11"/>
      <c r="N455" s="11"/>
      <c r="O455" s="18"/>
      <c r="U455" s="18"/>
      <c r="V455" s="18"/>
      <c r="W455" s="18"/>
      <c r="X455" s="18"/>
    </row>
    <row r="456" spans="5:24" ht="13.2">
      <c r="E456" s="11"/>
      <c r="F456" s="11"/>
      <c r="G456" s="11"/>
      <c r="L456" s="11"/>
      <c r="M456" s="11"/>
      <c r="N456" s="11"/>
      <c r="O456" s="18"/>
      <c r="U456" s="18"/>
      <c r="V456" s="18"/>
      <c r="W456" s="18"/>
      <c r="X456" s="18"/>
    </row>
    <row r="457" spans="5:24" ht="13.2">
      <c r="E457" s="11"/>
      <c r="F457" s="11"/>
      <c r="G457" s="11"/>
      <c r="L457" s="11"/>
      <c r="M457" s="11"/>
      <c r="N457" s="11"/>
      <c r="O457" s="18"/>
      <c r="U457" s="18"/>
      <c r="V457" s="18"/>
      <c r="W457" s="18"/>
      <c r="X457" s="18"/>
    </row>
    <row r="458" spans="5:24" ht="13.2">
      <c r="E458" s="11"/>
      <c r="F458" s="11"/>
      <c r="G458" s="11"/>
      <c r="L458" s="11"/>
      <c r="M458" s="11"/>
      <c r="N458" s="11"/>
      <c r="O458" s="18"/>
      <c r="U458" s="18"/>
      <c r="V458" s="18"/>
      <c r="W458" s="18"/>
      <c r="X458" s="18"/>
    </row>
    <row r="459" spans="5:24" ht="13.2">
      <c r="E459" s="11"/>
      <c r="F459" s="11"/>
      <c r="G459" s="11"/>
      <c r="L459" s="11"/>
      <c r="M459" s="11"/>
      <c r="N459" s="11"/>
      <c r="O459" s="18"/>
      <c r="U459" s="18"/>
      <c r="V459" s="18"/>
      <c r="W459" s="18"/>
      <c r="X459" s="18"/>
    </row>
    <row r="460" spans="5:24" ht="13.2">
      <c r="E460" s="11"/>
      <c r="F460" s="11"/>
      <c r="G460" s="11"/>
      <c r="L460" s="11"/>
      <c r="M460" s="11"/>
      <c r="N460" s="11"/>
      <c r="O460" s="18"/>
      <c r="U460" s="18"/>
      <c r="V460" s="18"/>
      <c r="W460" s="18"/>
      <c r="X460" s="18"/>
    </row>
    <row r="461" spans="5:24" ht="13.2">
      <c r="E461" s="11"/>
      <c r="F461" s="11"/>
      <c r="G461" s="11"/>
      <c r="L461" s="11"/>
      <c r="M461" s="11"/>
      <c r="N461" s="11"/>
      <c r="O461" s="18"/>
      <c r="U461" s="18"/>
      <c r="V461" s="18"/>
      <c r="W461" s="18"/>
      <c r="X461" s="18"/>
    </row>
    <row r="462" spans="5:24" ht="13.2">
      <c r="E462" s="11"/>
      <c r="F462" s="11"/>
      <c r="G462" s="11"/>
      <c r="L462" s="11"/>
      <c r="M462" s="11"/>
      <c r="N462" s="11"/>
      <c r="O462" s="18"/>
      <c r="U462" s="18"/>
      <c r="V462" s="18"/>
      <c r="W462" s="18"/>
      <c r="X462" s="18"/>
    </row>
    <row r="463" spans="5:24" ht="13.2">
      <c r="E463" s="11"/>
      <c r="F463" s="11"/>
      <c r="G463" s="11"/>
      <c r="L463" s="11"/>
      <c r="M463" s="11"/>
      <c r="N463" s="11"/>
      <c r="O463" s="18"/>
      <c r="U463" s="18"/>
      <c r="V463" s="18"/>
      <c r="W463" s="18"/>
      <c r="X463" s="18"/>
    </row>
    <row r="464" spans="5:24" ht="13.2">
      <c r="E464" s="11"/>
      <c r="F464" s="11"/>
      <c r="G464" s="11"/>
      <c r="L464" s="11"/>
      <c r="M464" s="11"/>
      <c r="N464" s="11"/>
      <c r="O464" s="18"/>
      <c r="U464" s="18"/>
      <c r="V464" s="18"/>
      <c r="W464" s="18"/>
      <c r="X464" s="18"/>
    </row>
    <row r="465" spans="5:24" ht="13.2">
      <c r="E465" s="11"/>
      <c r="F465" s="11"/>
      <c r="G465" s="11"/>
      <c r="L465" s="11"/>
      <c r="M465" s="11"/>
      <c r="N465" s="11"/>
      <c r="O465" s="18"/>
      <c r="U465" s="18"/>
      <c r="V465" s="18"/>
      <c r="W465" s="18"/>
      <c r="X465" s="18"/>
    </row>
    <row r="466" spans="5:24" ht="13.2">
      <c r="E466" s="11"/>
      <c r="F466" s="11"/>
      <c r="G466" s="11"/>
      <c r="L466" s="11"/>
      <c r="M466" s="11"/>
      <c r="N466" s="11"/>
      <c r="O466" s="18"/>
      <c r="U466" s="18"/>
      <c r="V466" s="18"/>
      <c r="W466" s="18"/>
      <c r="X466" s="18"/>
    </row>
    <row r="467" spans="5:24" ht="13.2">
      <c r="E467" s="11"/>
      <c r="F467" s="11"/>
      <c r="G467" s="11"/>
      <c r="L467" s="11"/>
      <c r="M467" s="11"/>
      <c r="N467" s="11"/>
      <c r="O467" s="18"/>
      <c r="U467" s="18"/>
      <c r="V467" s="18"/>
      <c r="W467" s="18"/>
      <c r="X467" s="18"/>
    </row>
    <row r="468" spans="5:24" ht="13.2">
      <c r="E468" s="11"/>
      <c r="F468" s="11"/>
      <c r="G468" s="11"/>
      <c r="L468" s="11"/>
      <c r="M468" s="11"/>
      <c r="N468" s="11"/>
      <c r="O468" s="18"/>
      <c r="U468" s="18"/>
      <c r="V468" s="18"/>
      <c r="W468" s="18"/>
      <c r="X468" s="18"/>
    </row>
    <row r="469" spans="5:24" ht="13.2">
      <c r="E469" s="11"/>
      <c r="F469" s="11"/>
      <c r="G469" s="11"/>
      <c r="L469" s="11"/>
      <c r="M469" s="11"/>
      <c r="N469" s="11"/>
      <c r="O469" s="18"/>
      <c r="U469" s="18"/>
      <c r="V469" s="18"/>
      <c r="W469" s="18"/>
      <c r="X469" s="18"/>
    </row>
    <row r="470" spans="5:24" ht="13.2">
      <c r="E470" s="11"/>
      <c r="F470" s="11"/>
      <c r="G470" s="11"/>
      <c r="L470" s="11"/>
      <c r="M470" s="11"/>
      <c r="N470" s="11"/>
      <c r="O470" s="18"/>
      <c r="U470" s="18"/>
      <c r="V470" s="18"/>
      <c r="W470" s="18"/>
      <c r="X470" s="18"/>
    </row>
    <row r="471" spans="5:24" ht="13.2">
      <c r="E471" s="11"/>
      <c r="F471" s="11"/>
      <c r="G471" s="11"/>
      <c r="L471" s="11"/>
      <c r="M471" s="11"/>
      <c r="N471" s="11"/>
      <c r="O471" s="18"/>
      <c r="U471" s="18"/>
      <c r="V471" s="18"/>
      <c r="W471" s="18"/>
      <c r="X471" s="18"/>
    </row>
    <row r="472" spans="5:24" ht="13.2">
      <c r="E472" s="11"/>
      <c r="F472" s="11"/>
      <c r="G472" s="11"/>
      <c r="L472" s="11"/>
      <c r="M472" s="11"/>
      <c r="N472" s="11"/>
      <c r="O472" s="18"/>
      <c r="U472" s="18"/>
      <c r="V472" s="18"/>
      <c r="W472" s="18"/>
      <c r="X472" s="18"/>
    </row>
    <row r="473" spans="5:24" ht="13.2">
      <c r="E473" s="11"/>
      <c r="F473" s="11"/>
      <c r="G473" s="11"/>
      <c r="L473" s="11"/>
      <c r="M473" s="11"/>
      <c r="N473" s="11"/>
      <c r="O473" s="18"/>
      <c r="U473" s="18"/>
      <c r="V473" s="18"/>
      <c r="W473" s="18"/>
      <c r="X473" s="18"/>
    </row>
    <row r="474" spans="5:24" ht="13.2">
      <c r="E474" s="11"/>
      <c r="F474" s="11"/>
      <c r="G474" s="11"/>
      <c r="L474" s="11"/>
      <c r="M474" s="11"/>
      <c r="N474" s="11"/>
      <c r="O474" s="18"/>
      <c r="U474" s="18"/>
      <c r="V474" s="18"/>
      <c r="W474" s="18"/>
      <c r="X474" s="18"/>
    </row>
    <row r="475" spans="5:24" ht="13.2">
      <c r="E475" s="11"/>
      <c r="F475" s="11"/>
      <c r="G475" s="11"/>
      <c r="L475" s="11"/>
      <c r="M475" s="11"/>
      <c r="N475" s="11"/>
      <c r="O475" s="18"/>
      <c r="U475" s="18"/>
      <c r="V475" s="18"/>
      <c r="W475" s="18"/>
      <c r="X475" s="18"/>
    </row>
    <row r="476" spans="5:24" ht="13.2">
      <c r="E476" s="11"/>
      <c r="F476" s="11"/>
      <c r="G476" s="11"/>
      <c r="L476" s="11"/>
      <c r="M476" s="11"/>
      <c r="N476" s="11"/>
      <c r="O476" s="18"/>
      <c r="U476" s="18"/>
      <c r="V476" s="18"/>
      <c r="W476" s="18"/>
      <c r="X476" s="18"/>
    </row>
    <row r="477" spans="5:24" ht="13.2">
      <c r="E477" s="11"/>
      <c r="F477" s="11"/>
      <c r="G477" s="11"/>
      <c r="L477" s="11"/>
      <c r="M477" s="11"/>
      <c r="N477" s="11"/>
      <c r="O477" s="18"/>
      <c r="U477" s="18"/>
      <c r="V477" s="18"/>
      <c r="W477" s="18"/>
      <c r="X477" s="18"/>
    </row>
    <row r="478" spans="5:24" ht="13.2">
      <c r="E478" s="11"/>
      <c r="F478" s="11"/>
      <c r="G478" s="11"/>
      <c r="L478" s="11"/>
      <c r="M478" s="11"/>
      <c r="N478" s="11"/>
      <c r="O478" s="18"/>
      <c r="U478" s="18"/>
      <c r="V478" s="18"/>
      <c r="W478" s="18"/>
      <c r="X478" s="18"/>
    </row>
    <row r="479" spans="5:24" ht="13.2">
      <c r="E479" s="11"/>
      <c r="F479" s="11"/>
      <c r="G479" s="11"/>
      <c r="L479" s="11"/>
      <c r="M479" s="11"/>
      <c r="N479" s="11"/>
      <c r="O479" s="18"/>
      <c r="U479" s="18"/>
      <c r="V479" s="18"/>
      <c r="W479" s="18"/>
      <c r="X479" s="18"/>
    </row>
    <row r="480" spans="5:24" ht="13.2">
      <c r="E480" s="11"/>
      <c r="F480" s="11"/>
      <c r="G480" s="11"/>
      <c r="L480" s="11"/>
      <c r="M480" s="11"/>
      <c r="N480" s="11"/>
      <c r="O480" s="18"/>
      <c r="U480" s="18"/>
      <c r="V480" s="18"/>
      <c r="W480" s="18"/>
      <c r="X480" s="18"/>
    </row>
    <row r="481" spans="5:24" ht="13.2">
      <c r="E481" s="11"/>
      <c r="F481" s="11"/>
      <c r="G481" s="11"/>
      <c r="L481" s="11"/>
      <c r="M481" s="11"/>
      <c r="N481" s="11"/>
      <c r="O481" s="18"/>
      <c r="U481" s="18"/>
      <c r="V481" s="18"/>
      <c r="W481" s="18"/>
      <c r="X481" s="18"/>
    </row>
    <row r="482" spans="5:24" ht="13.2">
      <c r="E482" s="11"/>
      <c r="F482" s="11"/>
      <c r="G482" s="11"/>
      <c r="L482" s="11"/>
      <c r="M482" s="11"/>
      <c r="N482" s="11"/>
      <c r="O482" s="18"/>
      <c r="U482" s="18"/>
      <c r="V482" s="18"/>
      <c r="W482" s="18"/>
      <c r="X482" s="18"/>
    </row>
    <row r="483" spans="5:24" ht="13.2">
      <c r="E483" s="11"/>
      <c r="F483" s="11"/>
      <c r="G483" s="11"/>
      <c r="L483" s="11"/>
      <c r="M483" s="11"/>
      <c r="N483" s="11"/>
      <c r="O483" s="18"/>
      <c r="U483" s="18"/>
      <c r="V483" s="18"/>
      <c r="W483" s="18"/>
      <c r="X483" s="18"/>
    </row>
    <row r="484" spans="5:24" ht="13.2">
      <c r="E484" s="11"/>
      <c r="F484" s="11"/>
      <c r="G484" s="11"/>
      <c r="L484" s="11"/>
      <c r="M484" s="11"/>
      <c r="N484" s="11"/>
      <c r="O484" s="18"/>
      <c r="U484" s="18"/>
      <c r="V484" s="18"/>
      <c r="W484" s="18"/>
      <c r="X484" s="18"/>
    </row>
    <row r="485" spans="5:24" ht="13.2">
      <c r="E485" s="11"/>
      <c r="F485" s="11"/>
      <c r="G485" s="11"/>
      <c r="L485" s="11"/>
      <c r="M485" s="11"/>
      <c r="N485" s="11"/>
      <c r="O485" s="18"/>
      <c r="U485" s="18"/>
      <c r="V485" s="18"/>
      <c r="W485" s="18"/>
      <c r="X485" s="18"/>
    </row>
    <row r="486" spans="5:24" ht="13.2">
      <c r="E486" s="11"/>
      <c r="F486" s="11"/>
      <c r="G486" s="11"/>
      <c r="L486" s="11"/>
      <c r="M486" s="11"/>
      <c r="N486" s="11"/>
      <c r="O486" s="18"/>
      <c r="U486" s="18"/>
      <c r="V486" s="18"/>
      <c r="W486" s="18"/>
      <c r="X486" s="18"/>
    </row>
    <row r="487" spans="5:24" ht="13.2">
      <c r="E487" s="11"/>
      <c r="F487" s="11"/>
      <c r="G487" s="11"/>
      <c r="L487" s="11"/>
      <c r="M487" s="11"/>
      <c r="N487" s="11"/>
      <c r="O487" s="18"/>
      <c r="U487" s="18"/>
      <c r="V487" s="18"/>
      <c r="W487" s="18"/>
      <c r="X487" s="18"/>
    </row>
    <row r="488" spans="5:24" ht="13.2">
      <c r="E488" s="11"/>
      <c r="F488" s="11"/>
      <c r="G488" s="11"/>
      <c r="L488" s="11"/>
      <c r="M488" s="11"/>
      <c r="N488" s="11"/>
      <c r="O488" s="18"/>
      <c r="U488" s="18"/>
      <c r="V488" s="18"/>
      <c r="W488" s="18"/>
      <c r="X488" s="18"/>
    </row>
    <row r="489" spans="5:24" ht="13.2">
      <c r="E489" s="11"/>
      <c r="F489" s="11"/>
      <c r="G489" s="11"/>
      <c r="L489" s="11"/>
      <c r="M489" s="11"/>
      <c r="N489" s="11"/>
      <c r="O489" s="18"/>
      <c r="U489" s="18"/>
      <c r="V489" s="18"/>
      <c r="W489" s="18"/>
      <c r="X489" s="18"/>
    </row>
    <row r="490" spans="5:24" ht="13.2">
      <c r="E490" s="11"/>
      <c r="F490" s="11"/>
      <c r="G490" s="11"/>
      <c r="L490" s="11"/>
      <c r="M490" s="11"/>
      <c r="N490" s="11"/>
      <c r="O490" s="18"/>
      <c r="U490" s="18"/>
      <c r="V490" s="18"/>
      <c r="W490" s="18"/>
      <c r="X490" s="18"/>
    </row>
    <row r="491" spans="5:24" ht="13.2">
      <c r="E491" s="11"/>
      <c r="F491" s="11"/>
      <c r="G491" s="11"/>
      <c r="L491" s="11"/>
      <c r="M491" s="11"/>
      <c r="N491" s="11"/>
      <c r="O491" s="18"/>
      <c r="U491" s="18"/>
      <c r="V491" s="18"/>
      <c r="W491" s="18"/>
      <c r="X491" s="18"/>
    </row>
    <row r="492" spans="5:24" ht="13.2">
      <c r="E492" s="11"/>
      <c r="F492" s="11"/>
      <c r="G492" s="11"/>
      <c r="L492" s="11"/>
      <c r="M492" s="11"/>
      <c r="N492" s="11"/>
      <c r="O492" s="18"/>
      <c r="U492" s="18"/>
      <c r="V492" s="18"/>
      <c r="W492" s="18"/>
      <c r="X492" s="18"/>
    </row>
    <row r="493" spans="5:24" ht="13.2">
      <c r="E493" s="11"/>
      <c r="F493" s="11"/>
      <c r="G493" s="11"/>
      <c r="L493" s="11"/>
      <c r="M493" s="11"/>
      <c r="N493" s="11"/>
      <c r="O493" s="18"/>
      <c r="U493" s="18"/>
      <c r="V493" s="18"/>
      <c r="W493" s="18"/>
      <c r="X493" s="18"/>
    </row>
    <row r="494" spans="5:24" ht="13.2">
      <c r="E494" s="11"/>
      <c r="F494" s="11"/>
      <c r="G494" s="11"/>
      <c r="L494" s="11"/>
      <c r="M494" s="11"/>
      <c r="N494" s="11"/>
      <c r="O494" s="18"/>
      <c r="U494" s="18"/>
      <c r="V494" s="18"/>
      <c r="W494" s="18"/>
      <c r="X494" s="18"/>
    </row>
    <row r="495" spans="5:24" ht="13.2">
      <c r="E495" s="11"/>
      <c r="F495" s="11"/>
      <c r="G495" s="11"/>
      <c r="L495" s="11"/>
      <c r="M495" s="11"/>
      <c r="N495" s="11"/>
      <c r="O495" s="18"/>
      <c r="U495" s="18"/>
      <c r="V495" s="18"/>
      <c r="W495" s="18"/>
      <c r="X495" s="18"/>
    </row>
    <row r="496" spans="5:24" ht="13.2">
      <c r="E496" s="11"/>
      <c r="F496" s="11"/>
      <c r="G496" s="11"/>
      <c r="L496" s="11"/>
      <c r="M496" s="11"/>
      <c r="N496" s="11"/>
      <c r="O496" s="18"/>
      <c r="U496" s="18"/>
      <c r="V496" s="18"/>
      <c r="W496" s="18"/>
      <c r="X496" s="18"/>
    </row>
    <row r="497" spans="5:24" ht="13.2">
      <c r="E497" s="11"/>
      <c r="F497" s="11"/>
      <c r="G497" s="11"/>
      <c r="L497" s="11"/>
      <c r="M497" s="11"/>
      <c r="N497" s="11"/>
      <c r="O497" s="18"/>
      <c r="U497" s="18"/>
      <c r="V497" s="18"/>
      <c r="W497" s="18"/>
      <c r="X497" s="18"/>
    </row>
    <row r="498" spans="5:24" ht="13.2">
      <c r="E498" s="11"/>
      <c r="F498" s="11"/>
      <c r="G498" s="11"/>
      <c r="L498" s="11"/>
      <c r="M498" s="11"/>
      <c r="N498" s="11"/>
      <c r="O498" s="18"/>
      <c r="U498" s="18"/>
      <c r="V498" s="18"/>
      <c r="W498" s="18"/>
      <c r="X498" s="18"/>
    </row>
    <row r="499" spans="5:24" ht="13.2">
      <c r="E499" s="11"/>
      <c r="F499" s="11"/>
      <c r="G499" s="11"/>
      <c r="L499" s="11"/>
      <c r="M499" s="11"/>
      <c r="N499" s="11"/>
      <c r="O499" s="18"/>
      <c r="U499" s="18"/>
      <c r="V499" s="18"/>
      <c r="W499" s="18"/>
      <c r="X499" s="18"/>
    </row>
    <row r="500" spans="5:24" ht="13.2">
      <c r="E500" s="11"/>
      <c r="F500" s="11"/>
      <c r="G500" s="11"/>
      <c r="L500" s="11"/>
      <c r="M500" s="11"/>
      <c r="N500" s="11"/>
      <c r="O500" s="18"/>
      <c r="U500" s="18"/>
      <c r="V500" s="18"/>
      <c r="W500" s="18"/>
      <c r="X500" s="18"/>
    </row>
    <row r="501" spans="5:24" ht="13.2">
      <c r="E501" s="11"/>
      <c r="F501" s="11"/>
      <c r="G501" s="11"/>
      <c r="L501" s="11"/>
      <c r="M501" s="11"/>
      <c r="N501" s="11"/>
      <c r="O501" s="18"/>
      <c r="U501" s="18"/>
      <c r="V501" s="18"/>
      <c r="W501" s="18"/>
      <c r="X501" s="18"/>
    </row>
    <row r="502" spans="5:24" ht="13.2">
      <c r="E502" s="11"/>
      <c r="F502" s="11"/>
      <c r="G502" s="11"/>
      <c r="L502" s="11"/>
      <c r="M502" s="11"/>
      <c r="N502" s="11"/>
      <c r="O502" s="18"/>
      <c r="U502" s="18"/>
      <c r="V502" s="18"/>
      <c r="W502" s="18"/>
      <c r="X502" s="18"/>
    </row>
    <row r="503" spans="5:24" ht="13.2">
      <c r="E503" s="11"/>
      <c r="F503" s="11"/>
      <c r="G503" s="11"/>
      <c r="L503" s="11"/>
      <c r="M503" s="11"/>
      <c r="N503" s="11"/>
      <c r="O503" s="18"/>
      <c r="U503" s="18"/>
      <c r="V503" s="18"/>
      <c r="W503" s="18"/>
      <c r="X503" s="18"/>
    </row>
    <row r="504" spans="5:24" ht="13.2">
      <c r="E504" s="11"/>
      <c r="F504" s="11"/>
      <c r="G504" s="11"/>
      <c r="L504" s="11"/>
      <c r="M504" s="11"/>
      <c r="N504" s="11"/>
      <c r="O504" s="18"/>
      <c r="U504" s="18"/>
      <c r="V504" s="18"/>
      <c r="W504" s="18"/>
      <c r="X504" s="18"/>
    </row>
    <row r="505" spans="5:24" ht="13.2">
      <c r="E505" s="11"/>
      <c r="F505" s="11"/>
      <c r="G505" s="11"/>
      <c r="L505" s="11"/>
      <c r="M505" s="11"/>
      <c r="N505" s="11"/>
      <c r="O505" s="18"/>
      <c r="U505" s="18"/>
      <c r="V505" s="18"/>
      <c r="W505" s="18"/>
      <c r="X505" s="18"/>
    </row>
    <row r="506" spans="5:24" ht="13.2">
      <c r="E506" s="11"/>
      <c r="F506" s="11"/>
      <c r="G506" s="11"/>
      <c r="L506" s="11"/>
      <c r="M506" s="11"/>
      <c r="N506" s="11"/>
      <c r="O506" s="18"/>
      <c r="U506" s="18"/>
      <c r="V506" s="18"/>
      <c r="W506" s="18"/>
      <c r="X506" s="18"/>
    </row>
    <row r="507" spans="5:24" ht="13.2">
      <c r="E507" s="11"/>
      <c r="F507" s="11"/>
      <c r="G507" s="11"/>
      <c r="L507" s="11"/>
      <c r="M507" s="11"/>
      <c r="N507" s="11"/>
      <c r="O507" s="18"/>
      <c r="U507" s="18"/>
      <c r="V507" s="18"/>
      <c r="W507" s="18"/>
      <c r="X507" s="18"/>
    </row>
    <row r="508" spans="5:24" ht="13.2">
      <c r="E508" s="11"/>
      <c r="F508" s="11"/>
      <c r="G508" s="11"/>
      <c r="L508" s="11"/>
      <c r="M508" s="11"/>
      <c r="N508" s="11"/>
      <c r="O508" s="18"/>
      <c r="U508" s="18"/>
      <c r="V508" s="18"/>
      <c r="W508" s="18"/>
      <c r="X508" s="18"/>
    </row>
    <row r="509" spans="5:24" ht="13.2">
      <c r="E509" s="11"/>
      <c r="F509" s="11"/>
      <c r="G509" s="11"/>
      <c r="L509" s="11"/>
      <c r="M509" s="11"/>
      <c r="N509" s="11"/>
      <c r="O509" s="18"/>
      <c r="U509" s="18"/>
      <c r="V509" s="18"/>
      <c r="W509" s="18"/>
      <c r="X509" s="18"/>
    </row>
    <row r="510" spans="5:24" ht="13.2">
      <c r="E510" s="11"/>
      <c r="F510" s="11"/>
      <c r="G510" s="11"/>
      <c r="L510" s="11"/>
      <c r="M510" s="11"/>
      <c r="N510" s="11"/>
      <c r="O510" s="18"/>
      <c r="U510" s="18"/>
      <c r="V510" s="18"/>
      <c r="W510" s="18"/>
      <c r="X510" s="18"/>
    </row>
    <row r="511" spans="5:24" ht="13.2">
      <c r="E511" s="11"/>
      <c r="F511" s="11"/>
      <c r="G511" s="11"/>
      <c r="L511" s="11"/>
      <c r="M511" s="11"/>
      <c r="N511" s="11"/>
      <c r="O511" s="18"/>
      <c r="U511" s="18"/>
      <c r="V511" s="18"/>
      <c r="W511" s="18"/>
      <c r="X511" s="18"/>
    </row>
    <row r="512" spans="5:24" ht="13.2">
      <c r="E512" s="11"/>
      <c r="F512" s="11"/>
      <c r="G512" s="11"/>
      <c r="L512" s="11"/>
      <c r="M512" s="11"/>
      <c r="N512" s="11"/>
      <c r="O512" s="18"/>
      <c r="U512" s="18"/>
      <c r="V512" s="18"/>
      <c r="W512" s="18"/>
      <c r="X512" s="18"/>
    </row>
    <row r="513" spans="5:24" ht="13.2">
      <c r="E513" s="11"/>
      <c r="F513" s="11"/>
      <c r="G513" s="11"/>
      <c r="L513" s="11"/>
      <c r="M513" s="11"/>
      <c r="N513" s="11"/>
      <c r="O513" s="18"/>
      <c r="U513" s="18"/>
      <c r="V513" s="18"/>
      <c r="W513" s="18"/>
      <c r="X513" s="18"/>
    </row>
    <row r="514" spans="5:24" ht="13.2">
      <c r="E514" s="11"/>
      <c r="F514" s="11"/>
      <c r="G514" s="11"/>
      <c r="L514" s="11"/>
      <c r="M514" s="11"/>
      <c r="N514" s="11"/>
      <c r="O514" s="18"/>
      <c r="U514" s="18"/>
      <c r="V514" s="18"/>
      <c r="W514" s="18"/>
      <c r="X514" s="18"/>
    </row>
    <row r="515" spans="5:24" ht="13.2">
      <c r="E515" s="11"/>
      <c r="F515" s="11"/>
      <c r="G515" s="11"/>
      <c r="L515" s="11"/>
      <c r="M515" s="11"/>
      <c r="N515" s="11"/>
      <c r="O515" s="18"/>
      <c r="U515" s="18"/>
      <c r="V515" s="18"/>
      <c r="W515" s="18"/>
      <c r="X515" s="18"/>
    </row>
    <row r="516" spans="5:24" ht="13.2">
      <c r="E516" s="11"/>
      <c r="F516" s="11"/>
      <c r="G516" s="11"/>
      <c r="L516" s="11"/>
      <c r="M516" s="11"/>
      <c r="N516" s="11"/>
      <c r="O516" s="18"/>
      <c r="U516" s="18"/>
      <c r="V516" s="18"/>
      <c r="W516" s="18"/>
      <c r="X516" s="18"/>
    </row>
    <row r="517" spans="5:24" ht="13.2">
      <c r="E517" s="11"/>
      <c r="F517" s="11"/>
      <c r="G517" s="11"/>
      <c r="L517" s="11"/>
      <c r="M517" s="11"/>
      <c r="N517" s="11"/>
      <c r="O517" s="18"/>
      <c r="U517" s="18"/>
      <c r="V517" s="18"/>
      <c r="W517" s="18"/>
      <c r="X517" s="18"/>
    </row>
    <row r="518" spans="5:24" ht="13.2">
      <c r="E518" s="11"/>
      <c r="F518" s="11"/>
      <c r="G518" s="11"/>
      <c r="L518" s="11"/>
      <c r="M518" s="11"/>
      <c r="N518" s="11"/>
      <c r="O518" s="18"/>
      <c r="U518" s="18"/>
      <c r="V518" s="18"/>
      <c r="W518" s="18"/>
      <c r="X518" s="18"/>
    </row>
    <row r="519" spans="5:24" ht="13.2">
      <c r="E519" s="11"/>
      <c r="F519" s="11"/>
      <c r="G519" s="11"/>
      <c r="L519" s="11"/>
      <c r="M519" s="11"/>
      <c r="N519" s="11"/>
      <c r="O519" s="18"/>
      <c r="U519" s="18"/>
      <c r="V519" s="18"/>
      <c r="W519" s="18"/>
      <c r="X519" s="18"/>
    </row>
    <row r="520" spans="5:24" ht="13.2">
      <c r="E520" s="11"/>
      <c r="F520" s="11"/>
      <c r="G520" s="11"/>
      <c r="L520" s="11"/>
      <c r="M520" s="11"/>
      <c r="N520" s="11"/>
      <c r="O520" s="18"/>
      <c r="U520" s="18"/>
      <c r="V520" s="18"/>
      <c r="W520" s="18"/>
      <c r="X520" s="18"/>
    </row>
    <row r="521" spans="5:24" ht="13.2">
      <c r="E521" s="11"/>
      <c r="F521" s="11"/>
      <c r="G521" s="11"/>
      <c r="L521" s="11"/>
      <c r="M521" s="11"/>
      <c r="N521" s="11"/>
      <c r="O521" s="18"/>
      <c r="U521" s="18"/>
      <c r="V521" s="18"/>
      <c r="W521" s="18"/>
      <c r="X521" s="18"/>
    </row>
    <row r="522" spans="5:24" ht="13.2">
      <c r="E522" s="11"/>
      <c r="F522" s="11"/>
      <c r="G522" s="11"/>
      <c r="L522" s="11"/>
      <c r="M522" s="11"/>
      <c r="N522" s="11"/>
      <c r="O522" s="18"/>
      <c r="U522" s="18"/>
      <c r="V522" s="18"/>
      <c r="W522" s="18"/>
      <c r="X522" s="18"/>
    </row>
    <row r="523" spans="5:24" ht="13.2">
      <c r="E523" s="11"/>
      <c r="F523" s="11"/>
      <c r="G523" s="11"/>
      <c r="L523" s="11"/>
      <c r="M523" s="11"/>
      <c r="N523" s="11"/>
      <c r="O523" s="18"/>
      <c r="U523" s="18"/>
      <c r="V523" s="18"/>
      <c r="W523" s="18"/>
      <c r="X523" s="18"/>
    </row>
    <row r="524" spans="5:24" ht="13.2">
      <c r="E524" s="11"/>
      <c r="F524" s="11"/>
      <c r="G524" s="11"/>
      <c r="L524" s="11"/>
      <c r="M524" s="11"/>
      <c r="N524" s="11"/>
      <c r="O524" s="18"/>
      <c r="U524" s="18"/>
      <c r="V524" s="18"/>
      <c r="W524" s="18"/>
      <c r="X524" s="18"/>
    </row>
    <row r="525" spans="5:24" ht="13.2">
      <c r="E525" s="11"/>
      <c r="F525" s="11"/>
      <c r="G525" s="11"/>
      <c r="L525" s="11"/>
      <c r="M525" s="11"/>
      <c r="N525" s="11"/>
      <c r="O525" s="18"/>
      <c r="U525" s="18"/>
      <c r="V525" s="18"/>
      <c r="W525" s="18"/>
      <c r="X525" s="18"/>
    </row>
    <row r="526" spans="5:24" ht="13.2">
      <c r="E526" s="11"/>
      <c r="F526" s="11"/>
      <c r="G526" s="11"/>
      <c r="L526" s="11"/>
      <c r="M526" s="11"/>
      <c r="N526" s="11"/>
      <c r="O526" s="18"/>
      <c r="U526" s="18"/>
      <c r="V526" s="18"/>
      <c r="W526" s="18"/>
      <c r="X526" s="18"/>
    </row>
    <row r="527" spans="5:24" ht="13.2">
      <c r="E527" s="11"/>
      <c r="F527" s="11"/>
      <c r="G527" s="11"/>
      <c r="L527" s="11"/>
      <c r="M527" s="11"/>
      <c r="N527" s="11"/>
      <c r="O527" s="18"/>
      <c r="U527" s="18"/>
      <c r="V527" s="18"/>
      <c r="W527" s="18"/>
      <c r="X527" s="18"/>
    </row>
    <row r="528" spans="5:24" ht="13.2">
      <c r="E528" s="11"/>
      <c r="F528" s="11"/>
      <c r="G528" s="11"/>
      <c r="L528" s="11"/>
      <c r="M528" s="11"/>
      <c r="N528" s="11"/>
      <c r="O528" s="18"/>
      <c r="U528" s="18"/>
      <c r="V528" s="18"/>
      <c r="W528" s="18"/>
      <c r="X528" s="18"/>
    </row>
    <row r="529" spans="5:24" ht="13.2">
      <c r="E529" s="11"/>
      <c r="F529" s="11"/>
      <c r="G529" s="11"/>
      <c r="L529" s="11"/>
      <c r="M529" s="11"/>
      <c r="N529" s="11"/>
      <c r="O529" s="18"/>
      <c r="U529" s="18"/>
      <c r="V529" s="18"/>
      <c r="W529" s="18"/>
      <c r="X529" s="18"/>
    </row>
    <row r="530" spans="5:24" ht="13.2">
      <c r="E530" s="11"/>
      <c r="F530" s="11"/>
      <c r="G530" s="11"/>
      <c r="L530" s="11"/>
      <c r="M530" s="11"/>
      <c r="N530" s="11"/>
      <c r="O530" s="18"/>
      <c r="U530" s="18"/>
      <c r="V530" s="18"/>
      <c r="W530" s="18"/>
      <c r="X530" s="18"/>
    </row>
    <row r="531" spans="5:24" ht="13.2">
      <c r="E531" s="11"/>
      <c r="F531" s="11"/>
      <c r="G531" s="11"/>
      <c r="L531" s="11"/>
      <c r="M531" s="11"/>
      <c r="N531" s="11"/>
      <c r="O531" s="18"/>
      <c r="U531" s="18"/>
      <c r="V531" s="18"/>
      <c r="W531" s="18"/>
      <c r="X531" s="18"/>
    </row>
    <row r="532" spans="5:24" ht="13.2">
      <c r="E532" s="11"/>
      <c r="F532" s="11"/>
      <c r="G532" s="11"/>
      <c r="L532" s="11"/>
      <c r="M532" s="11"/>
      <c r="N532" s="11"/>
      <c r="O532" s="18"/>
      <c r="U532" s="18"/>
      <c r="V532" s="18"/>
      <c r="W532" s="18"/>
      <c r="X532" s="18"/>
    </row>
    <row r="533" spans="5:24" ht="13.2">
      <c r="E533" s="11"/>
      <c r="F533" s="11"/>
      <c r="G533" s="11"/>
      <c r="L533" s="11"/>
      <c r="M533" s="11"/>
      <c r="N533" s="11"/>
      <c r="O533" s="18"/>
      <c r="U533" s="18"/>
      <c r="V533" s="18"/>
      <c r="W533" s="18"/>
      <c r="X533" s="18"/>
    </row>
    <row r="534" spans="5:24" ht="13.2">
      <c r="E534" s="11"/>
      <c r="F534" s="11"/>
      <c r="G534" s="11"/>
      <c r="L534" s="11"/>
      <c r="M534" s="11"/>
      <c r="N534" s="11"/>
      <c r="O534" s="18"/>
      <c r="U534" s="18"/>
      <c r="V534" s="18"/>
      <c r="W534" s="18"/>
      <c r="X534" s="18"/>
    </row>
    <row r="535" spans="5:24" ht="13.2">
      <c r="E535" s="11"/>
      <c r="F535" s="11"/>
      <c r="G535" s="11"/>
      <c r="L535" s="11"/>
      <c r="M535" s="11"/>
      <c r="N535" s="11"/>
      <c r="O535" s="18"/>
      <c r="U535" s="18"/>
      <c r="V535" s="18"/>
      <c r="W535" s="18"/>
      <c r="X535" s="18"/>
    </row>
    <row r="536" spans="5:24" ht="13.2">
      <c r="E536" s="11"/>
      <c r="F536" s="11"/>
      <c r="G536" s="11"/>
      <c r="L536" s="11"/>
      <c r="M536" s="11"/>
      <c r="N536" s="11"/>
      <c r="O536" s="18"/>
      <c r="U536" s="18"/>
      <c r="V536" s="18"/>
      <c r="W536" s="18"/>
      <c r="X536" s="18"/>
    </row>
    <row r="537" spans="5:24" ht="13.2">
      <c r="E537" s="11"/>
      <c r="F537" s="11"/>
      <c r="G537" s="11"/>
      <c r="L537" s="11"/>
      <c r="M537" s="11"/>
      <c r="N537" s="11"/>
      <c r="O537" s="18"/>
      <c r="U537" s="18"/>
      <c r="V537" s="18"/>
      <c r="W537" s="18"/>
      <c r="X537" s="18"/>
    </row>
    <row r="538" spans="5:24" ht="13.2">
      <c r="E538" s="11"/>
      <c r="F538" s="11"/>
      <c r="G538" s="11"/>
      <c r="L538" s="11"/>
      <c r="M538" s="11"/>
      <c r="N538" s="11"/>
      <c r="O538" s="18"/>
      <c r="U538" s="18"/>
      <c r="V538" s="18"/>
      <c r="W538" s="18"/>
      <c r="X538" s="18"/>
    </row>
    <row r="539" spans="5:24" ht="13.2">
      <c r="E539" s="11"/>
      <c r="F539" s="11"/>
      <c r="G539" s="11"/>
      <c r="L539" s="11"/>
      <c r="M539" s="11"/>
      <c r="N539" s="11"/>
      <c r="O539" s="18"/>
      <c r="U539" s="18"/>
      <c r="V539" s="18"/>
      <c r="W539" s="18"/>
      <c r="X539" s="18"/>
    </row>
    <row r="540" spans="5:24" ht="13.2">
      <c r="E540" s="11"/>
      <c r="F540" s="11"/>
      <c r="G540" s="11"/>
      <c r="L540" s="11"/>
      <c r="M540" s="11"/>
      <c r="N540" s="11"/>
      <c r="O540" s="18"/>
      <c r="U540" s="18"/>
      <c r="V540" s="18"/>
      <c r="W540" s="18"/>
      <c r="X540" s="18"/>
    </row>
    <row r="541" spans="5:24" ht="13.2">
      <c r="E541" s="11"/>
      <c r="F541" s="11"/>
      <c r="G541" s="11"/>
      <c r="L541" s="11"/>
      <c r="M541" s="11"/>
      <c r="N541" s="11"/>
      <c r="O541" s="18"/>
      <c r="U541" s="18"/>
      <c r="V541" s="18"/>
      <c r="W541" s="18"/>
      <c r="X541" s="18"/>
    </row>
    <row r="542" spans="5:24" ht="13.2">
      <c r="E542" s="11"/>
      <c r="F542" s="11"/>
      <c r="G542" s="11"/>
      <c r="L542" s="11"/>
      <c r="M542" s="11"/>
      <c r="N542" s="11"/>
      <c r="O542" s="18"/>
      <c r="U542" s="18"/>
      <c r="V542" s="18"/>
      <c r="W542" s="18"/>
      <c r="X542" s="18"/>
    </row>
    <row r="543" spans="5:24" ht="13.2">
      <c r="E543" s="11"/>
      <c r="F543" s="11"/>
      <c r="G543" s="11"/>
      <c r="L543" s="11"/>
      <c r="M543" s="11"/>
      <c r="N543" s="11"/>
      <c r="O543" s="18"/>
      <c r="U543" s="18"/>
      <c r="V543" s="18"/>
      <c r="W543" s="18"/>
      <c r="X543" s="18"/>
    </row>
    <row r="544" spans="5:24" ht="13.2">
      <c r="E544" s="11"/>
      <c r="F544" s="11"/>
      <c r="G544" s="11"/>
      <c r="L544" s="11"/>
      <c r="M544" s="11"/>
      <c r="N544" s="11"/>
      <c r="O544" s="18"/>
      <c r="U544" s="18"/>
      <c r="V544" s="18"/>
      <c r="W544" s="18"/>
      <c r="X544" s="18"/>
    </row>
    <row r="545" spans="5:24" ht="13.2">
      <c r="E545" s="11"/>
      <c r="F545" s="11"/>
      <c r="G545" s="11"/>
      <c r="L545" s="11"/>
      <c r="M545" s="11"/>
      <c r="N545" s="11"/>
      <c r="O545" s="18"/>
      <c r="U545" s="18"/>
      <c r="V545" s="18"/>
      <c r="W545" s="18"/>
      <c r="X545" s="18"/>
    </row>
    <row r="546" spans="5:24" ht="13.2">
      <c r="E546" s="11"/>
      <c r="F546" s="11"/>
      <c r="G546" s="11"/>
      <c r="L546" s="11"/>
      <c r="M546" s="11"/>
      <c r="N546" s="11"/>
      <c r="O546" s="18"/>
      <c r="U546" s="18"/>
      <c r="V546" s="18"/>
      <c r="W546" s="18"/>
      <c r="X546" s="18"/>
    </row>
    <row r="547" spans="5:24" ht="13.2">
      <c r="E547" s="11"/>
      <c r="F547" s="11"/>
      <c r="G547" s="11"/>
      <c r="L547" s="11"/>
      <c r="M547" s="11"/>
      <c r="N547" s="11"/>
      <c r="O547" s="18"/>
      <c r="U547" s="18"/>
      <c r="V547" s="18"/>
      <c r="W547" s="18"/>
      <c r="X547" s="18"/>
    </row>
    <row r="548" spans="5:24" ht="13.2">
      <c r="E548" s="11"/>
      <c r="F548" s="11"/>
      <c r="G548" s="11"/>
      <c r="L548" s="11"/>
      <c r="M548" s="11"/>
      <c r="N548" s="11"/>
      <c r="O548" s="18"/>
      <c r="U548" s="18"/>
      <c r="V548" s="18"/>
      <c r="W548" s="18"/>
      <c r="X548" s="18"/>
    </row>
    <row r="549" spans="5:24" ht="13.2">
      <c r="E549" s="11"/>
      <c r="F549" s="11"/>
      <c r="G549" s="11"/>
      <c r="L549" s="11"/>
      <c r="M549" s="11"/>
      <c r="N549" s="11"/>
      <c r="O549" s="18"/>
      <c r="U549" s="18"/>
      <c r="V549" s="18"/>
      <c r="W549" s="18"/>
      <c r="X549" s="18"/>
    </row>
    <row r="550" spans="5:24" ht="13.2">
      <c r="E550" s="11"/>
      <c r="F550" s="11"/>
      <c r="G550" s="11"/>
      <c r="L550" s="11"/>
      <c r="M550" s="11"/>
      <c r="N550" s="11"/>
      <c r="O550" s="18"/>
      <c r="U550" s="18"/>
      <c r="V550" s="18"/>
      <c r="W550" s="18"/>
      <c r="X550" s="18"/>
    </row>
    <row r="551" spans="5:24" ht="13.2">
      <c r="E551" s="11"/>
      <c r="F551" s="11"/>
      <c r="G551" s="11"/>
      <c r="L551" s="11"/>
      <c r="M551" s="11"/>
      <c r="N551" s="11"/>
      <c r="O551" s="18"/>
      <c r="U551" s="18"/>
      <c r="V551" s="18"/>
      <c r="W551" s="18"/>
      <c r="X551" s="18"/>
    </row>
    <row r="552" spans="5:24" ht="13.2">
      <c r="E552" s="11"/>
      <c r="F552" s="11"/>
      <c r="G552" s="11"/>
      <c r="L552" s="11"/>
      <c r="M552" s="11"/>
      <c r="N552" s="11"/>
      <c r="O552" s="18"/>
      <c r="U552" s="18"/>
      <c r="V552" s="18"/>
      <c r="W552" s="18"/>
      <c r="X552" s="18"/>
    </row>
    <row r="553" spans="5:24" ht="13.2">
      <c r="E553" s="11"/>
      <c r="F553" s="11"/>
      <c r="G553" s="11"/>
      <c r="L553" s="11"/>
      <c r="M553" s="11"/>
      <c r="N553" s="11"/>
      <c r="O553" s="18"/>
      <c r="U553" s="18"/>
      <c r="V553" s="18"/>
      <c r="W553" s="18"/>
      <c r="X553" s="18"/>
    </row>
    <row r="554" spans="5:24" ht="13.2">
      <c r="E554" s="11"/>
      <c r="F554" s="11"/>
      <c r="G554" s="11"/>
      <c r="L554" s="11"/>
      <c r="M554" s="11"/>
      <c r="N554" s="11"/>
      <c r="O554" s="18"/>
      <c r="U554" s="18"/>
      <c r="V554" s="18"/>
      <c r="W554" s="18"/>
      <c r="X554" s="18"/>
    </row>
    <row r="555" spans="5:24" ht="13.2">
      <c r="E555" s="11"/>
      <c r="F555" s="11"/>
      <c r="G555" s="11"/>
      <c r="L555" s="11"/>
      <c r="M555" s="11"/>
      <c r="N555" s="11"/>
      <c r="O555" s="18"/>
      <c r="U555" s="18"/>
      <c r="V555" s="18"/>
      <c r="W555" s="18"/>
      <c r="X555" s="18"/>
    </row>
    <row r="556" spans="5:24" ht="13.2">
      <c r="E556" s="11"/>
      <c r="F556" s="11"/>
      <c r="G556" s="11"/>
      <c r="L556" s="11"/>
      <c r="M556" s="11"/>
      <c r="N556" s="11"/>
      <c r="O556" s="18"/>
      <c r="U556" s="18"/>
      <c r="V556" s="18"/>
      <c r="W556" s="18"/>
      <c r="X556" s="18"/>
    </row>
    <row r="557" spans="5:24" ht="13.2">
      <c r="E557" s="11"/>
      <c r="F557" s="11"/>
      <c r="G557" s="11"/>
      <c r="L557" s="11"/>
      <c r="M557" s="11"/>
      <c r="N557" s="11"/>
      <c r="O557" s="18"/>
      <c r="U557" s="18"/>
      <c r="V557" s="18"/>
      <c r="W557" s="18"/>
      <c r="X557" s="18"/>
    </row>
    <row r="558" spans="5:24" ht="13.2">
      <c r="E558" s="11"/>
      <c r="F558" s="11"/>
      <c r="G558" s="11"/>
      <c r="L558" s="11"/>
      <c r="M558" s="11"/>
      <c r="N558" s="11"/>
      <c r="O558" s="18"/>
      <c r="U558" s="18"/>
      <c r="V558" s="18"/>
      <c r="W558" s="18"/>
      <c r="X558" s="18"/>
    </row>
    <row r="559" spans="5:24" ht="13.2">
      <c r="E559" s="11"/>
      <c r="F559" s="11"/>
      <c r="G559" s="11"/>
      <c r="L559" s="11"/>
      <c r="M559" s="11"/>
      <c r="N559" s="11"/>
      <c r="O559" s="18"/>
      <c r="U559" s="18"/>
      <c r="V559" s="18"/>
      <c r="W559" s="18"/>
      <c r="X559" s="18"/>
    </row>
    <row r="560" spans="5:24" ht="13.2">
      <c r="E560" s="11"/>
      <c r="F560" s="11"/>
      <c r="G560" s="11"/>
      <c r="L560" s="11"/>
      <c r="M560" s="11"/>
      <c r="N560" s="11"/>
      <c r="O560" s="18"/>
      <c r="U560" s="18"/>
      <c r="V560" s="18"/>
      <c r="W560" s="18"/>
      <c r="X560" s="18"/>
    </row>
    <row r="561" spans="5:24" ht="13.2">
      <c r="E561" s="11"/>
      <c r="F561" s="11"/>
      <c r="G561" s="11"/>
      <c r="L561" s="11"/>
      <c r="M561" s="11"/>
      <c r="N561" s="11"/>
      <c r="O561" s="18"/>
      <c r="U561" s="18"/>
      <c r="V561" s="18"/>
      <c r="W561" s="18"/>
      <c r="X561" s="18"/>
    </row>
    <row r="562" spans="5:24" ht="13.2">
      <c r="E562" s="11"/>
      <c r="F562" s="11"/>
      <c r="G562" s="11"/>
      <c r="L562" s="11"/>
      <c r="M562" s="11"/>
      <c r="N562" s="11"/>
      <c r="O562" s="18"/>
      <c r="U562" s="18"/>
      <c r="V562" s="18"/>
      <c r="W562" s="18"/>
      <c r="X562" s="18"/>
    </row>
    <row r="563" spans="5:24" ht="13.2">
      <c r="E563" s="11"/>
      <c r="F563" s="11"/>
      <c r="G563" s="11"/>
      <c r="L563" s="11"/>
      <c r="M563" s="11"/>
      <c r="N563" s="11"/>
      <c r="O563" s="18"/>
      <c r="U563" s="18"/>
      <c r="V563" s="18"/>
      <c r="W563" s="18"/>
      <c r="X563" s="18"/>
    </row>
    <row r="564" spans="5:24" ht="13.2">
      <c r="E564" s="11"/>
      <c r="F564" s="11"/>
      <c r="G564" s="11"/>
      <c r="L564" s="11"/>
      <c r="M564" s="11"/>
      <c r="N564" s="11"/>
      <c r="O564" s="18"/>
      <c r="U564" s="18"/>
      <c r="V564" s="18"/>
      <c r="W564" s="18"/>
      <c r="X564" s="18"/>
    </row>
    <row r="565" spans="5:24" ht="13.2">
      <c r="E565" s="11"/>
      <c r="F565" s="11"/>
      <c r="G565" s="11"/>
      <c r="L565" s="11"/>
      <c r="M565" s="11"/>
      <c r="N565" s="11"/>
      <c r="O565" s="18"/>
      <c r="U565" s="18"/>
      <c r="V565" s="18"/>
      <c r="W565" s="18"/>
      <c r="X565" s="18"/>
    </row>
    <row r="566" spans="5:24" ht="13.2">
      <c r="E566" s="11"/>
      <c r="F566" s="11"/>
      <c r="G566" s="11"/>
      <c r="L566" s="11"/>
      <c r="M566" s="11"/>
      <c r="N566" s="11"/>
      <c r="O566" s="18"/>
      <c r="U566" s="18"/>
      <c r="V566" s="18"/>
      <c r="W566" s="18"/>
      <c r="X566" s="18"/>
    </row>
    <row r="567" spans="5:24" ht="13.2">
      <c r="E567" s="11"/>
      <c r="F567" s="11"/>
      <c r="G567" s="11"/>
      <c r="L567" s="11"/>
      <c r="M567" s="11"/>
      <c r="N567" s="11"/>
      <c r="O567" s="18"/>
      <c r="U567" s="18"/>
      <c r="V567" s="18"/>
      <c r="W567" s="18"/>
      <c r="X567" s="18"/>
    </row>
    <row r="568" spans="5:24" ht="13.2">
      <c r="E568" s="11"/>
      <c r="F568" s="11"/>
      <c r="G568" s="11"/>
      <c r="L568" s="11"/>
      <c r="M568" s="11"/>
      <c r="N568" s="11"/>
      <c r="O568" s="18"/>
      <c r="U568" s="18"/>
      <c r="V568" s="18"/>
      <c r="W568" s="18"/>
      <c r="X568" s="18"/>
    </row>
    <row r="569" spans="5:24" ht="13.2">
      <c r="E569" s="11"/>
      <c r="F569" s="11"/>
      <c r="G569" s="11"/>
      <c r="L569" s="11"/>
      <c r="M569" s="11"/>
      <c r="N569" s="11"/>
      <c r="O569" s="18"/>
      <c r="U569" s="18"/>
      <c r="V569" s="18"/>
      <c r="W569" s="18"/>
      <c r="X569" s="18"/>
    </row>
    <row r="570" spans="5:24" ht="13.2">
      <c r="E570" s="11"/>
      <c r="F570" s="11"/>
      <c r="G570" s="11"/>
      <c r="L570" s="11"/>
      <c r="M570" s="11"/>
      <c r="N570" s="11"/>
      <c r="O570" s="18"/>
      <c r="U570" s="18"/>
      <c r="V570" s="18"/>
      <c r="W570" s="18"/>
      <c r="X570" s="18"/>
    </row>
    <row r="571" spans="5:24" ht="13.2">
      <c r="E571" s="11"/>
      <c r="F571" s="11"/>
      <c r="G571" s="11"/>
      <c r="L571" s="11"/>
      <c r="M571" s="11"/>
      <c r="N571" s="11"/>
      <c r="O571" s="18"/>
      <c r="U571" s="18"/>
      <c r="V571" s="18"/>
      <c r="W571" s="18"/>
      <c r="X571" s="18"/>
    </row>
    <row r="572" spans="5:24" ht="13.2">
      <c r="E572" s="11"/>
      <c r="F572" s="11"/>
      <c r="G572" s="11"/>
      <c r="L572" s="11"/>
      <c r="M572" s="11"/>
      <c r="N572" s="11"/>
      <c r="O572" s="18"/>
      <c r="U572" s="18"/>
      <c r="V572" s="18"/>
      <c r="W572" s="18"/>
      <c r="X572" s="18"/>
    </row>
    <row r="573" spans="5:24" ht="13.2">
      <c r="E573" s="11"/>
      <c r="F573" s="11"/>
      <c r="G573" s="11"/>
      <c r="L573" s="11"/>
      <c r="M573" s="11"/>
      <c r="N573" s="11"/>
      <c r="O573" s="18"/>
      <c r="U573" s="18"/>
      <c r="V573" s="18"/>
      <c r="W573" s="18"/>
      <c r="X573" s="18"/>
    </row>
    <row r="574" spans="5:24" ht="13.2">
      <c r="E574" s="11"/>
      <c r="F574" s="11"/>
      <c r="G574" s="11"/>
      <c r="L574" s="11"/>
      <c r="M574" s="11"/>
      <c r="N574" s="11"/>
      <c r="O574" s="18"/>
      <c r="U574" s="18"/>
      <c r="V574" s="18"/>
      <c r="W574" s="18"/>
      <c r="X574" s="18"/>
    </row>
    <row r="575" spans="5:24" ht="13.2">
      <c r="E575" s="11"/>
      <c r="F575" s="11"/>
      <c r="G575" s="11"/>
      <c r="L575" s="11"/>
      <c r="M575" s="11"/>
      <c r="N575" s="11"/>
      <c r="O575" s="18"/>
      <c r="U575" s="18"/>
      <c r="V575" s="18"/>
      <c r="W575" s="18"/>
      <c r="X575" s="18"/>
    </row>
    <row r="576" spans="5:24" ht="13.2">
      <c r="E576" s="11"/>
      <c r="F576" s="11"/>
      <c r="G576" s="11"/>
      <c r="L576" s="11"/>
      <c r="M576" s="11"/>
      <c r="N576" s="11"/>
      <c r="O576" s="18"/>
      <c r="U576" s="18"/>
      <c r="V576" s="18"/>
      <c r="W576" s="18"/>
      <c r="X576" s="18"/>
    </row>
    <row r="577" spans="5:24" ht="13.2">
      <c r="E577" s="11"/>
      <c r="F577" s="11"/>
      <c r="G577" s="11"/>
      <c r="L577" s="11"/>
      <c r="M577" s="11"/>
      <c r="N577" s="11"/>
      <c r="O577" s="18"/>
      <c r="U577" s="18"/>
      <c r="V577" s="18"/>
      <c r="W577" s="18"/>
      <c r="X577" s="18"/>
    </row>
    <row r="578" spans="5:24" ht="13.2">
      <c r="E578" s="11"/>
      <c r="F578" s="11"/>
      <c r="G578" s="11"/>
      <c r="L578" s="11"/>
      <c r="M578" s="11"/>
      <c r="N578" s="11"/>
      <c r="O578" s="18"/>
      <c r="U578" s="18"/>
      <c r="V578" s="18"/>
      <c r="W578" s="18"/>
      <c r="X578" s="18"/>
    </row>
    <row r="579" spans="5:24" ht="13.2">
      <c r="E579" s="11"/>
      <c r="F579" s="11"/>
      <c r="G579" s="11"/>
      <c r="L579" s="11"/>
      <c r="M579" s="11"/>
      <c r="N579" s="11"/>
      <c r="O579" s="18"/>
      <c r="U579" s="18"/>
      <c r="V579" s="18"/>
      <c r="W579" s="18"/>
      <c r="X579" s="18"/>
    </row>
    <row r="580" spans="5:24" ht="13.2">
      <c r="E580" s="11"/>
      <c r="F580" s="11"/>
      <c r="G580" s="11"/>
      <c r="L580" s="11"/>
      <c r="M580" s="11"/>
      <c r="N580" s="11"/>
      <c r="O580" s="18"/>
      <c r="U580" s="18"/>
      <c r="V580" s="18"/>
      <c r="W580" s="18"/>
      <c r="X580" s="18"/>
    </row>
    <row r="581" spans="5:24" ht="13.2">
      <c r="E581" s="11"/>
      <c r="F581" s="11"/>
      <c r="G581" s="11"/>
      <c r="L581" s="11"/>
      <c r="M581" s="11"/>
      <c r="N581" s="11"/>
      <c r="O581" s="18"/>
      <c r="U581" s="18"/>
      <c r="V581" s="18"/>
      <c r="W581" s="18"/>
      <c r="X581" s="18"/>
    </row>
    <row r="582" spans="5:24" ht="13.2">
      <c r="E582" s="11"/>
      <c r="F582" s="11"/>
      <c r="G582" s="11"/>
      <c r="L582" s="11"/>
      <c r="M582" s="11"/>
      <c r="N582" s="11"/>
      <c r="O582" s="18"/>
      <c r="U582" s="18"/>
      <c r="V582" s="18"/>
      <c r="W582" s="18"/>
      <c r="X582" s="18"/>
    </row>
    <row r="583" spans="5:24" ht="13.2">
      <c r="E583" s="11"/>
      <c r="F583" s="11"/>
      <c r="G583" s="11"/>
      <c r="L583" s="11"/>
      <c r="M583" s="11"/>
      <c r="N583" s="11"/>
      <c r="O583" s="18"/>
      <c r="U583" s="18"/>
      <c r="V583" s="18"/>
      <c r="W583" s="18"/>
      <c r="X583" s="18"/>
    </row>
    <row r="584" spans="5:24" ht="13.2">
      <c r="E584" s="11"/>
      <c r="F584" s="11"/>
      <c r="G584" s="11"/>
      <c r="L584" s="11"/>
      <c r="M584" s="11"/>
      <c r="N584" s="11"/>
      <c r="O584" s="18"/>
      <c r="U584" s="18"/>
      <c r="V584" s="18"/>
      <c r="W584" s="18"/>
      <c r="X584" s="18"/>
    </row>
    <row r="585" spans="5:24" ht="13.2">
      <c r="E585" s="11"/>
      <c r="F585" s="11"/>
      <c r="G585" s="11"/>
      <c r="L585" s="11"/>
      <c r="M585" s="11"/>
      <c r="N585" s="11"/>
      <c r="O585" s="18"/>
      <c r="U585" s="18"/>
      <c r="V585" s="18"/>
      <c r="W585" s="18"/>
      <c r="X585" s="18"/>
    </row>
    <row r="586" spans="5:24" ht="13.2">
      <c r="E586" s="11"/>
      <c r="F586" s="11"/>
      <c r="G586" s="11"/>
      <c r="L586" s="11"/>
      <c r="M586" s="11"/>
      <c r="N586" s="11"/>
      <c r="O586" s="18"/>
      <c r="U586" s="18"/>
      <c r="V586" s="18"/>
      <c r="W586" s="18"/>
      <c r="X586" s="18"/>
    </row>
    <row r="587" spans="5:24" ht="13.2">
      <c r="E587" s="11"/>
      <c r="F587" s="11"/>
      <c r="G587" s="11"/>
      <c r="L587" s="11"/>
      <c r="M587" s="11"/>
      <c r="N587" s="11"/>
      <c r="O587" s="18"/>
      <c r="U587" s="18"/>
      <c r="V587" s="18"/>
      <c r="W587" s="18"/>
      <c r="X587" s="18"/>
    </row>
    <row r="588" spans="5:24" ht="13.2">
      <c r="E588" s="11"/>
      <c r="F588" s="11"/>
      <c r="G588" s="11"/>
      <c r="L588" s="11"/>
      <c r="M588" s="11"/>
      <c r="N588" s="11"/>
      <c r="O588" s="18"/>
      <c r="U588" s="18"/>
      <c r="V588" s="18"/>
      <c r="W588" s="18"/>
      <c r="X588" s="18"/>
    </row>
    <row r="589" spans="5:24" ht="13.2">
      <c r="E589" s="11"/>
      <c r="F589" s="11"/>
      <c r="G589" s="11"/>
      <c r="L589" s="11"/>
      <c r="M589" s="11"/>
      <c r="N589" s="11"/>
      <c r="O589" s="18"/>
      <c r="U589" s="18"/>
      <c r="V589" s="18"/>
      <c r="W589" s="18"/>
      <c r="X589" s="18"/>
    </row>
    <row r="590" spans="5:24" ht="13.2">
      <c r="E590" s="11"/>
      <c r="F590" s="11"/>
      <c r="G590" s="11"/>
      <c r="L590" s="11"/>
      <c r="M590" s="11"/>
      <c r="N590" s="11"/>
      <c r="O590" s="18"/>
      <c r="U590" s="18"/>
      <c r="V590" s="18"/>
      <c r="W590" s="18"/>
      <c r="X590" s="18"/>
    </row>
    <row r="591" spans="5:24" ht="13.2">
      <c r="E591" s="11"/>
      <c r="F591" s="11"/>
      <c r="G591" s="11"/>
      <c r="L591" s="11"/>
      <c r="M591" s="11"/>
      <c r="N591" s="11"/>
      <c r="O591" s="18"/>
      <c r="U591" s="18"/>
      <c r="V591" s="18"/>
      <c r="W591" s="18"/>
      <c r="X591" s="18"/>
    </row>
    <row r="592" spans="5:24" ht="13.2">
      <c r="E592" s="11"/>
      <c r="F592" s="11"/>
      <c r="G592" s="11"/>
      <c r="L592" s="11"/>
      <c r="M592" s="11"/>
      <c r="N592" s="11"/>
      <c r="O592" s="18"/>
      <c r="U592" s="18"/>
      <c r="V592" s="18"/>
      <c r="W592" s="18"/>
      <c r="X592" s="18"/>
    </row>
    <row r="593" spans="5:24" ht="13.2">
      <c r="E593" s="11"/>
      <c r="F593" s="11"/>
      <c r="G593" s="11"/>
      <c r="L593" s="11"/>
      <c r="M593" s="11"/>
      <c r="N593" s="11"/>
      <c r="O593" s="18"/>
      <c r="U593" s="18"/>
      <c r="V593" s="18"/>
      <c r="W593" s="18"/>
      <c r="X593" s="18"/>
    </row>
    <row r="594" spans="5:24" ht="13.2">
      <c r="E594" s="11"/>
      <c r="F594" s="11"/>
      <c r="G594" s="11"/>
      <c r="L594" s="11"/>
      <c r="M594" s="11"/>
      <c r="N594" s="11"/>
      <c r="O594" s="18"/>
      <c r="U594" s="18"/>
      <c r="V594" s="18"/>
      <c r="W594" s="18"/>
      <c r="X594" s="18"/>
    </row>
    <row r="595" spans="5:24" ht="13.2">
      <c r="E595" s="11"/>
      <c r="F595" s="11"/>
      <c r="G595" s="11"/>
      <c r="L595" s="11"/>
      <c r="M595" s="11"/>
      <c r="N595" s="11"/>
      <c r="O595" s="18"/>
      <c r="U595" s="18"/>
      <c r="V595" s="18"/>
      <c r="W595" s="18"/>
      <c r="X595" s="18"/>
    </row>
    <row r="596" spans="5:24" ht="13.2">
      <c r="E596" s="11"/>
      <c r="F596" s="11"/>
      <c r="G596" s="11"/>
      <c r="L596" s="11"/>
      <c r="M596" s="11"/>
      <c r="N596" s="11"/>
      <c r="O596" s="18"/>
      <c r="U596" s="18"/>
      <c r="V596" s="18"/>
      <c r="W596" s="18"/>
      <c r="X596" s="18"/>
    </row>
    <row r="597" spans="5:24" ht="13.2">
      <c r="E597" s="11"/>
      <c r="F597" s="11"/>
      <c r="G597" s="11"/>
      <c r="L597" s="11"/>
      <c r="M597" s="11"/>
      <c r="N597" s="11"/>
      <c r="O597" s="18"/>
      <c r="U597" s="18"/>
      <c r="V597" s="18"/>
      <c r="W597" s="18"/>
      <c r="X597" s="18"/>
    </row>
    <row r="598" spans="5:24" ht="13.2">
      <c r="E598" s="11"/>
      <c r="F598" s="11"/>
      <c r="G598" s="11"/>
      <c r="L598" s="11"/>
      <c r="M598" s="11"/>
      <c r="N598" s="11"/>
      <c r="O598" s="18"/>
      <c r="U598" s="18"/>
      <c r="V598" s="18"/>
      <c r="W598" s="18"/>
      <c r="X598" s="18"/>
    </row>
    <row r="599" spans="5:24" ht="13.2">
      <c r="E599" s="11"/>
      <c r="F599" s="11"/>
      <c r="G599" s="11"/>
      <c r="L599" s="11"/>
      <c r="M599" s="11"/>
      <c r="N599" s="11"/>
      <c r="O599" s="18"/>
      <c r="U599" s="18"/>
      <c r="V599" s="18"/>
      <c r="W599" s="18"/>
      <c r="X599" s="18"/>
    </row>
    <row r="600" spans="5:24" ht="13.2">
      <c r="E600" s="11"/>
      <c r="F600" s="11"/>
      <c r="G600" s="11"/>
      <c r="L600" s="11"/>
      <c r="M600" s="11"/>
      <c r="N600" s="11"/>
      <c r="O600" s="18"/>
      <c r="U600" s="18"/>
      <c r="V600" s="18"/>
      <c r="W600" s="18"/>
      <c r="X600" s="18"/>
    </row>
    <row r="601" spans="5:24" ht="13.2">
      <c r="E601" s="11"/>
      <c r="F601" s="11"/>
      <c r="G601" s="11"/>
      <c r="L601" s="11"/>
      <c r="M601" s="11"/>
      <c r="N601" s="11"/>
      <c r="O601" s="18"/>
      <c r="U601" s="18"/>
      <c r="V601" s="18"/>
      <c r="W601" s="18"/>
      <c r="X601" s="18"/>
    </row>
    <row r="602" spans="5:24" ht="13.2">
      <c r="E602" s="11"/>
      <c r="F602" s="11"/>
      <c r="G602" s="11"/>
      <c r="L602" s="11"/>
      <c r="M602" s="11"/>
      <c r="N602" s="11"/>
      <c r="O602" s="18"/>
      <c r="U602" s="18"/>
      <c r="V602" s="18"/>
      <c r="W602" s="18"/>
      <c r="X602" s="18"/>
    </row>
    <row r="603" spans="5:24" ht="13.2">
      <c r="E603" s="11"/>
      <c r="F603" s="11"/>
      <c r="G603" s="11"/>
      <c r="L603" s="11"/>
      <c r="M603" s="11"/>
      <c r="N603" s="11"/>
      <c r="O603" s="18"/>
      <c r="U603" s="18"/>
      <c r="V603" s="18"/>
      <c r="W603" s="18"/>
      <c r="X603" s="18"/>
    </row>
    <row r="604" spans="5:24" ht="13.2">
      <c r="E604" s="11"/>
      <c r="F604" s="11"/>
      <c r="G604" s="11"/>
      <c r="L604" s="11"/>
      <c r="M604" s="11"/>
      <c r="N604" s="11"/>
      <c r="O604" s="18"/>
      <c r="U604" s="18"/>
      <c r="V604" s="18"/>
      <c r="W604" s="18"/>
      <c r="X604" s="18"/>
    </row>
    <row r="605" spans="5:24" ht="13.2">
      <c r="E605" s="11"/>
      <c r="F605" s="11"/>
      <c r="G605" s="11"/>
      <c r="L605" s="11"/>
      <c r="M605" s="11"/>
      <c r="N605" s="11"/>
      <c r="O605" s="18"/>
      <c r="U605" s="18"/>
      <c r="V605" s="18"/>
      <c r="W605" s="18"/>
      <c r="X605" s="18"/>
    </row>
    <row r="606" spans="5:24" ht="13.2">
      <c r="E606" s="11"/>
      <c r="F606" s="11"/>
      <c r="G606" s="11"/>
      <c r="L606" s="11"/>
      <c r="M606" s="11"/>
      <c r="N606" s="11"/>
      <c r="O606" s="18"/>
      <c r="U606" s="18"/>
      <c r="V606" s="18"/>
      <c r="W606" s="18"/>
      <c r="X606" s="18"/>
    </row>
    <row r="607" spans="5:24" ht="13.2">
      <c r="E607" s="11"/>
      <c r="F607" s="11"/>
      <c r="G607" s="11"/>
      <c r="L607" s="11"/>
      <c r="M607" s="11"/>
      <c r="N607" s="11"/>
      <c r="O607" s="18"/>
      <c r="U607" s="18"/>
      <c r="V607" s="18"/>
      <c r="W607" s="18"/>
      <c r="X607" s="18"/>
    </row>
    <row r="608" spans="5:24" ht="13.2">
      <c r="E608" s="11"/>
      <c r="F608" s="11"/>
      <c r="G608" s="11"/>
      <c r="L608" s="11"/>
      <c r="M608" s="11"/>
      <c r="N608" s="11"/>
      <c r="O608" s="18"/>
      <c r="U608" s="18"/>
      <c r="V608" s="18"/>
      <c r="W608" s="18"/>
      <c r="X608" s="18"/>
    </row>
    <row r="609" spans="5:24" ht="13.2">
      <c r="E609" s="11"/>
      <c r="F609" s="11"/>
      <c r="G609" s="11"/>
      <c r="L609" s="11"/>
      <c r="M609" s="11"/>
      <c r="N609" s="11"/>
      <c r="O609" s="18"/>
      <c r="U609" s="18"/>
      <c r="V609" s="18"/>
      <c r="W609" s="18"/>
      <c r="X609" s="18"/>
    </row>
    <row r="610" spans="5:24" ht="13.2">
      <c r="E610" s="11"/>
      <c r="F610" s="11"/>
      <c r="G610" s="11"/>
      <c r="L610" s="11"/>
      <c r="M610" s="11"/>
      <c r="N610" s="11"/>
      <c r="O610" s="18"/>
      <c r="U610" s="18"/>
      <c r="V610" s="18"/>
      <c r="W610" s="18"/>
      <c r="X610" s="18"/>
    </row>
    <row r="611" spans="5:24" ht="13.2">
      <c r="E611" s="11"/>
      <c r="F611" s="11"/>
      <c r="G611" s="11"/>
      <c r="L611" s="11"/>
      <c r="M611" s="11"/>
      <c r="N611" s="11"/>
      <c r="O611" s="18"/>
      <c r="U611" s="18"/>
      <c r="V611" s="18"/>
      <c r="W611" s="18"/>
      <c r="X611" s="18"/>
    </row>
    <row r="612" spans="5:24" ht="13.2">
      <c r="E612" s="11"/>
      <c r="F612" s="11"/>
      <c r="G612" s="11"/>
      <c r="L612" s="11"/>
      <c r="M612" s="11"/>
      <c r="N612" s="11"/>
      <c r="O612" s="18"/>
      <c r="U612" s="18"/>
      <c r="V612" s="18"/>
      <c r="W612" s="18"/>
      <c r="X612" s="18"/>
    </row>
    <row r="613" spans="5:24" ht="13.2">
      <c r="E613" s="11"/>
      <c r="F613" s="11"/>
      <c r="G613" s="11"/>
      <c r="L613" s="11"/>
      <c r="M613" s="11"/>
      <c r="N613" s="11"/>
      <c r="O613" s="18"/>
      <c r="U613" s="18"/>
      <c r="V613" s="18"/>
      <c r="W613" s="18"/>
      <c r="X613" s="18"/>
    </row>
    <row r="614" spans="5:24" ht="13.2">
      <c r="E614" s="11"/>
      <c r="F614" s="11"/>
      <c r="G614" s="11"/>
      <c r="L614" s="11"/>
      <c r="M614" s="11"/>
      <c r="N614" s="11"/>
      <c r="O614" s="18"/>
      <c r="U614" s="18"/>
      <c r="V614" s="18"/>
      <c r="W614" s="18"/>
      <c r="X614" s="18"/>
    </row>
    <row r="615" spans="5:24" ht="13.2">
      <c r="E615" s="11"/>
      <c r="F615" s="11"/>
      <c r="G615" s="11"/>
      <c r="L615" s="11"/>
      <c r="M615" s="11"/>
      <c r="N615" s="11"/>
      <c r="O615" s="18"/>
      <c r="U615" s="18"/>
      <c r="V615" s="18"/>
      <c r="W615" s="18"/>
      <c r="X615" s="18"/>
    </row>
    <row r="616" spans="5:24" ht="13.2">
      <c r="E616" s="11"/>
      <c r="F616" s="11"/>
      <c r="G616" s="11"/>
      <c r="L616" s="11"/>
      <c r="M616" s="11"/>
      <c r="N616" s="11"/>
      <c r="O616" s="18"/>
      <c r="U616" s="18"/>
      <c r="V616" s="18"/>
      <c r="W616" s="18"/>
      <c r="X616" s="18"/>
    </row>
    <row r="617" spans="5:24" ht="13.2">
      <c r="E617" s="11"/>
      <c r="F617" s="11"/>
      <c r="G617" s="11"/>
      <c r="L617" s="11"/>
      <c r="M617" s="11"/>
      <c r="N617" s="11"/>
      <c r="O617" s="18"/>
      <c r="U617" s="18"/>
      <c r="V617" s="18"/>
      <c r="W617" s="18"/>
      <c r="X617" s="18"/>
    </row>
    <row r="618" spans="5:24" ht="13.2">
      <c r="E618" s="11"/>
      <c r="F618" s="11"/>
      <c r="G618" s="11"/>
      <c r="L618" s="11"/>
      <c r="M618" s="11"/>
      <c r="N618" s="11"/>
      <c r="O618" s="18"/>
      <c r="U618" s="18"/>
      <c r="V618" s="18"/>
      <c r="W618" s="18"/>
      <c r="X618" s="18"/>
    </row>
    <row r="619" spans="5:24" ht="13.2">
      <c r="E619" s="11"/>
      <c r="F619" s="11"/>
      <c r="G619" s="11"/>
      <c r="L619" s="11"/>
      <c r="M619" s="11"/>
      <c r="N619" s="11"/>
      <c r="O619" s="18"/>
      <c r="U619" s="18"/>
      <c r="V619" s="18"/>
      <c r="W619" s="18"/>
      <c r="X619" s="18"/>
    </row>
    <row r="620" spans="5:24" ht="13.2">
      <c r="E620" s="11"/>
      <c r="F620" s="11"/>
      <c r="G620" s="11"/>
      <c r="L620" s="11"/>
      <c r="M620" s="11"/>
      <c r="N620" s="11"/>
      <c r="O620" s="18"/>
      <c r="U620" s="18"/>
      <c r="V620" s="18"/>
      <c r="W620" s="18"/>
      <c r="X620" s="18"/>
    </row>
    <row r="621" spans="5:24" ht="13.2">
      <c r="E621" s="11"/>
      <c r="F621" s="11"/>
      <c r="G621" s="11"/>
      <c r="L621" s="11"/>
      <c r="M621" s="11"/>
      <c r="N621" s="11"/>
      <c r="O621" s="18"/>
      <c r="U621" s="18"/>
      <c r="V621" s="18"/>
      <c r="W621" s="18"/>
      <c r="X621" s="18"/>
    </row>
    <row r="622" spans="5:24" ht="13.2">
      <c r="E622" s="11"/>
      <c r="F622" s="11"/>
      <c r="G622" s="11"/>
      <c r="L622" s="11"/>
      <c r="M622" s="11"/>
      <c r="N622" s="11"/>
      <c r="O622" s="18"/>
      <c r="U622" s="18"/>
      <c r="V622" s="18"/>
      <c r="W622" s="18"/>
      <c r="X622" s="18"/>
    </row>
    <row r="623" spans="5:24" ht="13.2">
      <c r="E623" s="11"/>
      <c r="F623" s="11"/>
      <c r="G623" s="11"/>
      <c r="L623" s="11"/>
      <c r="M623" s="11"/>
      <c r="N623" s="11"/>
      <c r="O623" s="18"/>
      <c r="U623" s="18"/>
      <c r="V623" s="18"/>
      <c r="W623" s="18"/>
      <c r="X623" s="18"/>
    </row>
    <row r="624" spans="5:24" ht="13.2">
      <c r="E624" s="11"/>
      <c r="F624" s="11"/>
      <c r="G624" s="11"/>
      <c r="L624" s="11"/>
      <c r="M624" s="11"/>
      <c r="N624" s="11"/>
      <c r="O624" s="18"/>
      <c r="U624" s="18"/>
      <c r="V624" s="18"/>
      <c r="W624" s="18"/>
      <c r="X624" s="18"/>
    </row>
    <row r="625" spans="5:24" ht="13.2">
      <c r="E625" s="11"/>
      <c r="F625" s="11"/>
      <c r="G625" s="11"/>
      <c r="L625" s="11"/>
      <c r="M625" s="11"/>
      <c r="N625" s="11"/>
      <c r="O625" s="18"/>
      <c r="U625" s="18"/>
      <c r="V625" s="18"/>
      <c r="W625" s="18"/>
      <c r="X625" s="18"/>
    </row>
    <row r="626" spans="5:24" ht="13.2">
      <c r="E626" s="11"/>
      <c r="F626" s="11"/>
      <c r="G626" s="11"/>
      <c r="L626" s="11"/>
      <c r="M626" s="11"/>
      <c r="N626" s="11"/>
      <c r="O626" s="18"/>
      <c r="U626" s="18"/>
      <c r="V626" s="18"/>
      <c r="W626" s="18"/>
      <c r="X626" s="18"/>
    </row>
    <row r="627" spans="5:24" ht="13.2">
      <c r="E627" s="11"/>
      <c r="F627" s="11"/>
      <c r="G627" s="11"/>
      <c r="L627" s="11"/>
      <c r="M627" s="11"/>
      <c r="N627" s="11"/>
      <c r="O627" s="18"/>
      <c r="U627" s="18"/>
      <c r="V627" s="18"/>
      <c r="W627" s="18"/>
      <c r="X627" s="18"/>
    </row>
    <row r="628" spans="5:24" ht="13.2">
      <c r="E628" s="11"/>
      <c r="F628" s="11"/>
      <c r="G628" s="11"/>
      <c r="L628" s="11"/>
      <c r="M628" s="11"/>
      <c r="N628" s="11"/>
      <c r="O628" s="18"/>
      <c r="U628" s="18"/>
      <c r="V628" s="18"/>
      <c r="W628" s="18"/>
      <c r="X628" s="18"/>
    </row>
    <row r="629" spans="5:24" ht="13.2">
      <c r="E629" s="11"/>
      <c r="F629" s="11"/>
      <c r="G629" s="11"/>
      <c r="L629" s="11"/>
      <c r="M629" s="11"/>
      <c r="N629" s="11"/>
      <c r="O629" s="18"/>
      <c r="U629" s="18"/>
      <c r="V629" s="18"/>
      <c r="W629" s="18"/>
      <c r="X629" s="18"/>
    </row>
    <row r="630" spans="5:24" ht="13.2">
      <c r="E630" s="11"/>
      <c r="F630" s="11"/>
      <c r="G630" s="11"/>
      <c r="L630" s="11"/>
      <c r="M630" s="11"/>
      <c r="N630" s="11"/>
      <c r="O630" s="18"/>
      <c r="U630" s="18"/>
      <c r="V630" s="18"/>
      <c r="W630" s="18"/>
      <c r="X630" s="18"/>
    </row>
    <row r="631" spans="5:24" ht="13.2">
      <c r="E631" s="11"/>
      <c r="F631" s="11"/>
      <c r="G631" s="11"/>
      <c r="L631" s="11"/>
      <c r="M631" s="11"/>
      <c r="N631" s="11"/>
      <c r="O631" s="18"/>
      <c r="U631" s="18"/>
      <c r="V631" s="18"/>
      <c r="W631" s="18"/>
      <c r="X631" s="18"/>
    </row>
    <row r="632" spans="5:24" ht="13.2">
      <c r="E632" s="11"/>
      <c r="F632" s="11"/>
      <c r="G632" s="11"/>
      <c r="L632" s="11"/>
      <c r="M632" s="11"/>
      <c r="N632" s="11"/>
      <c r="O632" s="18"/>
      <c r="U632" s="18"/>
      <c r="V632" s="18"/>
      <c r="W632" s="18"/>
      <c r="X632" s="18"/>
    </row>
    <row r="633" spans="5:24" ht="13.2">
      <c r="E633" s="11"/>
      <c r="F633" s="11"/>
      <c r="G633" s="11"/>
      <c r="L633" s="11"/>
      <c r="M633" s="11"/>
      <c r="N633" s="11"/>
      <c r="O633" s="18"/>
      <c r="U633" s="18"/>
      <c r="V633" s="18"/>
      <c r="W633" s="18"/>
      <c r="X633" s="18"/>
    </row>
    <row r="634" spans="5:24" ht="13.2">
      <c r="E634" s="11"/>
      <c r="F634" s="11"/>
      <c r="G634" s="11"/>
      <c r="L634" s="11"/>
      <c r="M634" s="11"/>
      <c r="N634" s="11"/>
      <c r="O634" s="18"/>
      <c r="U634" s="18"/>
      <c r="V634" s="18"/>
      <c r="W634" s="18"/>
      <c r="X634" s="18"/>
    </row>
    <row r="635" spans="5:24" ht="13.2">
      <c r="E635" s="11"/>
      <c r="F635" s="11"/>
      <c r="G635" s="11"/>
      <c r="L635" s="11"/>
      <c r="M635" s="11"/>
      <c r="N635" s="11"/>
      <c r="O635" s="18"/>
      <c r="U635" s="18"/>
      <c r="V635" s="18"/>
      <c r="W635" s="18"/>
      <c r="X635" s="18"/>
    </row>
    <row r="636" spans="5:24" ht="13.2">
      <c r="E636" s="11"/>
      <c r="F636" s="11"/>
      <c r="G636" s="11"/>
      <c r="L636" s="11"/>
      <c r="M636" s="11"/>
      <c r="N636" s="11"/>
      <c r="O636" s="18"/>
      <c r="U636" s="18"/>
      <c r="V636" s="18"/>
      <c r="W636" s="18"/>
      <c r="X636" s="18"/>
    </row>
    <row r="637" spans="5:24" ht="13.2">
      <c r="E637" s="11"/>
      <c r="F637" s="11"/>
      <c r="G637" s="11"/>
      <c r="L637" s="11"/>
      <c r="M637" s="11"/>
      <c r="N637" s="11"/>
      <c r="O637" s="18"/>
      <c r="U637" s="18"/>
      <c r="V637" s="18"/>
      <c r="W637" s="18"/>
      <c r="X637" s="18"/>
    </row>
    <row r="638" spans="5:24" ht="13.2">
      <c r="E638" s="11"/>
      <c r="F638" s="11"/>
      <c r="G638" s="11"/>
      <c r="L638" s="11"/>
      <c r="M638" s="11"/>
      <c r="N638" s="11"/>
      <c r="O638" s="18"/>
      <c r="U638" s="18"/>
      <c r="V638" s="18"/>
      <c r="W638" s="18"/>
      <c r="X638" s="18"/>
    </row>
    <row r="639" spans="5:24" ht="13.2">
      <c r="E639" s="11"/>
      <c r="F639" s="11"/>
      <c r="G639" s="11"/>
      <c r="L639" s="11"/>
      <c r="M639" s="11"/>
      <c r="N639" s="11"/>
      <c r="O639" s="18"/>
      <c r="U639" s="18"/>
      <c r="V639" s="18"/>
      <c r="W639" s="18"/>
      <c r="X639" s="18"/>
    </row>
    <row r="640" spans="5:24" ht="13.2">
      <c r="E640" s="11"/>
      <c r="F640" s="11"/>
      <c r="G640" s="11"/>
      <c r="L640" s="11"/>
      <c r="M640" s="11"/>
      <c r="N640" s="11"/>
      <c r="O640" s="18"/>
      <c r="U640" s="18"/>
      <c r="V640" s="18"/>
      <c r="W640" s="18"/>
      <c r="X640" s="18"/>
    </row>
    <row r="641" spans="5:24" ht="13.2">
      <c r="E641" s="11"/>
      <c r="F641" s="11"/>
      <c r="G641" s="11"/>
      <c r="L641" s="11"/>
      <c r="M641" s="11"/>
      <c r="N641" s="11"/>
      <c r="O641" s="18"/>
      <c r="U641" s="18"/>
      <c r="V641" s="18"/>
      <c r="W641" s="18"/>
      <c r="X641" s="18"/>
    </row>
    <row r="642" spans="5:24" ht="13.2">
      <c r="E642" s="11"/>
      <c r="F642" s="11"/>
      <c r="G642" s="11"/>
      <c r="L642" s="11"/>
      <c r="M642" s="11"/>
      <c r="N642" s="11"/>
      <c r="O642" s="18"/>
      <c r="U642" s="18"/>
      <c r="V642" s="18"/>
      <c r="W642" s="18"/>
      <c r="X642" s="18"/>
    </row>
    <row r="643" spans="5:24" ht="13.2">
      <c r="E643" s="11"/>
      <c r="F643" s="11"/>
      <c r="G643" s="11"/>
      <c r="L643" s="11"/>
      <c r="M643" s="11"/>
      <c r="N643" s="11"/>
      <c r="O643" s="18"/>
      <c r="U643" s="18"/>
      <c r="V643" s="18"/>
      <c r="W643" s="18"/>
      <c r="X643" s="18"/>
    </row>
    <row r="644" spans="5:24" ht="13.2">
      <c r="E644" s="11"/>
      <c r="F644" s="11"/>
      <c r="G644" s="11"/>
      <c r="L644" s="11"/>
      <c r="M644" s="11"/>
      <c r="N644" s="11"/>
      <c r="O644" s="18"/>
      <c r="U644" s="18"/>
      <c r="V644" s="18"/>
      <c r="W644" s="18"/>
      <c r="X644" s="18"/>
    </row>
    <row r="645" spans="5:24" ht="13.2">
      <c r="E645" s="11"/>
      <c r="F645" s="11"/>
      <c r="G645" s="11"/>
      <c r="L645" s="11"/>
      <c r="M645" s="11"/>
      <c r="N645" s="11"/>
      <c r="O645" s="18"/>
      <c r="U645" s="18"/>
      <c r="V645" s="18"/>
      <c r="W645" s="18"/>
      <c r="X645" s="18"/>
    </row>
    <row r="646" spans="5:24" ht="13.2">
      <c r="E646" s="11"/>
      <c r="F646" s="11"/>
      <c r="G646" s="11"/>
      <c r="L646" s="11"/>
      <c r="M646" s="11"/>
      <c r="N646" s="11"/>
      <c r="O646" s="18"/>
      <c r="U646" s="18"/>
      <c r="V646" s="18"/>
      <c r="W646" s="18"/>
      <c r="X646" s="18"/>
    </row>
    <row r="647" spans="5:24" ht="13.2">
      <c r="E647" s="11"/>
      <c r="F647" s="11"/>
      <c r="G647" s="11"/>
      <c r="L647" s="11"/>
      <c r="M647" s="11"/>
      <c r="N647" s="11"/>
      <c r="O647" s="18"/>
      <c r="U647" s="18"/>
      <c r="V647" s="18"/>
      <c r="W647" s="18"/>
      <c r="X647" s="18"/>
    </row>
    <row r="648" spans="5:24" ht="13.2">
      <c r="E648" s="11"/>
      <c r="F648" s="11"/>
      <c r="G648" s="11"/>
      <c r="L648" s="11"/>
      <c r="M648" s="11"/>
      <c r="N648" s="11"/>
      <c r="O648" s="18"/>
      <c r="U648" s="18"/>
      <c r="V648" s="18"/>
      <c r="W648" s="18"/>
      <c r="X648" s="18"/>
    </row>
    <row r="649" spans="5:24" ht="13.2">
      <c r="E649" s="11"/>
      <c r="F649" s="11"/>
      <c r="G649" s="11"/>
      <c r="L649" s="11"/>
      <c r="M649" s="11"/>
      <c r="N649" s="11"/>
      <c r="O649" s="18"/>
      <c r="U649" s="18"/>
      <c r="V649" s="18"/>
      <c r="W649" s="18"/>
      <c r="X649" s="18"/>
    </row>
    <row r="650" spans="5:24" ht="13.2">
      <c r="E650" s="11"/>
      <c r="F650" s="11"/>
      <c r="G650" s="11"/>
      <c r="L650" s="11"/>
      <c r="M650" s="11"/>
      <c r="N650" s="11"/>
      <c r="O650" s="18"/>
      <c r="U650" s="18"/>
      <c r="V650" s="18"/>
      <c r="W650" s="18"/>
      <c r="X650" s="18"/>
    </row>
    <row r="651" spans="5:24" ht="13.2">
      <c r="E651" s="11"/>
      <c r="F651" s="11"/>
      <c r="G651" s="11"/>
      <c r="L651" s="11"/>
      <c r="M651" s="11"/>
      <c r="N651" s="11"/>
      <c r="O651" s="18"/>
      <c r="U651" s="18"/>
      <c r="V651" s="18"/>
      <c r="W651" s="18"/>
      <c r="X651" s="18"/>
    </row>
    <row r="652" spans="5:24" ht="13.2">
      <c r="E652" s="11"/>
      <c r="F652" s="11"/>
      <c r="G652" s="11"/>
      <c r="L652" s="11"/>
      <c r="M652" s="11"/>
      <c r="N652" s="11"/>
      <c r="O652" s="18"/>
      <c r="U652" s="18"/>
      <c r="V652" s="18"/>
      <c r="W652" s="18"/>
      <c r="X652" s="18"/>
    </row>
    <row r="653" spans="5:24" ht="13.2">
      <c r="E653" s="11"/>
      <c r="F653" s="11"/>
      <c r="G653" s="11"/>
      <c r="L653" s="11"/>
      <c r="M653" s="11"/>
      <c r="N653" s="11"/>
      <c r="O653" s="18"/>
      <c r="U653" s="18"/>
      <c r="V653" s="18"/>
      <c r="W653" s="18"/>
      <c r="X653" s="18"/>
    </row>
    <row r="654" spans="5:24" ht="13.2">
      <c r="E654" s="11"/>
      <c r="F654" s="11"/>
      <c r="G654" s="11"/>
      <c r="L654" s="11"/>
      <c r="M654" s="11"/>
      <c r="N654" s="11"/>
      <c r="O654" s="18"/>
      <c r="U654" s="18"/>
      <c r="V654" s="18"/>
      <c r="W654" s="18"/>
      <c r="X654" s="18"/>
    </row>
    <row r="655" spans="5:24" ht="13.2">
      <c r="E655" s="11"/>
      <c r="F655" s="11"/>
      <c r="G655" s="11"/>
      <c r="L655" s="11"/>
      <c r="M655" s="11"/>
      <c r="N655" s="11"/>
      <c r="O655" s="18"/>
      <c r="U655" s="18"/>
      <c r="V655" s="18"/>
      <c r="W655" s="18"/>
      <c r="X655" s="18"/>
    </row>
    <row r="656" spans="5:24" ht="13.2">
      <c r="E656" s="11"/>
      <c r="F656" s="11"/>
      <c r="G656" s="11"/>
      <c r="L656" s="11"/>
      <c r="M656" s="11"/>
      <c r="N656" s="11"/>
      <c r="O656" s="18"/>
      <c r="U656" s="18"/>
      <c r="V656" s="18"/>
      <c r="W656" s="18"/>
      <c r="X656" s="18"/>
    </row>
    <row r="657" spans="5:24" ht="13.2">
      <c r="E657" s="11"/>
      <c r="F657" s="11"/>
      <c r="G657" s="11"/>
      <c r="L657" s="11"/>
      <c r="M657" s="11"/>
      <c r="N657" s="11"/>
      <c r="O657" s="18"/>
      <c r="U657" s="18"/>
      <c r="V657" s="18"/>
      <c r="W657" s="18"/>
      <c r="X657" s="18"/>
    </row>
    <row r="658" spans="5:24" ht="13.2">
      <c r="E658" s="11"/>
      <c r="F658" s="11"/>
      <c r="G658" s="11"/>
      <c r="L658" s="11"/>
      <c r="M658" s="11"/>
      <c r="N658" s="11"/>
      <c r="O658" s="18"/>
      <c r="U658" s="18"/>
      <c r="V658" s="18"/>
      <c r="W658" s="18"/>
      <c r="X658" s="18"/>
    </row>
    <row r="659" spans="5:24" ht="13.2">
      <c r="E659" s="11"/>
      <c r="F659" s="11"/>
      <c r="G659" s="11"/>
      <c r="L659" s="11"/>
      <c r="M659" s="11"/>
      <c r="N659" s="11"/>
      <c r="O659" s="18"/>
      <c r="U659" s="18"/>
      <c r="V659" s="18"/>
      <c r="W659" s="18"/>
      <c r="X659" s="18"/>
    </row>
    <row r="660" spans="5:24" ht="13.2">
      <c r="E660" s="11"/>
      <c r="F660" s="11"/>
      <c r="G660" s="11"/>
      <c r="L660" s="11"/>
      <c r="M660" s="11"/>
      <c r="N660" s="11"/>
      <c r="O660" s="18"/>
      <c r="U660" s="18"/>
      <c r="V660" s="18"/>
      <c r="W660" s="18"/>
      <c r="X660" s="18"/>
    </row>
    <row r="661" spans="5:24" ht="13.2">
      <c r="E661" s="11"/>
      <c r="F661" s="11"/>
      <c r="G661" s="11"/>
      <c r="L661" s="11"/>
      <c r="M661" s="11"/>
      <c r="N661" s="11"/>
      <c r="O661" s="18"/>
      <c r="U661" s="18"/>
      <c r="V661" s="18"/>
      <c r="W661" s="18"/>
      <c r="X661" s="18"/>
    </row>
    <row r="662" spans="5:24" ht="13.2">
      <c r="E662" s="11"/>
      <c r="F662" s="11"/>
      <c r="G662" s="11"/>
      <c r="L662" s="11"/>
      <c r="M662" s="11"/>
      <c r="N662" s="11"/>
      <c r="O662" s="18"/>
      <c r="U662" s="18"/>
      <c r="V662" s="18"/>
      <c r="W662" s="18"/>
      <c r="X662" s="18"/>
    </row>
    <row r="663" spans="5:24" ht="13.2">
      <c r="E663" s="11"/>
      <c r="F663" s="11"/>
      <c r="G663" s="11"/>
      <c r="L663" s="11"/>
      <c r="M663" s="11"/>
      <c r="N663" s="11"/>
      <c r="O663" s="18"/>
      <c r="U663" s="18"/>
      <c r="V663" s="18"/>
      <c r="W663" s="18"/>
      <c r="X663" s="18"/>
    </row>
    <row r="664" spans="5:24" ht="13.2">
      <c r="E664" s="11"/>
      <c r="F664" s="11"/>
      <c r="G664" s="11"/>
      <c r="L664" s="11"/>
      <c r="M664" s="11"/>
      <c r="N664" s="11"/>
      <c r="O664" s="18"/>
      <c r="U664" s="18"/>
      <c r="V664" s="18"/>
      <c r="W664" s="18"/>
      <c r="X664" s="18"/>
    </row>
    <row r="665" spans="5:24" ht="13.2">
      <c r="E665" s="11"/>
      <c r="F665" s="11"/>
      <c r="G665" s="11"/>
      <c r="L665" s="11"/>
      <c r="M665" s="11"/>
      <c r="N665" s="11"/>
      <c r="O665" s="18"/>
      <c r="U665" s="18"/>
      <c r="V665" s="18"/>
      <c r="W665" s="18"/>
      <c r="X665" s="18"/>
    </row>
    <row r="666" spans="5:24" ht="13.2">
      <c r="E666" s="11"/>
      <c r="F666" s="11"/>
      <c r="G666" s="11"/>
      <c r="L666" s="11"/>
      <c r="M666" s="11"/>
      <c r="N666" s="11"/>
      <c r="O666" s="18"/>
      <c r="U666" s="18"/>
      <c r="V666" s="18"/>
      <c r="W666" s="18"/>
      <c r="X666" s="18"/>
    </row>
    <row r="667" spans="5:24" ht="13.2">
      <c r="E667" s="11"/>
      <c r="F667" s="11"/>
      <c r="G667" s="11"/>
      <c r="L667" s="11"/>
      <c r="M667" s="11"/>
      <c r="N667" s="11"/>
      <c r="O667" s="18"/>
      <c r="U667" s="18"/>
      <c r="V667" s="18"/>
      <c r="W667" s="18"/>
      <c r="X667" s="18"/>
    </row>
    <row r="668" spans="5:24" ht="13.2">
      <c r="E668" s="11"/>
      <c r="F668" s="11"/>
      <c r="G668" s="11"/>
      <c r="L668" s="11"/>
      <c r="M668" s="11"/>
      <c r="N668" s="11"/>
      <c r="O668" s="18"/>
      <c r="U668" s="18"/>
      <c r="V668" s="18"/>
      <c r="W668" s="18"/>
      <c r="X668" s="18"/>
    </row>
    <row r="669" spans="5:24" ht="13.2">
      <c r="E669" s="11"/>
      <c r="F669" s="11"/>
      <c r="G669" s="11"/>
      <c r="L669" s="11"/>
      <c r="M669" s="11"/>
      <c r="N669" s="11"/>
      <c r="O669" s="18"/>
      <c r="U669" s="18"/>
      <c r="V669" s="18"/>
      <c r="W669" s="18"/>
      <c r="X669" s="18"/>
    </row>
    <row r="670" spans="5:24" ht="13.2">
      <c r="E670" s="11"/>
      <c r="F670" s="11"/>
      <c r="G670" s="11"/>
      <c r="L670" s="11"/>
      <c r="M670" s="11"/>
      <c r="N670" s="11"/>
      <c r="O670" s="18"/>
      <c r="U670" s="18"/>
      <c r="V670" s="18"/>
      <c r="W670" s="18"/>
      <c r="X670" s="18"/>
    </row>
    <row r="671" spans="5:24" ht="13.2">
      <c r="E671" s="11"/>
      <c r="F671" s="11"/>
      <c r="G671" s="11"/>
      <c r="L671" s="11"/>
      <c r="M671" s="11"/>
      <c r="N671" s="11"/>
      <c r="O671" s="18"/>
      <c r="U671" s="18"/>
      <c r="V671" s="18"/>
      <c r="W671" s="18"/>
      <c r="X671" s="18"/>
    </row>
    <row r="672" spans="5:24" ht="13.2">
      <c r="E672" s="11"/>
      <c r="F672" s="11"/>
      <c r="G672" s="11"/>
      <c r="L672" s="11"/>
      <c r="M672" s="11"/>
      <c r="N672" s="11"/>
      <c r="O672" s="18"/>
      <c r="U672" s="18"/>
      <c r="V672" s="18"/>
      <c r="W672" s="18"/>
      <c r="X672" s="18"/>
    </row>
    <row r="673" spans="5:24" ht="13.2">
      <c r="E673" s="11"/>
      <c r="F673" s="11"/>
      <c r="G673" s="11"/>
      <c r="L673" s="11"/>
      <c r="M673" s="11"/>
      <c r="N673" s="11"/>
      <c r="O673" s="18"/>
      <c r="U673" s="18"/>
      <c r="V673" s="18"/>
      <c r="W673" s="18"/>
      <c r="X673" s="18"/>
    </row>
    <row r="674" spans="5:24" ht="13.2">
      <c r="E674" s="11"/>
      <c r="F674" s="11"/>
      <c r="G674" s="11"/>
      <c r="L674" s="11"/>
      <c r="M674" s="11"/>
      <c r="N674" s="11"/>
      <c r="O674" s="18"/>
      <c r="U674" s="18"/>
      <c r="V674" s="18"/>
      <c r="W674" s="18"/>
      <c r="X674" s="18"/>
    </row>
    <row r="675" spans="5:24" ht="13.2">
      <c r="E675" s="11"/>
      <c r="F675" s="11"/>
      <c r="G675" s="11"/>
      <c r="L675" s="11"/>
      <c r="M675" s="11"/>
      <c r="N675" s="11"/>
      <c r="O675" s="18"/>
      <c r="U675" s="18"/>
      <c r="V675" s="18"/>
      <c r="W675" s="18"/>
      <c r="X675" s="18"/>
    </row>
    <row r="676" spans="5:24" ht="13.2">
      <c r="E676" s="11"/>
      <c r="F676" s="11"/>
      <c r="G676" s="11"/>
      <c r="L676" s="11"/>
      <c r="M676" s="11"/>
      <c r="N676" s="11"/>
      <c r="O676" s="18"/>
      <c r="U676" s="18"/>
      <c r="V676" s="18"/>
      <c r="W676" s="18"/>
      <c r="X676" s="18"/>
    </row>
    <row r="677" spans="5:24" ht="13.2">
      <c r="E677" s="11"/>
      <c r="F677" s="11"/>
      <c r="G677" s="11"/>
      <c r="L677" s="11"/>
      <c r="M677" s="11"/>
      <c r="N677" s="11"/>
      <c r="O677" s="18"/>
      <c r="U677" s="18"/>
      <c r="V677" s="18"/>
      <c r="W677" s="18"/>
      <c r="X677" s="18"/>
    </row>
    <row r="678" spans="5:24" ht="13.2">
      <c r="E678" s="11"/>
      <c r="F678" s="11"/>
      <c r="G678" s="11"/>
      <c r="L678" s="11"/>
      <c r="M678" s="11"/>
      <c r="N678" s="11"/>
      <c r="O678" s="18"/>
      <c r="U678" s="18"/>
      <c r="V678" s="18"/>
      <c r="W678" s="18"/>
      <c r="X678" s="18"/>
    </row>
    <row r="679" spans="5:24" ht="13.2">
      <c r="E679" s="11"/>
      <c r="F679" s="11"/>
      <c r="G679" s="11"/>
      <c r="L679" s="11"/>
      <c r="M679" s="11"/>
      <c r="N679" s="11"/>
      <c r="O679" s="18"/>
      <c r="U679" s="18"/>
      <c r="V679" s="18"/>
      <c r="W679" s="18"/>
      <c r="X679" s="18"/>
    </row>
    <row r="680" spans="5:24" ht="13.2">
      <c r="E680" s="11"/>
      <c r="F680" s="11"/>
      <c r="G680" s="11"/>
      <c r="L680" s="11"/>
      <c r="M680" s="11"/>
      <c r="N680" s="11"/>
      <c r="O680" s="18"/>
      <c r="U680" s="18"/>
      <c r="V680" s="18"/>
      <c r="W680" s="18"/>
      <c r="X680" s="18"/>
    </row>
    <row r="681" spans="5:24" ht="13.2">
      <c r="E681" s="11"/>
      <c r="F681" s="11"/>
      <c r="G681" s="11"/>
      <c r="L681" s="11"/>
      <c r="M681" s="11"/>
      <c r="N681" s="11"/>
      <c r="O681" s="18"/>
      <c r="U681" s="18"/>
      <c r="V681" s="18"/>
      <c r="W681" s="18"/>
      <c r="X681" s="18"/>
    </row>
    <row r="682" spans="5:24" ht="13.2">
      <c r="E682" s="11"/>
      <c r="F682" s="11"/>
      <c r="G682" s="11"/>
      <c r="L682" s="11"/>
      <c r="M682" s="11"/>
      <c r="N682" s="11"/>
      <c r="O682" s="18"/>
      <c r="U682" s="18"/>
      <c r="V682" s="18"/>
      <c r="W682" s="18"/>
      <c r="X682" s="18"/>
    </row>
    <row r="683" spans="5:24" ht="13.2">
      <c r="E683" s="11"/>
      <c r="F683" s="11"/>
      <c r="G683" s="11"/>
      <c r="L683" s="11"/>
      <c r="M683" s="11"/>
      <c r="N683" s="11"/>
      <c r="O683" s="18"/>
      <c r="U683" s="18"/>
      <c r="V683" s="18"/>
      <c r="W683" s="18"/>
      <c r="X683" s="18"/>
    </row>
    <row r="684" spans="5:24" ht="13.2">
      <c r="E684" s="11"/>
      <c r="F684" s="11"/>
      <c r="G684" s="11"/>
      <c r="L684" s="11"/>
      <c r="M684" s="11"/>
      <c r="N684" s="11"/>
      <c r="O684" s="18"/>
      <c r="U684" s="18"/>
      <c r="V684" s="18"/>
      <c r="W684" s="18"/>
      <c r="X684" s="18"/>
    </row>
    <row r="685" spans="5:24" ht="13.2">
      <c r="E685" s="11"/>
      <c r="F685" s="11"/>
      <c r="G685" s="11"/>
      <c r="L685" s="11"/>
      <c r="M685" s="11"/>
      <c r="N685" s="11"/>
      <c r="O685" s="18"/>
      <c r="U685" s="18"/>
      <c r="V685" s="18"/>
      <c r="W685" s="18"/>
      <c r="X685" s="18"/>
    </row>
    <row r="686" spans="5:24" ht="13.2">
      <c r="E686" s="11"/>
      <c r="F686" s="11"/>
      <c r="G686" s="11"/>
      <c r="L686" s="11"/>
      <c r="M686" s="11"/>
      <c r="N686" s="11"/>
      <c r="O686" s="18"/>
      <c r="U686" s="18"/>
      <c r="V686" s="18"/>
      <c r="W686" s="18"/>
      <c r="X686" s="18"/>
    </row>
    <row r="687" spans="5:24" ht="13.2">
      <c r="E687" s="11"/>
      <c r="F687" s="11"/>
      <c r="G687" s="11"/>
      <c r="L687" s="11"/>
      <c r="M687" s="11"/>
      <c r="N687" s="11"/>
      <c r="O687" s="18"/>
      <c r="U687" s="18"/>
      <c r="V687" s="18"/>
      <c r="W687" s="18"/>
      <c r="X687" s="18"/>
    </row>
    <row r="688" spans="5:24" ht="13.2">
      <c r="E688" s="11"/>
      <c r="F688" s="11"/>
      <c r="G688" s="11"/>
      <c r="L688" s="11"/>
      <c r="M688" s="11"/>
      <c r="N688" s="11"/>
      <c r="O688" s="18"/>
      <c r="U688" s="18"/>
      <c r="V688" s="18"/>
      <c r="W688" s="18"/>
      <c r="X688" s="18"/>
    </row>
    <row r="689" spans="5:24" ht="13.2">
      <c r="E689" s="11"/>
      <c r="F689" s="11"/>
      <c r="G689" s="11"/>
      <c r="L689" s="11"/>
      <c r="M689" s="11"/>
      <c r="N689" s="11"/>
      <c r="O689" s="18"/>
      <c r="U689" s="18"/>
      <c r="V689" s="18"/>
      <c r="W689" s="18"/>
      <c r="X689" s="18"/>
    </row>
    <row r="690" spans="5:24" ht="13.2">
      <c r="E690" s="11"/>
      <c r="F690" s="11"/>
      <c r="G690" s="11"/>
      <c r="L690" s="11"/>
      <c r="M690" s="11"/>
      <c r="N690" s="11"/>
      <c r="O690" s="18"/>
      <c r="U690" s="18"/>
      <c r="V690" s="18"/>
      <c r="W690" s="18"/>
      <c r="X690" s="18"/>
    </row>
    <row r="691" spans="5:24" ht="13.2">
      <c r="E691" s="11"/>
      <c r="F691" s="11"/>
      <c r="G691" s="11"/>
      <c r="L691" s="11"/>
      <c r="M691" s="11"/>
      <c r="N691" s="11"/>
      <c r="O691" s="18"/>
      <c r="U691" s="18"/>
      <c r="V691" s="18"/>
      <c r="W691" s="18"/>
      <c r="X691" s="18"/>
    </row>
    <row r="692" spans="5:24" ht="13.2">
      <c r="E692" s="11"/>
      <c r="F692" s="11"/>
      <c r="G692" s="11"/>
      <c r="L692" s="11"/>
      <c r="M692" s="11"/>
      <c r="N692" s="11"/>
      <c r="O692" s="18"/>
      <c r="U692" s="18"/>
      <c r="V692" s="18"/>
      <c r="W692" s="18"/>
      <c r="X692" s="18"/>
    </row>
    <row r="693" spans="5:24" ht="13.2">
      <c r="E693" s="11"/>
      <c r="F693" s="11"/>
      <c r="G693" s="11"/>
      <c r="L693" s="11"/>
      <c r="M693" s="11"/>
      <c r="N693" s="11"/>
      <c r="O693" s="18"/>
      <c r="U693" s="18"/>
      <c r="V693" s="18"/>
      <c r="W693" s="18"/>
      <c r="X693" s="18"/>
    </row>
    <row r="694" spans="5:24" ht="13.2">
      <c r="E694" s="11"/>
      <c r="F694" s="11"/>
      <c r="G694" s="11"/>
      <c r="L694" s="11"/>
      <c r="M694" s="11"/>
      <c r="N694" s="11"/>
      <c r="O694" s="18"/>
      <c r="U694" s="18"/>
      <c r="V694" s="18"/>
      <c r="W694" s="18"/>
      <c r="X694" s="18"/>
    </row>
    <row r="695" spans="5:24" ht="13.2">
      <c r="E695" s="11"/>
      <c r="F695" s="11"/>
      <c r="G695" s="11"/>
      <c r="L695" s="11"/>
      <c r="M695" s="11"/>
      <c r="N695" s="11"/>
      <c r="O695" s="18"/>
      <c r="U695" s="18"/>
      <c r="V695" s="18"/>
      <c r="W695" s="18"/>
      <c r="X695" s="18"/>
    </row>
    <row r="696" spans="5:24" ht="13.2">
      <c r="E696" s="11"/>
      <c r="F696" s="11"/>
      <c r="G696" s="11"/>
      <c r="L696" s="11"/>
      <c r="M696" s="11"/>
      <c r="N696" s="11"/>
      <c r="O696" s="18"/>
      <c r="U696" s="18"/>
      <c r="V696" s="18"/>
      <c r="W696" s="18"/>
      <c r="X696" s="18"/>
    </row>
    <row r="697" spans="5:24" ht="13.2">
      <c r="E697" s="11"/>
      <c r="F697" s="11"/>
      <c r="G697" s="11"/>
      <c r="L697" s="11"/>
      <c r="M697" s="11"/>
      <c r="N697" s="11"/>
      <c r="O697" s="18"/>
      <c r="U697" s="18"/>
      <c r="V697" s="18"/>
      <c r="W697" s="18"/>
      <c r="X697" s="18"/>
    </row>
    <row r="698" spans="5:24" ht="13.2">
      <c r="E698" s="11"/>
      <c r="F698" s="11"/>
      <c r="G698" s="11"/>
      <c r="L698" s="11"/>
      <c r="M698" s="11"/>
      <c r="N698" s="11"/>
      <c r="O698" s="18"/>
      <c r="U698" s="18"/>
      <c r="V698" s="18"/>
      <c r="W698" s="18"/>
      <c r="X698" s="18"/>
    </row>
    <row r="699" spans="5:24" ht="13.2">
      <c r="E699" s="11"/>
      <c r="F699" s="11"/>
      <c r="G699" s="11"/>
      <c r="L699" s="11"/>
      <c r="M699" s="11"/>
      <c r="N699" s="11"/>
      <c r="O699" s="18"/>
      <c r="U699" s="18"/>
      <c r="V699" s="18"/>
      <c r="W699" s="18"/>
      <c r="X699" s="18"/>
    </row>
    <row r="700" spans="5:24" ht="13.2">
      <c r="E700" s="11"/>
      <c r="F700" s="11"/>
      <c r="G700" s="11"/>
      <c r="L700" s="11"/>
      <c r="M700" s="11"/>
      <c r="N700" s="11"/>
      <c r="O700" s="18"/>
      <c r="U700" s="18"/>
      <c r="V700" s="18"/>
      <c r="W700" s="18"/>
      <c r="X700" s="18"/>
    </row>
    <row r="701" spans="5:24" ht="13.2">
      <c r="E701" s="11"/>
      <c r="F701" s="11"/>
      <c r="G701" s="11"/>
      <c r="L701" s="11"/>
      <c r="M701" s="11"/>
      <c r="N701" s="11"/>
      <c r="O701" s="18"/>
      <c r="U701" s="18"/>
      <c r="V701" s="18"/>
      <c r="W701" s="18"/>
      <c r="X701" s="18"/>
    </row>
    <row r="702" spans="5:24" ht="13.2">
      <c r="E702" s="11"/>
      <c r="F702" s="11"/>
      <c r="G702" s="11"/>
      <c r="L702" s="11"/>
      <c r="M702" s="11"/>
      <c r="N702" s="11"/>
      <c r="O702" s="18"/>
      <c r="U702" s="18"/>
      <c r="V702" s="18"/>
      <c r="W702" s="18"/>
      <c r="X702" s="18"/>
    </row>
    <row r="703" spans="5:24" ht="13.2">
      <c r="E703" s="11"/>
      <c r="F703" s="11"/>
      <c r="G703" s="11"/>
      <c r="L703" s="11"/>
      <c r="M703" s="11"/>
      <c r="N703" s="11"/>
      <c r="O703" s="18"/>
      <c r="U703" s="18"/>
      <c r="V703" s="18"/>
      <c r="W703" s="18"/>
      <c r="X703" s="18"/>
    </row>
    <row r="704" spans="5:24" ht="13.2">
      <c r="E704" s="11"/>
      <c r="F704" s="11"/>
      <c r="G704" s="11"/>
      <c r="L704" s="11"/>
      <c r="M704" s="11"/>
      <c r="N704" s="11"/>
      <c r="O704" s="18"/>
      <c r="U704" s="18"/>
      <c r="V704" s="18"/>
      <c r="W704" s="18"/>
      <c r="X704" s="18"/>
    </row>
    <row r="705" spans="5:24" ht="13.2">
      <c r="E705" s="11"/>
      <c r="F705" s="11"/>
      <c r="G705" s="11"/>
      <c r="L705" s="11"/>
      <c r="M705" s="11"/>
      <c r="N705" s="11"/>
      <c r="O705" s="18"/>
      <c r="U705" s="18"/>
      <c r="V705" s="18"/>
      <c r="W705" s="18"/>
      <c r="X705" s="18"/>
    </row>
    <row r="706" spans="5:24" ht="13.2">
      <c r="E706" s="11"/>
      <c r="F706" s="11"/>
      <c r="G706" s="11"/>
      <c r="L706" s="11"/>
      <c r="M706" s="11"/>
      <c r="N706" s="11"/>
      <c r="O706" s="18"/>
      <c r="U706" s="18"/>
      <c r="V706" s="18"/>
      <c r="W706" s="18"/>
      <c r="X706" s="18"/>
    </row>
    <row r="707" spans="5:24" ht="13.2">
      <c r="E707" s="11"/>
      <c r="F707" s="11"/>
      <c r="G707" s="11"/>
      <c r="L707" s="11"/>
      <c r="M707" s="11"/>
      <c r="N707" s="11"/>
      <c r="O707" s="18"/>
      <c r="U707" s="18"/>
      <c r="V707" s="18"/>
      <c r="W707" s="18"/>
      <c r="X707" s="18"/>
    </row>
    <row r="708" spans="5:24" ht="13.2">
      <c r="E708" s="11"/>
      <c r="F708" s="11"/>
      <c r="G708" s="11"/>
      <c r="L708" s="11"/>
      <c r="M708" s="11"/>
      <c r="N708" s="11"/>
      <c r="O708" s="18"/>
      <c r="U708" s="18"/>
      <c r="V708" s="18"/>
      <c r="W708" s="18"/>
      <c r="X708" s="18"/>
    </row>
    <row r="709" spans="5:24" ht="13.2">
      <c r="E709" s="11"/>
      <c r="F709" s="11"/>
      <c r="G709" s="11"/>
      <c r="L709" s="11"/>
      <c r="M709" s="11"/>
      <c r="N709" s="11"/>
      <c r="O709" s="18"/>
      <c r="U709" s="18"/>
      <c r="V709" s="18"/>
      <c r="W709" s="18"/>
      <c r="X709" s="18"/>
    </row>
    <row r="710" spans="5:24" ht="13.2">
      <c r="E710" s="11"/>
      <c r="F710" s="11"/>
      <c r="G710" s="11"/>
      <c r="L710" s="11"/>
      <c r="M710" s="11"/>
      <c r="N710" s="11"/>
      <c r="O710" s="18"/>
      <c r="U710" s="18"/>
      <c r="V710" s="18"/>
      <c r="W710" s="18"/>
      <c r="X710" s="18"/>
    </row>
    <row r="711" spans="5:24" ht="13.2">
      <c r="E711" s="11"/>
      <c r="F711" s="11"/>
      <c r="G711" s="11"/>
      <c r="L711" s="11"/>
      <c r="M711" s="11"/>
      <c r="N711" s="11"/>
      <c r="O711" s="18"/>
      <c r="U711" s="18"/>
      <c r="V711" s="18"/>
      <c r="W711" s="18"/>
      <c r="X711" s="18"/>
    </row>
    <row r="712" spans="5:24" ht="13.2">
      <c r="E712" s="11"/>
      <c r="F712" s="11"/>
      <c r="G712" s="11"/>
      <c r="L712" s="11"/>
      <c r="M712" s="11"/>
      <c r="N712" s="11"/>
      <c r="O712" s="18"/>
      <c r="U712" s="18"/>
      <c r="V712" s="18"/>
      <c r="W712" s="18"/>
      <c r="X712" s="18"/>
    </row>
    <row r="713" spans="5:24" ht="13.2">
      <c r="E713" s="11"/>
      <c r="F713" s="11"/>
      <c r="G713" s="11"/>
      <c r="L713" s="11"/>
      <c r="M713" s="11"/>
      <c r="N713" s="11"/>
      <c r="O713" s="18"/>
      <c r="U713" s="18"/>
      <c r="V713" s="18"/>
      <c r="W713" s="18"/>
      <c r="X713" s="18"/>
    </row>
    <row r="714" spans="5:24" ht="13.2">
      <c r="E714" s="11"/>
      <c r="F714" s="11"/>
      <c r="G714" s="11"/>
      <c r="L714" s="11"/>
      <c r="M714" s="11"/>
      <c r="N714" s="11"/>
      <c r="O714" s="18"/>
      <c r="U714" s="18"/>
      <c r="V714" s="18"/>
      <c r="W714" s="18"/>
      <c r="X714" s="18"/>
    </row>
    <row r="715" spans="5:24" ht="13.2">
      <c r="E715" s="11"/>
      <c r="F715" s="11"/>
      <c r="G715" s="11"/>
      <c r="L715" s="11"/>
      <c r="M715" s="11"/>
      <c r="N715" s="11"/>
      <c r="O715" s="18"/>
      <c r="U715" s="18"/>
      <c r="V715" s="18"/>
      <c r="W715" s="18"/>
      <c r="X715" s="18"/>
    </row>
    <row r="716" spans="5:24" ht="13.2">
      <c r="E716" s="11"/>
      <c r="F716" s="11"/>
      <c r="G716" s="11"/>
      <c r="L716" s="11"/>
      <c r="M716" s="11"/>
      <c r="N716" s="11"/>
      <c r="O716" s="18"/>
      <c r="U716" s="18"/>
      <c r="V716" s="18"/>
      <c r="W716" s="18"/>
      <c r="X716" s="18"/>
    </row>
    <row r="717" spans="5:24" ht="13.2">
      <c r="E717" s="11"/>
      <c r="F717" s="11"/>
      <c r="G717" s="11"/>
      <c r="L717" s="11"/>
      <c r="M717" s="11"/>
      <c r="N717" s="11"/>
      <c r="O717" s="18"/>
      <c r="U717" s="18"/>
      <c r="V717" s="18"/>
      <c r="W717" s="18"/>
      <c r="X717" s="18"/>
    </row>
    <row r="718" spans="5:24" ht="13.2">
      <c r="E718" s="11"/>
      <c r="F718" s="11"/>
      <c r="G718" s="11"/>
      <c r="L718" s="11"/>
      <c r="M718" s="11"/>
      <c r="N718" s="11"/>
      <c r="O718" s="18"/>
      <c r="U718" s="18"/>
      <c r="V718" s="18"/>
      <c r="W718" s="18"/>
      <c r="X718" s="18"/>
    </row>
    <row r="719" spans="5:24" ht="13.2">
      <c r="E719" s="11"/>
      <c r="F719" s="11"/>
      <c r="G719" s="11"/>
      <c r="L719" s="11"/>
      <c r="M719" s="11"/>
      <c r="N719" s="11"/>
      <c r="O719" s="18"/>
      <c r="U719" s="18"/>
      <c r="V719" s="18"/>
      <c r="W719" s="18"/>
      <c r="X719" s="18"/>
    </row>
    <row r="720" spans="5:24" ht="13.2">
      <c r="E720" s="11"/>
      <c r="F720" s="11"/>
      <c r="G720" s="11"/>
      <c r="L720" s="11"/>
      <c r="M720" s="11"/>
      <c r="N720" s="11"/>
      <c r="O720" s="18"/>
      <c r="U720" s="18"/>
      <c r="V720" s="18"/>
      <c r="W720" s="18"/>
      <c r="X720" s="18"/>
    </row>
    <row r="721" spans="5:24" ht="13.2">
      <c r="E721" s="11"/>
      <c r="F721" s="11"/>
      <c r="G721" s="11"/>
      <c r="L721" s="11"/>
      <c r="M721" s="11"/>
      <c r="N721" s="11"/>
      <c r="O721" s="18"/>
      <c r="U721" s="18"/>
      <c r="V721" s="18"/>
      <c r="W721" s="18"/>
      <c r="X721" s="18"/>
    </row>
    <row r="722" spans="5:24" ht="13.2">
      <c r="E722" s="11"/>
      <c r="F722" s="11"/>
      <c r="G722" s="11"/>
      <c r="L722" s="11"/>
      <c r="M722" s="11"/>
      <c r="N722" s="11"/>
      <c r="O722" s="18"/>
      <c r="U722" s="18"/>
      <c r="V722" s="18"/>
      <c r="W722" s="18"/>
      <c r="X722" s="18"/>
    </row>
    <row r="723" spans="5:24" ht="13.2">
      <c r="E723" s="11"/>
      <c r="F723" s="11"/>
      <c r="G723" s="11"/>
      <c r="L723" s="11"/>
      <c r="M723" s="11"/>
      <c r="N723" s="11"/>
      <c r="O723" s="18"/>
      <c r="U723" s="18"/>
      <c r="V723" s="18"/>
      <c r="W723" s="18"/>
      <c r="X723" s="18"/>
    </row>
    <row r="724" spans="5:24" ht="13.2">
      <c r="E724" s="11"/>
      <c r="F724" s="11"/>
      <c r="G724" s="11"/>
      <c r="L724" s="11"/>
      <c r="M724" s="11"/>
      <c r="N724" s="11"/>
      <c r="O724" s="18"/>
      <c r="U724" s="18"/>
      <c r="V724" s="18"/>
      <c r="W724" s="18"/>
      <c r="X724" s="18"/>
    </row>
    <row r="725" spans="5:24" ht="13.2">
      <c r="E725" s="11"/>
      <c r="F725" s="11"/>
      <c r="G725" s="11"/>
      <c r="L725" s="11"/>
      <c r="M725" s="11"/>
      <c r="N725" s="11"/>
      <c r="O725" s="18"/>
      <c r="U725" s="18"/>
      <c r="V725" s="18"/>
      <c r="W725" s="18"/>
      <c r="X725" s="18"/>
    </row>
    <row r="726" spans="5:24" ht="13.2">
      <c r="E726" s="11"/>
      <c r="F726" s="11"/>
      <c r="G726" s="11"/>
      <c r="L726" s="11"/>
      <c r="M726" s="11"/>
      <c r="N726" s="11"/>
      <c r="O726" s="18"/>
      <c r="U726" s="18"/>
      <c r="V726" s="18"/>
      <c r="W726" s="18"/>
      <c r="X726" s="18"/>
    </row>
    <row r="727" spans="5:24" ht="13.2">
      <c r="E727" s="11"/>
      <c r="F727" s="11"/>
      <c r="G727" s="11"/>
      <c r="L727" s="11"/>
      <c r="M727" s="11"/>
      <c r="N727" s="11"/>
      <c r="O727" s="18"/>
      <c r="U727" s="18"/>
      <c r="V727" s="18"/>
      <c r="W727" s="18"/>
      <c r="X727" s="18"/>
    </row>
    <row r="728" spans="5:24" ht="13.2">
      <c r="E728" s="11"/>
      <c r="F728" s="11"/>
      <c r="G728" s="11"/>
      <c r="L728" s="11"/>
      <c r="M728" s="11"/>
      <c r="N728" s="11"/>
      <c r="O728" s="18"/>
      <c r="U728" s="18"/>
      <c r="V728" s="18"/>
      <c r="W728" s="18"/>
      <c r="X728" s="18"/>
    </row>
    <row r="729" spans="5:24" ht="13.2">
      <c r="E729" s="11"/>
      <c r="F729" s="11"/>
      <c r="G729" s="11"/>
      <c r="L729" s="11"/>
      <c r="M729" s="11"/>
      <c r="N729" s="11"/>
      <c r="O729" s="18"/>
      <c r="U729" s="18"/>
      <c r="V729" s="18"/>
      <c r="W729" s="18"/>
      <c r="X729" s="18"/>
    </row>
    <row r="730" spans="5:24" ht="13.2">
      <c r="E730" s="11"/>
      <c r="F730" s="11"/>
      <c r="G730" s="11"/>
      <c r="L730" s="11"/>
      <c r="M730" s="11"/>
      <c r="N730" s="11"/>
      <c r="O730" s="18"/>
      <c r="U730" s="18"/>
      <c r="V730" s="18"/>
      <c r="W730" s="18"/>
      <c r="X730" s="18"/>
    </row>
    <row r="731" spans="5:24" ht="13.2">
      <c r="E731" s="11"/>
      <c r="F731" s="11"/>
      <c r="G731" s="11"/>
      <c r="L731" s="11"/>
      <c r="M731" s="11"/>
      <c r="N731" s="11"/>
      <c r="O731" s="18"/>
      <c r="U731" s="18"/>
      <c r="V731" s="18"/>
      <c r="W731" s="18"/>
      <c r="X731" s="18"/>
    </row>
    <row r="732" spans="5:24" ht="13.2">
      <c r="E732" s="11"/>
      <c r="F732" s="11"/>
      <c r="G732" s="11"/>
      <c r="L732" s="11"/>
      <c r="M732" s="11"/>
      <c r="N732" s="11"/>
      <c r="O732" s="18"/>
      <c r="U732" s="18"/>
      <c r="V732" s="18"/>
      <c r="W732" s="18"/>
      <c r="X732" s="18"/>
    </row>
    <row r="733" spans="5:24" ht="13.2">
      <c r="E733" s="11"/>
      <c r="F733" s="11"/>
      <c r="G733" s="11"/>
      <c r="L733" s="11"/>
      <c r="M733" s="11"/>
      <c r="N733" s="11"/>
      <c r="O733" s="18"/>
      <c r="U733" s="18"/>
      <c r="V733" s="18"/>
      <c r="W733" s="18"/>
      <c r="X733" s="18"/>
    </row>
    <row r="734" spans="5:24" ht="13.2">
      <c r="E734" s="11"/>
      <c r="F734" s="11"/>
      <c r="G734" s="11"/>
      <c r="L734" s="11"/>
      <c r="M734" s="11"/>
      <c r="N734" s="11"/>
      <c r="O734" s="18"/>
      <c r="U734" s="18"/>
      <c r="V734" s="18"/>
      <c r="W734" s="18"/>
      <c r="X734" s="18"/>
    </row>
    <row r="735" spans="5:24" ht="13.2">
      <c r="E735" s="11"/>
      <c r="F735" s="11"/>
      <c r="G735" s="11"/>
      <c r="L735" s="11"/>
      <c r="M735" s="11"/>
      <c r="N735" s="11"/>
      <c r="O735" s="18"/>
      <c r="U735" s="18"/>
      <c r="V735" s="18"/>
      <c r="W735" s="18"/>
      <c r="X735" s="18"/>
    </row>
    <row r="736" spans="5:24" ht="13.2">
      <c r="E736" s="11"/>
      <c r="F736" s="11"/>
      <c r="G736" s="11"/>
      <c r="L736" s="11"/>
      <c r="M736" s="11"/>
      <c r="N736" s="11"/>
      <c r="O736" s="18"/>
      <c r="U736" s="18"/>
      <c r="V736" s="18"/>
      <c r="W736" s="18"/>
      <c r="X736" s="18"/>
    </row>
    <row r="737" spans="5:24" ht="13.2">
      <c r="E737" s="11"/>
      <c r="F737" s="11"/>
      <c r="G737" s="11"/>
      <c r="L737" s="11"/>
      <c r="M737" s="11"/>
      <c r="N737" s="11"/>
      <c r="O737" s="18"/>
      <c r="U737" s="18"/>
      <c r="V737" s="18"/>
      <c r="W737" s="18"/>
      <c r="X737" s="18"/>
    </row>
    <row r="738" spans="5:24" ht="13.2">
      <c r="E738" s="11"/>
      <c r="F738" s="11"/>
      <c r="G738" s="11"/>
      <c r="L738" s="11"/>
      <c r="M738" s="11"/>
      <c r="N738" s="11"/>
      <c r="O738" s="18"/>
      <c r="U738" s="18"/>
      <c r="V738" s="18"/>
      <c r="W738" s="18"/>
      <c r="X738" s="18"/>
    </row>
    <row r="739" spans="5:24" ht="13.2">
      <c r="E739" s="11"/>
      <c r="F739" s="11"/>
      <c r="G739" s="11"/>
      <c r="L739" s="11"/>
      <c r="M739" s="11"/>
      <c r="N739" s="11"/>
      <c r="O739" s="18"/>
      <c r="U739" s="18"/>
      <c r="V739" s="18"/>
      <c r="W739" s="18"/>
      <c r="X739" s="18"/>
    </row>
    <row r="740" spans="5:24" ht="13.2">
      <c r="E740" s="11"/>
      <c r="F740" s="11"/>
      <c r="G740" s="11"/>
      <c r="L740" s="11"/>
      <c r="M740" s="11"/>
      <c r="N740" s="11"/>
      <c r="O740" s="18"/>
      <c r="U740" s="18"/>
      <c r="V740" s="18"/>
      <c r="W740" s="18"/>
      <c r="X740" s="18"/>
    </row>
    <row r="741" spans="5:24" ht="13.2">
      <c r="E741" s="11"/>
      <c r="F741" s="11"/>
      <c r="G741" s="11"/>
      <c r="L741" s="11"/>
      <c r="M741" s="11"/>
      <c r="N741" s="11"/>
      <c r="O741" s="18"/>
      <c r="U741" s="18"/>
      <c r="V741" s="18"/>
      <c r="W741" s="18"/>
      <c r="X741" s="18"/>
    </row>
    <row r="742" spans="5:24" ht="13.2">
      <c r="E742" s="11"/>
      <c r="F742" s="11"/>
      <c r="G742" s="11"/>
      <c r="L742" s="11"/>
      <c r="M742" s="11"/>
      <c r="N742" s="11"/>
      <c r="O742" s="18"/>
      <c r="U742" s="18"/>
      <c r="V742" s="18"/>
      <c r="W742" s="18"/>
      <c r="X742" s="18"/>
    </row>
    <row r="743" spans="5:24" ht="13.2">
      <c r="E743" s="11"/>
      <c r="F743" s="11"/>
      <c r="G743" s="11"/>
      <c r="L743" s="11"/>
      <c r="M743" s="11"/>
      <c r="N743" s="11"/>
      <c r="O743" s="18"/>
      <c r="U743" s="18"/>
      <c r="V743" s="18"/>
      <c r="W743" s="18"/>
      <c r="X743" s="18"/>
    </row>
    <row r="744" spans="5:24" ht="13.2">
      <c r="E744" s="11"/>
      <c r="F744" s="11"/>
      <c r="G744" s="11"/>
      <c r="L744" s="11"/>
      <c r="M744" s="11"/>
      <c r="N744" s="11"/>
      <c r="O744" s="18"/>
      <c r="U744" s="18"/>
      <c r="V744" s="18"/>
      <c r="W744" s="18"/>
      <c r="X744" s="18"/>
    </row>
    <row r="745" spans="5:24" ht="13.2">
      <c r="E745" s="11"/>
      <c r="F745" s="11"/>
      <c r="G745" s="11"/>
      <c r="L745" s="11"/>
      <c r="M745" s="11"/>
      <c r="N745" s="11"/>
      <c r="O745" s="18"/>
      <c r="U745" s="18"/>
      <c r="V745" s="18"/>
      <c r="W745" s="18"/>
      <c r="X745" s="18"/>
    </row>
    <row r="746" spans="5:24" ht="13.2">
      <c r="E746" s="11"/>
      <c r="F746" s="11"/>
      <c r="G746" s="11"/>
      <c r="L746" s="11"/>
      <c r="M746" s="11"/>
      <c r="N746" s="11"/>
      <c r="O746" s="18"/>
      <c r="U746" s="18"/>
      <c r="V746" s="18"/>
      <c r="W746" s="18"/>
      <c r="X746" s="18"/>
    </row>
    <row r="747" spans="5:24" ht="13.2">
      <c r="E747" s="11"/>
      <c r="F747" s="11"/>
      <c r="G747" s="11"/>
      <c r="L747" s="11"/>
      <c r="M747" s="11"/>
      <c r="N747" s="11"/>
      <c r="O747" s="18"/>
      <c r="U747" s="18"/>
      <c r="V747" s="18"/>
      <c r="W747" s="18"/>
      <c r="X747" s="18"/>
    </row>
    <row r="748" spans="5:24" ht="13.2">
      <c r="E748" s="11"/>
      <c r="F748" s="11"/>
      <c r="G748" s="11"/>
      <c r="L748" s="11"/>
      <c r="M748" s="11"/>
      <c r="N748" s="11"/>
      <c r="O748" s="18"/>
      <c r="U748" s="18"/>
      <c r="V748" s="18"/>
      <c r="W748" s="18"/>
      <c r="X748" s="18"/>
    </row>
    <row r="749" spans="5:24" ht="13.2">
      <c r="E749" s="11"/>
      <c r="F749" s="11"/>
      <c r="G749" s="11"/>
      <c r="L749" s="11"/>
      <c r="M749" s="11"/>
      <c r="N749" s="11"/>
      <c r="O749" s="18"/>
      <c r="U749" s="18"/>
      <c r="V749" s="18"/>
      <c r="W749" s="18"/>
      <c r="X749" s="18"/>
    </row>
    <row r="750" spans="5:24" ht="13.2">
      <c r="E750" s="11"/>
      <c r="F750" s="11"/>
      <c r="G750" s="11"/>
      <c r="L750" s="11"/>
      <c r="M750" s="11"/>
      <c r="N750" s="11"/>
      <c r="O750" s="18"/>
      <c r="U750" s="18"/>
      <c r="V750" s="18"/>
      <c r="W750" s="18"/>
      <c r="X750" s="18"/>
    </row>
    <row r="751" spans="5:24" ht="13.2">
      <c r="E751" s="11"/>
      <c r="F751" s="11"/>
      <c r="G751" s="11"/>
      <c r="L751" s="11"/>
      <c r="M751" s="11"/>
      <c r="N751" s="11"/>
      <c r="O751" s="18"/>
      <c r="U751" s="18"/>
      <c r="V751" s="18"/>
      <c r="W751" s="18"/>
      <c r="X751" s="18"/>
    </row>
    <row r="752" spans="5:24" ht="13.2">
      <c r="E752" s="11"/>
      <c r="F752" s="11"/>
      <c r="G752" s="11"/>
      <c r="L752" s="11"/>
      <c r="M752" s="11"/>
      <c r="N752" s="11"/>
      <c r="O752" s="18"/>
      <c r="U752" s="18"/>
      <c r="V752" s="18"/>
      <c r="W752" s="18"/>
      <c r="X752" s="18"/>
    </row>
    <row r="753" spans="5:24" ht="13.2">
      <c r="E753" s="11"/>
      <c r="F753" s="11"/>
      <c r="G753" s="11"/>
      <c r="L753" s="11"/>
      <c r="M753" s="11"/>
      <c r="N753" s="11"/>
      <c r="O753" s="18"/>
      <c r="U753" s="18"/>
      <c r="V753" s="18"/>
      <c r="W753" s="18"/>
      <c r="X753" s="18"/>
    </row>
    <row r="754" spans="5:24" ht="13.2">
      <c r="E754" s="11"/>
      <c r="F754" s="11"/>
      <c r="G754" s="11"/>
      <c r="L754" s="11"/>
      <c r="M754" s="11"/>
      <c r="N754" s="11"/>
      <c r="O754" s="18"/>
      <c r="U754" s="18"/>
      <c r="V754" s="18"/>
      <c r="W754" s="18"/>
      <c r="X754" s="18"/>
    </row>
    <row r="755" spans="5:24" ht="13.2">
      <c r="E755" s="11"/>
      <c r="F755" s="11"/>
      <c r="G755" s="11"/>
      <c r="L755" s="11"/>
      <c r="M755" s="11"/>
      <c r="N755" s="11"/>
      <c r="O755" s="18"/>
      <c r="U755" s="18"/>
      <c r="V755" s="18"/>
      <c r="W755" s="18"/>
      <c r="X755" s="18"/>
    </row>
    <row r="756" spans="5:24" ht="13.2">
      <c r="E756" s="11"/>
      <c r="F756" s="11"/>
      <c r="G756" s="11"/>
      <c r="L756" s="11"/>
      <c r="M756" s="11"/>
      <c r="N756" s="11"/>
      <c r="O756" s="18"/>
      <c r="U756" s="18"/>
      <c r="V756" s="18"/>
      <c r="W756" s="18"/>
      <c r="X756" s="18"/>
    </row>
    <row r="757" spans="5:24" ht="13.2">
      <c r="E757" s="11"/>
      <c r="F757" s="11"/>
      <c r="G757" s="11"/>
      <c r="L757" s="11"/>
      <c r="M757" s="11"/>
      <c r="N757" s="11"/>
      <c r="O757" s="18"/>
      <c r="U757" s="18"/>
      <c r="V757" s="18"/>
      <c r="W757" s="18"/>
      <c r="X757" s="18"/>
    </row>
    <row r="758" spans="5:24" ht="13.2">
      <c r="E758" s="11"/>
      <c r="F758" s="11"/>
      <c r="G758" s="11"/>
      <c r="L758" s="11"/>
      <c r="M758" s="11"/>
      <c r="N758" s="11"/>
      <c r="O758" s="18"/>
      <c r="U758" s="18"/>
      <c r="V758" s="18"/>
      <c r="W758" s="18"/>
      <c r="X758" s="18"/>
    </row>
    <row r="759" spans="5:24" ht="13.2">
      <c r="E759" s="11"/>
      <c r="F759" s="11"/>
      <c r="G759" s="11"/>
      <c r="L759" s="11"/>
      <c r="M759" s="11"/>
      <c r="N759" s="11"/>
      <c r="O759" s="18"/>
      <c r="U759" s="18"/>
      <c r="V759" s="18"/>
      <c r="W759" s="18"/>
      <c r="X759" s="18"/>
    </row>
    <row r="760" spans="5:24" ht="13.2">
      <c r="E760" s="11"/>
      <c r="F760" s="11"/>
      <c r="G760" s="11"/>
      <c r="L760" s="11"/>
      <c r="M760" s="11"/>
      <c r="N760" s="11"/>
      <c r="O760" s="18"/>
      <c r="U760" s="18"/>
      <c r="V760" s="18"/>
      <c r="W760" s="18"/>
      <c r="X760" s="18"/>
    </row>
    <row r="761" spans="5:24" ht="13.2">
      <c r="E761" s="11"/>
      <c r="F761" s="11"/>
      <c r="G761" s="11"/>
      <c r="L761" s="11"/>
      <c r="M761" s="11"/>
      <c r="N761" s="11"/>
      <c r="O761" s="18"/>
      <c r="U761" s="18"/>
      <c r="V761" s="18"/>
      <c r="W761" s="18"/>
      <c r="X761" s="18"/>
    </row>
    <row r="762" spans="5:24" ht="13.2">
      <c r="E762" s="11"/>
      <c r="F762" s="11"/>
      <c r="G762" s="11"/>
      <c r="L762" s="11"/>
      <c r="M762" s="11"/>
      <c r="N762" s="11"/>
      <c r="O762" s="18"/>
      <c r="U762" s="18"/>
      <c r="V762" s="18"/>
      <c r="W762" s="18"/>
      <c r="X762" s="18"/>
    </row>
    <row r="763" spans="5:24" ht="13.2">
      <c r="E763" s="11"/>
      <c r="F763" s="11"/>
      <c r="G763" s="11"/>
      <c r="L763" s="11"/>
      <c r="M763" s="11"/>
      <c r="N763" s="11"/>
      <c r="O763" s="18"/>
      <c r="U763" s="18"/>
      <c r="V763" s="18"/>
      <c r="W763" s="18"/>
      <c r="X763" s="18"/>
    </row>
    <row r="764" spans="5:24" ht="13.2">
      <c r="E764" s="11"/>
      <c r="F764" s="11"/>
      <c r="G764" s="11"/>
      <c r="L764" s="11"/>
      <c r="M764" s="11"/>
      <c r="N764" s="11"/>
      <c r="O764" s="18"/>
      <c r="U764" s="18"/>
      <c r="V764" s="18"/>
      <c r="W764" s="18"/>
      <c r="X764" s="18"/>
    </row>
    <row r="765" spans="5:24" ht="13.2">
      <c r="E765" s="11"/>
      <c r="F765" s="11"/>
      <c r="G765" s="11"/>
      <c r="L765" s="11"/>
      <c r="M765" s="11"/>
      <c r="N765" s="11"/>
      <c r="O765" s="18"/>
      <c r="U765" s="18"/>
      <c r="V765" s="18"/>
      <c r="W765" s="18"/>
      <c r="X765" s="18"/>
    </row>
    <row r="766" spans="5:24" ht="13.2">
      <c r="E766" s="11"/>
      <c r="F766" s="11"/>
      <c r="G766" s="11"/>
      <c r="L766" s="11"/>
      <c r="M766" s="11"/>
      <c r="N766" s="11"/>
      <c r="O766" s="18"/>
      <c r="U766" s="18"/>
      <c r="V766" s="18"/>
      <c r="W766" s="18"/>
      <c r="X766" s="18"/>
    </row>
    <row r="767" spans="5:24" ht="13.2">
      <c r="E767" s="11"/>
      <c r="F767" s="11"/>
      <c r="G767" s="11"/>
      <c r="L767" s="11"/>
      <c r="M767" s="11"/>
      <c r="N767" s="11"/>
      <c r="O767" s="18"/>
      <c r="U767" s="18"/>
      <c r="V767" s="18"/>
      <c r="W767" s="18"/>
      <c r="X767" s="18"/>
    </row>
    <row r="768" spans="5:24" ht="13.2">
      <c r="E768" s="11"/>
      <c r="F768" s="11"/>
      <c r="G768" s="11"/>
      <c r="L768" s="11"/>
      <c r="M768" s="11"/>
      <c r="N768" s="11"/>
      <c r="O768" s="18"/>
      <c r="U768" s="18"/>
      <c r="V768" s="18"/>
      <c r="W768" s="18"/>
      <c r="X768" s="18"/>
    </row>
    <row r="769" spans="5:24" ht="13.2">
      <c r="E769" s="11"/>
      <c r="F769" s="11"/>
      <c r="G769" s="11"/>
      <c r="L769" s="11"/>
      <c r="M769" s="11"/>
      <c r="N769" s="11"/>
      <c r="O769" s="18"/>
      <c r="U769" s="18"/>
      <c r="V769" s="18"/>
      <c r="W769" s="18"/>
      <c r="X769" s="18"/>
    </row>
    <row r="770" spans="5:24" ht="13.2">
      <c r="E770" s="11"/>
      <c r="F770" s="11"/>
      <c r="G770" s="11"/>
      <c r="L770" s="11"/>
      <c r="M770" s="11"/>
      <c r="N770" s="11"/>
      <c r="O770" s="18"/>
      <c r="U770" s="18"/>
      <c r="V770" s="18"/>
      <c r="W770" s="18"/>
      <c r="X770" s="18"/>
    </row>
    <row r="771" spans="5:24" ht="13.2">
      <c r="E771" s="11"/>
      <c r="F771" s="11"/>
      <c r="G771" s="11"/>
      <c r="L771" s="11"/>
      <c r="M771" s="11"/>
      <c r="N771" s="11"/>
      <c r="O771" s="18"/>
      <c r="U771" s="18"/>
      <c r="V771" s="18"/>
      <c r="W771" s="18"/>
      <c r="X771" s="18"/>
    </row>
    <row r="772" spans="5:24" ht="13.2">
      <c r="E772" s="11"/>
      <c r="F772" s="11"/>
      <c r="G772" s="11"/>
      <c r="L772" s="11"/>
      <c r="M772" s="11"/>
      <c r="N772" s="11"/>
      <c r="O772" s="18"/>
      <c r="U772" s="18"/>
      <c r="V772" s="18"/>
      <c r="W772" s="18"/>
      <c r="X772" s="18"/>
    </row>
    <row r="773" spans="5:24" ht="13.2">
      <c r="E773" s="11"/>
      <c r="F773" s="11"/>
      <c r="G773" s="11"/>
      <c r="L773" s="11"/>
      <c r="M773" s="11"/>
      <c r="N773" s="11"/>
      <c r="O773" s="18"/>
      <c r="U773" s="18"/>
      <c r="V773" s="18"/>
      <c r="W773" s="18"/>
      <c r="X773" s="18"/>
    </row>
    <row r="774" spans="5:24" ht="13.2">
      <c r="E774" s="11"/>
      <c r="F774" s="11"/>
      <c r="G774" s="11"/>
      <c r="L774" s="11"/>
      <c r="M774" s="11"/>
      <c r="N774" s="11"/>
      <c r="O774" s="18"/>
      <c r="U774" s="18"/>
      <c r="V774" s="18"/>
      <c r="W774" s="18"/>
      <c r="X774" s="18"/>
    </row>
    <row r="775" spans="5:24" ht="13.2">
      <c r="E775" s="11"/>
      <c r="F775" s="11"/>
      <c r="G775" s="11"/>
      <c r="L775" s="11"/>
      <c r="M775" s="11"/>
      <c r="N775" s="11"/>
      <c r="O775" s="18"/>
      <c r="U775" s="18"/>
      <c r="V775" s="18"/>
      <c r="W775" s="18"/>
      <c r="X775" s="18"/>
    </row>
    <row r="776" spans="5:24" ht="13.2">
      <c r="E776" s="11"/>
      <c r="F776" s="11"/>
      <c r="G776" s="11"/>
      <c r="L776" s="11"/>
      <c r="M776" s="11"/>
      <c r="N776" s="11"/>
      <c r="O776" s="18"/>
      <c r="U776" s="18"/>
      <c r="V776" s="18"/>
      <c r="W776" s="18"/>
      <c r="X776" s="18"/>
    </row>
    <row r="777" spans="5:24" ht="13.2">
      <c r="E777" s="11"/>
      <c r="F777" s="11"/>
      <c r="G777" s="11"/>
      <c r="L777" s="11"/>
      <c r="M777" s="11"/>
      <c r="N777" s="11"/>
      <c r="O777" s="18"/>
      <c r="U777" s="18"/>
      <c r="V777" s="18"/>
      <c r="W777" s="18"/>
      <c r="X777" s="18"/>
    </row>
    <row r="778" spans="5:24" ht="13.2">
      <c r="E778" s="11"/>
      <c r="F778" s="11"/>
      <c r="G778" s="11"/>
      <c r="L778" s="11"/>
      <c r="M778" s="11"/>
      <c r="N778" s="11"/>
      <c r="O778" s="18"/>
      <c r="U778" s="18"/>
      <c r="V778" s="18"/>
      <c r="W778" s="18"/>
      <c r="X778" s="18"/>
    </row>
    <row r="779" spans="5:24" ht="13.2">
      <c r="E779" s="11"/>
      <c r="F779" s="11"/>
      <c r="G779" s="11"/>
      <c r="L779" s="11"/>
      <c r="M779" s="11"/>
      <c r="N779" s="11"/>
      <c r="O779" s="18"/>
      <c r="U779" s="18"/>
      <c r="V779" s="18"/>
      <c r="W779" s="18"/>
      <c r="X779" s="18"/>
    </row>
    <row r="780" spans="5:24" ht="13.2">
      <c r="E780" s="11"/>
      <c r="F780" s="11"/>
      <c r="G780" s="11"/>
      <c r="L780" s="11"/>
      <c r="M780" s="11"/>
      <c r="N780" s="11"/>
      <c r="O780" s="18"/>
      <c r="U780" s="18"/>
      <c r="V780" s="18"/>
      <c r="W780" s="18"/>
      <c r="X780" s="18"/>
    </row>
    <row r="781" spans="5:24" ht="13.2">
      <c r="E781" s="11"/>
      <c r="F781" s="11"/>
      <c r="G781" s="11"/>
      <c r="L781" s="11"/>
      <c r="M781" s="11"/>
      <c r="N781" s="11"/>
      <c r="O781" s="18"/>
      <c r="U781" s="18"/>
      <c r="V781" s="18"/>
      <c r="W781" s="18"/>
      <c r="X781" s="18"/>
    </row>
    <row r="782" spans="5:24" ht="13.2">
      <c r="E782" s="11"/>
      <c r="F782" s="11"/>
      <c r="G782" s="11"/>
      <c r="L782" s="11"/>
      <c r="M782" s="11"/>
      <c r="N782" s="11"/>
      <c r="O782" s="18"/>
      <c r="U782" s="18"/>
      <c r="V782" s="18"/>
      <c r="W782" s="18"/>
      <c r="X782" s="18"/>
    </row>
    <row r="783" spans="5:24" ht="13.2">
      <c r="E783" s="11"/>
      <c r="F783" s="11"/>
      <c r="G783" s="11"/>
      <c r="L783" s="11"/>
      <c r="M783" s="11"/>
      <c r="N783" s="11"/>
      <c r="O783" s="18"/>
      <c r="U783" s="18"/>
      <c r="V783" s="18"/>
      <c r="W783" s="18"/>
      <c r="X783" s="18"/>
    </row>
    <row r="784" spans="5:24" ht="13.2">
      <c r="E784" s="11"/>
      <c r="F784" s="11"/>
      <c r="G784" s="11"/>
      <c r="L784" s="11"/>
      <c r="M784" s="11"/>
      <c r="N784" s="11"/>
      <c r="O784" s="18"/>
      <c r="U784" s="18"/>
      <c r="V784" s="18"/>
      <c r="W784" s="18"/>
      <c r="X784" s="18"/>
    </row>
    <row r="785" spans="5:24" ht="13.2">
      <c r="E785" s="11"/>
      <c r="F785" s="11"/>
      <c r="G785" s="11"/>
      <c r="L785" s="11"/>
      <c r="M785" s="11"/>
      <c r="N785" s="11"/>
      <c r="O785" s="18"/>
      <c r="U785" s="18"/>
      <c r="V785" s="18"/>
      <c r="W785" s="18"/>
      <c r="X785" s="18"/>
    </row>
    <row r="786" spans="5:24" ht="13.2">
      <c r="E786" s="11"/>
      <c r="F786" s="11"/>
      <c r="G786" s="11"/>
      <c r="L786" s="11"/>
      <c r="M786" s="11"/>
      <c r="N786" s="11"/>
      <c r="O786" s="18"/>
      <c r="U786" s="18"/>
      <c r="V786" s="18"/>
      <c r="W786" s="18"/>
      <c r="X786" s="18"/>
    </row>
    <row r="787" spans="5:24" ht="13.2">
      <c r="E787" s="11"/>
      <c r="F787" s="11"/>
      <c r="G787" s="11"/>
      <c r="L787" s="11"/>
      <c r="M787" s="11"/>
      <c r="N787" s="11"/>
      <c r="O787" s="18"/>
      <c r="U787" s="18"/>
      <c r="V787" s="18"/>
      <c r="W787" s="18"/>
      <c r="X787" s="18"/>
    </row>
    <row r="788" spans="5:24" ht="13.2">
      <c r="E788" s="11"/>
      <c r="F788" s="11"/>
      <c r="G788" s="11"/>
      <c r="L788" s="11"/>
      <c r="M788" s="11"/>
      <c r="N788" s="11"/>
      <c r="O788" s="18"/>
      <c r="U788" s="18"/>
      <c r="V788" s="18"/>
      <c r="W788" s="18"/>
      <c r="X788" s="18"/>
    </row>
    <row r="789" spans="5:24" ht="13.2">
      <c r="E789" s="11"/>
      <c r="F789" s="11"/>
      <c r="G789" s="11"/>
      <c r="L789" s="11"/>
      <c r="M789" s="11"/>
      <c r="N789" s="11"/>
      <c r="O789" s="18"/>
      <c r="U789" s="18"/>
      <c r="V789" s="18"/>
      <c r="W789" s="18"/>
      <c r="X789" s="18"/>
    </row>
    <row r="790" spans="5:24" ht="13.2">
      <c r="E790" s="11"/>
      <c r="F790" s="11"/>
      <c r="G790" s="11"/>
      <c r="L790" s="11"/>
      <c r="M790" s="11"/>
      <c r="N790" s="11"/>
      <c r="O790" s="18"/>
      <c r="U790" s="18"/>
      <c r="V790" s="18"/>
      <c r="W790" s="18"/>
      <c r="X790" s="18"/>
    </row>
    <row r="791" spans="5:24" ht="13.2">
      <c r="E791" s="11"/>
      <c r="F791" s="11"/>
      <c r="G791" s="11"/>
      <c r="L791" s="11"/>
      <c r="M791" s="11"/>
      <c r="N791" s="11"/>
      <c r="O791" s="18"/>
      <c r="U791" s="18"/>
      <c r="V791" s="18"/>
      <c r="W791" s="18"/>
      <c r="X791" s="18"/>
    </row>
    <row r="792" spans="5:24" ht="13.2">
      <c r="E792" s="11"/>
      <c r="F792" s="11"/>
      <c r="G792" s="11"/>
      <c r="L792" s="11"/>
      <c r="M792" s="11"/>
      <c r="N792" s="11"/>
      <c r="O792" s="18"/>
      <c r="U792" s="18"/>
      <c r="V792" s="18"/>
      <c r="W792" s="18"/>
      <c r="X792" s="18"/>
    </row>
    <row r="793" spans="5:24" ht="13.2">
      <c r="E793" s="11"/>
      <c r="F793" s="11"/>
      <c r="G793" s="11"/>
      <c r="L793" s="11"/>
      <c r="M793" s="11"/>
      <c r="N793" s="11"/>
      <c r="O793" s="18"/>
      <c r="U793" s="18"/>
      <c r="V793" s="18"/>
      <c r="W793" s="18"/>
      <c r="X793" s="18"/>
    </row>
    <row r="794" spans="5:24" ht="13.2">
      <c r="E794" s="11"/>
      <c r="F794" s="11"/>
      <c r="G794" s="11"/>
      <c r="L794" s="11"/>
      <c r="M794" s="11"/>
      <c r="N794" s="11"/>
      <c r="O794" s="18"/>
      <c r="U794" s="18"/>
      <c r="V794" s="18"/>
      <c r="W794" s="18"/>
      <c r="X794" s="18"/>
    </row>
    <row r="795" spans="5:24" ht="13.2">
      <c r="E795" s="11"/>
      <c r="F795" s="11"/>
      <c r="G795" s="11"/>
      <c r="L795" s="11"/>
      <c r="M795" s="11"/>
      <c r="N795" s="11"/>
      <c r="O795" s="18"/>
      <c r="U795" s="18"/>
      <c r="V795" s="18"/>
      <c r="W795" s="18"/>
      <c r="X795" s="18"/>
    </row>
    <row r="796" spans="5:24" ht="13.2">
      <c r="E796" s="11"/>
      <c r="F796" s="11"/>
      <c r="G796" s="11"/>
      <c r="L796" s="11"/>
      <c r="M796" s="11"/>
      <c r="N796" s="11"/>
      <c r="O796" s="18"/>
      <c r="U796" s="18"/>
      <c r="V796" s="18"/>
      <c r="W796" s="18"/>
      <c r="X796" s="18"/>
    </row>
    <row r="797" spans="5:24" ht="13.2">
      <c r="E797" s="11"/>
      <c r="F797" s="11"/>
      <c r="G797" s="11"/>
      <c r="L797" s="11"/>
      <c r="M797" s="11"/>
      <c r="N797" s="11"/>
      <c r="O797" s="18"/>
      <c r="U797" s="18"/>
      <c r="V797" s="18"/>
      <c r="W797" s="18"/>
      <c r="X797" s="18"/>
    </row>
    <row r="798" spans="5:24" ht="13.2">
      <c r="E798" s="11"/>
      <c r="F798" s="11"/>
      <c r="G798" s="11"/>
      <c r="L798" s="11"/>
      <c r="M798" s="11"/>
      <c r="N798" s="11"/>
      <c r="O798" s="18"/>
      <c r="U798" s="18"/>
      <c r="V798" s="18"/>
      <c r="W798" s="18"/>
      <c r="X798" s="18"/>
    </row>
    <row r="799" spans="5:24" ht="13.2">
      <c r="E799" s="11"/>
      <c r="F799" s="11"/>
      <c r="G799" s="11"/>
      <c r="L799" s="11"/>
      <c r="M799" s="11"/>
      <c r="N799" s="11"/>
      <c r="O799" s="18"/>
      <c r="U799" s="18"/>
      <c r="V799" s="18"/>
      <c r="W799" s="18"/>
      <c r="X799" s="18"/>
    </row>
    <row r="800" spans="5:24" ht="13.2">
      <c r="E800" s="11"/>
      <c r="F800" s="11"/>
      <c r="G800" s="11"/>
      <c r="L800" s="11"/>
      <c r="M800" s="11"/>
      <c r="N800" s="11"/>
      <c r="O800" s="18"/>
      <c r="U800" s="18"/>
      <c r="V800" s="18"/>
      <c r="W800" s="18"/>
      <c r="X800" s="18"/>
    </row>
    <row r="801" spans="5:24" ht="13.2">
      <c r="E801" s="11"/>
      <c r="F801" s="11"/>
      <c r="G801" s="11"/>
      <c r="L801" s="11"/>
      <c r="M801" s="11"/>
      <c r="N801" s="11"/>
      <c r="O801" s="18"/>
      <c r="U801" s="18"/>
      <c r="V801" s="18"/>
      <c r="W801" s="18"/>
      <c r="X801" s="18"/>
    </row>
    <row r="802" spans="5:24" ht="13.2">
      <c r="E802" s="11"/>
      <c r="F802" s="11"/>
      <c r="G802" s="11"/>
      <c r="L802" s="11"/>
      <c r="M802" s="11"/>
      <c r="N802" s="11"/>
      <c r="O802" s="18"/>
      <c r="U802" s="18"/>
      <c r="V802" s="18"/>
      <c r="W802" s="18"/>
      <c r="X802" s="18"/>
    </row>
    <row r="803" spans="5:24" ht="13.2">
      <c r="E803" s="11"/>
      <c r="F803" s="11"/>
      <c r="G803" s="11"/>
      <c r="L803" s="11"/>
      <c r="M803" s="11"/>
      <c r="N803" s="11"/>
      <c r="O803" s="18"/>
      <c r="U803" s="18"/>
      <c r="V803" s="18"/>
      <c r="W803" s="18"/>
      <c r="X803" s="18"/>
    </row>
    <row r="804" spans="5:24" ht="13.2">
      <c r="E804" s="11"/>
      <c r="F804" s="11"/>
      <c r="G804" s="11"/>
      <c r="L804" s="11"/>
      <c r="M804" s="11"/>
      <c r="N804" s="11"/>
      <c r="O804" s="18"/>
      <c r="U804" s="18"/>
      <c r="V804" s="18"/>
      <c r="W804" s="18"/>
      <c r="X804" s="18"/>
    </row>
    <row r="805" spans="5:24" ht="13.2">
      <c r="E805" s="11"/>
      <c r="F805" s="11"/>
      <c r="G805" s="11"/>
      <c r="L805" s="11"/>
      <c r="M805" s="11"/>
      <c r="N805" s="11"/>
      <c r="O805" s="18"/>
      <c r="U805" s="18"/>
      <c r="V805" s="18"/>
      <c r="W805" s="18"/>
      <c r="X805" s="18"/>
    </row>
    <row r="806" spans="5:24" ht="13.2">
      <c r="E806" s="11"/>
      <c r="F806" s="11"/>
      <c r="G806" s="11"/>
      <c r="L806" s="11"/>
      <c r="M806" s="11"/>
      <c r="N806" s="11"/>
      <c r="O806" s="18"/>
      <c r="U806" s="18"/>
      <c r="V806" s="18"/>
      <c r="W806" s="18"/>
      <c r="X806" s="18"/>
    </row>
    <row r="807" spans="5:24" ht="13.2">
      <c r="E807" s="11"/>
      <c r="F807" s="11"/>
      <c r="G807" s="11"/>
      <c r="L807" s="11"/>
      <c r="M807" s="11"/>
      <c r="N807" s="11"/>
      <c r="O807" s="18"/>
      <c r="U807" s="18"/>
      <c r="V807" s="18"/>
      <c r="W807" s="18"/>
      <c r="X807" s="18"/>
    </row>
    <row r="808" spans="5:24" ht="13.2">
      <c r="E808" s="11"/>
      <c r="F808" s="11"/>
      <c r="G808" s="11"/>
      <c r="L808" s="11"/>
      <c r="M808" s="11"/>
      <c r="N808" s="11"/>
      <c r="O808" s="18"/>
      <c r="U808" s="18"/>
      <c r="V808" s="18"/>
      <c r="W808" s="18"/>
      <c r="X808" s="18"/>
    </row>
    <row r="809" spans="5:24" ht="13.2">
      <c r="E809" s="11"/>
      <c r="F809" s="11"/>
      <c r="G809" s="11"/>
      <c r="L809" s="11"/>
      <c r="M809" s="11"/>
      <c r="N809" s="11"/>
      <c r="O809" s="18"/>
      <c r="U809" s="18"/>
      <c r="V809" s="18"/>
      <c r="W809" s="18"/>
      <c r="X809" s="18"/>
    </row>
    <row r="810" spans="5:24" ht="13.2">
      <c r="E810" s="11"/>
      <c r="F810" s="11"/>
      <c r="G810" s="11"/>
      <c r="L810" s="11"/>
      <c r="M810" s="11"/>
      <c r="N810" s="11"/>
      <c r="O810" s="18"/>
      <c r="U810" s="18"/>
      <c r="V810" s="18"/>
      <c r="W810" s="18"/>
      <c r="X810" s="18"/>
    </row>
    <row r="811" spans="5:24" ht="13.2">
      <c r="E811" s="11"/>
      <c r="F811" s="11"/>
      <c r="G811" s="11"/>
      <c r="L811" s="11"/>
      <c r="M811" s="11"/>
      <c r="N811" s="11"/>
      <c r="O811" s="18"/>
      <c r="U811" s="18"/>
      <c r="V811" s="18"/>
      <c r="W811" s="18"/>
      <c r="X811" s="18"/>
    </row>
    <row r="812" spans="5:24" ht="13.2">
      <c r="E812" s="11"/>
      <c r="F812" s="11"/>
      <c r="G812" s="11"/>
      <c r="L812" s="11"/>
      <c r="M812" s="11"/>
      <c r="N812" s="11"/>
      <c r="O812" s="18"/>
      <c r="U812" s="18"/>
      <c r="V812" s="18"/>
      <c r="W812" s="18"/>
      <c r="X812" s="18"/>
    </row>
    <row r="813" spans="5:24" ht="13.2">
      <c r="E813" s="11"/>
      <c r="F813" s="11"/>
      <c r="G813" s="11"/>
      <c r="L813" s="11"/>
      <c r="M813" s="11"/>
      <c r="N813" s="11"/>
      <c r="O813" s="18"/>
      <c r="U813" s="18"/>
      <c r="V813" s="18"/>
      <c r="W813" s="18"/>
      <c r="X813" s="18"/>
    </row>
    <row r="814" spans="5:24" ht="13.2">
      <c r="E814" s="11"/>
      <c r="F814" s="11"/>
      <c r="G814" s="11"/>
      <c r="L814" s="11"/>
      <c r="M814" s="11"/>
      <c r="N814" s="11"/>
      <c r="O814" s="18"/>
      <c r="U814" s="18"/>
      <c r="V814" s="18"/>
      <c r="W814" s="18"/>
      <c r="X814" s="18"/>
    </row>
    <row r="815" spans="5:24" ht="13.2">
      <c r="E815" s="11"/>
      <c r="F815" s="11"/>
      <c r="G815" s="11"/>
      <c r="L815" s="11"/>
      <c r="M815" s="11"/>
      <c r="N815" s="11"/>
      <c r="O815" s="18"/>
      <c r="U815" s="18"/>
      <c r="V815" s="18"/>
      <c r="W815" s="18"/>
      <c r="X815" s="18"/>
    </row>
    <row r="816" spans="5:24" ht="13.2">
      <c r="E816" s="11"/>
      <c r="F816" s="11"/>
      <c r="G816" s="11"/>
      <c r="L816" s="11"/>
      <c r="M816" s="11"/>
      <c r="N816" s="11"/>
      <c r="O816" s="18"/>
      <c r="U816" s="18"/>
      <c r="V816" s="18"/>
      <c r="W816" s="18"/>
      <c r="X816" s="18"/>
    </row>
    <row r="817" spans="5:24" ht="13.2">
      <c r="E817" s="11"/>
      <c r="F817" s="11"/>
      <c r="G817" s="11"/>
      <c r="L817" s="11"/>
      <c r="M817" s="11"/>
      <c r="N817" s="11"/>
      <c r="O817" s="18"/>
      <c r="U817" s="18"/>
      <c r="V817" s="18"/>
      <c r="W817" s="18"/>
      <c r="X817" s="18"/>
    </row>
    <row r="818" spans="5:24" ht="13.2">
      <c r="E818" s="11"/>
      <c r="F818" s="11"/>
      <c r="G818" s="11"/>
      <c r="L818" s="11"/>
      <c r="M818" s="11"/>
      <c r="N818" s="11"/>
      <c r="O818" s="18"/>
      <c r="U818" s="18"/>
      <c r="V818" s="18"/>
      <c r="W818" s="18"/>
      <c r="X818" s="18"/>
    </row>
    <row r="819" spans="5:24" ht="13.2">
      <c r="E819" s="11"/>
      <c r="F819" s="11"/>
      <c r="G819" s="11"/>
      <c r="L819" s="11"/>
      <c r="M819" s="11"/>
      <c r="N819" s="11"/>
      <c r="O819" s="18"/>
      <c r="U819" s="18"/>
      <c r="V819" s="18"/>
      <c r="W819" s="18"/>
      <c r="X819" s="18"/>
    </row>
    <row r="820" spans="5:24" ht="13.2">
      <c r="E820" s="11"/>
      <c r="F820" s="11"/>
      <c r="G820" s="11"/>
      <c r="L820" s="11"/>
      <c r="M820" s="11"/>
      <c r="N820" s="11"/>
      <c r="O820" s="18"/>
      <c r="U820" s="18"/>
      <c r="V820" s="18"/>
      <c r="W820" s="18"/>
      <c r="X820" s="18"/>
    </row>
    <row r="821" spans="5:24" ht="13.2">
      <c r="E821" s="11"/>
      <c r="F821" s="11"/>
      <c r="G821" s="11"/>
      <c r="L821" s="11"/>
      <c r="M821" s="11"/>
      <c r="N821" s="11"/>
      <c r="O821" s="18"/>
      <c r="U821" s="18"/>
      <c r="V821" s="18"/>
      <c r="W821" s="18"/>
      <c r="X821" s="18"/>
    </row>
    <row r="822" spans="5:24" ht="13.2">
      <c r="E822" s="11"/>
      <c r="F822" s="11"/>
      <c r="G822" s="11"/>
      <c r="L822" s="11"/>
      <c r="M822" s="11"/>
      <c r="N822" s="11"/>
      <c r="O822" s="18"/>
      <c r="U822" s="18"/>
      <c r="V822" s="18"/>
      <c r="W822" s="18"/>
      <c r="X822" s="18"/>
    </row>
    <row r="823" spans="5:24" ht="13.2">
      <c r="E823" s="11"/>
      <c r="F823" s="11"/>
      <c r="G823" s="11"/>
      <c r="L823" s="11"/>
      <c r="M823" s="11"/>
      <c r="N823" s="11"/>
      <c r="O823" s="18"/>
      <c r="U823" s="18"/>
      <c r="V823" s="18"/>
      <c r="W823" s="18"/>
      <c r="X823" s="18"/>
    </row>
    <row r="824" spans="5:24" ht="13.2">
      <c r="E824" s="11"/>
      <c r="F824" s="11"/>
      <c r="G824" s="11"/>
      <c r="L824" s="11"/>
      <c r="M824" s="11"/>
      <c r="N824" s="11"/>
      <c r="O824" s="18"/>
      <c r="U824" s="18"/>
      <c r="V824" s="18"/>
      <c r="W824" s="18"/>
      <c r="X824" s="18"/>
    </row>
    <row r="825" spans="5:24" ht="13.2">
      <c r="E825" s="11"/>
      <c r="F825" s="11"/>
      <c r="G825" s="11"/>
      <c r="L825" s="11"/>
      <c r="M825" s="11"/>
      <c r="N825" s="11"/>
      <c r="O825" s="18"/>
      <c r="U825" s="18"/>
      <c r="V825" s="18"/>
      <c r="W825" s="18"/>
      <c r="X825" s="18"/>
    </row>
    <row r="826" spans="5:24" ht="13.2">
      <c r="E826" s="11"/>
      <c r="F826" s="11"/>
      <c r="G826" s="11"/>
      <c r="L826" s="11"/>
      <c r="M826" s="11"/>
      <c r="N826" s="11"/>
      <c r="O826" s="18"/>
      <c r="U826" s="18"/>
      <c r="V826" s="18"/>
      <c r="W826" s="18"/>
      <c r="X826" s="18"/>
    </row>
    <row r="827" spans="5:24" ht="13.2">
      <c r="E827" s="11"/>
      <c r="F827" s="11"/>
      <c r="G827" s="11"/>
      <c r="L827" s="11"/>
      <c r="M827" s="11"/>
      <c r="N827" s="11"/>
      <c r="O827" s="18"/>
      <c r="U827" s="18"/>
      <c r="V827" s="18"/>
      <c r="W827" s="18"/>
      <c r="X827" s="18"/>
    </row>
    <row r="828" spans="5:24" ht="13.2">
      <c r="E828" s="11"/>
      <c r="F828" s="11"/>
      <c r="G828" s="11"/>
      <c r="L828" s="11"/>
      <c r="M828" s="11"/>
      <c r="N828" s="11"/>
      <c r="O828" s="18"/>
      <c r="U828" s="18"/>
      <c r="V828" s="18"/>
      <c r="W828" s="18"/>
      <c r="X828" s="18"/>
    </row>
    <row r="829" spans="5:24" ht="13.2">
      <c r="E829" s="11"/>
      <c r="F829" s="11"/>
      <c r="G829" s="11"/>
      <c r="L829" s="11"/>
      <c r="M829" s="11"/>
      <c r="N829" s="11"/>
      <c r="O829" s="18"/>
      <c r="U829" s="18"/>
      <c r="V829" s="18"/>
      <c r="W829" s="18"/>
      <c r="X829" s="18"/>
    </row>
    <row r="830" spans="5:24" ht="13.2">
      <c r="E830" s="11"/>
      <c r="F830" s="11"/>
      <c r="G830" s="11"/>
      <c r="L830" s="11"/>
      <c r="M830" s="11"/>
      <c r="N830" s="11"/>
      <c r="O830" s="18"/>
      <c r="U830" s="18"/>
      <c r="V830" s="18"/>
      <c r="W830" s="18"/>
      <c r="X830" s="18"/>
    </row>
    <row r="831" spans="5:24" ht="13.2">
      <c r="E831" s="11"/>
      <c r="F831" s="11"/>
      <c r="G831" s="11"/>
      <c r="L831" s="11"/>
      <c r="M831" s="11"/>
      <c r="N831" s="11"/>
      <c r="O831" s="18"/>
      <c r="U831" s="18"/>
      <c r="V831" s="18"/>
      <c r="W831" s="18"/>
      <c r="X831" s="18"/>
    </row>
    <row r="832" spans="5:24" ht="13.2">
      <c r="E832" s="11"/>
      <c r="F832" s="11"/>
      <c r="G832" s="11"/>
      <c r="L832" s="11"/>
      <c r="M832" s="11"/>
      <c r="N832" s="11"/>
      <c r="O832" s="18"/>
      <c r="U832" s="18"/>
      <c r="V832" s="18"/>
      <c r="W832" s="18"/>
      <c r="X832" s="18"/>
    </row>
    <row r="833" spans="5:24" ht="13.2">
      <c r="E833" s="11"/>
      <c r="F833" s="11"/>
      <c r="G833" s="11"/>
      <c r="L833" s="11"/>
      <c r="M833" s="11"/>
      <c r="N833" s="11"/>
      <c r="O833" s="18"/>
      <c r="U833" s="18"/>
      <c r="V833" s="18"/>
      <c r="W833" s="18"/>
      <c r="X833" s="18"/>
    </row>
    <row r="834" spans="5:24" ht="13.2">
      <c r="E834" s="11"/>
      <c r="F834" s="11"/>
      <c r="G834" s="11"/>
      <c r="L834" s="11"/>
      <c r="M834" s="11"/>
      <c r="N834" s="11"/>
      <c r="O834" s="18"/>
      <c r="U834" s="18"/>
      <c r="V834" s="18"/>
      <c r="W834" s="18"/>
      <c r="X834" s="18"/>
    </row>
    <row r="835" spans="5:24" ht="13.2">
      <c r="E835" s="11"/>
      <c r="F835" s="11"/>
      <c r="G835" s="11"/>
      <c r="L835" s="11"/>
      <c r="M835" s="11"/>
      <c r="N835" s="11"/>
      <c r="O835" s="18"/>
      <c r="U835" s="18"/>
      <c r="V835" s="18"/>
      <c r="W835" s="18"/>
      <c r="X835" s="18"/>
    </row>
    <row r="836" spans="5:24" ht="13.2">
      <c r="E836" s="11"/>
      <c r="F836" s="11"/>
      <c r="G836" s="11"/>
      <c r="L836" s="11"/>
      <c r="M836" s="11"/>
      <c r="N836" s="11"/>
      <c r="O836" s="18"/>
      <c r="U836" s="18"/>
      <c r="V836" s="18"/>
      <c r="W836" s="18"/>
      <c r="X836" s="18"/>
    </row>
    <row r="837" spans="5:24" ht="13.2">
      <c r="E837" s="11"/>
      <c r="F837" s="11"/>
      <c r="G837" s="11"/>
      <c r="L837" s="11"/>
      <c r="M837" s="11"/>
      <c r="N837" s="11"/>
      <c r="O837" s="18"/>
      <c r="U837" s="18"/>
      <c r="V837" s="18"/>
      <c r="W837" s="18"/>
      <c r="X837" s="18"/>
    </row>
    <row r="838" spans="5:24" ht="13.2">
      <c r="E838" s="11"/>
      <c r="F838" s="11"/>
      <c r="G838" s="11"/>
      <c r="L838" s="11"/>
      <c r="M838" s="11"/>
      <c r="N838" s="11"/>
      <c r="O838" s="18"/>
      <c r="U838" s="18"/>
      <c r="V838" s="18"/>
      <c r="W838" s="18"/>
      <c r="X838" s="18"/>
    </row>
    <row r="839" spans="5:24" ht="13.2">
      <c r="E839" s="11"/>
      <c r="F839" s="11"/>
      <c r="G839" s="11"/>
      <c r="L839" s="11"/>
      <c r="M839" s="11"/>
      <c r="N839" s="11"/>
      <c r="O839" s="18"/>
      <c r="U839" s="18"/>
      <c r="V839" s="18"/>
      <c r="W839" s="18"/>
      <c r="X839" s="18"/>
    </row>
    <row r="840" spans="5:24" ht="13.2">
      <c r="E840" s="11"/>
      <c r="F840" s="11"/>
      <c r="G840" s="11"/>
      <c r="L840" s="11"/>
      <c r="M840" s="11"/>
      <c r="N840" s="11"/>
      <c r="O840" s="18"/>
      <c r="U840" s="18"/>
      <c r="V840" s="18"/>
      <c r="W840" s="18"/>
      <c r="X840" s="18"/>
    </row>
    <row r="841" spans="5:24" ht="13.2">
      <c r="E841" s="11"/>
      <c r="F841" s="11"/>
      <c r="G841" s="11"/>
      <c r="L841" s="11"/>
      <c r="M841" s="11"/>
      <c r="N841" s="11"/>
      <c r="O841" s="18"/>
      <c r="U841" s="18"/>
      <c r="V841" s="18"/>
      <c r="W841" s="18"/>
      <c r="X841" s="18"/>
    </row>
    <row r="842" spans="5:24" ht="13.2">
      <c r="E842" s="11"/>
      <c r="F842" s="11"/>
      <c r="G842" s="11"/>
      <c r="L842" s="11"/>
      <c r="M842" s="11"/>
      <c r="N842" s="11"/>
      <c r="O842" s="18"/>
      <c r="U842" s="18"/>
      <c r="V842" s="18"/>
      <c r="W842" s="18"/>
      <c r="X842" s="18"/>
    </row>
    <row r="843" spans="5:24" ht="13.2">
      <c r="E843" s="11"/>
      <c r="F843" s="11"/>
      <c r="G843" s="11"/>
      <c r="L843" s="11"/>
      <c r="M843" s="11"/>
      <c r="N843" s="11"/>
      <c r="O843" s="18"/>
      <c r="U843" s="18"/>
      <c r="V843" s="18"/>
      <c r="W843" s="18"/>
      <c r="X843" s="18"/>
    </row>
    <row r="844" spans="5:24" ht="13.2">
      <c r="E844" s="11"/>
      <c r="F844" s="11"/>
      <c r="G844" s="11"/>
      <c r="L844" s="11"/>
      <c r="M844" s="11"/>
      <c r="N844" s="11"/>
      <c r="O844" s="18"/>
      <c r="U844" s="18"/>
      <c r="V844" s="18"/>
      <c r="W844" s="18"/>
      <c r="X844" s="18"/>
    </row>
    <row r="845" spans="5:24" ht="13.2">
      <c r="E845" s="11"/>
      <c r="F845" s="11"/>
      <c r="G845" s="11"/>
      <c r="L845" s="11"/>
      <c r="M845" s="11"/>
      <c r="N845" s="11"/>
      <c r="O845" s="18"/>
      <c r="U845" s="18"/>
      <c r="V845" s="18"/>
      <c r="W845" s="18"/>
      <c r="X845" s="18"/>
    </row>
    <row r="846" spans="5:24" ht="13.2">
      <c r="E846" s="11"/>
      <c r="F846" s="11"/>
      <c r="G846" s="11"/>
      <c r="L846" s="11"/>
      <c r="M846" s="11"/>
      <c r="N846" s="11"/>
      <c r="O846" s="18"/>
      <c r="U846" s="18"/>
      <c r="V846" s="18"/>
      <c r="W846" s="18"/>
      <c r="X846" s="18"/>
    </row>
    <row r="847" spans="5:24" ht="13.2">
      <c r="E847" s="11"/>
      <c r="F847" s="11"/>
      <c r="G847" s="11"/>
      <c r="L847" s="11"/>
      <c r="M847" s="11"/>
      <c r="N847" s="11"/>
      <c r="O847" s="18"/>
      <c r="U847" s="18"/>
      <c r="V847" s="18"/>
      <c r="W847" s="18"/>
      <c r="X847" s="18"/>
    </row>
    <row r="848" spans="5:24" ht="13.2">
      <c r="E848" s="11"/>
      <c r="F848" s="11"/>
      <c r="G848" s="11"/>
      <c r="L848" s="11"/>
      <c r="M848" s="11"/>
      <c r="N848" s="11"/>
      <c r="O848" s="18"/>
      <c r="U848" s="18"/>
      <c r="V848" s="18"/>
      <c r="W848" s="18"/>
      <c r="X848" s="18"/>
    </row>
    <row r="849" spans="5:24" ht="13.2">
      <c r="E849" s="11"/>
      <c r="F849" s="11"/>
      <c r="G849" s="11"/>
      <c r="L849" s="11"/>
      <c r="M849" s="11"/>
      <c r="N849" s="11"/>
      <c r="O849" s="18"/>
      <c r="U849" s="18"/>
      <c r="V849" s="18"/>
      <c r="W849" s="18"/>
      <c r="X849" s="18"/>
    </row>
    <row r="850" spans="5:24" ht="13.2">
      <c r="E850" s="11"/>
      <c r="F850" s="11"/>
      <c r="G850" s="11"/>
      <c r="L850" s="11"/>
      <c r="M850" s="11"/>
      <c r="N850" s="11"/>
      <c r="O850" s="18"/>
      <c r="U850" s="18"/>
      <c r="V850" s="18"/>
      <c r="W850" s="18"/>
      <c r="X850" s="18"/>
    </row>
    <row r="851" spans="5:24" ht="13.2">
      <c r="E851" s="11"/>
      <c r="F851" s="11"/>
      <c r="G851" s="11"/>
      <c r="L851" s="11"/>
      <c r="M851" s="11"/>
      <c r="N851" s="11"/>
      <c r="O851" s="18"/>
      <c r="U851" s="18"/>
      <c r="V851" s="18"/>
      <c r="W851" s="18"/>
      <c r="X851" s="18"/>
    </row>
    <row r="852" spans="5:24" ht="13.2">
      <c r="E852" s="11"/>
      <c r="F852" s="11"/>
      <c r="G852" s="11"/>
      <c r="L852" s="11"/>
      <c r="M852" s="11"/>
      <c r="N852" s="11"/>
      <c r="O852" s="18"/>
      <c r="U852" s="18"/>
      <c r="V852" s="18"/>
      <c r="W852" s="18"/>
      <c r="X852" s="18"/>
    </row>
    <row r="853" spans="5:24" ht="13.2">
      <c r="E853" s="11"/>
      <c r="F853" s="11"/>
      <c r="G853" s="11"/>
      <c r="L853" s="11"/>
      <c r="M853" s="11"/>
      <c r="N853" s="11"/>
      <c r="O853" s="18"/>
      <c r="U853" s="18"/>
      <c r="V853" s="18"/>
      <c r="W853" s="18"/>
      <c r="X853" s="18"/>
    </row>
    <row r="854" spans="5:24" ht="13.2">
      <c r="E854" s="11"/>
      <c r="F854" s="11"/>
      <c r="G854" s="11"/>
      <c r="L854" s="11"/>
      <c r="M854" s="11"/>
      <c r="N854" s="11"/>
      <c r="O854" s="18"/>
      <c r="U854" s="18"/>
      <c r="V854" s="18"/>
      <c r="W854" s="18"/>
      <c r="X854" s="18"/>
    </row>
    <row r="855" spans="5:24" ht="13.2">
      <c r="E855" s="11"/>
      <c r="F855" s="11"/>
      <c r="G855" s="11"/>
      <c r="L855" s="11"/>
      <c r="M855" s="11"/>
      <c r="N855" s="11"/>
      <c r="O855" s="18"/>
      <c r="U855" s="18"/>
      <c r="V855" s="18"/>
      <c r="W855" s="18"/>
      <c r="X855" s="18"/>
    </row>
    <row r="856" spans="5:24" ht="13.2">
      <c r="E856" s="11"/>
      <c r="F856" s="11"/>
      <c r="G856" s="11"/>
      <c r="L856" s="11"/>
      <c r="M856" s="11"/>
      <c r="N856" s="11"/>
      <c r="O856" s="18"/>
      <c r="U856" s="18"/>
      <c r="V856" s="18"/>
      <c r="W856" s="18"/>
      <c r="X856" s="18"/>
    </row>
    <row r="857" spans="5:24" ht="13.2">
      <c r="E857" s="11"/>
      <c r="F857" s="11"/>
      <c r="G857" s="11"/>
      <c r="L857" s="11"/>
      <c r="M857" s="11"/>
      <c r="N857" s="11"/>
      <c r="O857" s="18"/>
      <c r="U857" s="18"/>
      <c r="V857" s="18"/>
      <c r="W857" s="18"/>
      <c r="X857" s="18"/>
    </row>
    <row r="858" spans="5:24" ht="13.2">
      <c r="E858" s="11"/>
      <c r="F858" s="11"/>
      <c r="G858" s="11"/>
      <c r="L858" s="11"/>
      <c r="M858" s="11"/>
      <c r="N858" s="11"/>
      <c r="O858" s="18"/>
      <c r="U858" s="18"/>
      <c r="V858" s="18"/>
      <c r="W858" s="18"/>
      <c r="X858" s="18"/>
    </row>
    <row r="859" spans="5:24" ht="13.2">
      <c r="E859" s="11"/>
      <c r="F859" s="11"/>
      <c r="G859" s="11"/>
      <c r="L859" s="11"/>
      <c r="M859" s="11"/>
      <c r="N859" s="11"/>
      <c r="O859" s="18"/>
      <c r="U859" s="18"/>
      <c r="V859" s="18"/>
      <c r="W859" s="18"/>
      <c r="X859" s="18"/>
    </row>
    <row r="860" spans="5:24" ht="13.2">
      <c r="E860" s="11"/>
      <c r="F860" s="11"/>
      <c r="G860" s="11"/>
      <c r="L860" s="11"/>
      <c r="M860" s="11"/>
      <c r="N860" s="11"/>
      <c r="O860" s="18"/>
      <c r="U860" s="18"/>
      <c r="V860" s="18"/>
      <c r="W860" s="18"/>
      <c r="X860" s="18"/>
    </row>
    <row r="861" spans="5:24" ht="13.2">
      <c r="E861" s="11"/>
      <c r="F861" s="11"/>
      <c r="G861" s="11"/>
      <c r="L861" s="11"/>
      <c r="M861" s="11"/>
      <c r="N861" s="11"/>
      <c r="O861" s="18"/>
      <c r="U861" s="18"/>
      <c r="V861" s="18"/>
      <c r="W861" s="18"/>
      <c r="X861" s="18"/>
    </row>
    <row r="862" spans="5:24" ht="13.2">
      <c r="E862" s="11"/>
      <c r="F862" s="11"/>
      <c r="G862" s="11"/>
      <c r="L862" s="11"/>
      <c r="M862" s="11"/>
      <c r="N862" s="11"/>
      <c r="O862" s="18"/>
      <c r="U862" s="18"/>
      <c r="V862" s="18"/>
      <c r="W862" s="18"/>
      <c r="X862" s="18"/>
    </row>
    <row r="863" spans="5:24" ht="13.2">
      <c r="E863" s="11"/>
      <c r="F863" s="11"/>
      <c r="G863" s="11"/>
      <c r="L863" s="11"/>
      <c r="M863" s="11"/>
      <c r="N863" s="11"/>
      <c r="O863" s="18"/>
      <c r="U863" s="18"/>
      <c r="V863" s="18"/>
      <c r="W863" s="18"/>
      <c r="X863" s="18"/>
    </row>
    <row r="864" spans="5:24" ht="13.2">
      <c r="E864" s="11"/>
      <c r="F864" s="11"/>
      <c r="G864" s="11"/>
      <c r="L864" s="11"/>
      <c r="M864" s="11"/>
      <c r="N864" s="11"/>
      <c r="O864" s="18"/>
      <c r="U864" s="18"/>
      <c r="V864" s="18"/>
      <c r="W864" s="18"/>
      <c r="X864" s="18"/>
    </row>
    <row r="865" spans="5:24" ht="13.2">
      <c r="E865" s="11"/>
      <c r="F865" s="11"/>
      <c r="G865" s="11"/>
      <c r="L865" s="11"/>
      <c r="M865" s="11"/>
      <c r="N865" s="11"/>
      <c r="O865" s="18"/>
      <c r="U865" s="18"/>
      <c r="V865" s="18"/>
      <c r="W865" s="18"/>
      <c r="X865" s="18"/>
    </row>
    <row r="866" spans="5:24" ht="13.2">
      <c r="E866" s="11"/>
      <c r="F866" s="11"/>
      <c r="G866" s="11"/>
      <c r="L866" s="11"/>
      <c r="M866" s="11"/>
      <c r="N866" s="11"/>
      <c r="O866" s="18"/>
      <c r="U866" s="18"/>
      <c r="V866" s="18"/>
      <c r="W866" s="18"/>
      <c r="X866" s="18"/>
    </row>
    <row r="867" spans="5:24" ht="13.2">
      <c r="E867" s="11"/>
      <c r="F867" s="11"/>
      <c r="G867" s="11"/>
      <c r="L867" s="11"/>
      <c r="M867" s="11"/>
      <c r="N867" s="11"/>
      <c r="O867" s="18"/>
      <c r="U867" s="18"/>
      <c r="V867" s="18"/>
      <c r="W867" s="18"/>
      <c r="X867" s="18"/>
    </row>
    <row r="868" spans="5:24" ht="13.2">
      <c r="E868" s="11"/>
      <c r="F868" s="11"/>
      <c r="G868" s="11"/>
      <c r="L868" s="11"/>
      <c r="M868" s="11"/>
      <c r="N868" s="11"/>
      <c r="O868" s="18"/>
      <c r="U868" s="18"/>
      <c r="V868" s="18"/>
      <c r="W868" s="18"/>
      <c r="X868" s="18"/>
    </row>
    <row r="869" spans="5:24" ht="13.2">
      <c r="E869" s="11"/>
      <c r="F869" s="11"/>
      <c r="G869" s="11"/>
      <c r="L869" s="11"/>
      <c r="M869" s="11"/>
      <c r="N869" s="11"/>
      <c r="O869" s="18"/>
      <c r="U869" s="18"/>
      <c r="V869" s="18"/>
      <c r="W869" s="18"/>
      <c r="X869" s="18"/>
    </row>
    <row r="870" spans="5:24" ht="13.2">
      <c r="E870" s="11"/>
      <c r="F870" s="11"/>
      <c r="G870" s="11"/>
      <c r="L870" s="11"/>
      <c r="M870" s="11"/>
      <c r="N870" s="11"/>
      <c r="O870" s="18"/>
      <c r="U870" s="18"/>
      <c r="V870" s="18"/>
      <c r="W870" s="18"/>
      <c r="X870" s="18"/>
    </row>
    <row r="871" spans="5:24" ht="13.2">
      <c r="E871" s="11"/>
      <c r="F871" s="11"/>
      <c r="G871" s="11"/>
      <c r="L871" s="11"/>
      <c r="M871" s="11"/>
      <c r="N871" s="11"/>
      <c r="O871" s="18"/>
      <c r="U871" s="18"/>
      <c r="V871" s="18"/>
      <c r="W871" s="18"/>
      <c r="X871" s="18"/>
    </row>
    <row r="872" spans="5:24" ht="13.2">
      <c r="E872" s="11"/>
      <c r="F872" s="11"/>
      <c r="G872" s="11"/>
      <c r="L872" s="11"/>
      <c r="M872" s="11"/>
      <c r="N872" s="11"/>
      <c r="O872" s="18"/>
      <c r="U872" s="18"/>
      <c r="V872" s="18"/>
      <c r="W872" s="18"/>
      <c r="X872" s="18"/>
    </row>
    <row r="873" spans="5:24" ht="13.2">
      <c r="E873" s="11"/>
      <c r="F873" s="11"/>
      <c r="G873" s="11"/>
      <c r="L873" s="11"/>
      <c r="M873" s="11"/>
      <c r="N873" s="11"/>
      <c r="O873" s="18"/>
      <c r="U873" s="18"/>
      <c r="V873" s="18"/>
      <c r="W873" s="18"/>
      <c r="X873" s="18"/>
    </row>
    <row r="874" spans="5:24" ht="13.2">
      <c r="E874" s="11"/>
      <c r="F874" s="11"/>
      <c r="G874" s="11"/>
      <c r="L874" s="11"/>
      <c r="M874" s="11"/>
      <c r="N874" s="11"/>
      <c r="O874" s="18"/>
      <c r="U874" s="18"/>
      <c r="V874" s="18"/>
      <c r="W874" s="18"/>
      <c r="X874" s="18"/>
    </row>
    <row r="875" spans="5:24" ht="13.2">
      <c r="E875" s="11"/>
      <c r="F875" s="11"/>
      <c r="G875" s="11"/>
      <c r="L875" s="11"/>
      <c r="M875" s="11"/>
      <c r="N875" s="11"/>
      <c r="O875" s="18"/>
      <c r="U875" s="18"/>
      <c r="V875" s="18"/>
      <c r="W875" s="18"/>
      <c r="X875" s="18"/>
    </row>
    <row r="876" spans="5:24" ht="13.2">
      <c r="E876" s="11"/>
      <c r="F876" s="11"/>
      <c r="G876" s="11"/>
      <c r="L876" s="11"/>
      <c r="M876" s="11"/>
      <c r="N876" s="11"/>
      <c r="O876" s="18"/>
      <c r="U876" s="18"/>
      <c r="V876" s="18"/>
      <c r="W876" s="18"/>
      <c r="X876" s="18"/>
    </row>
    <row r="877" spans="5:24" ht="13.2">
      <c r="E877" s="11"/>
      <c r="F877" s="11"/>
      <c r="G877" s="11"/>
      <c r="L877" s="11"/>
      <c r="M877" s="11"/>
      <c r="N877" s="11"/>
      <c r="O877" s="18"/>
      <c r="U877" s="18"/>
      <c r="V877" s="18"/>
      <c r="W877" s="18"/>
      <c r="X877" s="18"/>
    </row>
    <row r="878" spans="5:24" ht="13.2">
      <c r="E878" s="11"/>
      <c r="F878" s="11"/>
      <c r="G878" s="11"/>
      <c r="L878" s="11"/>
      <c r="M878" s="11"/>
      <c r="N878" s="11"/>
      <c r="O878" s="18"/>
      <c r="U878" s="18"/>
      <c r="V878" s="18"/>
      <c r="W878" s="18"/>
      <c r="X878" s="18"/>
    </row>
    <row r="879" spans="5:24" ht="13.2">
      <c r="E879" s="11"/>
      <c r="F879" s="11"/>
      <c r="G879" s="11"/>
      <c r="L879" s="11"/>
      <c r="M879" s="11"/>
      <c r="N879" s="11"/>
      <c r="O879" s="18"/>
      <c r="U879" s="18"/>
      <c r="V879" s="18"/>
      <c r="W879" s="18"/>
      <c r="X879" s="18"/>
    </row>
    <row r="880" spans="5:24" ht="13.2">
      <c r="E880" s="11"/>
      <c r="F880" s="11"/>
      <c r="G880" s="11"/>
      <c r="L880" s="11"/>
      <c r="M880" s="11"/>
      <c r="N880" s="11"/>
      <c r="O880" s="18"/>
      <c r="U880" s="18"/>
      <c r="V880" s="18"/>
      <c r="W880" s="18"/>
      <c r="X880" s="18"/>
    </row>
    <row r="881" spans="5:24" ht="13.2">
      <c r="E881" s="11"/>
      <c r="F881" s="11"/>
      <c r="G881" s="11"/>
      <c r="L881" s="11"/>
      <c r="M881" s="11"/>
      <c r="N881" s="11"/>
      <c r="O881" s="18"/>
      <c r="U881" s="18"/>
      <c r="V881" s="18"/>
      <c r="W881" s="18"/>
      <c r="X881" s="18"/>
    </row>
    <row r="882" spans="5:24" ht="13.2">
      <c r="E882" s="11"/>
      <c r="F882" s="11"/>
      <c r="G882" s="11"/>
      <c r="L882" s="11"/>
      <c r="M882" s="11"/>
      <c r="N882" s="11"/>
      <c r="O882" s="18"/>
      <c r="U882" s="18"/>
      <c r="V882" s="18"/>
      <c r="W882" s="18"/>
      <c r="X882" s="18"/>
    </row>
    <row r="883" spans="5:24" ht="13.2">
      <c r="E883" s="11"/>
      <c r="F883" s="11"/>
      <c r="G883" s="11"/>
      <c r="L883" s="11"/>
      <c r="M883" s="11"/>
      <c r="N883" s="11"/>
      <c r="O883" s="18"/>
      <c r="U883" s="18"/>
      <c r="V883" s="18"/>
      <c r="W883" s="18"/>
      <c r="X883" s="18"/>
    </row>
    <row r="884" spans="5:24" ht="13.2">
      <c r="E884" s="11"/>
      <c r="F884" s="11"/>
      <c r="G884" s="11"/>
      <c r="L884" s="11"/>
      <c r="M884" s="11"/>
      <c r="N884" s="11"/>
      <c r="O884" s="18"/>
      <c r="U884" s="18"/>
      <c r="V884" s="18"/>
      <c r="W884" s="18"/>
      <c r="X884" s="18"/>
    </row>
    <row r="885" spans="5:24" ht="13.2">
      <c r="E885" s="11"/>
      <c r="F885" s="11"/>
      <c r="G885" s="11"/>
      <c r="L885" s="11"/>
      <c r="M885" s="11"/>
      <c r="N885" s="11"/>
      <c r="O885" s="18"/>
      <c r="U885" s="18"/>
      <c r="V885" s="18"/>
      <c r="W885" s="18"/>
      <c r="X885" s="18"/>
    </row>
    <row r="886" spans="5:24" ht="13.2">
      <c r="E886" s="11"/>
      <c r="F886" s="11"/>
      <c r="G886" s="11"/>
      <c r="L886" s="11"/>
      <c r="M886" s="11"/>
      <c r="N886" s="11"/>
      <c r="O886" s="18"/>
      <c r="U886" s="18"/>
      <c r="V886" s="18"/>
      <c r="W886" s="18"/>
      <c r="X886" s="18"/>
    </row>
    <row r="887" spans="5:24" ht="13.2">
      <c r="E887" s="11"/>
      <c r="F887" s="11"/>
      <c r="G887" s="11"/>
      <c r="L887" s="11"/>
      <c r="M887" s="11"/>
      <c r="N887" s="11"/>
      <c r="O887" s="18"/>
      <c r="U887" s="18"/>
      <c r="V887" s="18"/>
      <c r="W887" s="18"/>
      <c r="X887" s="18"/>
    </row>
    <row r="888" spans="5:24" ht="13.2">
      <c r="E888" s="11"/>
      <c r="F888" s="11"/>
      <c r="G888" s="11"/>
      <c r="L888" s="11"/>
      <c r="M888" s="11"/>
      <c r="N888" s="11"/>
      <c r="O888" s="18"/>
      <c r="U888" s="18"/>
      <c r="V888" s="18"/>
      <c r="W888" s="18"/>
      <c r="X888" s="18"/>
    </row>
    <row r="889" spans="5:24" ht="13.2">
      <c r="E889" s="11"/>
      <c r="F889" s="11"/>
      <c r="G889" s="11"/>
      <c r="L889" s="11"/>
      <c r="M889" s="11"/>
      <c r="N889" s="11"/>
      <c r="O889" s="18"/>
      <c r="U889" s="18"/>
      <c r="V889" s="18"/>
      <c r="W889" s="18"/>
      <c r="X889" s="18"/>
    </row>
    <row r="890" spans="5:24" ht="13.2">
      <c r="E890" s="11"/>
      <c r="F890" s="11"/>
      <c r="G890" s="11"/>
      <c r="L890" s="11"/>
      <c r="M890" s="11"/>
      <c r="N890" s="11"/>
      <c r="O890" s="18"/>
      <c r="U890" s="18"/>
      <c r="V890" s="18"/>
      <c r="W890" s="18"/>
      <c r="X890" s="18"/>
    </row>
    <row r="891" spans="5:24" ht="13.2">
      <c r="E891" s="11"/>
      <c r="F891" s="11"/>
      <c r="G891" s="11"/>
      <c r="L891" s="11"/>
      <c r="M891" s="11"/>
      <c r="N891" s="11"/>
      <c r="O891" s="18"/>
      <c r="U891" s="18"/>
      <c r="V891" s="18"/>
      <c r="W891" s="18"/>
      <c r="X891" s="18"/>
    </row>
    <row r="892" spans="5:24" ht="13.2">
      <c r="E892" s="11"/>
      <c r="F892" s="11"/>
      <c r="G892" s="11"/>
      <c r="L892" s="11"/>
      <c r="M892" s="11"/>
      <c r="N892" s="11"/>
      <c r="O892" s="18"/>
      <c r="U892" s="18"/>
      <c r="V892" s="18"/>
      <c r="W892" s="18"/>
      <c r="X892" s="18"/>
    </row>
    <row r="893" spans="5:24" ht="13.2">
      <c r="E893" s="11"/>
      <c r="F893" s="11"/>
      <c r="G893" s="11"/>
      <c r="L893" s="11"/>
      <c r="M893" s="11"/>
      <c r="N893" s="11"/>
      <c r="O893" s="18"/>
      <c r="U893" s="18"/>
      <c r="V893" s="18"/>
      <c r="W893" s="18"/>
      <c r="X893" s="18"/>
    </row>
    <row r="894" spans="5:24" ht="13.2">
      <c r="E894" s="11"/>
      <c r="F894" s="11"/>
      <c r="G894" s="11"/>
      <c r="L894" s="11"/>
      <c r="M894" s="11"/>
      <c r="N894" s="11"/>
      <c r="O894" s="18"/>
      <c r="U894" s="18"/>
      <c r="V894" s="18"/>
      <c r="W894" s="18"/>
      <c r="X894" s="18"/>
    </row>
    <row r="895" spans="5:24" ht="13.2">
      <c r="E895" s="11"/>
      <c r="F895" s="11"/>
      <c r="G895" s="11"/>
      <c r="L895" s="11"/>
      <c r="M895" s="11"/>
      <c r="N895" s="11"/>
      <c r="O895" s="18"/>
      <c r="U895" s="18"/>
      <c r="V895" s="18"/>
      <c r="W895" s="18"/>
      <c r="X895" s="18"/>
    </row>
    <row r="896" spans="5:24" ht="13.2">
      <c r="E896" s="11"/>
      <c r="F896" s="11"/>
      <c r="G896" s="11"/>
      <c r="L896" s="11"/>
      <c r="M896" s="11"/>
      <c r="N896" s="11"/>
      <c r="O896" s="18"/>
      <c r="U896" s="18"/>
      <c r="V896" s="18"/>
      <c r="W896" s="18"/>
      <c r="X896" s="18"/>
    </row>
    <row r="897" spans="5:24" ht="13.2">
      <c r="E897" s="11"/>
      <c r="F897" s="11"/>
      <c r="G897" s="11"/>
      <c r="L897" s="11"/>
      <c r="M897" s="11"/>
      <c r="N897" s="11"/>
      <c r="O897" s="18"/>
      <c r="U897" s="18"/>
      <c r="V897" s="18"/>
      <c r="W897" s="18"/>
      <c r="X897" s="18"/>
    </row>
    <row r="898" spans="5:24" ht="13.2">
      <c r="E898" s="11"/>
      <c r="F898" s="11"/>
      <c r="G898" s="11"/>
      <c r="L898" s="11"/>
      <c r="M898" s="11"/>
      <c r="N898" s="11"/>
      <c r="O898" s="18"/>
      <c r="U898" s="18"/>
      <c r="V898" s="18"/>
      <c r="W898" s="18"/>
      <c r="X898" s="18"/>
    </row>
    <row r="899" spans="5:24" ht="13.2">
      <c r="E899" s="11"/>
      <c r="F899" s="11"/>
      <c r="G899" s="11"/>
      <c r="L899" s="11"/>
      <c r="M899" s="11"/>
      <c r="N899" s="11"/>
      <c r="O899" s="18"/>
      <c r="U899" s="18"/>
      <c r="V899" s="18"/>
      <c r="W899" s="18"/>
      <c r="X899" s="18"/>
    </row>
    <row r="900" spans="5:24" ht="13.2">
      <c r="E900" s="11"/>
      <c r="F900" s="11"/>
      <c r="G900" s="11"/>
      <c r="L900" s="11"/>
      <c r="M900" s="11"/>
      <c r="N900" s="11"/>
      <c r="O900" s="18"/>
      <c r="U900" s="18"/>
      <c r="V900" s="18"/>
      <c r="W900" s="18"/>
      <c r="X900" s="18"/>
    </row>
    <row r="901" spans="5:24" ht="13.2">
      <c r="E901" s="11"/>
      <c r="F901" s="11"/>
      <c r="G901" s="11"/>
      <c r="L901" s="11"/>
      <c r="M901" s="11"/>
      <c r="N901" s="11"/>
      <c r="O901" s="18"/>
      <c r="U901" s="18"/>
      <c r="V901" s="18"/>
      <c r="W901" s="18"/>
      <c r="X901" s="18"/>
    </row>
    <row r="902" spans="5:24" ht="13.2">
      <c r="E902" s="11"/>
      <c r="F902" s="11"/>
      <c r="G902" s="11"/>
      <c r="L902" s="11"/>
      <c r="M902" s="11"/>
      <c r="N902" s="11"/>
      <c r="O902" s="18"/>
      <c r="U902" s="18"/>
      <c r="V902" s="18"/>
      <c r="W902" s="18"/>
      <c r="X902" s="18"/>
    </row>
    <row r="903" spans="5:24" ht="13.2">
      <c r="E903" s="11"/>
      <c r="F903" s="11"/>
      <c r="G903" s="11"/>
      <c r="L903" s="11"/>
      <c r="M903" s="11"/>
      <c r="N903" s="11"/>
      <c r="O903" s="18"/>
      <c r="U903" s="18"/>
      <c r="V903" s="18"/>
      <c r="W903" s="18"/>
      <c r="X903" s="18"/>
    </row>
    <row r="904" spans="5:24" ht="13.2">
      <c r="E904" s="11"/>
      <c r="F904" s="11"/>
      <c r="G904" s="11"/>
      <c r="L904" s="11"/>
      <c r="M904" s="11"/>
      <c r="N904" s="11"/>
      <c r="O904" s="18"/>
      <c r="U904" s="18"/>
      <c r="V904" s="18"/>
      <c r="W904" s="18"/>
      <c r="X904" s="18"/>
    </row>
    <row r="905" spans="5:24" ht="13.2">
      <c r="E905" s="11"/>
      <c r="F905" s="11"/>
      <c r="G905" s="11"/>
      <c r="L905" s="11"/>
      <c r="M905" s="11"/>
      <c r="N905" s="11"/>
      <c r="O905" s="18"/>
      <c r="U905" s="18"/>
      <c r="V905" s="18"/>
      <c r="W905" s="18"/>
      <c r="X905" s="18"/>
    </row>
    <row r="906" spans="5:24" ht="13.2">
      <c r="E906" s="11"/>
      <c r="F906" s="11"/>
      <c r="G906" s="11"/>
      <c r="L906" s="11"/>
      <c r="M906" s="11"/>
      <c r="N906" s="11"/>
      <c r="O906" s="18"/>
      <c r="U906" s="18"/>
      <c r="V906" s="18"/>
      <c r="W906" s="18"/>
      <c r="X906" s="18"/>
    </row>
    <row r="907" spans="5:24" ht="13.2">
      <c r="E907" s="11"/>
      <c r="F907" s="11"/>
      <c r="G907" s="11"/>
      <c r="L907" s="11"/>
      <c r="M907" s="11"/>
      <c r="N907" s="11"/>
      <c r="O907" s="18"/>
      <c r="U907" s="18"/>
      <c r="V907" s="18"/>
      <c r="W907" s="18"/>
      <c r="X907" s="18"/>
    </row>
    <row r="908" spans="5:24" ht="13.2">
      <c r="E908" s="11"/>
      <c r="F908" s="11"/>
      <c r="G908" s="11"/>
      <c r="L908" s="11"/>
      <c r="M908" s="11"/>
      <c r="N908" s="11"/>
      <c r="O908" s="18"/>
      <c r="U908" s="18"/>
      <c r="V908" s="18"/>
      <c r="W908" s="18"/>
      <c r="X908" s="18"/>
    </row>
    <row r="909" spans="5:24" ht="13.2">
      <c r="E909" s="11"/>
      <c r="F909" s="11"/>
      <c r="G909" s="11"/>
      <c r="L909" s="11"/>
      <c r="M909" s="11"/>
      <c r="N909" s="11"/>
      <c r="O909" s="18"/>
      <c r="U909" s="18"/>
      <c r="V909" s="18"/>
      <c r="W909" s="18"/>
      <c r="X909" s="18"/>
    </row>
    <row r="910" spans="5:24" ht="13.2">
      <c r="E910" s="11"/>
      <c r="F910" s="11"/>
      <c r="G910" s="11"/>
      <c r="L910" s="11"/>
      <c r="M910" s="11"/>
      <c r="N910" s="11"/>
      <c r="O910" s="18"/>
      <c r="U910" s="18"/>
      <c r="V910" s="18"/>
      <c r="W910" s="18"/>
      <c r="X910" s="18"/>
    </row>
    <row r="911" spans="5:24" ht="13.2">
      <c r="E911" s="11"/>
      <c r="F911" s="11"/>
      <c r="G911" s="11"/>
      <c r="L911" s="11"/>
      <c r="M911" s="11"/>
      <c r="N911" s="11"/>
      <c r="O911" s="18"/>
      <c r="U911" s="18"/>
      <c r="V911" s="18"/>
      <c r="W911" s="18"/>
      <c r="X911" s="18"/>
    </row>
    <row r="912" spans="5:24" ht="13.2">
      <c r="E912" s="11"/>
      <c r="F912" s="11"/>
      <c r="G912" s="11"/>
      <c r="L912" s="11"/>
      <c r="M912" s="11"/>
      <c r="N912" s="11"/>
      <c r="O912" s="18"/>
      <c r="U912" s="18"/>
      <c r="V912" s="18"/>
      <c r="W912" s="18"/>
      <c r="X912" s="18"/>
    </row>
    <row r="913" spans="5:24" ht="13.2">
      <c r="E913" s="11"/>
      <c r="F913" s="11"/>
      <c r="G913" s="11"/>
      <c r="L913" s="11"/>
      <c r="M913" s="11"/>
      <c r="N913" s="11"/>
      <c r="O913" s="18"/>
      <c r="U913" s="18"/>
      <c r="V913" s="18"/>
      <c r="W913" s="18"/>
      <c r="X913" s="18"/>
    </row>
    <row r="914" spans="5:24" ht="13.2">
      <c r="E914" s="11"/>
      <c r="F914" s="11"/>
      <c r="G914" s="11"/>
      <c r="L914" s="11"/>
      <c r="M914" s="11"/>
      <c r="N914" s="11"/>
      <c r="O914" s="18"/>
      <c r="U914" s="18"/>
      <c r="V914" s="18"/>
      <c r="W914" s="18"/>
      <c r="X914" s="18"/>
    </row>
    <row r="915" spans="5:24" ht="13.2">
      <c r="E915" s="11"/>
      <c r="F915" s="11"/>
      <c r="G915" s="11"/>
      <c r="L915" s="11"/>
      <c r="M915" s="11"/>
      <c r="N915" s="11"/>
      <c r="O915" s="18"/>
      <c r="U915" s="18"/>
      <c r="V915" s="18"/>
      <c r="W915" s="18"/>
      <c r="X915" s="18"/>
    </row>
    <row r="916" spans="5:24" ht="13.2">
      <c r="E916" s="11"/>
      <c r="F916" s="11"/>
      <c r="G916" s="11"/>
      <c r="L916" s="11"/>
      <c r="M916" s="11"/>
      <c r="N916" s="11"/>
      <c r="O916" s="18"/>
      <c r="U916" s="18"/>
      <c r="V916" s="18"/>
      <c r="W916" s="18"/>
      <c r="X916" s="18"/>
    </row>
    <row r="917" spans="5:24" ht="13.2">
      <c r="E917" s="11"/>
      <c r="F917" s="11"/>
      <c r="G917" s="11"/>
      <c r="L917" s="11"/>
      <c r="M917" s="11"/>
      <c r="N917" s="11"/>
      <c r="O917" s="18"/>
      <c r="U917" s="18"/>
      <c r="V917" s="18"/>
      <c r="W917" s="18"/>
      <c r="X917" s="18"/>
    </row>
    <row r="918" spans="5:24" ht="13.2">
      <c r="E918" s="11"/>
      <c r="F918" s="11"/>
      <c r="G918" s="11"/>
      <c r="L918" s="11"/>
      <c r="M918" s="11"/>
      <c r="N918" s="11"/>
      <c r="O918" s="18"/>
      <c r="U918" s="18"/>
      <c r="V918" s="18"/>
      <c r="W918" s="18"/>
      <c r="X918" s="18"/>
    </row>
    <row r="919" spans="5:24" ht="13.2">
      <c r="E919" s="11"/>
      <c r="F919" s="11"/>
      <c r="G919" s="11"/>
      <c r="L919" s="11"/>
      <c r="M919" s="11"/>
      <c r="N919" s="11"/>
      <c r="O919" s="18"/>
      <c r="U919" s="18"/>
      <c r="V919" s="18"/>
      <c r="W919" s="18"/>
      <c r="X919" s="18"/>
    </row>
    <row r="920" spans="5:24" ht="13.2">
      <c r="E920" s="11"/>
      <c r="F920" s="11"/>
      <c r="G920" s="11"/>
      <c r="L920" s="11"/>
      <c r="M920" s="11"/>
      <c r="N920" s="11"/>
      <c r="O920" s="18"/>
      <c r="U920" s="18"/>
      <c r="V920" s="18"/>
      <c r="W920" s="18"/>
      <c r="X920" s="18"/>
    </row>
    <row r="921" spans="5:24" ht="13.2">
      <c r="E921" s="11"/>
      <c r="F921" s="11"/>
      <c r="G921" s="11"/>
      <c r="L921" s="11"/>
      <c r="M921" s="11"/>
      <c r="N921" s="11"/>
      <c r="O921" s="18"/>
      <c r="U921" s="18"/>
      <c r="V921" s="18"/>
      <c r="W921" s="18"/>
      <c r="X921" s="18"/>
    </row>
    <row r="922" spans="5:24" ht="13.2">
      <c r="E922" s="11"/>
      <c r="F922" s="11"/>
      <c r="G922" s="11"/>
      <c r="L922" s="11"/>
      <c r="M922" s="11"/>
      <c r="N922" s="11"/>
      <c r="O922" s="18"/>
      <c r="U922" s="18"/>
      <c r="V922" s="18"/>
      <c r="W922" s="18"/>
      <c r="X922" s="18"/>
    </row>
    <row r="923" spans="5:24" ht="13.2">
      <c r="E923" s="11"/>
      <c r="F923" s="11"/>
      <c r="G923" s="11"/>
      <c r="L923" s="11"/>
      <c r="M923" s="11"/>
      <c r="N923" s="11"/>
      <c r="O923" s="18"/>
      <c r="U923" s="18"/>
      <c r="V923" s="18"/>
      <c r="W923" s="18"/>
      <c r="X923" s="18"/>
    </row>
    <row r="924" spans="5:24" ht="13.2">
      <c r="E924" s="11"/>
      <c r="F924" s="11"/>
      <c r="G924" s="11"/>
      <c r="L924" s="11"/>
      <c r="M924" s="11"/>
      <c r="N924" s="11"/>
      <c r="O924" s="18"/>
      <c r="U924" s="18"/>
      <c r="V924" s="18"/>
      <c r="W924" s="18"/>
      <c r="X924" s="18"/>
    </row>
    <row r="925" spans="5:24" ht="13.2">
      <c r="E925" s="11"/>
      <c r="F925" s="11"/>
      <c r="G925" s="11"/>
      <c r="L925" s="11"/>
      <c r="M925" s="11"/>
      <c r="N925" s="11"/>
      <c r="O925" s="18"/>
      <c r="U925" s="18"/>
      <c r="V925" s="18"/>
      <c r="W925" s="18"/>
      <c r="X925" s="18"/>
    </row>
    <row r="926" spans="5:24" ht="13.2">
      <c r="E926" s="11"/>
      <c r="F926" s="11"/>
      <c r="G926" s="11"/>
      <c r="L926" s="11"/>
      <c r="M926" s="11"/>
      <c r="N926" s="11"/>
      <c r="O926" s="18"/>
      <c r="U926" s="18"/>
      <c r="V926" s="18"/>
      <c r="W926" s="18"/>
      <c r="X926" s="18"/>
    </row>
    <row r="927" spans="5:24" ht="13.2">
      <c r="E927" s="11"/>
      <c r="F927" s="11"/>
      <c r="G927" s="11"/>
      <c r="L927" s="11"/>
      <c r="M927" s="11"/>
      <c r="N927" s="11"/>
      <c r="O927" s="18"/>
      <c r="U927" s="18"/>
      <c r="V927" s="18"/>
      <c r="W927" s="18"/>
      <c r="X927" s="18"/>
    </row>
    <row r="928" spans="5:24" ht="13.2">
      <c r="E928" s="11"/>
      <c r="F928" s="11"/>
      <c r="G928" s="11"/>
      <c r="L928" s="11"/>
      <c r="M928" s="11"/>
      <c r="N928" s="11"/>
      <c r="O928" s="18"/>
      <c r="U928" s="18"/>
      <c r="V928" s="18"/>
      <c r="W928" s="18"/>
      <c r="X928" s="18"/>
    </row>
    <row r="929" spans="5:24" ht="13.2">
      <c r="E929" s="11"/>
      <c r="F929" s="11"/>
      <c r="G929" s="11"/>
      <c r="L929" s="11"/>
      <c r="M929" s="11"/>
      <c r="N929" s="11"/>
      <c r="O929" s="18"/>
      <c r="U929" s="18"/>
      <c r="V929" s="18"/>
      <c r="W929" s="18"/>
      <c r="X929" s="18"/>
    </row>
    <row r="930" spans="5:24" ht="13.2">
      <c r="E930" s="11"/>
      <c r="F930" s="11"/>
      <c r="G930" s="11"/>
      <c r="L930" s="11"/>
      <c r="M930" s="11"/>
      <c r="N930" s="11"/>
      <c r="O930" s="18"/>
      <c r="U930" s="18"/>
      <c r="V930" s="18"/>
      <c r="W930" s="18"/>
      <c r="X930" s="18"/>
    </row>
    <row r="931" spans="5:24" ht="13.2">
      <c r="E931" s="11"/>
      <c r="F931" s="11"/>
      <c r="G931" s="11"/>
      <c r="L931" s="11"/>
      <c r="M931" s="11"/>
      <c r="N931" s="11"/>
      <c r="O931" s="18"/>
      <c r="U931" s="18"/>
      <c r="V931" s="18"/>
      <c r="W931" s="18"/>
      <c r="X931" s="18"/>
    </row>
    <row r="932" spans="5:24" ht="13.2">
      <c r="E932" s="11"/>
      <c r="F932" s="11"/>
      <c r="G932" s="11"/>
      <c r="L932" s="11"/>
      <c r="M932" s="11"/>
      <c r="N932" s="11"/>
      <c r="O932" s="18"/>
      <c r="U932" s="18"/>
      <c r="V932" s="18"/>
      <c r="W932" s="18"/>
      <c r="X932" s="18"/>
    </row>
    <row r="933" spans="5:24" ht="13.2">
      <c r="E933" s="11"/>
      <c r="F933" s="11"/>
      <c r="G933" s="11"/>
      <c r="L933" s="11"/>
      <c r="M933" s="11"/>
      <c r="N933" s="11"/>
      <c r="O933" s="18"/>
      <c r="U933" s="18"/>
      <c r="V933" s="18"/>
      <c r="W933" s="18"/>
      <c r="X933" s="18"/>
    </row>
    <row r="934" spans="5:24" ht="13.2">
      <c r="E934" s="11"/>
      <c r="F934" s="11"/>
      <c r="G934" s="11"/>
      <c r="L934" s="11"/>
      <c r="M934" s="11"/>
      <c r="N934" s="11"/>
      <c r="O934" s="18"/>
      <c r="U934" s="18"/>
      <c r="V934" s="18"/>
      <c r="W934" s="18"/>
      <c r="X934" s="18"/>
    </row>
    <row r="935" spans="5:24" ht="13.2">
      <c r="E935" s="11"/>
      <c r="F935" s="11"/>
      <c r="G935" s="11"/>
      <c r="L935" s="11"/>
      <c r="M935" s="11"/>
      <c r="N935" s="11"/>
      <c r="O935" s="18"/>
      <c r="U935" s="18"/>
      <c r="V935" s="18"/>
      <c r="W935" s="18"/>
      <c r="X935" s="18"/>
    </row>
    <row r="936" spans="5:24" ht="13.2">
      <c r="E936" s="11"/>
      <c r="F936" s="11"/>
      <c r="G936" s="11"/>
      <c r="L936" s="11"/>
      <c r="M936" s="11"/>
      <c r="N936" s="11"/>
      <c r="O936" s="18"/>
      <c r="U936" s="18"/>
      <c r="V936" s="18"/>
      <c r="W936" s="18"/>
      <c r="X936" s="18"/>
    </row>
    <row r="937" spans="5:24" ht="13.2">
      <c r="E937" s="11"/>
      <c r="F937" s="11"/>
      <c r="G937" s="11"/>
      <c r="L937" s="11"/>
      <c r="M937" s="11"/>
      <c r="N937" s="11"/>
      <c r="O937" s="18"/>
      <c r="U937" s="18"/>
      <c r="V937" s="18"/>
      <c r="W937" s="18"/>
      <c r="X937" s="18"/>
    </row>
    <row r="938" spans="5:24" ht="13.2">
      <c r="E938" s="11"/>
      <c r="F938" s="11"/>
      <c r="G938" s="11"/>
      <c r="L938" s="11"/>
      <c r="M938" s="11"/>
      <c r="N938" s="11"/>
      <c r="O938" s="18"/>
      <c r="U938" s="18"/>
      <c r="V938" s="18"/>
      <c r="W938" s="18"/>
      <c r="X938" s="18"/>
    </row>
    <row r="939" spans="5:24" ht="13.2">
      <c r="E939" s="11"/>
      <c r="F939" s="11"/>
      <c r="G939" s="11"/>
      <c r="L939" s="11"/>
      <c r="M939" s="11"/>
      <c r="N939" s="11"/>
      <c r="O939" s="18"/>
      <c r="U939" s="18"/>
      <c r="V939" s="18"/>
      <c r="W939" s="18"/>
      <c r="X939" s="18"/>
    </row>
    <row r="940" spans="5:24" ht="13.2">
      <c r="E940" s="11"/>
      <c r="F940" s="11"/>
      <c r="G940" s="11"/>
      <c r="L940" s="11"/>
      <c r="M940" s="11"/>
      <c r="N940" s="11"/>
      <c r="O940" s="18"/>
      <c r="U940" s="18"/>
      <c r="V940" s="18"/>
      <c r="W940" s="18"/>
      <c r="X940" s="18"/>
    </row>
    <row r="941" spans="5:24" ht="13.2">
      <c r="E941" s="11"/>
      <c r="F941" s="11"/>
      <c r="G941" s="11"/>
      <c r="L941" s="11"/>
      <c r="M941" s="11"/>
      <c r="N941" s="11"/>
      <c r="O941" s="18"/>
      <c r="U941" s="18"/>
      <c r="V941" s="18"/>
      <c r="W941" s="18"/>
      <c r="X941" s="18"/>
    </row>
    <row r="942" spans="5:24" ht="13.2">
      <c r="E942" s="11"/>
      <c r="F942" s="11"/>
      <c r="G942" s="11"/>
      <c r="L942" s="11"/>
      <c r="M942" s="11"/>
      <c r="N942" s="11"/>
      <c r="O942" s="18"/>
      <c r="U942" s="18"/>
      <c r="V942" s="18"/>
      <c r="W942" s="18"/>
      <c r="X942" s="18"/>
    </row>
    <row r="943" spans="5:24" ht="13.2">
      <c r="E943" s="11"/>
      <c r="F943" s="11"/>
      <c r="G943" s="11"/>
      <c r="L943" s="11"/>
      <c r="M943" s="11"/>
      <c r="N943" s="11"/>
      <c r="O943" s="18"/>
      <c r="U943" s="18"/>
      <c r="V943" s="18"/>
      <c r="W943" s="18"/>
      <c r="X943" s="18"/>
    </row>
    <row r="944" spans="5:24" ht="13.2">
      <c r="E944" s="11"/>
      <c r="F944" s="11"/>
      <c r="G944" s="11"/>
      <c r="L944" s="11"/>
      <c r="M944" s="11"/>
      <c r="N944" s="11"/>
      <c r="O944" s="18"/>
      <c r="U944" s="18"/>
      <c r="V944" s="18"/>
      <c r="W944" s="18"/>
      <c r="X944" s="18"/>
    </row>
    <row r="945" spans="5:24" ht="13.2">
      <c r="E945" s="11"/>
      <c r="F945" s="11"/>
      <c r="G945" s="11"/>
      <c r="L945" s="11"/>
      <c r="M945" s="11"/>
      <c r="N945" s="11"/>
      <c r="O945" s="18"/>
      <c r="U945" s="18"/>
      <c r="V945" s="18"/>
      <c r="W945" s="18"/>
      <c r="X945" s="18"/>
    </row>
    <row r="946" spans="5:24" ht="13.2">
      <c r="E946" s="11"/>
      <c r="F946" s="11"/>
      <c r="G946" s="11"/>
      <c r="L946" s="11"/>
      <c r="M946" s="11"/>
      <c r="N946" s="11"/>
      <c r="O946" s="18"/>
      <c r="U946" s="18"/>
      <c r="V946" s="18"/>
      <c r="W946" s="18"/>
      <c r="X946" s="18"/>
    </row>
    <row r="947" spans="5:24" ht="13.2">
      <c r="E947" s="11"/>
      <c r="F947" s="11"/>
      <c r="G947" s="11"/>
      <c r="L947" s="11"/>
      <c r="M947" s="11"/>
      <c r="N947" s="11"/>
      <c r="O947" s="18"/>
      <c r="U947" s="18"/>
      <c r="V947" s="18"/>
      <c r="W947" s="18"/>
      <c r="X947" s="18"/>
    </row>
    <row r="948" spans="5:24" ht="13.2">
      <c r="E948" s="11"/>
      <c r="F948" s="11"/>
      <c r="G948" s="11"/>
      <c r="L948" s="11"/>
      <c r="M948" s="11"/>
      <c r="N948" s="11"/>
      <c r="O948" s="18"/>
      <c r="U948" s="18"/>
      <c r="V948" s="18"/>
      <c r="W948" s="18"/>
      <c r="X948" s="18"/>
    </row>
    <row r="949" spans="5:24" ht="13.2">
      <c r="E949" s="11"/>
      <c r="F949" s="11"/>
      <c r="G949" s="11"/>
      <c r="L949" s="11"/>
      <c r="M949" s="11"/>
      <c r="N949" s="11"/>
      <c r="O949" s="18"/>
      <c r="U949" s="18"/>
      <c r="V949" s="18"/>
      <c r="W949" s="18"/>
      <c r="X949" s="18"/>
    </row>
    <row r="950" spans="5:24" ht="13.2">
      <c r="E950" s="11"/>
      <c r="F950" s="11"/>
      <c r="G950" s="11"/>
      <c r="L950" s="11"/>
      <c r="M950" s="11"/>
      <c r="N950" s="11"/>
      <c r="O950" s="18"/>
      <c r="U950" s="18"/>
      <c r="V950" s="18"/>
      <c r="W950" s="18"/>
      <c r="X950" s="18"/>
    </row>
    <row r="951" spans="5:24" ht="13.2">
      <c r="E951" s="11"/>
      <c r="F951" s="11"/>
      <c r="G951" s="11"/>
      <c r="L951" s="11"/>
      <c r="M951" s="11"/>
      <c r="N951" s="11"/>
      <c r="O951" s="18"/>
      <c r="U951" s="18"/>
      <c r="V951" s="18"/>
      <c r="W951" s="18"/>
      <c r="X951" s="18"/>
    </row>
    <row r="952" spans="5:24" ht="13.2">
      <c r="E952" s="11"/>
      <c r="F952" s="11"/>
      <c r="G952" s="11"/>
      <c r="L952" s="11"/>
      <c r="M952" s="11"/>
      <c r="N952" s="11"/>
      <c r="O952" s="18"/>
      <c r="U952" s="18"/>
      <c r="V952" s="18"/>
      <c r="W952" s="18"/>
      <c r="X952" s="18"/>
    </row>
    <row r="953" spans="5:24" ht="13.2">
      <c r="E953" s="11"/>
      <c r="F953" s="11"/>
      <c r="G953" s="11"/>
      <c r="L953" s="11"/>
      <c r="M953" s="11"/>
      <c r="N953" s="11"/>
      <c r="O953" s="18"/>
      <c r="U953" s="18"/>
      <c r="V953" s="18"/>
      <c r="W953" s="18"/>
      <c r="X953" s="18"/>
    </row>
    <row r="954" spans="5:24" ht="13.2">
      <c r="E954" s="11"/>
      <c r="F954" s="11"/>
      <c r="G954" s="11"/>
      <c r="L954" s="11"/>
      <c r="M954" s="11"/>
      <c r="N954" s="11"/>
      <c r="O954" s="18"/>
      <c r="U954" s="18"/>
      <c r="V954" s="18"/>
      <c r="W954" s="18"/>
      <c r="X954" s="18"/>
    </row>
    <row r="955" spans="5:24" ht="13.2">
      <c r="E955" s="11"/>
      <c r="F955" s="11"/>
      <c r="G955" s="11"/>
      <c r="L955" s="11"/>
      <c r="M955" s="11"/>
      <c r="N955" s="11"/>
      <c r="O955" s="18"/>
      <c r="U955" s="18"/>
      <c r="V955" s="18"/>
      <c r="W955" s="18"/>
      <c r="X955" s="18"/>
    </row>
    <row r="956" spans="5:24" ht="13.2">
      <c r="E956" s="11"/>
      <c r="F956" s="11"/>
      <c r="G956" s="11"/>
      <c r="L956" s="11"/>
      <c r="M956" s="11"/>
      <c r="N956" s="11"/>
      <c r="O956" s="18"/>
      <c r="U956" s="18"/>
      <c r="V956" s="18"/>
      <c r="W956" s="18"/>
      <c r="X956" s="18"/>
    </row>
    <row r="957" spans="5:24" ht="13.2">
      <c r="E957" s="11"/>
      <c r="F957" s="11"/>
      <c r="G957" s="11"/>
      <c r="L957" s="11"/>
      <c r="M957" s="11"/>
      <c r="N957" s="11"/>
      <c r="O957" s="18"/>
      <c r="U957" s="18"/>
      <c r="V957" s="18"/>
      <c r="W957" s="18"/>
      <c r="X957" s="18"/>
    </row>
    <row r="958" spans="5:24" ht="13.2">
      <c r="E958" s="11"/>
      <c r="F958" s="11"/>
      <c r="G958" s="11"/>
      <c r="L958" s="11"/>
      <c r="M958" s="11"/>
      <c r="N958" s="11"/>
      <c r="O958" s="18"/>
      <c r="U958" s="18"/>
      <c r="V958" s="18"/>
      <c r="W958" s="18"/>
      <c r="X958" s="18"/>
    </row>
    <row r="959" spans="5:24" ht="13.2">
      <c r="E959" s="11"/>
      <c r="F959" s="11"/>
      <c r="G959" s="11"/>
      <c r="L959" s="11"/>
      <c r="M959" s="11"/>
      <c r="N959" s="11"/>
      <c r="O959" s="18"/>
      <c r="U959" s="18"/>
      <c r="V959" s="18"/>
      <c r="W959" s="18"/>
      <c r="X959" s="18"/>
    </row>
    <row r="960" spans="5:24" ht="13.2">
      <c r="E960" s="11"/>
      <c r="F960" s="11"/>
      <c r="G960" s="11"/>
      <c r="L960" s="11"/>
      <c r="M960" s="11"/>
      <c r="N960" s="11"/>
      <c r="O960" s="18"/>
      <c r="U960" s="18"/>
      <c r="V960" s="18"/>
      <c r="W960" s="18"/>
      <c r="X960" s="18"/>
    </row>
    <row r="961" spans="5:24" ht="13.2">
      <c r="E961" s="11"/>
      <c r="F961" s="11"/>
      <c r="G961" s="11"/>
      <c r="L961" s="11"/>
      <c r="M961" s="11"/>
      <c r="N961" s="11"/>
      <c r="O961" s="18"/>
      <c r="U961" s="18"/>
      <c r="V961" s="18"/>
      <c r="W961" s="18"/>
      <c r="X961" s="18"/>
    </row>
    <row r="962" spans="5:24" ht="13.2">
      <c r="E962" s="11"/>
      <c r="F962" s="11"/>
      <c r="G962" s="11"/>
      <c r="L962" s="11"/>
      <c r="M962" s="11"/>
      <c r="N962" s="11"/>
      <c r="O962" s="18"/>
      <c r="U962" s="18"/>
      <c r="V962" s="18"/>
      <c r="W962" s="18"/>
      <c r="X962" s="18"/>
    </row>
    <row r="963" spans="5:24" ht="13.2">
      <c r="E963" s="11"/>
      <c r="F963" s="11"/>
      <c r="G963" s="11"/>
      <c r="L963" s="11"/>
      <c r="M963" s="11"/>
      <c r="N963" s="11"/>
      <c r="O963" s="18"/>
      <c r="U963" s="18"/>
      <c r="V963" s="18"/>
      <c r="W963" s="18"/>
      <c r="X963" s="18"/>
    </row>
    <row r="964" spans="5:24" ht="13.2">
      <c r="E964" s="11"/>
      <c r="F964" s="11"/>
      <c r="G964" s="11"/>
      <c r="L964" s="11"/>
      <c r="M964" s="11"/>
      <c r="N964" s="11"/>
      <c r="O964" s="18"/>
      <c r="U964" s="18"/>
      <c r="V964" s="18"/>
      <c r="W964" s="18"/>
      <c r="X964" s="18"/>
    </row>
    <row r="965" spans="5:24" ht="13.2">
      <c r="E965" s="11"/>
      <c r="F965" s="11"/>
      <c r="G965" s="11"/>
      <c r="L965" s="11"/>
      <c r="M965" s="11"/>
      <c r="N965" s="11"/>
      <c r="O965" s="18"/>
      <c r="U965" s="18"/>
      <c r="V965" s="18"/>
      <c r="W965" s="18"/>
      <c r="X965" s="18"/>
    </row>
    <row r="966" spans="5:24" ht="13.2">
      <c r="E966" s="11"/>
      <c r="F966" s="11"/>
      <c r="G966" s="11"/>
      <c r="L966" s="11"/>
      <c r="M966" s="11"/>
      <c r="N966" s="11"/>
      <c r="O966" s="18"/>
      <c r="U966" s="18"/>
      <c r="V966" s="18"/>
      <c r="W966" s="18"/>
      <c r="X966" s="18"/>
    </row>
    <row r="967" spans="5:24" ht="13.2">
      <c r="E967" s="11"/>
      <c r="F967" s="11"/>
      <c r="G967" s="11"/>
      <c r="L967" s="11"/>
      <c r="M967" s="11"/>
      <c r="N967" s="11"/>
      <c r="O967" s="18"/>
      <c r="U967" s="18"/>
      <c r="V967" s="18"/>
      <c r="W967" s="18"/>
      <c r="X967" s="18"/>
    </row>
    <row r="968" spans="5:24" ht="13.2">
      <c r="E968" s="11"/>
      <c r="F968" s="11"/>
      <c r="G968" s="11"/>
      <c r="L968" s="11"/>
      <c r="M968" s="11"/>
      <c r="N968" s="11"/>
      <c r="O968" s="18"/>
      <c r="U968" s="18"/>
      <c r="V968" s="18"/>
      <c r="W968" s="18"/>
      <c r="X968" s="18"/>
    </row>
    <row r="969" spans="5:24" ht="13.2">
      <c r="E969" s="11"/>
      <c r="F969" s="11"/>
      <c r="G969" s="11"/>
      <c r="L969" s="11"/>
      <c r="M969" s="11"/>
      <c r="N969" s="11"/>
      <c r="O969" s="18"/>
      <c r="U969" s="18"/>
      <c r="V969" s="18"/>
      <c r="W969" s="18"/>
      <c r="X969" s="18"/>
    </row>
    <row r="970" spans="5:24" ht="13.2">
      <c r="E970" s="11"/>
      <c r="F970" s="11"/>
      <c r="G970" s="11"/>
      <c r="L970" s="11"/>
      <c r="M970" s="11"/>
      <c r="N970" s="11"/>
      <c r="O970" s="18"/>
      <c r="U970" s="18"/>
      <c r="V970" s="18"/>
      <c r="W970" s="18"/>
      <c r="X970" s="18"/>
    </row>
    <row r="971" spans="5:24" ht="13.2">
      <c r="E971" s="11"/>
      <c r="F971" s="11"/>
      <c r="G971" s="11"/>
      <c r="L971" s="11"/>
      <c r="M971" s="11"/>
      <c r="N971" s="11"/>
      <c r="O971" s="18"/>
      <c r="U971" s="18"/>
      <c r="V971" s="18"/>
      <c r="W971" s="18"/>
      <c r="X971" s="18"/>
    </row>
    <row r="972" spans="5:24" ht="13.2">
      <c r="E972" s="11"/>
      <c r="F972" s="11"/>
      <c r="G972" s="11"/>
      <c r="L972" s="11"/>
      <c r="M972" s="11"/>
      <c r="N972" s="11"/>
      <c r="O972" s="18"/>
      <c r="U972" s="18"/>
      <c r="V972" s="18"/>
      <c r="W972" s="18"/>
      <c r="X972" s="18"/>
    </row>
    <row r="973" spans="5:24" ht="13.2">
      <c r="E973" s="11"/>
      <c r="F973" s="11"/>
      <c r="G973" s="11"/>
      <c r="L973" s="11"/>
      <c r="M973" s="11"/>
      <c r="N973" s="11"/>
      <c r="O973" s="18"/>
      <c r="U973" s="18"/>
      <c r="V973" s="18"/>
      <c r="W973" s="18"/>
      <c r="X973" s="18"/>
    </row>
    <row r="974" spans="5:24" ht="13.2">
      <c r="E974" s="11"/>
      <c r="F974" s="11"/>
      <c r="G974" s="11"/>
      <c r="L974" s="11"/>
      <c r="M974" s="11"/>
      <c r="N974" s="11"/>
      <c r="O974" s="18"/>
      <c r="U974" s="18"/>
      <c r="V974" s="18"/>
      <c r="W974" s="18"/>
      <c r="X974" s="18"/>
    </row>
    <row r="975" spans="5:24" ht="13.2">
      <c r="E975" s="11"/>
      <c r="F975" s="11"/>
      <c r="G975" s="11"/>
      <c r="L975" s="11"/>
      <c r="M975" s="11"/>
      <c r="N975" s="11"/>
      <c r="O975" s="18"/>
      <c r="U975" s="18"/>
      <c r="V975" s="18"/>
      <c r="W975" s="18"/>
      <c r="X975" s="18"/>
    </row>
    <row r="976" spans="5:24" ht="13.2">
      <c r="E976" s="11"/>
      <c r="F976" s="11"/>
      <c r="G976" s="11"/>
      <c r="L976" s="11"/>
      <c r="M976" s="11"/>
      <c r="N976" s="11"/>
      <c r="O976" s="18"/>
      <c r="U976" s="18"/>
      <c r="V976" s="18"/>
      <c r="W976" s="18"/>
      <c r="X976" s="18"/>
    </row>
    <row r="977" spans="5:24" ht="13.2">
      <c r="E977" s="11"/>
      <c r="F977" s="11"/>
      <c r="G977" s="11"/>
      <c r="L977" s="11"/>
      <c r="M977" s="11"/>
      <c r="N977" s="11"/>
      <c r="O977" s="18"/>
      <c r="U977" s="18"/>
      <c r="V977" s="18"/>
      <c r="W977" s="18"/>
      <c r="X977" s="18"/>
    </row>
    <row r="978" spans="5:24" ht="13.2">
      <c r="E978" s="11"/>
      <c r="F978" s="11"/>
      <c r="G978" s="11"/>
      <c r="L978" s="11"/>
      <c r="M978" s="11"/>
      <c r="N978" s="11"/>
      <c r="O978" s="18"/>
      <c r="U978" s="18"/>
      <c r="V978" s="18"/>
      <c r="W978" s="18"/>
      <c r="X978" s="18"/>
    </row>
    <row r="979" spans="5:24" ht="13.2">
      <c r="E979" s="11"/>
      <c r="F979" s="11"/>
      <c r="G979" s="11"/>
      <c r="L979" s="11"/>
      <c r="M979" s="11"/>
      <c r="N979" s="11"/>
      <c r="O979" s="18"/>
      <c r="U979" s="18"/>
      <c r="V979" s="18"/>
      <c r="W979" s="18"/>
      <c r="X979" s="18"/>
    </row>
    <row r="980" spans="5:24" ht="13.2">
      <c r="E980" s="11"/>
      <c r="F980" s="11"/>
      <c r="G980" s="11"/>
      <c r="L980" s="11"/>
      <c r="M980" s="11"/>
      <c r="N980" s="11"/>
      <c r="O980" s="18"/>
      <c r="U980" s="18"/>
      <c r="V980" s="18"/>
      <c r="W980" s="18"/>
      <c r="X980" s="18"/>
    </row>
    <row r="981" spans="5:24" ht="13.2">
      <c r="E981" s="11"/>
      <c r="F981" s="11"/>
      <c r="G981" s="11"/>
      <c r="L981" s="11"/>
      <c r="M981" s="11"/>
      <c r="N981" s="11"/>
      <c r="O981" s="18"/>
      <c r="U981" s="18"/>
      <c r="V981" s="18"/>
      <c r="W981" s="18"/>
      <c r="X981" s="18"/>
    </row>
    <row r="982" spans="5:24" ht="13.2">
      <c r="E982" s="11"/>
      <c r="F982" s="11"/>
      <c r="G982" s="11"/>
      <c r="L982" s="11"/>
      <c r="M982" s="11"/>
      <c r="N982" s="11"/>
      <c r="O982" s="18"/>
      <c r="U982" s="18"/>
      <c r="V982" s="18"/>
      <c r="W982" s="18"/>
      <c r="X982" s="18"/>
    </row>
    <row r="983" spans="5:24" ht="13.2">
      <c r="E983" s="11"/>
      <c r="F983" s="11"/>
      <c r="G983" s="11"/>
      <c r="L983" s="11"/>
      <c r="M983" s="11"/>
      <c r="N983" s="11"/>
      <c r="O983" s="18"/>
      <c r="U983" s="18"/>
      <c r="V983" s="18"/>
      <c r="W983" s="18"/>
      <c r="X983" s="18"/>
    </row>
    <row r="984" spans="5:24" ht="13.2">
      <c r="E984" s="11"/>
      <c r="F984" s="11"/>
      <c r="G984" s="11"/>
      <c r="L984" s="11"/>
      <c r="M984" s="11"/>
      <c r="N984" s="11"/>
      <c r="O984" s="18"/>
      <c r="U984" s="18"/>
      <c r="V984" s="18"/>
      <c r="W984" s="18"/>
      <c r="X984" s="18"/>
    </row>
    <row r="985" spans="5:24" ht="13.2">
      <c r="E985" s="11"/>
      <c r="F985" s="11"/>
      <c r="G985" s="11"/>
      <c r="L985" s="11"/>
      <c r="M985" s="11"/>
      <c r="N985" s="11"/>
      <c r="O985" s="18"/>
      <c r="U985" s="18"/>
      <c r="V985" s="18"/>
      <c r="W985" s="18"/>
      <c r="X985" s="18"/>
    </row>
    <row r="986" spans="5:24" ht="13.2">
      <c r="E986" s="11"/>
      <c r="F986" s="11"/>
      <c r="G986" s="11"/>
      <c r="L986" s="11"/>
      <c r="M986" s="11"/>
      <c r="N986" s="11"/>
      <c r="O986" s="18"/>
      <c r="U986" s="18"/>
      <c r="V986" s="18"/>
      <c r="W986" s="18"/>
      <c r="X986" s="18"/>
    </row>
    <row r="987" spans="5:24" ht="13.2">
      <c r="E987" s="11"/>
      <c r="F987" s="11"/>
      <c r="G987" s="11"/>
      <c r="L987" s="11"/>
      <c r="M987" s="11"/>
      <c r="N987" s="11"/>
      <c r="O987" s="18"/>
      <c r="U987" s="18"/>
      <c r="V987" s="18"/>
      <c r="W987" s="18"/>
      <c r="X987" s="18"/>
    </row>
    <row r="988" spans="5:24" ht="13.2">
      <c r="E988" s="11"/>
      <c r="F988" s="11"/>
      <c r="G988" s="11"/>
      <c r="L988" s="11"/>
      <c r="M988" s="11"/>
      <c r="N988" s="11"/>
      <c r="O988" s="18"/>
      <c r="U988" s="18"/>
      <c r="V988" s="18"/>
      <c r="W988" s="18"/>
      <c r="X988" s="18"/>
    </row>
    <row r="989" spans="5:24" ht="13.2">
      <c r="E989" s="11"/>
      <c r="F989" s="11"/>
      <c r="G989" s="11"/>
      <c r="L989" s="11"/>
      <c r="M989" s="11"/>
      <c r="N989" s="11"/>
      <c r="O989" s="18"/>
      <c r="U989" s="18"/>
      <c r="V989" s="18"/>
      <c r="W989" s="18"/>
      <c r="X989" s="18"/>
    </row>
    <row r="990" spans="5:24" ht="13.2">
      <c r="E990" s="11"/>
      <c r="F990" s="11"/>
      <c r="G990" s="11"/>
      <c r="L990" s="11"/>
      <c r="M990" s="11"/>
      <c r="N990" s="11"/>
      <c r="O990" s="18"/>
      <c r="U990" s="18"/>
      <c r="V990" s="18"/>
      <c r="W990" s="18"/>
      <c r="X990" s="18"/>
    </row>
    <row r="991" spans="5:24" ht="13.2">
      <c r="E991" s="11"/>
      <c r="F991" s="11"/>
      <c r="G991" s="11"/>
      <c r="L991" s="11"/>
      <c r="M991" s="11"/>
      <c r="N991" s="11"/>
      <c r="O991" s="18"/>
      <c r="U991" s="18"/>
      <c r="V991" s="18"/>
      <c r="W991" s="18"/>
      <c r="X991" s="18"/>
    </row>
    <row r="992" spans="5:24" ht="13.2">
      <c r="E992" s="11"/>
      <c r="F992" s="11"/>
      <c r="G992" s="11"/>
      <c r="L992" s="11"/>
      <c r="M992" s="11"/>
      <c r="N992" s="11"/>
      <c r="O992" s="18"/>
      <c r="U992" s="18"/>
      <c r="V992" s="18"/>
      <c r="W992" s="18"/>
      <c r="X992" s="18"/>
    </row>
    <row r="993" spans="5:24" ht="13.2">
      <c r="E993" s="11"/>
      <c r="F993" s="11"/>
      <c r="G993" s="11"/>
      <c r="L993" s="11"/>
      <c r="M993" s="11"/>
      <c r="N993" s="11"/>
      <c r="O993" s="18"/>
      <c r="U993" s="18"/>
      <c r="V993" s="18"/>
      <c r="W993" s="18"/>
      <c r="X993" s="18"/>
    </row>
    <row r="994" spans="5:24" ht="13.2">
      <c r="E994" s="11"/>
      <c r="F994" s="11"/>
      <c r="G994" s="11"/>
      <c r="L994" s="11"/>
      <c r="M994" s="11"/>
      <c r="N994" s="11"/>
      <c r="O994" s="18"/>
      <c r="U994" s="18"/>
      <c r="V994" s="18"/>
      <c r="W994" s="18"/>
      <c r="X994" s="18"/>
    </row>
    <row r="995" spans="5:24" ht="13.2">
      <c r="E995" s="11"/>
      <c r="F995" s="11"/>
      <c r="G995" s="11"/>
      <c r="L995" s="11"/>
      <c r="M995" s="11"/>
      <c r="N995" s="11"/>
      <c r="O995" s="18"/>
      <c r="U995" s="18"/>
      <c r="V995" s="18"/>
      <c r="W995" s="18"/>
      <c r="X995" s="18"/>
    </row>
    <row r="996" spans="5:24" ht="13.2">
      <c r="E996" s="11"/>
      <c r="F996" s="11"/>
      <c r="G996" s="11"/>
      <c r="L996" s="11"/>
      <c r="M996" s="11"/>
      <c r="N996" s="11"/>
      <c r="O996" s="18"/>
      <c r="U996" s="18"/>
      <c r="V996" s="18"/>
      <c r="W996" s="18"/>
      <c r="X996" s="18"/>
    </row>
    <row r="997" spans="5:24" ht="13.2">
      <c r="E997" s="11"/>
      <c r="F997" s="11"/>
      <c r="G997" s="11"/>
      <c r="L997" s="11"/>
      <c r="M997" s="11"/>
      <c r="N997" s="11"/>
      <c r="O997" s="18"/>
      <c r="U997" s="18"/>
      <c r="V997" s="18"/>
      <c r="W997" s="18"/>
      <c r="X997" s="18"/>
    </row>
    <row r="998" spans="5:24" ht="13.2">
      <c r="E998" s="11"/>
      <c r="F998" s="11"/>
      <c r="G998" s="11"/>
      <c r="L998" s="11"/>
      <c r="M998" s="11"/>
      <c r="N998" s="11"/>
      <c r="O998" s="18"/>
      <c r="U998" s="18"/>
      <c r="V998" s="18"/>
      <c r="W998" s="18"/>
      <c r="X998" s="18"/>
    </row>
    <row r="999" spans="5:24" ht="13.2">
      <c r="E999" s="11"/>
      <c r="F999" s="11"/>
      <c r="G999" s="11"/>
      <c r="L999" s="11"/>
      <c r="M999" s="11"/>
      <c r="N999" s="11"/>
      <c r="O999" s="18"/>
      <c r="U999" s="18"/>
      <c r="V999" s="18"/>
      <c r="W999" s="18"/>
      <c r="X999" s="18"/>
    </row>
    <row r="1000" spans="5:24" ht="13.2">
      <c r="E1000" s="11"/>
      <c r="F1000" s="11"/>
      <c r="G1000" s="11"/>
      <c r="L1000" s="11"/>
      <c r="M1000" s="11"/>
      <c r="N1000" s="11"/>
      <c r="O1000" s="18"/>
      <c r="U1000" s="18"/>
      <c r="V1000" s="18"/>
      <c r="W1000" s="18"/>
      <c r="X1000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Z1015"/>
  <sheetViews>
    <sheetView tabSelected="1" workbookViewId="0">
      <selection activeCell="G11" sqref="G11"/>
    </sheetView>
  </sheetViews>
  <sheetFormatPr baseColWidth="10" defaultColWidth="12.6640625" defaultRowHeight="15.75" customHeight="1"/>
  <sheetData>
    <row r="1" spans="1:26" ht="57" customHeight="1">
      <c r="A1" s="23" t="s">
        <v>33</v>
      </c>
      <c r="B1" s="24" t="s">
        <v>34</v>
      </c>
      <c r="C1" s="25" t="s">
        <v>35</v>
      </c>
      <c r="D1" s="25" t="s">
        <v>36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5.75" customHeight="1">
      <c r="A2" s="26">
        <v>10101</v>
      </c>
      <c r="B2" s="27" t="s">
        <v>37</v>
      </c>
      <c r="C2" s="28">
        <v>0.79463900883523464</v>
      </c>
      <c r="D2" s="28">
        <v>1.5706062801702529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5.75" customHeight="1">
      <c r="A3" s="26">
        <v>10102</v>
      </c>
      <c r="B3" s="27" t="s">
        <v>38</v>
      </c>
      <c r="C3" s="28">
        <v>0.30082417671692291</v>
      </c>
      <c r="D3" s="28">
        <v>1.8351365404966817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ht="15.75" customHeight="1">
      <c r="A4" s="26">
        <v>10103</v>
      </c>
      <c r="B4" s="27" t="s">
        <v>39</v>
      </c>
      <c r="C4" s="28">
        <v>1.1965368023282255</v>
      </c>
      <c r="D4" s="28">
        <v>1.180638628287193</v>
      </c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ht="15.75" customHeight="1">
      <c r="A5" s="26">
        <v>10201</v>
      </c>
      <c r="B5" s="27" t="s">
        <v>40</v>
      </c>
      <c r="C5" s="28">
        <v>0.68235295064309032</v>
      </c>
      <c r="D5" s="28">
        <v>1.3561853165531397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5.75" customHeight="1">
      <c r="A6" s="26">
        <v>10202</v>
      </c>
      <c r="B6" s="27" t="s">
        <v>41</v>
      </c>
      <c r="C6" s="28">
        <v>0.88978494311212231</v>
      </c>
      <c r="D6" s="28">
        <v>1.5546757179316519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ht="15.75" customHeight="1">
      <c r="A7" s="26">
        <v>10301</v>
      </c>
      <c r="B7" s="27" t="s">
        <v>42</v>
      </c>
      <c r="C7" s="28">
        <v>0.43162393357254486</v>
      </c>
      <c r="D7" s="28">
        <v>1.412719978911819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5.75" customHeight="1">
      <c r="A8" s="26">
        <v>10302</v>
      </c>
      <c r="B8" s="27" t="s">
        <v>43</v>
      </c>
      <c r="C8" s="28">
        <v>1.2370486786130777</v>
      </c>
      <c r="D8" s="28">
        <v>1.2041647300617895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ht="15.75" customHeight="1">
      <c r="A9" s="26">
        <v>10303</v>
      </c>
      <c r="B9" s="27" t="s">
        <v>44</v>
      </c>
      <c r="C9" s="28">
        <v>0.82080271603250099</v>
      </c>
      <c r="D9" s="2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5.75" customHeight="1">
      <c r="A10" s="26">
        <v>10304</v>
      </c>
      <c r="B10" s="27" t="s">
        <v>45</v>
      </c>
      <c r="C10" s="28">
        <v>0.71400394827294755</v>
      </c>
      <c r="D10" s="28">
        <v>0.84509306090725556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5.75" customHeight="1">
      <c r="A11" s="26">
        <v>10401</v>
      </c>
      <c r="B11" s="27" t="s">
        <v>46</v>
      </c>
      <c r="C11" s="28">
        <v>0.69157340198855899</v>
      </c>
      <c r="D11" s="28">
        <v>1.2818877513647682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15.75" customHeight="1">
      <c r="A12" s="26">
        <v>10402</v>
      </c>
      <c r="B12" s="27" t="s">
        <v>47</v>
      </c>
      <c r="C12" s="28">
        <v>1.3173913114615108</v>
      </c>
      <c r="D12" s="28">
        <v>3.6666666912535817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15.75" customHeight="1">
      <c r="A13" s="26">
        <v>10403</v>
      </c>
      <c r="B13" s="27" t="s">
        <v>48</v>
      </c>
      <c r="C13" s="28">
        <v>0.31914893788226106</v>
      </c>
      <c r="D13" s="28">
        <v>1.2840077097185505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15.75" customHeight="1">
      <c r="A14" s="26">
        <v>10404</v>
      </c>
      <c r="B14" s="27" t="s">
        <v>49</v>
      </c>
      <c r="C14" s="28">
        <v>0.4766666635672252</v>
      </c>
      <c r="D14" s="28">
        <v>1.9532630371170701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15.75" customHeight="1">
      <c r="A15" s="26">
        <v>10405</v>
      </c>
      <c r="B15" s="27" t="s">
        <v>50</v>
      </c>
      <c r="C15" s="28"/>
      <c r="D15" s="2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5.75" customHeight="1">
      <c r="A16" s="26">
        <v>10501</v>
      </c>
      <c r="B16" s="27" t="s">
        <v>51</v>
      </c>
      <c r="C16" s="28"/>
      <c r="D16" s="28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15.75" customHeight="1">
      <c r="A17" s="26">
        <v>10502</v>
      </c>
      <c r="B17" s="27" t="s">
        <v>52</v>
      </c>
      <c r="C17" s="28">
        <v>0.73022598844970954</v>
      </c>
      <c r="D17" s="28">
        <v>0.85439720593897972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15.75" customHeight="1">
      <c r="A18" s="26">
        <v>10601</v>
      </c>
      <c r="B18" s="27" t="s">
        <v>53</v>
      </c>
      <c r="C18" s="28">
        <v>0.94292190786257879</v>
      </c>
      <c r="D18" s="28">
        <v>1.1547587294376433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15.75" customHeight="1">
      <c r="A19" s="26">
        <v>10602</v>
      </c>
      <c r="B19" s="27" t="s">
        <v>54</v>
      </c>
      <c r="C19" s="28">
        <v>0.77060932451324848</v>
      </c>
      <c r="D19" s="28">
        <v>0.88212928038327199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 spans="1:26" ht="15.75" customHeight="1">
      <c r="A20" s="26">
        <v>10701</v>
      </c>
      <c r="B20" s="27" t="s">
        <v>55</v>
      </c>
      <c r="C20" s="28">
        <v>0.95551601384710061</v>
      </c>
      <c r="D20" s="28">
        <v>1.5807708303333461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spans="1:26" ht="15.75" customHeight="1">
      <c r="A21" s="26">
        <v>10702</v>
      </c>
      <c r="B21" s="27" t="s">
        <v>56</v>
      </c>
      <c r="C21" s="28">
        <v>1.1156643694833008</v>
      </c>
      <c r="D21" s="28">
        <v>1.1777615887492003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 spans="1:26" ht="15.75" customHeight="1">
      <c r="A22" s="26">
        <v>10703</v>
      </c>
      <c r="B22" s="27" t="s">
        <v>57</v>
      </c>
      <c r="C22" s="28">
        <v>0.49999999720603233</v>
      </c>
      <c r="D22" s="28">
        <v>0.7522595320992973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spans="1:26" ht="15.75" customHeight="1">
      <c r="A23" s="26">
        <v>10704</v>
      </c>
      <c r="B23" s="27" t="s">
        <v>58</v>
      </c>
      <c r="C23" s="28">
        <v>0.46304346881482955</v>
      </c>
      <c r="D23" s="28">
        <v>1.378754273204017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15.75" customHeight="1">
      <c r="A24" s="26">
        <v>10801</v>
      </c>
      <c r="B24" s="27" t="s">
        <v>59</v>
      </c>
      <c r="C24" s="28">
        <v>0.52649006311664526</v>
      </c>
      <c r="D24" s="28">
        <v>0.52273863721615266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spans="1:26" ht="15.75" customHeight="1">
      <c r="A25" s="26">
        <v>10901</v>
      </c>
      <c r="B25" s="27" t="s">
        <v>60</v>
      </c>
      <c r="C25" s="28">
        <v>2.3526316244743368</v>
      </c>
      <c r="D25" s="28">
        <v>2.1167846133767219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spans="1:26" ht="15.75" customHeight="1">
      <c r="A26" s="26">
        <v>10902</v>
      </c>
      <c r="B26" s="27" t="s">
        <v>61</v>
      </c>
      <c r="C26" s="28">
        <v>0.78883495810215609</v>
      </c>
      <c r="D26" s="28">
        <v>0.78152492817500485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spans="1:26" ht="14.4">
      <c r="A27" s="26">
        <v>10903</v>
      </c>
      <c r="B27" s="27" t="s">
        <v>62</v>
      </c>
      <c r="C27" s="28">
        <v>0.34090908938510855</v>
      </c>
      <c r="D27" s="2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spans="1:26" ht="14.4">
      <c r="A28" s="26">
        <v>11001</v>
      </c>
      <c r="B28" s="27" t="s">
        <v>63</v>
      </c>
      <c r="C28" s="28">
        <v>1.1727475909821581</v>
      </c>
      <c r="D28" s="2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spans="1:26" ht="14.4">
      <c r="A29" s="26">
        <v>11002</v>
      </c>
      <c r="B29" s="27" t="s">
        <v>64</v>
      </c>
      <c r="C29" s="28">
        <v>0.95238094933989925</v>
      </c>
      <c r="D29" s="2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spans="1:26" ht="14.4">
      <c r="A30" s="26">
        <v>11003</v>
      </c>
      <c r="B30" s="27" t="s">
        <v>65</v>
      </c>
      <c r="C30" s="28">
        <v>0.70208539771695544</v>
      </c>
      <c r="D30" s="28">
        <v>0.72876304418732851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14.4">
      <c r="A31" s="26">
        <v>20101</v>
      </c>
      <c r="B31" s="27" t="s">
        <v>66</v>
      </c>
      <c r="C31" s="28">
        <v>0.37810979278441226</v>
      </c>
      <c r="D31" s="28">
        <v>3.7370860377605206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spans="1:26" ht="14.4">
      <c r="A32" s="26">
        <v>20102</v>
      </c>
      <c r="B32" s="27" t="s">
        <v>67</v>
      </c>
      <c r="C32" s="28">
        <v>0.57387039413450902</v>
      </c>
      <c r="D32" s="28">
        <v>1.0194235550071262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spans="1:26" ht="14.4">
      <c r="A33" s="26">
        <v>20103</v>
      </c>
      <c r="B33" s="27" t="s">
        <v>68</v>
      </c>
      <c r="C33" s="28">
        <v>0.58915456305284408</v>
      </c>
      <c r="D33" s="28">
        <v>1.6411628095929378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spans="1:26" ht="14.4">
      <c r="A34" s="26">
        <v>20104</v>
      </c>
      <c r="B34" s="27" t="s">
        <v>69</v>
      </c>
      <c r="C34" s="28">
        <v>0.72527472633884205</v>
      </c>
      <c r="D34" s="28">
        <v>1.9777020333613338</v>
      </c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spans="1:26" ht="14.4">
      <c r="A35" s="26">
        <v>20105</v>
      </c>
      <c r="B35" s="27" t="s">
        <v>70</v>
      </c>
      <c r="C35" s="28">
        <v>1.012113026295776</v>
      </c>
      <c r="D35" s="28">
        <v>2.5748057611283919</v>
      </c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4.4">
      <c r="A36" s="26">
        <v>20201</v>
      </c>
      <c r="B36" s="27" t="s">
        <v>71</v>
      </c>
      <c r="C36" s="28">
        <v>0.98019801581850163</v>
      </c>
      <c r="D36" s="28">
        <v>1.7994943711789579</v>
      </c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spans="1:26" ht="14.4">
      <c r="A37" s="26">
        <v>20202</v>
      </c>
      <c r="B37" s="27" t="s">
        <v>72</v>
      </c>
      <c r="C37" s="28">
        <v>1.1829059816833236</v>
      </c>
      <c r="D37" s="28">
        <v>1.2757193100200532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spans="1:26" ht="14.4">
      <c r="A38" s="26">
        <v>20203</v>
      </c>
      <c r="B38" s="27" t="s">
        <v>73</v>
      </c>
      <c r="C38" s="28">
        <v>0.19354838909345581</v>
      </c>
      <c r="D38" s="28">
        <v>1.1435368997828208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spans="1:26" ht="14.4">
      <c r="A39" s="26">
        <v>20204</v>
      </c>
      <c r="B39" s="27" t="s">
        <v>74</v>
      </c>
      <c r="C39" s="28">
        <v>0.59487177506471389</v>
      </c>
      <c r="D39" s="28">
        <v>1.4726775960033589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 spans="1:26" ht="14.4">
      <c r="A40" s="26">
        <v>20205</v>
      </c>
      <c r="B40" s="27" t="s">
        <v>75</v>
      </c>
      <c r="C40" s="28">
        <v>1.1125000159256158</v>
      </c>
      <c r="D40" s="28">
        <v>0.85160973986189636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 spans="1:26" ht="14.4">
      <c r="A41" s="26">
        <v>20206</v>
      </c>
      <c r="B41" s="27" t="s">
        <v>76</v>
      </c>
      <c r="C41" s="28"/>
      <c r="D41" s="28">
        <v>1.153066668877665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spans="1:26" ht="14.4">
      <c r="A42" s="26">
        <v>20301</v>
      </c>
      <c r="B42" s="27" t="s">
        <v>77</v>
      </c>
      <c r="C42" s="28">
        <v>0.94017093635012972</v>
      </c>
      <c r="D42" s="28">
        <v>1.0316558196812329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spans="1:26" ht="14.4">
      <c r="A43" s="26">
        <v>20302</v>
      </c>
      <c r="B43" s="27" t="s">
        <v>78</v>
      </c>
      <c r="C43" s="28">
        <v>0.66381766330822245</v>
      </c>
      <c r="D43" s="28">
        <v>0.93492855205059533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spans="1:26" ht="14.4">
      <c r="A44" s="26">
        <v>20303</v>
      </c>
      <c r="B44" s="27" t="s">
        <v>79</v>
      </c>
      <c r="C44" s="28">
        <v>1.2285714221852171</v>
      </c>
      <c r="D44" s="28">
        <v>0.90090543127078349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 spans="1:26" ht="14.4">
      <c r="A45" s="26">
        <v>20304</v>
      </c>
      <c r="B45" s="27" t="s">
        <v>80</v>
      </c>
      <c r="C45" s="28">
        <v>0.8241758151066475</v>
      </c>
      <c r="D45" s="28">
        <v>1.2045112838634726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spans="1:26" ht="14.4">
      <c r="A46" s="26">
        <v>20305</v>
      </c>
      <c r="B46" s="27" t="s">
        <v>81</v>
      </c>
      <c r="C46" s="28"/>
      <c r="D46" s="28">
        <v>0.39342570478295807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spans="1:26" ht="14.4">
      <c r="A47" s="26">
        <v>20306</v>
      </c>
      <c r="B47" s="27" t="s">
        <v>82</v>
      </c>
      <c r="C47" s="28"/>
      <c r="D47" s="28">
        <v>0.74361182876718612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 spans="1:26" ht="14.4">
      <c r="A48" s="26">
        <v>20307</v>
      </c>
      <c r="B48" s="27" t="s">
        <v>83</v>
      </c>
      <c r="C48" s="28"/>
      <c r="D48" s="28">
        <v>1.07186104746904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spans="1:26" ht="14.4">
      <c r="A49" s="26">
        <v>20308</v>
      </c>
      <c r="B49" s="27" t="s">
        <v>84</v>
      </c>
      <c r="C49" s="28">
        <v>1.0679425947553893</v>
      </c>
      <c r="D49" s="28">
        <v>0.94172203329814175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 spans="1:26" ht="14.4">
      <c r="A50" s="26">
        <v>20401</v>
      </c>
      <c r="B50" s="27" t="s">
        <v>85</v>
      </c>
      <c r="C50" s="28">
        <v>0.69999999597668661</v>
      </c>
      <c r="D50" s="28">
        <v>1.3797814192415392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spans="1:26" ht="14.4">
      <c r="A51" s="26">
        <v>20402</v>
      </c>
      <c r="B51" s="27" t="s">
        <v>86</v>
      </c>
      <c r="C51" s="28">
        <v>0.83632017442402518</v>
      </c>
      <c r="D51" s="28">
        <v>0.82095719338569739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 spans="1:26" ht="14.4">
      <c r="A52" s="26">
        <v>20403</v>
      </c>
      <c r="B52" s="27" t="s">
        <v>87</v>
      </c>
      <c r="C52" s="28">
        <v>0.9619341600464022</v>
      </c>
      <c r="D52" s="28">
        <v>1.5039282624942349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 spans="1:26" ht="14.4">
      <c r="A53" s="26">
        <v>20404</v>
      </c>
      <c r="B53" s="27" t="s">
        <v>88</v>
      </c>
      <c r="C53" s="28">
        <v>0.61495844124531096</v>
      </c>
      <c r="D53" s="28">
        <v>1.3283862834692035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 spans="1:26" ht="14.4">
      <c r="A54" s="26">
        <v>20405</v>
      </c>
      <c r="B54" s="27" t="s">
        <v>89</v>
      </c>
      <c r="C54" s="28">
        <v>0.78873237709644173</v>
      </c>
      <c r="D54" s="28">
        <v>0.82933077085888474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 spans="1:26" ht="14.4">
      <c r="A55" s="26">
        <v>20501</v>
      </c>
      <c r="B55" s="27" t="s">
        <v>90</v>
      </c>
      <c r="C55" s="28"/>
      <c r="D55" s="28">
        <v>0.86098482063543158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 spans="1:26" ht="14.4">
      <c r="A56" s="26">
        <v>20502</v>
      </c>
      <c r="B56" s="27" t="s">
        <v>91</v>
      </c>
      <c r="C56" s="28">
        <v>1.8204545604172813</v>
      </c>
      <c r="D56" s="28">
        <v>0.79146635213744854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 spans="1:26" ht="14.4">
      <c r="A57" s="26">
        <v>20503</v>
      </c>
      <c r="B57" s="27" t="s">
        <v>92</v>
      </c>
      <c r="C57" s="28">
        <v>0.70564515250284399</v>
      </c>
      <c r="D57" s="28">
        <v>0.81576990041779784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 spans="1:26" ht="14.4">
      <c r="A58" s="26">
        <v>20601</v>
      </c>
      <c r="B58" s="27" t="s">
        <v>93</v>
      </c>
      <c r="C58" s="28">
        <v>0.89942345247838584</v>
      </c>
      <c r="D58" s="28">
        <v>0.92130557134981284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 spans="1:26" ht="14.4">
      <c r="A59" s="26">
        <v>20602</v>
      </c>
      <c r="B59" s="27" t="s">
        <v>94</v>
      </c>
      <c r="C59" s="28">
        <v>0.73931522740251632</v>
      </c>
      <c r="D59" s="28">
        <v>1.0845220269961504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4.4">
      <c r="A60" s="26">
        <v>20603</v>
      </c>
      <c r="B60" s="27" t="s">
        <v>95</v>
      </c>
      <c r="C60" s="28">
        <v>0.65753424290108353</v>
      </c>
      <c r="D60" s="28">
        <v>0.74070122314137155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 spans="1:26" ht="14.4">
      <c r="A61" s="26">
        <v>20604</v>
      </c>
      <c r="B61" s="27" t="s">
        <v>96</v>
      </c>
      <c r="C61" s="28">
        <v>0.69767441028772426</v>
      </c>
      <c r="D61" s="28">
        <v>1.0365818044557988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 spans="1:26" ht="14.4">
      <c r="A62" s="26">
        <v>20605</v>
      </c>
      <c r="B62" s="27" t="s">
        <v>97</v>
      </c>
      <c r="C62" s="28"/>
      <c r="D62" s="28">
        <v>2.3357142683118584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 spans="1:26" ht="14.4">
      <c r="A63" s="26">
        <v>20606</v>
      </c>
      <c r="B63" s="27" t="s">
        <v>98</v>
      </c>
      <c r="C63" s="28">
        <v>0.21583011979203293</v>
      </c>
      <c r="D63" s="28">
        <v>1.1981100862705585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 spans="1:26" ht="14.4">
      <c r="A64" s="26">
        <v>20607</v>
      </c>
      <c r="B64" s="27" t="s">
        <v>99</v>
      </c>
      <c r="C64" s="28">
        <v>0.71794872196056891</v>
      </c>
      <c r="D64" s="28">
        <v>0.79159027798754233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 spans="1:26" ht="14.4">
      <c r="A65" s="26">
        <v>20608</v>
      </c>
      <c r="B65" s="27" t="s">
        <v>100</v>
      </c>
      <c r="C65" s="28">
        <v>0.47012345723517135</v>
      </c>
      <c r="D65" s="28">
        <v>1.0453410476414626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spans="1:26" ht="14.4">
      <c r="A66" s="26">
        <v>20701</v>
      </c>
      <c r="B66" s="27" t="s">
        <v>101</v>
      </c>
      <c r="C66" s="28">
        <v>0.65600000009809234</v>
      </c>
      <c r="D66" s="28">
        <v>0.89223602486298315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spans="1:26" ht="14.4">
      <c r="A67" s="26">
        <v>20702</v>
      </c>
      <c r="B67" s="27" t="s">
        <v>102</v>
      </c>
      <c r="C67" s="28">
        <v>1.2918367391511929</v>
      </c>
      <c r="D67" s="28">
        <v>1.6510491051505654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6" ht="14.4">
      <c r="A68" s="26">
        <v>20801</v>
      </c>
      <c r="B68" s="27" t="s">
        <v>103</v>
      </c>
      <c r="C68" s="28">
        <v>0.79002494136591506</v>
      </c>
      <c r="D68" s="28">
        <v>3.2459506194801304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6" ht="14.4">
      <c r="A69" s="26">
        <v>20802</v>
      </c>
      <c r="B69" s="27" t="s">
        <v>104</v>
      </c>
      <c r="C69" s="28">
        <v>0.93548387875480021</v>
      </c>
      <c r="D69" s="28">
        <v>0.88792101269585666</v>
      </c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spans="1:26" ht="14.4">
      <c r="A70" s="26">
        <v>20803</v>
      </c>
      <c r="B70" s="27" t="s">
        <v>105</v>
      </c>
      <c r="C70" s="28">
        <v>0.46551724102971298</v>
      </c>
      <c r="D70" s="28">
        <v>1.2018725741670035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spans="1:26" ht="14.4">
      <c r="A71" s="26">
        <v>20804</v>
      </c>
      <c r="B71" s="27" t="s">
        <v>106</v>
      </c>
      <c r="C71" s="28"/>
      <c r="D71" s="28">
        <v>1.3295454680534802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spans="1:26" ht="14.4">
      <c r="A72" s="26">
        <v>20805</v>
      </c>
      <c r="B72" s="27" t="s">
        <v>107</v>
      </c>
      <c r="C72" s="28"/>
      <c r="D72" s="28">
        <v>1.4620553273858892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spans="1:26" ht="14.4">
      <c r="A73" s="26">
        <v>20806</v>
      </c>
      <c r="B73" s="27" t="s">
        <v>108</v>
      </c>
      <c r="C73" s="28">
        <v>1.1428571300847195</v>
      </c>
      <c r="D73" s="28">
        <v>0.94102059741624433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spans="1:26" ht="14.4">
      <c r="A74" s="26">
        <v>20807</v>
      </c>
      <c r="B74" s="27" t="s">
        <v>109</v>
      </c>
      <c r="C74" s="28">
        <v>0.84498832815540426</v>
      </c>
      <c r="D74" s="28">
        <v>1.3706678238021963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spans="1:26" ht="14.4">
      <c r="A75" s="26">
        <v>20901</v>
      </c>
      <c r="B75" s="27" t="s">
        <v>110</v>
      </c>
      <c r="C75" s="28">
        <v>0.96491227442758143</v>
      </c>
      <c r="D75" s="28">
        <v>1.1840531586081005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spans="1:26" ht="14.4">
      <c r="A76" s="26">
        <v>20902</v>
      </c>
      <c r="B76" s="27" t="s">
        <v>111</v>
      </c>
      <c r="C76" s="28">
        <v>0.55190058998080183</v>
      </c>
      <c r="D76" s="28">
        <v>1.2088377606818754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spans="1:26" ht="14.4">
      <c r="A77" s="26">
        <v>20903</v>
      </c>
      <c r="B77" s="27" t="s">
        <v>112</v>
      </c>
      <c r="C77" s="28">
        <v>0.94409935809360102</v>
      </c>
      <c r="D77" s="28">
        <v>0.79134261021024599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spans="1:26" ht="14.4">
      <c r="A78" s="26">
        <v>20904</v>
      </c>
      <c r="B78" s="27" t="s">
        <v>113</v>
      </c>
      <c r="C78" s="28">
        <v>1.4188235030166014</v>
      </c>
      <c r="D78" s="28">
        <v>1.7983569848650414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spans="1:26" ht="14.4">
      <c r="A79" s="26">
        <v>20905</v>
      </c>
      <c r="B79" s="27" t="s">
        <v>114</v>
      </c>
      <c r="C79" s="28">
        <v>0.66666666301740274</v>
      </c>
      <c r="D79" s="28">
        <v>1.3550724592752332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spans="1:26" ht="14.4">
      <c r="A80" s="26">
        <v>21001</v>
      </c>
      <c r="B80" s="27" t="s">
        <v>115</v>
      </c>
      <c r="C80" s="28">
        <v>0.95480139637239569</v>
      </c>
      <c r="D80" s="28">
        <v>0.75774756411058941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spans="1:26" ht="14.4">
      <c r="A81" s="26">
        <v>21002</v>
      </c>
      <c r="B81" s="27" t="s">
        <v>116</v>
      </c>
      <c r="C81" s="28"/>
      <c r="D81" s="28">
        <v>0.75784910553075713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spans="1:26" ht="14.4">
      <c r="A82" s="26">
        <v>21003</v>
      </c>
      <c r="B82" s="27" t="s">
        <v>117</v>
      </c>
      <c r="C82" s="28">
        <v>0.71294118081409608</v>
      </c>
      <c r="D82" s="28">
        <v>0.24922904546386668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spans="1:26" ht="14.4">
      <c r="A83" s="26">
        <v>21004</v>
      </c>
      <c r="B83" s="27" t="s">
        <v>118</v>
      </c>
      <c r="C83" s="28">
        <v>1.675776384670671</v>
      </c>
      <c r="D83" s="28">
        <v>1.5607043563403982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spans="1:26" ht="14.4">
      <c r="A84" s="26">
        <v>21005</v>
      </c>
      <c r="B84" s="27" t="s">
        <v>119</v>
      </c>
      <c r="C84" s="28">
        <v>0.87004102775746917</v>
      </c>
      <c r="D84" s="28">
        <v>1.1984713307424824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spans="1:26" ht="14.4">
      <c r="A85" s="26">
        <v>21006</v>
      </c>
      <c r="B85" s="27" t="s">
        <v>120</v>
      </c>
      <c r="C85" s="28"/>
      <c r="D85" s="28">
        <v>1.7090909160365741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spans="1:26" ht="14.4">
      <c r="A86" s="26">
        <v>21101</v>
      </c>
      <c r="B86" s="27" t="s">
        <v>121</v>
      </c>
      <c r="C86" s="28">
        <v>0.80519481596164166</v>
      </c>
      <c r="D86" s="28">
        <v>0.44245737382815409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spans="1:26" ht="14.4">
      <c r="A87" s="26">
        <v>21102</v>
      </c>
      <c r="B87" s="27" t="s">
        <v>122</v>
      </c>
      <c r="C87" s="28">
        <v>1.339743574103984</v>
      </c>
      <c r="D87" s="28">
        <v>0.97970872482032756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spans="1:26" ht="14.4">
      <c r="A88" s="26">
        <v>21103</v>
      </c>
      <c r="B88" s="27" t="s">
        <v>123</v>
      </c>
      <c r="C88" s="28">
        <v>0.90507519574861883</v>
      </c>
      <c r="D88" s="28">
        <v>1.7984737086906886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spans="1:26" ht="14.4">
      <c r="A89" s="26">
        <v>21104</v>
      </c>
      <c r="B89" s="27" t="s">
        <v>124</v>
      </c>
      <c r="C89" s="28">
        <v>1.035552007139585</v>
      </c>
      <c r="D89" s="28">
        <v>0.70346403237471633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spans="1:26" ht="14.4">
      <c r="A90" s="26">
        <v>21105</v>
      </c>
      <c r="B90" s="27" t="s">
        <v>125</v>
      </c>
      <c r="C90" s="28">
        <v>0.77331927072106132</v>
      </c>
      <c r="D90" s="28">
        <v>1.1119977735766149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spans="1:26" ht="14.4">
      <c r="A91" s="26">
        <v>21201</v>
      </c>
      <c r="B91" s="27" t="s">
        <v>126</v>
      </c>
      <c r="C91" s="28">
        <v>2.2401433539540117</v>
      </c>
      <c r="D91" s="28">
        <v>1.4676073325900045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spans="1:26" ht="14.4">
      <c r="A92" s="26">
        <v>21202</v>
      </c>
      <c r="B92" s="27" t="s">
        <v>127</v>
      </c>
      <c r="C92" s="28">
        <v>0.62499999661500083</v>
      </c>
      <c r="D92" s="28">
        <v>2.0529437566954716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spans="1:26" ht="14.4">
      <c r="A93" s="26">
        <v>21203</v>
      </c>
      <c r="B93" s="27" t="s">
        <v>128</v>
      </c>
      <c r="C93" s="28">
        <v>0.64381271478298407</v>
      </c>
      <c r="D93" s="28">
        <v>1.0108859334676217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spans="1:26" ht="14.4">
      <c r="A94" s="26">
        <v>21204</v>
      </c>
      <c r="B94" s="27" t="s">
        <v>129</v>
      </c>
      <c r="C94" s="28">
        <v>0.83644860972450152</v>
      </c>
      <c r="D94" s="28">
        <v>1.3982899081102012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spans="1:26" ht="14.4">
      <c r="A95" s="26">
        <v>21301</v>
      </c>
      <c r="B95" s="27" t="s">
        <v>130</v>
      </c>
      <c r="C95" s="28">
        <v>1.0032831754569911</v>
      </c>
      <c r="D95" s="28">
        <v>0.71292114605909473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spans="1:26" ht="14.4">
      <c r="A96" s="26">
        <v>21302</v>
      </c>
      <c r="B96" s="27" t="s">
        <v>131</v>
      </c>
      <c r="C96" s="28">
        <v>0.55095238231629329</v>
      </c>
      <c r="D96" s="28">
        <v>1.5285968505179828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spans="1:26" ht="14.4">
      <c r="A97" s="26">
        <v>21303</v>
      </c>
      <c r="B97" s="27" t="s">
        <v>132</v>
      </c>
      <c r="C97" s="28">
        <v>1.1217391150412359</v>
      </c>
      <c r="D97" s="28">
        <v>0.77713178229435209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spans="1:26" ht="14.4">
      <c r="A98" s="26">
        <v>21304</v>
      </c>
      <c r="B98" s="27" t="s">
        <v>133</v>
      </c>
      <c r="C98" s="28">
        <v>1.4197530820045945</v>
      </c>
      <c r="D98" s="28">
        <v>1.6373814337477626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spans="1:26" ht="14.4">
      <c r="A99" s="26">
        <v>21305</v>
      </c>
      <c r="B99" s="27" t="s">
        <v>134</v>
      </c>
      <c r="C99" s="28">
        <v>2.1851369252464088</v>
      </c>
      <c r="D99" s="28">
        <v>1.8952208059044431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spans="1:26" ht="14.4">
      <c r="A100" s="26">
        <v>21306</v>
      </c>
      <c r="B100" s="27" t="s">
        <v>135</v>
      </c>
      <c r="C100" s="28"/>
      <c r="D100" s="28">
        <v>1.0549813959775387</v>
      </c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spans="1:26" ht="14.4">
      <c r="A101" s="26">
        <v>21307</v>
      </c>
      <c r="B101" s="27" t="s">
        <v>136</v>
      </c>
      <c r="C101" s="28">
        <v>0.58498024100928347</v>
      </c>
      <c r="D101" s="28">
        <v>2.9999999850988388</v>
      </c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spans="1:26" ht="14.4">
      <c r="A102" s="26">
        <v>21401</v>
      </c>
      <c r="B102" s="27" t="s">
        <v>137</v>
      </c>
      <c r="C102" s="28">
        <v>1.4469696874871403</v>
      </c>
      <c r="D102" s="28">
        <v>0.66616600092261613</v>
      </c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spans="1:26" ht="14.4">
      <c r="A103" s="26">
        <v>21402</v>
      </c>
      <c r="B103" s="27" t="s">
        <v>138</v>
      </c>
      <c r="C103" s="28">
        <v>0.83193278035410601</v>
      </c>
      <c r="D103" s="28">
        <v>0.90042138425519702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spans="1:26" ht="14.4">
      <c r="A104" s="26">
        <v>21501</v>
      </c>
      <c r="B104" s="27" t="s">
        <v>139</v>
      </c>
      <c r="C104" s="28">
        <v>1.1818840516218245</v>
      </c>
      <c r="D104" s="28">
        <v>0.97512451529849431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spans="1:26" ht="14.4">
      <c r="A105" s="26">
        <v>21502</v>
      </c>
      <c r="B105" s="27" t="s">
        <v>140</v>
      </c>
      <c r="C105" s="28">
        <v>1.16544565916862</v>
      </c>
      <c r="D105" s="28">
        <v>0.51765844425343677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spans="1:26" ht="14.4">
      <c r="A106" s="26">
        <v>21601</v>
      </c>
      <c r="B106" s="27" t="s">
        <v>141</v>
      </c>
      <c r="C106" s="28">
        <v>0.74999999627470981</v>
      </c>
      <c r="D106" s="28">
        <v>0.69732866913828806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spans="1:26" ht="14.4">
      <c r="A107" s="26">
        <v>21602</v>
      </c>
      <c r="B107" s="27" t="s">
        <v>142</v>
      </c>
      <c r="C107" s="28"/>
      <c r="D107" s="28">
        <v>0.8958138789496225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spans="1:26" ht="14.4">
      <c r="A108" s="26">
        <v>21701</v>
      </c>
      <c r="B108" s="27" t="s">
        <v>143</v>
      </c>
      <c r="C108" s="28">
        <v>0.82026897335636151</v>
      </c>
      <c r="D108" s="28">
        <v>1.3314883751893811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spans="1:26" ht="14.4">
      <c r="A109" s="26">
        <v>21702</v>
      </c>
      <c r="B109" s="27" t="s">
        <v>144</v>
      </c>
      <c r="C109" s="28">
        <v>1.3188976494551405</v>
      </c>
      <c r="D109" s="28">
        <v>1.7982564090086803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spans="1:26" ht="14.4">
      <c r="A110" s="26">
        <v>21703</v>
      </c>
      <c r="B110" s="27" t="s">
        <v>145</v>
      </c>
      <c r="C110" s="28"/>
      <c r="D110" s="28">
        <v>1.2749409704157117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14.4">
      <c r="A111" s="26">
        <v>21801</v>
      </c>
      <c r="B111" s="27" t="s">
        <v>146</v>
      </c>
      <c r="C111" s="28">
        <v>0.60714286480631141</v>
      </c>
      <c r="D111" s="28">
        <v>1.7154676298201392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14.4">
      <c r="A112" s="26">
        <v>21802</v>
      </c>
      <c r="B112" s="27" t="s">
        <v>147</v>
      </c>
      <c r="C112" s="28">
        <v>0.57004830356381375</v>
      </c>
      <c r="D112" s="28">
        <v>1.0255434736587454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14.4">
      <c r="A113" s="26">
        <v>21803</v>
      </c>
      <c r="B113" s="27" t="s">
        <v>148</v>
      </c>
      <c r="C113" s="28"/>
      <c r="D113" s="28">
        <v>0.61602564136730964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14.4">
      <c r="A114" s="26">
        <v>21901</v>
      </c>
      <c r="B114" s="27" t="s">
        <v>149</v>
      </c>
      <c r="C114" s="28">
        <v>4.4444444965985088</v>
      </c>
      <c r="D114" s="28">
        <v>2.3799242389360158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14.4">
      <c r="A115" s="26">
        <v>21902</v>
      </c>
      <c r="B115" s="27" t="s">
        <v>150</v>
      </c>
      <c r="C115" s="28"/>
      <c r="D115" s="28">
        <v>0.6048048030402926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14.4">
      <c r="A116" s="26">
        <v>22001</v>
      </c>
      <c r="B116" s="27" t="s">
        <v>151</v>
      </c>
      <c r="C116" s="28">
        <v>1.1142205646643057</v>
      </c>
      <c r="D116" s="28">
        <v>1.8395230497705553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14.4">
      <c r="A117" s="26">
        <v>22002</v>
      </c>
      <c r="B117" s="27" t="s">
        <v>152</v>
      </c>
      <c r="C117" s="28"/>
      <c r="D117" s="28">
        <v>1.180937434715345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14.4">
      <c r="A118" s="26">
        <v>30101</v>
      </c>
      <c r="B118" s="27" t="s">
        <v>153</v>
      </c>
      <c r="C118" s="28">
        <v>0.50696398560230282</v>
      </c>
      <c r="D118" s="28">
        <v>1.3758321347159457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14.4">
      <c r="A119" s="26">
        <v>30201</v>
      </c>
      <c r="B119" s="27" t="s">
        <v>154</v>
      </c>
      <c r="C119" s="28">
        <v>1.3226720342848479</v>
      </c>
      <c r="D119" s="28">
        <v>1.4555256111306809</v>
      </c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14.4">
      <c r="A120" s="26">
        <v>30202</v>
      </c>
      <c r="B120" s="27" t="s">
        <v>155</v>
      </c>
      <c r="C120" s="28">
        <v>0.7404844328327379</v>
      </c>
      <c r="D120" s="28">
        <v>0.88423032212230812</v>
      </c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14.4">
      <c r="A121" s="26">
        <v>30203</v>
      </c>
      <c r="B121" s="27" t="s">
        <v>156</v>
      </c>
      <c r="C121" s="28"/>
      <c r="D121" s="28">
        <v>0.56927298422067574</v>
      </c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14.4">
      <c r="A122" s="26">
        <v>30301</v>
      </c>
      <c r="B122" s="27" t="s">
        <v>157</v>
      </c>
      <c r="C122" s="28">
        <v>1.0026529407507729</v>
      </c>
      <c r="D122" s="28">
        <v>1.1727536859997194</v>
      </c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14.4">
      <c r="A123" s="26">
        <v>30302</v>
      </c>
      <c r="B123" s="27" t="s">
        <v>158</v>
      </c>
      <c r="C123" s="28">
        <v>0.54624978928276302</v>
      </c>
      <c r="D123" s="28">
        <v>1.5309727119420653</v>
      </c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14.4">
      <c r="A124" s="26">
        <v>30303</v>
      </c>
      <c r="B124" s="27" t="s">
        <v>159</v>
      </c>
      <c r="C124" s="28">
        <v>1.0301886826287703</v>
      </c>
      <c r="D124" s="28">
        <v>0.86142712804742594</v>
      </c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14.4">
      <c r="A125" s="26">
        <v>30401</v>
      </c>
      <c r="B125" s="27" t="s">
        <v>160</v>
      </c>
      <c r="C125" s="28">
        <v>1.2000000281631942</v>
      </c>
      <c r="D125" s="28">
        <v>0.18406148906626379</v>
      </c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14.4">
      <c r="A126" s="26">
        <v>30402</v>
      </c>
      <c r="B126" s="27" t="s">
        <v>161</v>
      </c>
      <c r="C126" s="28">
        <v>1.0227272885766892</v>
      </c>
      <c r="D126" s="28">
        <v>1.0871020434364307</v>
      </c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14.4">
      <c r="A127" s="26">
        <v>30403</v>
      </c>
      <c r="B127" s="27" t="s">
        <v>162</v>
      </c>
      <c r="C127" s="28">
        <v>0.78465633539366852</v>
      </c>
      <c r="D127" s="28">
        <v>1.2863503401013623</v>
      </c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14.4">
      <c r="A128" s="26">
        <v>30404</v>
      </c>
      <c r="B128" s="27" t="s">
        <v>163</v>
      </c>
      <c r="C128" s="28">
        <v>0.43404255981140943</v>
      </c>
      <c r="D128" s="28">
        <v>1.8143382331623881</v>
      </c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14.4">
      <c r="A129" s="26">
        <v>30501</v>
      </c>
      <c r="B129" s="27" t="s">
        <v>164</v>
      </c>
      <c r="C129" s="28"/>
      <c r="D129" s="28">
        <v>1.9272445806918996</v>
      </c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14.4">
      <c r="A130" s="26">
        <v>30502</v>
      </c>
      <c r="B130" s="27" t="s">
        <v>165</v>
      </c>
      <c r="C130" s="28">
        <v>1.0114942690607061</v>
      </c>
      <c r="D130" s="28">
        <v>0.88842790567187468</v>
      </c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14.4">
      <c r="A131" s="26">
        <v>30601</v>
      </c>
      <c r="B131" s="27" t="s">
        <v>166</v>
      </c>
      <c r="C131" s="28">
        <v>0.61933797616520869</v>
      </c>
      <c r="D131" s="28">
        <v>0.66780045519734399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14.4">
      <c r="A132" s="26">
        <v>30602</v>
      </c>
      <c r="B132" s="27" t="s">
        <v>167</v>
      </c>
      <c r="C132" s="28">
        <v>1.5812499982188457</v>
      </c>
      <c r="D132" s="28">
        <v>1.2702871417925736</v>
      </c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14.4">
      <c r="A133" s="26">
        <v>30701</v>
      </c>
      <c r="B133" s="27" t="s">
        <v>168</v>
      </c>
      <c r="C133" s="28">
        <v>1.727370696609984</v>
      </c>
      <c r="D133" s="28">
        <v>1.6291258778225961</v>
      </c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14.4">
      <c r="A134" s="26">
        <v>30702</v>
      </c>
      <c r="B134" s="27" t="s">
        <v>169</v>
      </c>
      <c r="C134" s="28">
        <v>2.5471311029520085</v>
      </c>
      <c r="D134" s="28">
        <v>2.1170809899808316</v>
      </c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14.4">
      <c r="A135" s="26">
        <v>30703</v>
      </c>
      <c r="B135" s="27" t="s">
        <v>170</v>
      </c>
      <c r="C135" s="28">
        <v>0.5</v>
      </c>
      <c r="D135" s="28">
        <v>0.56962025258436433</v>
      </c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14.4">
      <c r="A136" s="26">
        <v>30801</v>
      </c>
      <c r="B136" s="27" t="s">
        <v>171</v>
      </c>
      <c r="C136" s="28">
        <v>0.41741071442291805</v>
      </c>
      <c r="D136" s="28">
        <v>0.57623132461570392</v>
      </c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14.4">
      <c r="A137" s="26">
        <v>30802</v>
      </c>
      <c r="B137" s="27" t="s">
        <v>172</v>
      </c>
      <c r="C137" s="28"/>
      <c r="D137" s="28">
        <v>1.0771605075176698</v>
      </c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14.4">
      <c r="A138" s="26">
        <v>30803</v>
      </c>
      <c r="B138" s="27" t="s">
        <v>173</v>
      </c>
      <c r="C138" s="28"/>
      <c r="D138" s="28">
        <v>1.2621174353972027</v>
      </c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14.4">
      <c r="A139" s="26">
        <v>30901</v>
      </c>
      <c r="B139" s="27" t="s">
        <v>174</v>
      </c>
      <c r="C139" s="28">
        <v>1.1304862303331851</v>
      </c>
      <c r="D139" s="28">
        <v>1.9469625524939236</v>
      </c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14.4">
      <c r="A140" s="26">
        <v>30902</v>
      </c>
      <c r="B140" s="27" t="s">
        <v>175</v>
      </c>
      <c r="C140" s="28">
        <v>1.1285321938216044</v>
      </c>
      <c r="D140" s="28">
        <v>1.0947196321576649</v>
      </c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14.4">
      <c r="A141" s="26">
        <v>30903</v>
      </c>
      <c r="B141" s="27" t="s">
        <v>176</v>
      </c>
      <c r="C141" s="28">
        <v>0.80350602205756105</v>
      </c>
      <c r="D141" s="28">
        <v>1.6399722448058331</v>
      </c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spans="1:26" ht="14.4">
      <c r="A142" s="26">
        <v>30904</v>
      </c>
      <c r="B142" s="27" t="s">
        <v>177</v>
      </c>
      <c r="C142" s="28">
        <v>1.0673105049453238</v>
      </c>
      <c r="D142" s="28">
        <v>1.5907087601187726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spans="1:26" ht="14.4">
      <c r="A143" s="26">
        <v>30905</v>
      </c>
      <c r="B143" s="27" t="s">
        <v>178</v>
      </c>
      <c r="C143" s="28">
        <v>0.69509346182806242</v>
      </c>
      <c r="D143" s="28">
        <v>1.4208470642449902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spans="1:26" ht="14.4">
      <c r="A144" s="26">
        <v>31001</v>
      </c>
      <c r="B144" s="27" t="s">
        <v>179</v>
      </c>
      <c r="C144" s="28">
        <v>0.71976456562990565</v>
      </c>
      <c r="D144" s="28">
        <v>2.6878248634247308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spans="1:26" ht="14.4">
      <c r="A145" s="26">
        <v>31002</v>
      </c>
      <c r="B145" s="27" t="s">
        <v>180</v>
      </c>
      <c r="C145" s="28">
        <v>0.88294313525442392</v>
      </c>
      <c r="D145" s="28">
        <v>1.355353428472976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spans="1:26" ht="14.4">
      <c r="A146" s="26">
        <v>31003</v>
      </c>
      <c r="B146" s="27" t="s">
        <v>181</v>
      </c>
      <c r="C146" s="28">
        <v>0.89710299764617851</v>
      </c>
      <c r="D146" s="28">
        <v>1.2145876654168779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spans="1:26" ht="14.4">
      <c r="A147" s="26">
        <v>31101</v>
      </c>
      <c r="B147" s="27" t="s">
        <v>182</v>
      </c>
      <c r="C147" s="28">
        <v>0.74413821271123981</v>
      </c>
      <c r="D147" s="28">
        <v>1.6243747123921366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spans="1:26" ht="14.4">
      <c r="A148" s="26">
        <v>31201</v>
      </c>
      <c r="B148" s="27" t="s">
        <v>183</v>
      </c>
      <c r="C148" s="28">
        <v>0.73160534751407469</v>
      </c>
      <c r="D148" s="28">
        <v>0.97053901380471075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spans="1:26" ht="14.4">
      <c r="A149" s="26">
        <v>31202</v>
      </c>
      <c r="B149" s="27" t="s">
        <v>184</v>
      </c>
      <c r="C149" s="28">
        <v>0.55384615105284751</v>
      </c>
      <c r="D149" s="28">
        <v>0.73641936264568542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spans="1:26" ht="14.4">
      <c r="A150" s="26">
        <v>31203</v>
      </c>
      <c r="B150" s="27" t="s">
        <v>185</v>
      </c>
      <c r="C150" s="28"/>
      <c r="D150" s="28">
        <v>0.9394975424646328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spans="1:26" ht="14.4">
      <c r="A151" s="26">
        <v>31204</v>
      </c>
      <c r="B151" s="27" t="s">
        <v>186</v>
      </c>
      <c r="C151" s="28">
        <v>0.58346154056577637</v>
      </c>
      <c r="D151" s="28">
        <v>0.78184720547375486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spans="1:26" ht="14.4">
      <c r="A152" s="26">
        <v>31205</v>
      </c>
      <c r="B152" s="27" t="s">
        <v>187</v>
      </c>
      <c r="C152" s="28">
        <v>0.87543955491099734</v>
      </c>
      <c r="D152" s="28">
        <v>1.0072719303652384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spans="1:26" ht="14.4">
      <c r="A153" s="26">
        <v>31206</v>
      </c>
      <c r="B153" s="27" t="s">
        <v>188</v>
      </c>
      <c r="C153" s="28">
        <v>0.71689785464104383</v>
      </c>
      <c r="D153" s="28">
        <v>1.2043915340651581</v>
      </c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spans="1:26" ht="14.4">
      <c r="A154" s="26">
        <v>31301</v>
      </c>
      <c r="B154" s="27" t="s">
        <v>189</v>
      </c>
      <c r="C154" s="28">
        <v>1.8906249818392105</v>
      </c>
      <c r="D154" s="28">
        <v>1.5644858712658738</v>
      </c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spans="1:26" ht="14.4">
      <c r="A155" s="26">
        <v>31302</v>
      </c>
      <c r="B155" s="27" t="s">
        <v>190</v>
      </c>
      <c r="C155" s="28">
        <v>1.1999999738776177</v>
      </c>
      <c r="D155" s="28">
        <v>1.1205305589946961</v>
      </c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spans="1:26" ht="14.4">
      <c r="A156" s="26">
        <v>31303</v>
      </c>
      <c r="B156" s="27" t="s">
        <v>191</v>
      </c>
      <c r="C156" s="28">
        <v>0.84412956154725127</v>
      </c>
      <c r="D156" s="28">
        <v>1.3423459438727734</v>
      </c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spans="1:26" ht="14.4">
      <c r="A157" s="29">
        <v>31304</v>
      </c>
      <c r="B157" s="27" t="s">
        <v>192</v>
      </c>
      <c r="C157" s="28">
        <v>1.8906249818392105</v>
      </c>
      <c r="D157" s="28">
        <v>0.71505548816416009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spans="1:26" ht="14.4">
      <c r="A158" s="26">
        <v>31401</v>
      </c>
      <c r="B158" s="27" t="s">
        <v>193</v>
      </c>
      <c r="C158" s="28">
        <v>1.0411622387362531</v>
      </c>
      <c r="D158" s="28">
        <v>0.97734139707392875</v>
      </c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spans="1:26" ht="14.4">
      <c r="A159" s="26">
        <v>31402</v>
      </c>
      <c r="B159" s="27" t="s">
        <v>194</v>
      </c>
      <c r="C159" s="28">
        <v>0.68998015947141544</v>
      </c>
      <c r="D159" s="28">
        <v>1.8666666714808875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spans="1:26" ht="14.4">
      <c r="A160" s="26">
        <v>31403</v>
      </c>
      <c r="B160" s="27" t="s">
        <v>195</v>
      </c>
      <c r="C160" s="28">
        <v>0.34693878235257397</v>
      </c>
      <c r="D160" s="28">
        <v>0.96378109244299315</v>
      </c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spans="1:26" ht="14.4">
      <c r="A161" s="26">
        <v>31404</v>
      </c>
      <c r="B161" s="27" t="s">
        <v>196</v>
      </c>
      <c r="C161" s="28"/>
      <c r="D161" s="28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spans="1:26" ht="14.4">
      <c r="A162" s="26">
        <v>31405</v>
      </c>
      <c r="B162" s="27" t="s">
        <v>197</v>
      </c>
      <c r="C162" s="28">
        <v>0.32795698876662921</v>
      </c>
      <c r="D162" s="28">
        <v>1.3903743242487263</v>
      </c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spans="1:26" ht="14.4">
      <c r="A163" s="26">
        <v>31501</v>
      </c>
      <c r="B163" s="27" t="s">
        <v>198</v>
      </c>
      <c r="C163" s="28">
        <v>1.0816326418397382</v>
      </c>
      <c r="D163" s="28">
        <v>0.75750603511370973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spans="1:26" ht="14.4">
      <c r="A164" s="26">
        <v>31601</v>
      </c>
      <c r="B164" s="27" t="s">
        <v>199</v>
      </c>
      <c r="C164" s="28">
        <v>1.1501976429152478</v>
      </c>
      <c r="D164" s="28">
        <v>0.55158091853518243</v>
      </c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spans="1:26" ht="14.4">
      <c r="A165" s="26">
        <v>31602</v>
      </c>
      <c r="B165" s="27" t="s">
        <v>200</v>
      </c>
      <c r="C165" s="28">
        <v>0.94610779023007652</v>
      </c>
      <c r="D165" s="28">
        <v>1.0624200004438378</v>
      </c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spans="1:26" ht="14.4">
      <c r="A166" s="26">
        <v>40101</v>
      </c>
      <c r="B166" s="27" t="s">
        <v>201</v>
      </c>
      <c r="C166" s="28">
        <v>0.63263059774521357</v>
      </c>
      <c r="D166" s="28">
        <v>1.9328923165417389</v>
      </c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spans="1:26" ht="14.4">
      <c r="A167" s="26">
        <v>40102</v>
      </c>
      <c r="B167" s="27" t="s">
        <v>202</v>
      </c>
      <c r="C167" s="28">
        <v>0.65102655705531232</v>
      </c>
      <c r="D167" s="28">
        <v>0.981842275360581</v>
      </c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spans="1:26" ht="14.4">
      <c r="A168" s="26">
        <v>40103</v>
      </c>
      <c r="B168" s="27" t="s">
        <v>203</v>
      </c>
      <c r="C168" s="28">
        <v>1.2934220306260411</v>
      </c>
      <c r="D168" s="28">
        <v>1.4757871185445959</v>
      </c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spans="1:26" ht="14.4">
      <c r="A169" s="26">
        <v>40104</v>
      </c>
      <c r="B169" s="27" t="s">
        <v>204</v>
      </c>
      <c r="C169" s="28">
        <v>7.138067028167451</v>
      </c>
      <c r="D169" s="28">
        <v>1.7200179464545531</v>
      </c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spans="1:26" ht="14.4">
      <c r="A170" s="26">
        <v>40201</v>
      </c>
      <c r="B170" s="27" t="s">
        <v>205</v>
      </c>
      <c r="C170" s="28">
        <v>0.7439928043651608</v>
      </c>
      <c r="D170" s="28">
        <v>2.0379650715268851</v>
      </c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spans="1:26" ht="14.4">
      <c r="A171" s="26">
        <v>40202</v>
      </c>
      <c r="B171" s="27" t="s">
        <v>206</v>
      </c>
      <c r="C171" s="28">
        <v>0.67867147343628387</v>
      </c>
      <c r="D171" s="28">
        <v>0.98592127836952748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spans="1:26" ht="14.4">
      <c r="A172" s="26">
        <v>40301</v>
      </c>
      <c r="B172" s="27" t="s">
        <v>207</v>
      </c>
      <c r="C172" s="28">
        <v>2.526595790692149</v>
      </c>
      <c r="D172" s="28">
        <v>1.3484313787331372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spans="1:26" ht="14.4">
      <c r="A173" s="26">
        <v>40302</v>
      </c>
      <c r="B173" s="27" t="s">
        <v>208</v>
      </c>
      <c r="C173" s="28"/>
      <c r="D173" s="28">
        <v>0.72212655514739466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spans="1:26" ht="14.4">
      <c r="A174" s="26">
        <v>40401</v>
      </c>
      <c r="B174" s="27" t="s">
        <v>209</v>
      </c>
      <c r="C174" s="28">
        <v>0.65555556524131031</v>
      </c>
      <c r="D174" s="28">
        <v>0.66018518590448816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spans="1:26" ht="14.4">
      <c r="A175" s="26">
        <v>40402</v>
      </c>
      <c r="B175" s="27" t="s">
        <v>210</v>
      </c>
      <c r="C175" s="28">
        <v>0.55851063943275281</v>
      </c>
      <c r="D175" s="28">
        <v>1.2770097243731506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spans="1:26" ht="14.4">
      <c r="A176" s="26">
        <v>40501</v>
      </c>
      <c r="B176" s="27" t="s">
        <v>211</v>
      </c>
      <c r="C176" s="28"/>
      <c r="D176" s="28">
        <v>10.494623421340867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spans="1:26" ht="14.4">
      <c r="A177" s="26">
        <v>40502</v>
      </c>
      <c r="B177" s="27" t="s">
        <v>212</v>
      </c>
      <c r="C177" s="28">
        <v>2.7438016469813578</v>
      </c>
      <c r="D177" s="28">
        <v>0.62796771806094021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spans="1:26" ht="14.4">
      <c r="A178" s="26">
        <v>40503</v>
      </c>
      <c r="B178" s="27" t="s">
        <v>213</v>
      </c>
      <c r="C178" s="28">
        <v>0.96875000506406639</v>
      </c>
      <c r="D178" s="28">
        <v>3.507692325613001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spans="1:26" ht="14.4">
      <c r="A179" s="26">
        <v>40504</v>
      </c>
      <c r="B179" s="27" t="s">
        <v>214</v>
      </c>
      <c r="C179" s="28"/>
      <c r="D179" s="28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spans="1:26" ht="14.4">
      <c r="A180" s="26">
        <v>40505</v>
      </c>
      <c r="B180" s="27" t="s">
        <v>215</v>
      </c>
      <c r="C180" s="28"/>
      <c r="D180" s="28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spans="1:26" ht="14.4">
      <c r="A181" s="26">
        <v>40601</v>
      </c>
      <c r="B181" s="27" t="s">
        <v>216</v>
      </c>
      <c r="C181" s="28">
        <v>1.1674008777340474</v>
      </c>
      <c r="D181" s="28">
        <v>1.9724927435497102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spans="1:26" ht="14.4">
      <c r="A182" s="26">
        <v>40602</v>
      </c>
      <c r="B182" s="27" t="s">
        <v>217</v>
      </c>
      <c r="C182" s="28">
        <v>0.82361015532488502</v>
      </c>
      <c r="D182" s="28">
        <v>1.6248710082306583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spans="1:26" ht="14.4">
      <c r="A183" s="26">
        <v>40603</v>
      </c>
      <c r="B183" s="27" t="s">
        <v>218</v>
      </c>
      <c r="C183" s="28">
        <v>0.72510822614494785</v>
      </c>
      <c r="D183" s="28">
        <v>2.5143008378918394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spans="1:26" ht="14.4">
      <c r="A184" s="26">
        <v>40701</v>
      </c>
      <c r="B184" s="27" t="s">
        <v>219</v>
      </c>
      <c r="C184" s="28">
        <v>1.2410714316504952</v>
      </c>
      <c r="D184" s="28">
        <v>0.68750000153668223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spans="1:26" ht="14.4">
      <c r="A185" s="26">
        <v>40702</v>
      </c>
      <c r="B185" s="27" t="s">
        <v>220</v>
      </c>
      <c r="C185" s="28"/>
      <c r="D185" s="28">
        <v>0.69165086186909219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spans="1:26" ht="14.4">
      <c r="A186" s="26">
        <v>40801</v>
      </c>
      <c r="B186" s="27" t="s">
        <v>221</v>
      </c>
      <c r="C186" s="28">
        <v>0.62372479421038773</v>
      </c>
      <c r="D186" s="28">
        <v>0.89882285687257457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spans="1:26" ht="14.4">
      <c r="A187" s="26">
        <v>40802</v>
      </c>
      <c r="B187" s="27" t="s">
        <v>222</v>
      </c>
      <c r="C187" s="28">
        <v>0.36206897361011336</v>
      </c>
      <c r="D187" s="28">
        <v>0.91124999729225076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spans="1:26" ht="14.4">
      <c r="A188" s="26">
        <v>40901</v>
      </c>
      <c r="B188" s="27" t="s">
        <v>223</v>
      </c>
      <c r="C188" s="28">
        <v>3.5401916155967195</v>
      </c>
      <c r="D188" s="28">
        <v>1.0629509340363674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spans="1:26" ht="14.4">
      <c r="A189" s="26">
        <v>40902</v>
      </c>
      <c r="B189" s="27" t="s">
        <v>224</v>
      </c>
      <c r="C189" s="28"/>
      <c r="D189" s="28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spans="1:26" ht="14.4">
      <c r="A190" s="26">
        <v>40903</v>
      </c>
      <c r="B190" s="27" t="s">
        <v>225</v>
      </c>
      <c r="C190" s="28">
        <v>0.46666665236155253</v>
      </c>
      <c r="D190" s="28">
        <v>0.58333333333333337</v>
      </c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spans="1:26" ht="14.4">
      <c r="A191" s="26">
        <v>41001</v>
      </c>
      <c r="B191" s="27" t="s">
        <v>226</v>
      </c>
      <c r="C191" s="28">
        <v>1.5784361264092794</v>
      </c>
      <c r="D191" s="28">
        <v>1.1719838838618559</v>
      </c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spans="1:26" ht="14.4">
      <c r="A192" s="26">
        <v>41101</v>
      </c>
      <c r="B192" s="27" t="s">
        <v>227</v>
      </c>
      <c r="C192" s="28">
        <v>0.72453450725145763</v>
      </c>
      <c r="D192" s="28">
        <v>1.277570247743556</v>
      </c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spans="1:26" ht="14.4">
      <c r="A193" s="26">
        <v>41201</v>
      </c>
      <c r="B193" s="27" t="s">
        <v>228</v>
      </c>
      <c r="C193" s="28">
        <v>1.0748031638621345</v>
      </c>
      <c r="D193" s="28">
        <v>1.0096547093878514</v>
      </c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spans="1:26" ht="14.4">
      <c r="A194" s="26">
        <v>41202</v>
      </c>
      <c r="B194" s="27" t="s">
        <v>229</v>
      </c>
      <c r="C194" s="28">
        <v>0.3323529353584439</v>
      </c>
      <c r="D194" s="28">
        <v>0.37731958762886603</v>
      </c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spans="1:26" ht="14.4">
      <c r="A195" s="26">
        <v>41301</v>
      </c>
      <c r="B195" s="27" t="s">
        <v>230</v>
      </c>
      <c r="C195" s="28">
        <v>0.45833333948006227</v>
      </c>
      <c r="D195" s="28">
        <v>1.2748695392017193</v>
      </c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spans="1:26" ht="14.4">
      <c r="A196" s="26">
        <v>41401</v>
      </c>
      <c r="B196" s="27" t="s">
        <v>231</v>
      </c>
      <c r="C196" s="28">
        <v>2.3457665144039437</v>
      </c>
      <c r="D196" s="28">
        <v>1.2453703729192531</v>
      </c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spans="1:26" ht="14.4">
      <c r="A197" s="26">
        <v>41501</v>
      </c>
      <c r="B197" s="27" t="s">
        <v>232</v>
      </c>
      <c r="C197" s="28"/>
      <c r="D197" s="28">
        <v>0.60526316074288111</v>
      </c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spans="1:26" ht="14.4">
      <c r="A198" s="26">
        <v>41502</v>
      </c>
      <c r="B198" s="27" t="s">
        <v>233</v>
      </c>
      <c r="C198" s="28"/>
      <c r="D198" s="28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spans="1:26" ht="14.4">
      <c r="A199" s="26">
        <v>41503</v>
      </c>
      <c r="B199" s="27" t="s">
        <v>234</v>
      </c>
      <c r="C199" s="28"/>
      <c r="D199" s="28">
        <v>0.14705882507624507</v>
      </c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spans="1:26" ht="14.4">
      <c r="A200" s="26">
        <v>41601</v>
      </c>
      <c r="B200" s="27" t="s">
        <v>235</v>
      </c>
      <c r="C200" s="28">
        <v>1.9111110986225193</v>
      </c>
      <c r="D200" s="28">
        <v>0.82390998503215096</v>
      </c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spans="1:26" ht="14.4">
      <c r="A201" s="26">
        <v>50101</v>
      </c>
      <c r="B201" s="27" t="s">
        <v>236</v>
      </c>
      <c r="C201" s="28">
        <v>0.78886958749202996</v>
      </c>
      <c r="D201" s="28">
        <v>1.7644188153068796</v>
      </c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spans="1:26" ht="14.4">
      <c r="A202" s="26">
        <v>50102</v>
      </c>
      <c r="B202" s="27" t="s">
        <v>237</v>
      </c>
      <c r="C202" s="28">
        <v>1.0238835407688116</v>
      </c>
      <c r="D202" s="28">
        <v>0.94220713125899014</v>
      </c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spans="1:26" ht="14.4">
      <c r="A203" s="26">
        <v>50103</v>
      </c>
      <c r="B203" s="27" t="s">
        <v>238</v>
      </c>
      <c r="C203" s="28">
        <v>0.47540984156190363</v>
      </c>
      <c r="D203" s="28">
        <v>0.80922873866065559</v>
      </c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spans="1:26" ht="14.4">
      <c r="A204" s="26">
        <v>50104</v>
      </c>
      <c r="B204" s="27" t="s">
        <v>239</v>
      </c>
      <c r="C204" s="28">
        <v>0.60869564439939439</v>
      </c>
      <c r="D204" s="28">
        <v>1.2000000021457673</v>
      </c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spans="1:26" ht="14.4">
      <c r="A205" s="26">
        <v>50201</v>
      </c>
      <c r="B205" s="27" t="s">
        <v>240</v>
      </c>
      <c r="C205" s="28">
        <v>1.3129770869517148</v>
      </c>
      <c r="D205" s="28">
        <v>1.5351791108185455</v>
      </c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spans="1:26" ht="14.4">
      <c r="A206" s="26">
        <v>50202</v>
      </c>
      <c r="B206" s="27" t="s">
        <v>241</v>
      </c>
      <c r="C206" s="28">
        <v>0.92738407821584345</v>
      </c>
      <c r="D206" s="28">
        <v>1.6006716513909907</v>
      </c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spans="1:26" ht="14.4">
      <c r="A207" s="26">
        <v>50203</v>
      </c>
      <c r="B207" s="27" t="s">
        <v>242</v>
      </c>
      <c r="C207" s="28">
        <v>0.76952041008056693</v>
      </c>
      <c r="D207" s="28">
        <v>2.7811759906276858</v>
      </c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spans="1:26" ht="14.4">
      <c r="A208" s="26">
        <v>50204</v>
      </c>
      <c r="B208" s="27" t="s">
        <v>243</v>
      </c>
      <c r="C208" s="28">
        <v>0.82727272459685175</v>
      </c>
      <c r="D208" s="28">
        <v>2.3556365393024805</v>
      </c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spans="1:26" ht="14.4">
      <c r="A209" s="26">
        <v>50301</v>
      </c>
      <c r="B209" s="27" t="s">
        <v>244</v>
      </c>
      <c r="C209" s="28">
        <v>1.1326976910115438</v>
      </c>
      <c r="D209" s="28">
        <v>1.2317026316832691</v>
      </c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spans="1:26" ht="14.4">
      <c r="A210" s="26">
        <v>50302</v>
      </c>
      <c r="B210" s="27" t="s">
        <v>245</v>
      </c>
      <c r="C210" s="28">
        <v>0.94622011861471733</v>
      </c>
      <c r="D210" s="28">
        <v>1.1133034248589835</v>
      </c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spans="1:26" ht="14.4">
      <c r="A211" s="26">
        <v>50303</v>
      </c>
      <c r="B211" s="27" t="s">
        <v>246</v>
      </c>
      <c r="C211" s="28">
        <v>1.0641723282037139</v>
      </c>
      <c r="D211" s="28">
        <v>1.223913981897742</v>
      </c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spans="1:26" ht="14.4">
      <c r="A212" s="26">
        <v>50401</v>
      </c>
      <c r="B212" s="27" t="s">
        <v>247</v>
      </c>
      <c r="C212" s="28">
        <v>0.92848295536055592</v>
      </c>
      <c r="D212" s="28">
        <v>2.5851670754097342</v>
      </c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spans="1:26" ht="14.4">
      <c r="A213" s="26">
        <v>50402</v>
      </c>
      <c r="B213" s="27" t="s">
        <v>248</v>
      </c>
      <c r="C213" s="28">
        <v>0.83406593189423917</v>
      </c>
      <c r="D213" s="28">
        <v>0.91164081517024287</v>
      </c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spans="1:26" ht="14.4">
      <c r="A214" s="26">
        <v>50403</v>
      </c>
      <c r="B214" s="27" t="s">
        <v>249</v>
      </c>
      <c r="C214" s="28">
        <v>0.84848484393080847</v>
      </c>
      <c r="D214" s="28">
        <v>1.0867139833687705</v>
      </c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spans="1:26" ht="14.4">
      <c r="A215" s="26">
        <v>50404</v>
      </c>
      <c r="B215" s="27" t="s">
        <v>250</v>
      </c>
      <c r="C215" s="28">
        <v>0.83088119213937983</v>
      </c>
      <c r="D215" s="28">
        <v>0.90558943266116776</v>
      </c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spans="1:26" ht="14.4">
      <c r="A216" s="29">
        <v>50405</v>
      </c>
      <c r="B216" s="27" t="s">
        <v>251</v>
      </c>
      <c r="C216" s="28">
        <v>0.92848295536055592</v>
      </c>
      <c r="D216" s="28">
        <v>1.1062139230441155</v>
      </c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spans="1:26" ht="14.4">
      <c r="A217" s="26">
        <v>50501</v>
      </c>
      <c r="B217" s="27" t="s">
        <v>252</v>
      </c>
      <c r="C217" s="28">
        <v>1.30002346111119</v>
      </c>
      <c r="D217" s="28">
        <v>1.0763694528821874</v>
      </c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spans="1:26" ht="14.4">
      <c r="A218" s="26">
        <v>50502</v>
      </c>
      <c r="B218" s="27" t="s">
        <v>253</v>
      </c>
      <c r="C218" s="28">
        <v>0.52580480107828398</v>
      </c>
      <c r="D218" s="28">
        <v>1.2106375369755296</v>
      </c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spans="1:26" ht="14.4">
      <c r="A219" s="26">
        <v>50601</v>
      </c>
      <c r="B219" s="27" t="s">
        <v>254</v>
      </c>
      <c r="C219" s="28">
        <v>0.8321678334929079</v>
      </c>
      <c r="D219" s="28">
        <v>2.3264036387368687</v>
      </c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spans="1:26" ht="14.4">
      <c r="A220" s="26">
        <v>50602</v>
      </c>
      <c r="B220" s="27" t="s">
        <v>255</v>
      </c>
      <c r="C220" s="28">
        <v>0.23839009508227327</v>
      </c>
      <c r="D220" s="28">
        <v>2.2426620859916673</v>
      </c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spans="1:26" ht="14.4">
      <c r="A221" s="26">
        <v>50701</v>
      </c>
      <c r="B221" s="27" t="s">
        <v>256</v>
      </c>
      <c r="C221" s="28">
        <v>0.99991034119065503</v>
      </c>
      <c r="D221" s="28">
        <v>1.1457408616423794</v>
      </c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spans="1:26" ht="14.4">
      <c r="A222" s="26">
        <v>50702</v>
      </c>
      <c r="B222" s="27" t="s">
        <v>257</v>
      </c>
      <c r="C222" s="28">
        <v>0.93221208958303248</v>
      </c>
      <c r="D222" s="28">
        <v>1.2441200348104007</v>
      </c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spans="1:26" ht="14.4">
      <c r="A223" s="26">
        <v>50801</v>
      </c>
      <c r="B223" s="27" t="s">
        <v>258</v>
      </c>
      <c r="C223" s="28">
        <v>0.96541495774542574</v>
      </c>
      <c r="D223" s="28">
        <v>3.0142107349295468</v>
      </c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spans="1:26" ht="14.4">
      <c r="A224" s="26">
        <v>50802</v>
      </c>
      <c r="B224" s="27" t="s">
        <v>259</v>
      </c>
      <c r="C224" s="28">
        <v>0.99358974894255192</v>
      </c>
      <c r="D224" s="28">
        <v>4.8076190332069455</v>
      </c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spans="1:26" ht="14.4">
      <c r="A225" s="26">
        <v>50901</v>
      </c>
      <c r="B225" s="27" t="s">
        <v>260</v>
      </c>
      <c r="C225" s="28">
        <v>0.90255950124102546</v>
      </c>
      <c r="D225" s="28">
        <v>1.167134161777019</v>
      </c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spans="1:26" ht="14.4">
      <c r="A226" s="26">
        <v>50902</v>
      </c>
      <c r="B226" s="27" t="s">
        <v>261</v>
      </c>
      <c r="C226" s="28">
        <v>1.2666666380564384</v>
      </c>
      <c r="D226" s="28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spans="1:26" ht="14.4">
      <c r="A227" s="26">
        <v>51001</v>
      </c>
      <c r="B227" s="27" t="s">
        <v>262</v>
      </c>
      <c r="C227" s="28">
        <v>0.71551726045536568</v>
      </c>
      <c r="D227" s="28">
        <v>0.52349206791679592</v>
      </c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spans="1:26" ht="14.4">
      <c r="A228" s="26">
        <v>51002</v>
      </c>
      <c r="B228" s="27" t="s">
        <v>263</v>
      </c>
      <c r="C228" s="28"/>
      <c r="D228" s="28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spans="1:26" ht="14.4">
      <c r="A229" s="26">
        <v>51003</v>
      </c>
      <c r="B229" s="27" t="s">
        <v>264</v>
      </c>
      <c r="C229" s="28">
        <v>0.90625000279396761</v>
      </c>
      <c r="D229" s="28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spans="1:26" ht="14.4">
      <c r="A230" s="26">
        <v>51101</v>
      </c>
      <c r="B230" s="27" t="s">
        <v>265</v>
      </c>
      <c r="C230" s="28">
        <v>0.95522388200721098</v>
      </c>
      <c r="D230" s="28">
        <v>0.83329322684869522</v>
      </c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spans="1:26" ht="14.4">
      <c r="A231" s="26">
        <v>51102</v>
      </c>
      <c r="B231" s="27" t="s">
        <v>266</v>
      </c>
      <c r="C231" s="28">
        <v>1.3913876543194228</v>
      </c>
      <c r="D231" s="28">
        <v>1.0335456863454764</v>
      </c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spans="1:26" ht="14.4">
      <c r="A232" s="26">
        <v>51103</v>
      </c>
      <c r="B232" s="27" t="s">
        <v>267</v>
      </c>
      <c r="C232" s="28">
        <v>1.1638709601279231</v>
      </c>
      <c r="D232" s="28">
        <v>0.81967212641830467</v>
      </c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spans="1:26" ht="14.4">
      <c r="A233" s="26">
        <v>51201</v>
      </c>
      <c r="B233" s="27" t="s">
        <v>268</v>
      </c>
      <c r="C233" s="28">
        <v>1.3831236889592997</v>
      </c>
      <c r="D233" s="28">
        <v>2.4034090886602275</v>
      </c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spans="1:26" ht="14.4">
      <c r="A234" s="26">
        <v>51202</v>
      </c>
      <c r="B234" s="27" t="s">
        <v>269</v>
      </c>
      <c r="C234" s="28">
        <v>0.90798225982846603</v>
      </c>
      <c r="D234" s="28">
        <v>1.0861318755200016</v>
      </c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spans="1:26" ht="14.4">
      <c r="A235" s="26">
        <v>51203</v>
      </c>
      <c r="B235" s="27" t="s">
        <v>270</v>
      </c>
      <c r="C235" s="28">
        <v>0.71493766813746018</v>
      </c>
      <c r="D235" s="28">
        <v>2.4609154775611883</v>
      </c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spans="1:26" ht="14.4">
      <c r="A236" s="29">
        <v>51204</v>
      </c>
      <c r="B236" s="27" t="s">
        <v>271</v>
      </c>
      <c r="C236" s="28">
        <v>0.90798225982846603</v>
      </c>
      <c r="D236" s="28">
        <v>1.3247210783254444</v>
      </c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spans="1:26" ht="14.4">
      <c r="A237" s="26">
        <v>51301</v>
      </c>
      <c r="B237" s="27" t="s">
        <v>272</v>
      </c>
      <c r="C237" s="28">
        <v>0.83574879689822124</v>
      </c>
      <c r="D237" s="28">
        <v>1.5586623736923941</v>
      </c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spans="1:26" ht="14.4">
      <c r="A238" s="26">
        <v>51302</v>
      </c>
      <c r="B238" s="27" t="s">
        <v>273</v>
      </c>
      <c r="C238" s="28">
        <v>0.88154591055500009</v>
      </c>
      <c r="D238" s="28">
        <v>2.1210526394055171</v>
      </c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spans="1:26" ht="14.4">
      <c r="A239" s="26">
        <v>51401</v>
      </c>
      <c r="B239" s="27" t="s">
        <v>274</v>
      </c>
      <c r="C239" s="28">
        <v>1.3008800980494621</v>
      </c>
      <c r="D239" s="28">
        <v>0.40131578947368418</v>
      </c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spans="1:26" ht="14.4">
      <c r="A240" s="26">
        <v>51402</v>
      </c>
      <c r="B240" s="27" t="s">
        <v>275</v>
      </c>
      <c r="C240" s="28">
        <v>1.4736841917037968</v>
      </c>
      <c r="D240" s="28">
        <v>1.4008750451880148</v>
      </c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spans="1:26" ht="14.4">
      <c r="A241" s="26">
        <v>51501</v>
      </c>
      <c r="B241" s="27" t="s">
        <v>276</v>
      </c>
      <c r="C241" s="28">
        <v>0.76685661001627414</v>
      </c>
      <c r="D241" s="28">
        <v>1.0290429749119323</v>
      </c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spans="1:26" ht="14.4">
      <c r="A242" s="26">
        <v>51601</v>
      </c>
      <c r="B242" s="27" t="s">
        <v>277</v>
      </c>
      <c r="C242" s="28">
        <v>0.51612902721089715</v>
      </c>
      <c r="D242" s="28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spans="1:26" ht="14.4">
      <c r="A243" s="26">
        <v>60101</v>
      </c>
      <c r="B243" s="27" t="s">
        <v>278</v>
      </c>
      <c r="C243" s="28">
        <v>0.48172124936833149</v>
      </c>
      <c r="D243" s="28">
        <v>1.3784496813449938</v>
      </c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spans="1:26" ht="14.4">
      <c r="A244" s="26">
        <v>60201</v>
      </c>
      <c r="B244" s="27" t="s">
        <v>279</v>
      </c>
      <c r="C244" s="28">
        <v>0.68341892419179084</v>
      </c>
      <c r="D244" s="28">
        <v>0.38224782304156529</v>
      </c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spans="1:26" ht="14.4">
      <c r="A245" s="26">
        <v>60202</v>
      </c>
      <c r="B245" s="27" t="s">
        <v>280</v>
      </c>
      <c r="C245" s="28">
        <v>0.7661691548670625</v>
      </c>
      <c r="D245" s="28">
        <v>0.86170585608384098</v>
      </c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spans="1:26" ht="14.4">
      <c r="A246" s="26">
        <v>60301</v>
      </c>
      <c r="B246" s="27" t="s">
        <v>281</v>
      </c>
      <c r="C246" s="28">
        <v>0.77668085738694237</v>
      </c>
      <c r="D246" s="28">
        <v>0.9657678330027567</v>
      </c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spans="1:26" ht="14.4">
      <c r="A247" s="26">
        <v>60302</v>
      </c>
      <c r="B247" s="27" t="s">
        <v>282</v>
      </c>
      <c r="C247" s="28">
        <v>0.86048387310918317</v>
      </c>
      <c r="D247" s="28">
        <v>0.91451736787326099</v>
      </c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spans="1:26" ht="14.4">
      <c r="A248" s="26">
        <v>60303</v>
      </c>
      <c r="B248" s="27" t="s">
        <v>283</v>
      </c>
      <c r="C248" s="28">
        <v>0.60080819797396945</v>
      </c>
      <c r="D248" s="28">
        <v>2.0975352681545849</v>
      </c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spans="1:26" ht="14.4">
      <c r="A249" s="26">
        <v>60401</v>
      </c>
      <c r="B249" s="27" t="s">
        <v>284</v>
      </c>
      <c r="C249" s="28"/>
      <c r="D249" s="28">
        <v>2.4758004642931652</v>
      </c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spans="1:26" ht="14.4">
      <c r="A250" s="26">
        <v>60402</v>
      </c>
      <c r="B250" s="27" t="s">
        <v>285</v>
      </c>
      <c r="C250" s="28">
        <v>1.4081996500134717</v>
      </c>
      <c r="D250" s="28">
        <v>1.3766233818982216</v>
      </c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spans="1:26" ht="14.4">
      <c r="A251" s="26">
        <v>60501</v>
      </c>
      <c r="B251" s="27" t="s">
        <v>286</v>
      </c>
      <c r="C251" s="28">
        <v>0.99812663809708713</v>
      </c>
      <c r="D251" s="28">
        <v>1.7329630404275012</v>
      </c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spans="1:26" ht="14.4">
      <c r="A252" s="26">
        <v>60502</v>
      </c>
      <c r="B252" s="27" t="s">
        <v>287</v>
      </c>
      <c r="C252" s="28">
        <v>0.87719297167074117</v>
      </c>
      <c r="D252" s="28">
        <v>0.67121210794652342</v>
      </c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spans="1:26" ht="14.4">
      <c r="A253" s="26">
        <v>60601</v>
      </c>
      <c r="B253" s="27" t="s">
        <v>188</v>
      </c>
      <c r="C253" s="28">
        <v>1.5594974188328687</v>
      </c>
      <c r="D253" s="28">
        <v>1.1909082748893516</v>
      </c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spans="1:26" ht="14.4">
      <c r="A254" s="26">
        <v>70101</v>
      </c>
      <c r="B254" s="27" t="s">
        <v>288</v>
      </c>
      <c r="C254" s="28">
        <v>0.66292930251658599</v>
      </c>
      <c r="D254" s="28">
        <v>1.3694172832902451</v>
      </c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spans="1:26" ht="14.4">
      <c r="A255" s="26">
        <v>70102</v>
      </c>
      <c r="B255" s="27" t="s">
        <v>289</v>
      </c>
      <c r="C255" s="28">
        <v>1.8706047652726776</v>
      </c>
      <c r="D255" s="28">
        <v>0.93605143456484274</v>
      </c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spans="1:26" ht="14.4">
      <c r="A256" s="26">
        <v>70103</v>
      </c>
      <c r="B256" s="27" t="s">
        <v>290</v>
      </c>
      <c r="C256" s="28">
        <v>1.2351190349796701</v>
      </c>
      <c r="D256" s="28">
        <v>1.3124933552369991</v>
      </c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spans="1:26" ht="14.4">
      <c r="A257" s="26">
        <v>70104</v>
      </c>
      <c r="B257" s="27" t="s">
        <v>291</v>
      </c>
      <c r="C257" s="28">
        <v>1.0375160681106843</v>
      </c>
      <c r="D257" s="28">
        <v>1.0221284586639738</v>
      </c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spans="1:26" ht="14.4">
      <c r="A258" s="26">
        <v>70105</v>
      </c>
      <c r="B258" s="27" t="s">
        <v>292</v>
      </c>
      <c r="C258" s="28">
        <v>0.69686023797298147</v>
      </c>
      <c r="D258" s="28">
        <v>1.2562143698783157</v>
      </c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spans="1:26" ht="14.4">
      <c r="A259" s="26">
        <v>70201</v>
      </c>
      <c r="B259" s="27" t="s">
        <v>293</v>
      </c>
      <c r="C259" s="28">
        <v>0.49361702148166381</v>
      </c>
      <c r="D259" s="28">
        <v>1.2880035535969692</v>
      </c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spans="1:26" ht="14.4">
      <c r="A260" s="26">
        <v>70202</v>
      </c>
      <c r="B260" s="27" t="s">
        <v>294</v>
      </c>
      <c r="C260" s="28">
        <v>0.37142857142857144</v>
      </c>
      <c r="D260" s="28">
        <v>0.99422800269379508</v>
      </c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spans="1:26" ht="14.4">
      <c r="A261" s="26">
        <v>70301</v>
      </c>
      <c r="B261" s="27" t="s">
        <v>295</v>
      </c>
      <c r="C261" s="28">
        <v>0.77321849569718182</v>
      </c>
      <c r="D261" s="28">
        <v>1.3840749881514556</v>
      </c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spans="1:26" ht="14.4">
      <c r="A262" s="26">
        <v>70302</v>
      </c>
      <c r="B262" s="27" t="s">
        <v>296</v>
      </c>
      <c r="C262" s="28">
        <v>0.45170397444518257</v>
      </c>
      <c r="D262" s="28">
        <v>0.3615384617718595</v>
      </c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spans="1:26" ht="14.4">
      <c r="A263" s="26">
        <v>70303</v>
      </c>
      <c r="B263" s="27" t="s">
        <v>297</v>
      </c>
      <c r="C263" s="28"/>
      <c r="D263" s="28">
        <v>0.61957764148173755</v>
      </c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spans="1:26" ht="14.4">
      <c r="A264" s="26">
        <v>70401</v>
      </c>
      <c r="B264" s="27" t="s">
        <v>298</v>
      </c>
      <c r="C264" s="28">
        <v>1.1219512380477856</v>
      </c>
      <c r="D264" s="28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spans="1:26" ht="14.4">
      <c r="A265" s="26">
        <v>70402</v>
      </c>
      <c r="B265" s="27" t="s">
        <v>299</v>
      </c>
      <c r="C265" s="28">
        <v>1.430367504033804</v>
      </c>
      <c r="D265" s="28">
        <v>1.4024999961187798</v>
      </c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spans="1:26" ht="14.4">
      <c r="A266" s="26">
        <v>70403</v>
      </c>
      <c r="B266" s="27" t="s">
        <v>300</v>
      </c>
      <c r="C266" s="28">
        <v>0.64955024770612368</v>
      </c>
      <c r="D266" s="28">
        <v>1.3842120862209581</v>
      </c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spans="1:26" ht="14.4">
      <c r="A267" s="26">
        <v>70404</v>
      </c>
      <c r="B267" s="27" t="s">
        <v>301</v>
      </c>
      <c r="C267" s="28">
        <v>0.50450450772637712</v>
      </c>
      <c r="D267" s="28">
        <v>2.7364669654615352</v>
      </c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spans="1:26" ht="14.4">
      <c r="A268" s="26">
        <v>70501</v>
      </c>
      <c r="B268" s="27" t="s">
        <v>302</v>
      </c>
      <c r="C268" s="28">
        <v>0.75035713374681279</v>
      </c>
      <c r="D268" s="28">
        <v>1.2180904505853749</v>
      </c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spans="1:26" ht="14.4">
      <c r="A269" s="26">
        <v>70502</v>
      </c>
      <c r="B269" s="27" t="s">
        <v>303</v>
      </c>
      <c r="C269" s="28">
        <v>0.99684505159194314</v>
      </c>
      <c r="D269" s="28">
        <v>1.0255458503869448</v>
      </c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spans="1:26" ht="14.4">
      <c r="A270" s="26">
        <v>70503</v>
      </c>
      <c r="B270" s="27" t="s">
        <v>304</v>
      </c>
      <c r="C270" s="28">
        <v>0.20658867046981524</v>
      </c>
      <c r="D270" s="28">
        <v>0.34051511887669439</v>
      </c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spans="1:26" ht="14.4">
      <c r="A271" s="26">
        <v>70601</v>
      </c>
      <c r="B271" s="27" t="s">
        <v>305</v>
      </c>
      <c r="C271" s="28">
        <v>0.84033614704942416</v>
      </c>
      <c r="D271" s="28">
        <v>0.56530214008201862</v>
      </c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spans="1:26" ht="14.4">
      <c r="A272" s="26">
        <v>70602</v>
      </c>
      <c r="B272" s="27" t="s">
        <v>306</v>
      </c>
      <c r="C272" s="28">
        <v>0.56064306018853916</v>
      </c>
      <c r="D272" s="28">
        <v>0.43167376181274308</v>
      </c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spans="1:26" ht="14.4">
      <c r="A273" s="26">
        <v>70603</v>
      </c>
      <c r="B273" s="27" t="s">
        <v>307</v>
      </c>
      <c r="C273" s="28"/>
      <c r="D273" s="28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spans="1:26" ht="14.4">
      <c r="A274" s="26">
        <v>70701</v>
      </c>
      <c r="B274" s="27" t="s">
        <v>308</v>
      </c>
      <c r="C274" s="28">
        <v>0.168749996982515</v>
      </c>
      <c r="D274" s="28">
        <v>1.2796610208274781</v>
      </c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spans="1:26" ht="14.4">
      <c r="A275" s="26">
        <v>70702</v>
      </c>
      <c r="B275" s="27" t="s">
        <v>309</v>
      </c>
      <c r="C275" s="28">
        <v>1.0655111644506694</v>
      </c>
      <c r="D275" s="28">
        <v>2.615853659267299</v>
      </c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spans="1:26" ht="14.4">
      <c r="A276" s="26">
        <v>70703</v>
      </c>
      <c r="B276" s="27" t="s">
        <v>310</v>
      </c>
      <c r="C276" s="28">
        <v>2.1545667722497184</v>
      </c>
      <c r="D276" s="28">
        <v>0.95949994149103468</v>
      </c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spans="1:26" ht="14.4">
      <c r="A277" s="26">
        <v>70704</v>
      </c>
      <c r="B277" s="27" t="s">
        <v>311</v>
      </c>
      <c r="C277" s="28"/>
      <c r="D277" s="28">
        <v>1.1259259196343248</v>
      </c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spans="1:26" ht="14.4">
      <c r="A278" s="26">
        <v>70705</v>
      </c>
      <c r="B278" s="27" t="s">
        <v>312</v>
      </c>
      <c r="C278" s="28">
        <v>1.362962935942192</v>
      </c>
      <c r="D278" s="28">
        <v>1.0113960124162005</v>
      </c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spans="1:26" ht="14.4">
      <c r="A279" s="26">
        <v>70706</v>
      </c>
      <c r="B279" s="27" t="s">
        <v>313</v>
      </c>
      <c r="C279" s="28">
        <v>0.74440517667044759</v>
      </c>
      <c r="D279" s="28">
        <v>3.4226730211591363</v>
      </c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spans="1:26" ht="14.4">
      <c r="A280" s="26">
        <v>70707</v>
      </c>
      <c r="B280" s="27" t="s">
        <v>314</v>
      </c>
      <c r="C280" s="28"/>
      <c r="D280" s="28">
        <v>0.40308471244938288</v>
      </c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spans="1:26" ht="14.4">
      <c r="A281" s="26">
        <v>70801</v>
      </c>
      <c r="B281" s="27" t="s">
        <v>315</v>
      </c>
      <c r="C281" s="28">
        <v>1.3869132300942559</v>
      </c>
      <c r="D281" s="28">
        <v>1.7011494035595554</v>
      </c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spans="1:26" ht="14.4">
      <c r="A282" s="26">
        <v>70802</v>
      </c>
      <c r="B282" s="27" t="s">
        <v>316</v>
      </c>
      <c r="C282" s="28">
        <v>0.39144737305315697</v>
      </c>
      <c r="D282" s="28">
        <v>4.747252673792417</v>
      </c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spans="1:26" ht="14.4">
      <c r="A283" s="26">
        <v>70803</v>
      </c>
      <c r="B283" s="27" t="s">
        <v>317</v>
      </c>
      <c r="C283" s="28">
        <v>0.4561403524457362</v>
      </c>
      <c r="D283" s="28">
        <v>0.89649122062743769</v>
      </c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spans="1:26" ht="14.4">
      <c r="A284" s="26">
        <v>70804</v>
      </c>
      <c r="B284" s="27" t="s">
        <v>318</v>
      </c>
      <c r="C284" s="28"/>
      <c r="D284" s="28">
        <v>1.4379084806621469</v>
      </c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spans="1:26" ht="14.4">
      <c r="A285" s="26">
        <v>70805</v>
      </c>
      <c r="B285" s="27" t="s">
        <v>319</v>
      </c>
      <c r="C285" s="28">
        <v>0.8055555580390823</v>
      </c>
      <c r="D285" s="28">
        <v>1.1618181865397563</v>
      </c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spans="1:26" ht="14.4">
      <c r="A286" s="26">
        <v>70901</v>
      </c>
      <c r="B286" s="27" t="s">
        <v>320</v>
      </c>
      <c r="C286" s="28">
        <v>0.86307690104154544</v>
      </c>
      <c r="D286" s="28">
        <v>1.7183491305976686</v>
      </c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spans="1:26" ht="14.4">
      <c r="A287" s="26">
        <v>70902</v>
      </c>
      <c r="B287" s="27" t="s">
        <v>321</v>
      </c>
      <c r="C287" s="28">
        <v>0.42483660013847108</v>
      </c>
      <c r="D287" s="28">
        <v>0.88989763402748434</v>
      </c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spans="1:26" ht="14.4">
      <c r="A288" s="26">
        <v>70903</v>
      </c>
      <c r="B288" s="27" t="s">
        <v>322</v>
      </c>
      <c r="C288" s="28">
        <v>0.82839504452767276</v>
      </c>
      <c r="D288" s="28">
        <v>0.35342254316820809</v>
      </c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spans="1:26" ht="14.4">
      <c r="A289" s="26">
        <v>70904</v>
      </c>
      <c r="B289" s="27" t="s">
        <v>323</v>
      </c>
      <c r="C289" s="28"/>
      <c r="D289" s="28">
        <v>0.69153225856312728</v>
      </c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spans="1:26" ht="14.4">
      <c r="A290" s="26">
        <v>71001</v>
      </c>
      <c r="B290" s="27" t="s">
        <v>324</v>
      </c>
      <c r="C290" s="28">
        <v>0.60000593075019637</v>
      </c>
      <c r="D290" s="28">
        <v>1.0090389805566928</v>
      </c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spans="1:26" ht="14.4">
      <c r="A291" s="26">
        <v>71002</v>
      </c>
      <c r="B291" s="27" t="s">
        <v>325</v>
      </c>
      <c r="C291" s="28">
        <v>0.42057291132126334</v>
      </c>
      <c r="D291" s="28">
        <v>1.5955033022731699</v>
      </c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spans="1:26" ht="14.4">
      <c r="A292" s="26">
        <v>71003</v>
      </c>
      <c r="B292" s="27" t="s">
        <v>326</v>
      </c>
      <c r="C292" s="28">
        <v>0.73412698438040513</v>
      </c>
      <c r="D292" s="28">
        <v>2.365595706395748</v>
      </c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spans="1:26" ht="14.4">
      <c r="A293" s="26">
        <v>71004</v>
      </c>
      <c r="B293" s="27" t="s">
        <v>327</v>
      </c>
      <c r="C293" s="28">
        <v>0.46454130901490154</v>
      </c>
      <c r="D293" s="28">
        <v>0.16033838308449858</v>
      </c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spans="1:26" ht="14.4">
      <c r="A294" s="26">
        <v>71005</v>
      </c>
      <c r="B294" s="27" t="s">
        <v>328</v>
      </c>
      <c r="C294" s="28">
        <v>1.7405826119423422</v>
      </c>
      <c r="D294" s="28">
        <v>0.77045347550593335</v>
      </c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spans="1:26" ht="14.4">
      <c r="A295" s="26">
        <v>71101</v>
      </c>
      <c r="B295" s="27" t="s">
        <v>329</v>
      </c>
      <c r="C295" s="28">
        <v>0.77731093116739636</v>
      </c>
      <c r="D295" s="28">
        <v>1.5014889318839599</v>
      </c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spans="1:26" ht="14.4">
      <c r="A296" s="26">
        <v>71102</v>
      </c>
      <c r="B296" s="27" t="s">
        <v>330</v>
      </c>
      <c r="C296" s="28">
        <v>1.0238095294354723</v>
      </c>
      <c r="D296" s="28">
        <v>1.3729729723094415</v>
      </c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spans="1:26" ht="14.4">
      <c r="A297" s="26">
        <v>71103</v>
      </c>
      <c r="B297" s="27" t="s">
        <v>331</v>
      </c>
      <c r="C297" s="28">
        <v>0.86666666343808163</v>
      </c>
      <c r="D297" s="28">
        <v>1.7557997504723557</v>
      </c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spans="1:26" ht="14.4">
      <c r="A298" s="26">
        <v>71104</v>
      </c>
      <c r="B298" s="27" t="s">
        <v>332</v>
      </c>
      <c r="C298" s="28">
        <v>1.030798243320413</v>
      </c>
      <c r="D298" s="28">
        <v>1.9337773583217597</v>
      </c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spans="1:26" ht="14.4">
      <c r="A299" s="26">
        <v>71105</v>
      </c>
      <c r="B299" s="27" t="s">
        <v>333</v>
      </c>
      <c r="C299" s="28">
        <v>0.94871793954800365</v>
      </c>
      <c r="D299" s="28">
        <v>2.0398803610688718</v>
      </c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spans="1:26" ht="14.4">
      <c r="A300" s="26">
        <v>71106</v>
      </c>
      <c r="B300" s="27" t="s">
        <v>334</v>
      </c>
      <c r="C300" s="28">
        <v>0.54942768379215068</v>
      </c>
      <c r="D300" s="28">
        <v>1.7995910014355352</v>
      </c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spans="1:26" ht="14.4">
      <c r="A301" s="26">
        <v>71201</v>
      </c>
      <c r="B301" s="27" t="s">
        <v>335</v>
      </c>
      <c r="C301" s="28">
        <v>1.2298619157921797</v>
      </c>
      <c r="D301" s="28">
        <v>0.64596273305988838</v>
      </c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spans="1:26" ht="14.4">
      <c r="A302" s="26">
        <v>71301</v>
      </c>
      <c r="B302" s="27" t="s">
        <v>336</v>
      </c>
      <c r="C302" s="28">
        <v>1.1136363408782277</v>
      </c>
      <c r="D302" s="28">
        <v>0.73858113906287126</v>
      </c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spans="1:26" ht="14.4">
      <c r="A303" s="26">
        <v>71302</v>
      </c>
      <c r="B303" s="27" t="s">
        <v>337</v>
      </c>
      <c r="C303" s="28">
        <v>0.98894231580341074</v>
      </c>
      <c r="D303" s="28">
        <v>2.4432631406766174</v>
      </c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spans="1:26" ht="14.4">
      <c r="A304" s="26">
        <v>71401</v>
      </c>
      <c r="B304" s="27" t="s">
        <v>338</v>
      </c>
      <c r="C304" s="28">
        <v>0.32413564233894376</v>
      </c>
      <c r="D304" s="28">
        <v>0.43156146455006283</v>
      </c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spans="1:26" ht="14.4">
      <c r="A305" s="26">
        <v>71402</v>
      </c>
      <c r="B305" s="27" t="s">
        <v>339</v>
      </c>
      <c r="C305" s="28">
        <v>0.72236842489066089</v>
      </c>
      <c r="D305" s="28">
        <v>2.1005025191688289</v>
      </c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spans="1:26" ht="14.4">
      <c r="A306" s="26">
        <v>71403</v>
      </c>
      <c r="B306" s="27" t="s">
        <v>340</v>
      </c>
      <c r="C306" s="28">
        <v>0.65866665821075465</v>
      </c>
      <c r="D306" s="28">
        <v>1.4859625687986755</v>
      </c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spans="1:26" ht="14.4">
      <c r="A307" s="26">
        <v>71501</v>
      </c>
      <c r="B307" s="27" t="s">
        <v>341</v>
      </c>
      <c r="C307" s="28">
        <v>1.1488757230254305</v>
      </c>
      <c r="D307" s="28">
        <v>0.80443037355936564</v>
      </c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spans="1:26" ht="14.4">
      <c r="A308" s="26">
        <v>71502</v>
      </c>
      <c r="B308" s="27" t="s">
        <v>342</v>
      </c>
      <c r="C308" s="28">
        <v>0.91666665921608614</v>
      </c>
      <c r="D308" s="28">
        <v>1.0892723094319126</v>
      </c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spans="1:26" ht="14.4">
      <c r="A309" s="26">
        <v>71503</v>
      </c>
      <c r="B309" s="27" t="s">
        <v>287</v>
      </c>
      <c r="C309" s="28">
        <v>0.93965517618421723</v>
      </c>
      <c r="D309" s="28">
        <v>0.77271854408966822</v>
      </c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spans="1:26" ht="14.4">
      <c r="A310" s="26">
        <v>80101</v>
      </c>
      <c r="B310" s="27" t="s">
        <v>343</v>
      </c>
      <c r="C310" s="28">
        <v>0.65137091741865516</v>
      </c>
      <c r="D310" s="28">
        <v>1.1381190628635303</v>
      </c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spans="1:26" ht="14.4">
      <c r="A311" s="26">
        <v>80102</v>
      </c>
      <c r="B311" s="27" t="s">
        <v>330</v>
      </c>
      <c r="C311" s="28">
        <v>1.6524643032113528</v>
      </c>
      <c r="D311" s="28">
        <v>0.39929778366629964</v>
      </c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spans="1:26" ht="14.4">
      <c r="A312" s="26">
        <v>80201</v>
      </c>
      <c r="B312" s="27" t="s">
        <v>344</v>
      </c>
      <c r="C312" s="28">
        <v>1.1163378447731915</v>
      </c>
      <c r="D312" s="28">
        <v>1.0154734113785069</v>
      </c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spans="1:26" ht="14.4">
      <c r="A313" s="26">
        <v>80202</v>
      </c>
      <c r="B313" s="27" t="s">
        <v>345</v>
      </c>
      <c r="C313" s="28">
        <v>0.53397487404898325</v>
      </c>
      <c r="D313" s="28">
        <v>0.4516041183729918</v>
      </c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spans="1:26" ht="14.4">
      <c r="A314" s="26">
        <v>80301</v>
      </c>
      <c r="B314" s="27" t="s">
        <v>346</v>
      </c>
      <c r="C314" s="28">
        <v>0.87456446790832965</v>
      </c>
      <c r="D314" s="28">
        <v>1.2209522078048505</v>
      </c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spans="1:26" ht="14.4">
      <c r="A315" s="26">
        <v>80302</v>
      </c>
      <c r="B315" s="27" t="s">
        <v>347</v>
      </c>
      <c r="C315" s="28">
        <v>0.5503432487660348</v>
      </c>
      <c r="D315" s="28">
        <v>0.91097266693721446</v>
      </c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spans="1:26" ht="14.4">
      <c r="A316" s="26">
        <v>80303</v>
      </c>
      <c r="B316" s="27" t="s">
        <v>348</v>
      </c>
      <c r="C316" s="28">
        <v>1.2289424922957268</v>
      </c>
      <c r="D316" s="28">
        <v>2.401161352370039</v>
      </c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spans="1:26" ht="14.4">
      <c r="A317" s="26">
        <v>80304</v>
      </c>
      <c r="B317" s="27" t="s">
        <v>349</v>
      </c>
      <c r="C317" s="28">
        <v>0.43248053784176899</v>
      </c>
      <c r="D317" s="28">
        <v>1.4627844469368017</v>
      </c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spans="1:26" ht="14.4">
      <c r="A318" s="26">
        <v>80401</v>
      </c>
      <c r="B318" s="27" t="s">
        <v>350</v>
      </c>
      <c r="C318" s="28">
        <v>0.99035740427786489</v>
      </c>
      <c r="D318" s="28">
        <v>0.40176600608190727</v>
      </c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spans="1:26" ht="14.4">
      <c r="A319" s="26">
        <v>80402</v>
      </c>
      <c r="B319" s="27" t="s">
        <v>351</v>
      </c>
      <c r="C319" s="28">
        <v>1.1848739481876818</v>
      </c>
      <c r="D319" s="28">
        <v>0.8106211212760559</v>
      </c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spans="1:26" ht="14.4">
      <c r="A320" s="26">
        <v>80501</v>
      </c>
      <c r="B320" s="27" t="s">
        <v>352</v>
      </c>
      <c r="C320" s="28">
        <v>0.76760276833431462</v>
      </c>
      <c r="D320" s="28">
        <v>1.4130518982657221</v>
      </c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spans="1:26" ht="14.4">
      <c r="A321" s="26">
        <v>80601</v>
      </c>
      <c r="B321" s="27" t="s">
        <v>353</v>
      </c>
      <c r="C321" s="28">
        <v>0.84821428646266983</v>
      </c>
      <c r="D321" s="28">
        <v>0.51616266911049036</v>
      </c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spans="1:26" ht="14.4">
      <c r="A322" s="26">
        <v>80602</v>
      </c>
      <c r="B322" s="27" t="s">
        <v>354</v>
      </c>
      <c r="C322" s="28">
        <v>1.1442690885399214</v>
      </c>
      <c r="D322" s="28">
        <v>1.2348339707132525</v>
      </c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spans="1:26" ht="14.4">
      <c r="A323" s="26">
        <v>80701</v>
      </c>
      <c r="B323" s="27" t="s">
        <v>355</v>
      </c>
      <c r="C323" s="28">
        <v>2.6349206122141049</v>
      </c>
      <c r="D323" s="28">
        <v>0.28827361723029221</v>
      </c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spans="1:26" ht="14.4">
      <c r="A324" s="26">
        <v>80702</v>
      </c>
      <c r="B324" s="27" t="s">
        <v>331</v>
      </c>
      <c r="C324" s="28">
        <v>1.2025078396290239</v>
      </c>
      <c r="D324" s="28">
        <v>0.58343395309331025</v>
      </c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spans="1:26" ht="14.4">
      <c r="A325" s="26">
        <v>80703</v>
      </c>
      <c r="B325" s="27" t="s">
        <v>356</v>
      </c>
      <c r="C325" s="28">
        <v>1.6076554872622817</v>
      </c>
      <c r="D325" s="28">
        <v>4.1758242771614276</v>
      </c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spans="1:26" ht="14.4">
      <c r="A326" s="26">
        <v>80801</v>
      </c>
      <c r="B326" s="27" t="s">
        <v>357</v>
      </c>
      <c r="C326" s="28">
        <v>1.1446839078194033</v>
      </c>
      <c r="D326" s="28">
        <v>0.27041877219239635</v>
      </c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spans="1:26" ht="14.4">
      <c r="A327" s="26">
        <v>80802</v>
      </c>
      <c r="B327" s="27" t="s">
        <v>358</v>
      </c>
      <c r="C327" s="28">
        <v>2.510822554734315</v>
      </c>
      <c r="D327" s="28">
        <v>0.68195142686044175</v>
      </c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spans="1:26" ht="14.4">
      <c r="A328" s="26">
        <v>80803</v>
      </c>
      <c r="B328" s="27" t="s">
        <v>359</v>
      </c>
      <c r="C328" s="28">
        <v>0.37500000838190312</v>
      </c>
      <c r="D328" s="28">
        <v>0.77684314283809774</v>
      </c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spans="1:26" ht="14.4">
      <c r="A329" s="29">
        <v>80901</v>
      </c>
      <c r="B329" s="27" t="s">
        <v>360</v>
      </c>
      <c r="C329" s="28">
        <v>0.8789800863060897</v>
      </c>
      <c r="D329" s="28">
        <v>0.54460093698070888</v>
      </c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spans="1:26" ht="14.4">
      <c r="A330" s="26">
        <v>90101</v>
      </c>
      <c r="B330" s="27" t="s">
        <v>361</v>
      </c>
      <c r="C330" s="28">
        <v>0.50159851490465535</v>
      </c>
      <c r="D330" s="28">
        <v>2.1512042910016622</v>
      </c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spans="1:26" ht="14.4">
      <c r="A331" s="26">
        <v>90102</v>
      </c>
      <c r="B331" s="27" t="s">
        <v>362</v>
      </c>
      <c r="C331" s="28"/>
      <c r="D331" s="28">
        <v>1.2268970680394591</v>
      </c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spans="1:26" ht="14.4">
      <c r="A332" s="26">
        <v>90103</v>
      </c>
      <c r="B332" s="27" t="s">
        <v>363</v>
      </c>
      <c r="C332" s="28">
        <v>0.5142857050895695</v>
      </c>
      <c r="D332" s="28">
        <v>2.1208053718056377</v>
      </c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spans="1:26" ht="14.4">
      <c r="A333" s="26">
        <v>90104</v>
      </c>
      <c r="B333" s="27" t="s">
        <v>364</v>
      </c>
      <c r="C333" s="28">
        <v>1.1404958596071031</v>
      </c>
      <c r="D333" s="28">
        <v>1.5072229064593774</v>
      </c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spans="1:26" ht="14.4">
      <c r="A334" s="26">
        <v>90201</v>
      </c>
      <c r="B334" s="27" t="s">
        <v>365</v>
      </c>
      <c r="C334" s="28">
        <v>1.064599490083568</v>
      </c>
      <c r="D334" s="28">
        <v>1.5625073061274251</v>
      </c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spans="1:26" ht="14.4">
      <c r="A335" s="26">
        <v>90202</v>
      </c>
      <c r="B335" s="27" t="s">
        <v>328</v>
      </c>
      <c r="C335" s="28">
        <v>0.85714284893201342</v>
      </c>
      <c r="D335" s="28">
        <v>1.3607982767336564</v>
      </c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spans="1:26" ht="14.4">
      <c r="A336" s="26">
        <v>90203</v>
      </c>
      <c r="B336" s="27" t="s">
        <v>366</v>
      </c>
      <c r="C336" s="28">
        <v>0.90616438116418996</v>
      </c>
      <c r="D336" s="28">
        <v>0.24784853453241512</v>
      </c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spans="1:26" ht="14.4">
      <c r="A337" s="26">
        <v>90301</v>
      </c>
      <c r="B337" s="27" t="s">
        <v>367</v>
      </c>
      <c r="C337" s="28">
        <v>0.84259261059816226</v>
      </c>
      <c r="D337" s="28">
        <v>1.6157559146000073</v>
      </c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spans="1:26" ht="14.4">
      <c r="A338" s="26">
        <v>90302</v>
      </c>
      <c r="B338" s="27" t="s">
        <v>368</v>
      </c>
      <c r="C338" s="28">
        <v>1.0714285670073478</v>
      </c>
      <c r="D338" s="28">
        <v>0.94849138461045335</v>
      </c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spans="1:26" ht="14.4">
      <c r="A339" s="26">
        <v>90303</v>
      </c>
      <c r="B339" s="27" t="s">
        <v>369</v>
      </c>
      <c r="C339" s="28">
        <v>1.0172250038419788</v>
      </c>
      <c r="D339" s="28">
        <v>0.97452056414914023</v>
      </c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spans="1:26" ht="14.4">
      <c r="A340" s="26">
        <v>90401</v>
      </c>
      <c r="B340" s="27" t="s">
        <v>370</v>
      </c>
      <c r="C340" s="28">
        <v>0.31730768360340866</v>
      </c>
      <c r="D340" s="28">
        <v>1.7172167530452958</v>
      </c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spans="1:26" ht="14.4">
      <c r="A341" s="26">
        <v>90402</v>
      </c>
      <c r="B341" s="27" t="s">
        <v>371</v>
      </c>
      <c r="C341" s="28">
        <v>0.71272728064710433</v>
      </c>
      <c r="D341" s="28">
        <v>1.5551443991231904</v>
      </c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spans="1:26" ht="14.4">
      <c r="A342" s="26">
        <v>90501</v>
      </c>
      <c r="B342" s="27" t="s">
        <v>372</v>
      </c>
      <c r="C342" s="28">
        <v>0.80889786632552507</v>
      </c>
      <c r="D342" s="28">
        <v>0.93782161551398147</v>
      </c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spans="1:26" ht="14.4">
      <c r="A343" s="26">
        <v>90502</v>
      </c>
      <c r="B343" s="27" t="s">
        <v>373</v>
      </c>
      <c r="C343" s="28">
        <v>0.76086956957788221</v>
      </c>
      <c r="D343" s="28">
        <v>1.1704775368643443</v>
      </c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spans="1:26" ht="14.4">
      <c r="A344" s="26">
        <v>90503</v>
      </c>
      <c r="B344" s="27" t="s">
        <v>374</v>
      </c>
      <c r="C344" s="28">
        <v>0.93023254842033531</v>
      </c>
      <c r="D344" s="28">
        <v>0.69111111660356872</v>
      </c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spans="1:26" ht="13.2">
      <c r="A345" s="17"/>
      <c r="B345" s="30"/>
      <c r="C345" s="31"/>
      <c r="D345" s="31"/>
    </row>
    <row r="346" spans="1:26" ht="13.2">
      <c r="A346" s="17"/>
      <c r="B346" s="30"/>
      <c r="C346" s="31"/>
      <c r="D346" s="31"/>
    </row>
    <row r="347" spans="1:26" ht="13.2">
      <c r="A347" s="17"/>
      <c r="B347" s="30"/>
      <c r="C347" s="31"/>
      <c r="D347" s="31"/>
    </row>
    <row r="348" spans="1:26" ht="13.2">
      <c r="A348" s="17"/>
      <c r="B348" s="30"/>
      <c r="C348" s="31"/>
      <c r="D348" s="31"/>
    </row>
    <row r="349" spans="1:26" ht="13.2">
      <c r="A349" s="17"/>
      <c r="B349" s="30"/>
      <c r="C349" s="31"/>
      <c r="D349" s="31"/>
    </row>
    <row r="350" spans="1:26" ht="13.2">
      <c r="A350" s="17"/>
      <c r="B350" s="30"/>
      <c r="C350" s="31"/>
      <c r="D350" s="31"/>
    </row>
    <row r="351" spans="1:26" ht="13.2">
      <c r="A351" s="17"/>
      <c r="B351" s="30"/>
      <c r="C351" s="31"/>
      <c r="D351" s="31"/>
    </row>
    <row r="352" spans="1:26" ht="13.2">
      <c r="A352" s="17"/>
      <c r="B352" s="30"/>
      <c r="C352" s="31"/>
      <c r="D352" s="31"/>
    </row>
    <row r="353" spans="1:4" ht="13.2">
      <c r="A353" s="17"/>
      <c r="B353" s="30"/>
      <c r="C353" s="31"/>
      <c r="D353" s="31"/>
    </row>
    <row r="354" spans="1:4" ht="13.2">
      <c r="A354" s="17"/>
      <c r="B354" s="30"/>
      <c r="C354" s="31"/>
      <c r="D354" s="31"/>
    </row>
    <row r="355" spans="1:4" ht="13.2">
      <c r="A355" s="17"/>
      <c r="B355" s="30"/>
      <c r="C355" s="31"/>
      <c r="D355" s="31"/>
    </row>
    <row r="356" spans="1:4" ht="13.2">
      <c r="A356" s="17"/>
      <c r="B356" s="30"/>
      <c r="C356" s="31"/>
      <c r="D356" s="31"/>
    </row>
    <row r="357" spans="1:4" ht="13.2">
      <c r="A357" s="17"/>
      <c r="B357" s="30"/>
      <c r="C357" s="31"/>
      <c r="D357" s="31"/>
    </row>
    <row r="358" spans="1:4" ht="13.2">
      <c r="A358" s="17"/>
      <c r="B358" s="30"/>
      <c r="C358" s="31"/>
      <c r="D358" s="31"/>
    </row>
    <row r="359" spans="1:4" ht="13.2">
      <c r="A359" s="17"/>
      <c r="B359" s="30"/>
      <c r="C359" s="31"/>
      <c r="D359" s="31"/>
    </row>
    <row r="360" spans="1:4" ht="13.2">
      <c r="A360" s="17"/>
      <c r="B360" s="30"/>
      <c r="C360" s="31"/>
      <c r="D360" s="31"/>
    </row>
    <row r="361" spans="1:4" ht="13.2">
      <c r="A361" s="17"/>
      <c r="B361" s="30"/>
      <c r="C361" s="31"/>
      <c r="D361" s="31"/>
    </row>
    <row r="362" spans="1:4" ht="13.2">
      <c r="A362" s="17"/>
      <c r="B362" s="30"/>
      <c r="C362" s="31"/>
      <c r="D362" s="31"/>
    </row>
    <row r="363" spans="1:4" ht="13.2">
      <c r="A363" s="17"/>
      <c r="B363" s="30"/>
      <c r="C363" s="31"/>
      <c r="D363" s="31"/>
    </row>
    <row r="364" spans="1:4" ht="13.2">
      <c r="A364" s="17"/>
      <c r="B364" s="30"/>
      <c r="C364" s="31"/>
      <c r="D364" s="31"/>
    </row>
    <row r="365" spans="1:4" ht="13.2">
      <c r="A365" s="17"/>
      <c r="B365" s="30"/>
      <c r="C365" s="31"/>
      <c r="D365" s="31"/>
    </row>
    <row r="366" spans="1:4" ht="13.2">
      <c r="A366" s="17"/>
      <c r="B366" s="30"/>
      <c r="C366" s="31"/>
      <c r="D366" s="31"/>
    </row>
    <row r="367" spans="1:4" ht="13.2">
      <c r="A367" s="17"/>
      <c r="B367" s="30"/>
      <c r="C367" s="31"/>
      <c r="D367" s="31"/>
    </row>
    <row r="368" spans="1:4" ht="13.2">
      <c r="A368" s="17"/>
      <c r="B368" s="30"/>
      <c r="C368" s="31"/>
      <c r="D368" s="31"/>
    </row>
    <row r="369" spans="1:4" ht="13.2">
      <c r="A369" s="17"/>
      <c r="B369" s="30"/>
      <c r="C369" s="31"/>
      <c r="D369" s="31"/>
    </row>
    <row r="370" spans="1:4" ht="13.2">
      <c r="A370" s="17"/>
      <c r="B370" s="30"/>
      <c r="C370" s="31"/>
      <c r="D370" s="31"/>
    </row>
    <row r="371" spans="1:4" ht="13.2">
      <c r="A371" s="17"/>
      <c r="B371" s="30"/>
      <c r="C371" s="31"/>
      <c r="D371" s="31"/>
    </row>
    <row r="372" spans="1:4" ht="13.2">
      <c r="A372" s="17"/>
      <c r="B372" s="30"/>
      <c r="C372" s="31"/>
      <c r="D372" s="31"/>
    </row>
    <row r="373" spans="1:4" ht="13.2">
      <c r="A373" s="17"/>
      <c r="B373" s="30"/>
      <c r="C373" s="31"/>
      <c r="D373" s="31"/>
    </row>
    <row r="374" spans="1:4" ht="13.2">
      <c r="A374" s="17"/>
      <c r="B374" s="30"/>
      <c r="C374" s="31"/>
      <c r="D374" s="31"/>
    </row>
    <row r="375" spans="1:4" ht="13.2">
      <c r="A375" s="17"/>
      <c r="B375" s="30"/>
      <c r="C375" s="31"/>
      <c r="D375" s="31"/>
    </row>
    <row r="376" spans="1:4" ht="13.2">
      <c r="A376" s="17"/>
      <c r="B376" s="30"/>
      <c r="C376" s="31"/>
      <c r="D376" s="31"/>
    </row>
    <row r="377" spans="1:4" ht="13.2">
      <c r="A377" s="17"/>
      <c r="B377" s="30"/>
      <c r="C377" s="31"/>
      <c r="D377" s="31"/>
    </row>
    <row r="378" spans="1:4" ht="13.2">
      <c r="A378" s="17"/>
      <c r="B378" s="30"/>
      <c r="C378" s="31"/>
      <c r="D378" s="31"/>
    </row>
    <row r="379" spans="1:4" ht="13.2">
      <c r="A379" s="17"/>
      <c r="B379" s="30"/>
      <c r="C379" s="31"/>
      <c r="D379" s="31"/>
    </row>
    <row r="380" spans="1:4" ht="13.2">
      <c r="A380" s="17"/>
      <c r="B380" s="30"/>
      <c r="C380" s="31"/>
      <c r="D380" s="31"/>
    </row>
    <row r="381" spans="1:4" ht="13.2">
      <c r="A381" s="17"/>
      <c r="B381" s="30"/>
      <c r="C381" s="31"/>
      <c r="D381" s="31"/>
    </row>
    <row r="382" spans="1:4" ht="13.2">
      <c r="A382" s="17"/>
      <c r="B382" s="30"/>
      <c r="C382" s="31"/>
      <c r="D382" s="31"/>
    </row>
    <row r="383" spans="1:4" ht="13.2">
      <c r="A383" s="17"/>
      <c r="B383" s="30"/>
      <c r="C383" s="31"/>
      <c r="D383" s="31"/>
    </row>
    <row r="384" spans="1:4" ht="13.2">
      <c r="A384" s="17"/>
      <c r="B384" s="30"/>
      <c r="C384" s="31"/>
      <c r="D384" s="31"/>
    </row>
    <row r="385" spans="1:4" ht="13.2">
      <c r="A385" s="17"/>
      <c r="B385" s="30"/>
      <c r="C385" s="31"/>
      <c r="D385" s="31"/>
    </row>
    <row r="386" spans="1:4" ht="13.2">
      <c r="A386" s="17"/>
      <c r="B386" s="30"/>
      <c r="C386" s="31"/>
      <c r="D386" s="31"/>
    </row>
    <row r="387" spans="1:4" ht="13.2">
      <c r="A387" s="17"/>
      <c r="B387" s="30"/>
      <c r="C387" s="31"/>
      <c r="D387" s="31"/>
    </row>
    <row r="388" spans="1:4" ht="13.2">
      <c r="A388" s="17"/>
      <c r="B388" s="30"/>
      <c r="C388" s="31"/>
      <c r="D388" s="31"/>
    </row>
    <row r="389" spans="1:4" ht="13.2">
      <c r="A389" s="17"/>
      <c r="B389" s="30"/>
      <c r="C389" s="31"/>
      <c r="D389" s="31"/>
    </row>
    <row r="390" spans="1:4" ht="13.2">
      <c r="A390" s="17"/>
      <c r="B390" s="30"/>
      <c r="C390" s="31"/>
      <c r="D390" s="31"/>
    </row>
    <row r="391" spans="1:4" ht="13.2">
      <c r="A391" s="17"/>
      <c r="B391" s="30"/>
      <c r="C391" s="31"/>
      <c r="D391" s="31"/>
    </row>
    <row r="392" spans="1:4" ht="13.2">
      <c r="A392" s="17"/>
      <c r="B392" s="30"/>
      <c r="C392" s="31"/>
      <c r="D392" s="31"/>
    </row>
    <row r="393" spans="1:4" ht="13.2">
      <c r="A393" s="17"/>
      <c r="B393" s="30"/>
      <c r="C393" s="31"/>
      <c r="D393" s="31"/>
    </row>
    <row r="394" spans="1:4" ht="13.2">
      <c r="A394" s="17"/>
      <c r="B394" s="30"/>
      <c r="C394" s="31"/>
      <c r="D394" s="31"/>
    </row>
    <row r="395" spans="1:4" ht="13.2">
      <c r="A395" s="17"/>
      <c r="B395" s="30"/>
      <c r="C395" s="31"/>
      <c r="D395" s="31"/>
    </row>
    <row r="396" spans="1:4" ht="13.2">
      <c r="A396" s="17"/>
      <c r="B396" s="30"/>
      <c r="C396" s="31"/>
      <c r="D396" s="31"/>
    </row>
    <row r="397" spans="1:4" ht="13.2">
      <c r="A397" s="17"/>
      <c r="B397" s="30"/>
      <c r="C397" s="31"/>
      <c r="D397" s="31"/>
    </row>
    <row r="398" spans="1:4" ht="13.2">
      <c r="A398" s="17"/>
      <c r="B398" s="30"/>
      <c r="C398" s="31"/>
      <c r="D398" s="31"/>
    </row>
    <row r="399" spans="1:4" ht="13.2">
      <c r="A399" s="17"/>
      <c r="B399" s="30"/>
      <c r="C399" s="31"/>
      <c r="D399" s="31"/>
    </row>
    <row r="400" spans="1:4" ht="13.2">
      <c r="A400" s="17"/>
      <c r="B400" s="30"/>
      <c r="C400" s="31"/>
      <c r="D400" s="31"/>
    </row>
    <row r="401" spans="1:4" ht="13.2">
      <c r="A401" s="17"/>
      <c r="B401" s="30"/>
      <c r="C401" s="31"/>
      <c r="D401" s="31"/>
    </row>
    <row r="402" spans="1:4" ht="13.2">
      <c r="A402" s="17"/>
      <c r="B402" s="30"/>
      <c r="C402" s="31"/>
      <c r="D402" s="31"/>
    </row>
    <row r="403" spans="1:4" ht="13.2">
      <c r="A403" s="17"/>
      <c r="B403" s="30"/>
      <c r="C403" s="31"/>
      <c r="D403" s="31"/>
    </row>
    <row r="404" spans="1:4" ht="13.2">
      <c r="A404" s="17"/>
      <c r="B404" s="30"/>
      <c r="C404" s="31"/>
      <c r="D404" s="31"/>
    </row>
    <row r="405" spans="1:4" ht="13.2">
      <c r="A405" s="17"/>
      <c r="B405" s="30"/>
      <c r="C405" s="31"/>
      <c r="D405" s="31"/>
    </row>
    <row r="406" spans="1:4" ht="13.2">
      <c r="A406" s="17"/>
      <c r="B406" s="30"/>
      <c r="C406" s="31"/>
      <c r="D406" s="31"/>
    </row>
    <row r="407" spans="1:4" ht="13.2">
      <c r="A407" s="17"/>
      <c r="B407" s="30"/>
      <c r="C407" s="31"/>
      <c r="D407" s="31"/>
    </row>
    <row r="408" spans="1:4" ht="13.2">
      <c r="A408" s="17"/>
      <c r="B408" s="30"/>
      <c r="C408" s="31"/>
      <c r="D408" s="31"/>
    </row>
    <row r="409" spans="1:4" ht="13.2">
      <c r="A409" s="17"/>
      <c r="B409" s="30"/>
      <c r="C409" s="31"/>
      <c r="D409" s="31"/>
    </row>
    <row r="410" spans="1:4" ht="13.2">
      <c r="A410" s="17"/>
      <c r="B410" s="30"/>
      <c r="C410" s="31"/>
      <c r="D410" s="31"/>
    </row>
    <row r="411" spans="1:4" ht="13.2">
      <c r="A411" s="17"/>
      <c r="B411" s="30"/>
      <c r="C411" s="31"/>
      <c r="D411" s="31"/>
    </row>
    <row r="412" spans="1:4" ht="13.2">
      <c r="A412" s="17"/>
      <c r="B412" s="30"/>
      <c r="C412" s="31"/>
      <c r="D412" s="31"/>
    </row>
    <row r="413" spans="1:4" ht="13.2">
      <c r="A413" s="17"/>
      <c r="B413" s="30"/>
      <c r="C413" s="31"/>
      <c r="D413" s="31"/>
    </row>
    <row r="414" spans="1:4" ht="13.2">
      <c r="A414" s="17"/>
      <c r="B414" s="30"/>
      <c r="C414" s="31"/>
      <c r="D414" s="31"/>
    </row>
    <row r="415" spans="1:4" ht="13.2">
      <c r="A415" s="17"/>
      <c r="B415" s="30"/>
      <c r="C415" s="31"/>
      <c r="D415" s="31"/>
    </row>
    <row r="416" spans="1:4" ht="13.2">
      <c r="A416" s="17"/>
      <c r="B416" s="30"/>
      <c r="C416" s="31"/>
      <c r="D416" s="31"/>
    </row>
    <row r="417" spans="1:4" ht="13.2">
      <c r="A417" s="17"/>
      <c r="B417" s="30"/>
      <c r="C417" s="31"/>
      <c r="D417" s="31"/>
    </row>
    <row r="418" spans="1:4" ht="13.2">
      <c r="A418" s="17"/>
      <c r="B418" s="30"/>
      <c r="C418" s="31"/>
      <c r="D418" s="31"/>
    </row>
    <row r="419" spans="1:4" ht="13.2">
      <c r="A419" s="17"/>
      <c r="B419" s="30"/>
      <c r="C419" s="31"/>
      <c r="D419" s="31"/>
    </row>
    <row r="420" spans="1:4" ht="13.2">
      <c r="A420" s="17"/>
      <c r="B420" s="30"/>
      <c r="C420" s="31"/>
      <c r="D420" s="31"/>
    </row>
    <row r="421" spans="1:4" ht="13.2">
      <c r="A421" s="17"/>
      <c r="B421" s="30"/>
      <c r="C421" s="31"/>
      <c r="D421" s="31"/>
    </row>
    <row r="422" spans="1:4" ht="13.2">
      <c r="A422" s="17"/>
      <c r="B422" s="30"/>
      <c r="C422" s="31"/>
      <c r="D422" s="31"/>
    </row>
    <row r="423" spans="1:4" ht="13.2">
      <c r="A423" s="17"/>
      <c r="B423" s="30"/>
      <c r="C423" s="31"/>
      <c r="D423" s="31"/>
    </row>
    <row r="424" spans="1:4" ht="13.2">
      <c r="A424" s="17"/>
      <c r="B424" s="30"/>
      <c r="C424" s="31"/>
      <c r="D424" s="31"/>
    </row>
    <row r="425" spans="1:4" ht="13.2">
      <c r="A425" s="17"/>
      <c r="B425" s="30"/>
      <c r="C425" s="31"/>
      <c r="D425" s="31"/>
    </row>
    <row r="426" spans="1:4" ht="13.2">
      <c r="A426" s="17"/>
      <c r="B426" s="30"/>
      <c r="C426" s="31"/>
      <c r="D426" s="31"/>
    </row>
    <row r="427" spans="1:4" ht="13.2">
      <c r="A427" s="17"/>
      <c r="B427" s="30"/>
      <c r="C427" s="31"/>
      <c r="D427" s="31"/>
    </row>
    <row r="428" spans="1:4" ht="13.2">
      <c r="A428" s="17"/>
      <c r="B428" s="30"/>
      <c r="C428" s="31"/>
      <c r="D428" s="31"/>
    </row>
    <row r="429" spans="1:4" ht="13.2">
      <c r="A429" s="17"/>
      <c r="B429" s="30"/>
      <c r="C429" s="31"/>
      <c r="D429" s="31"/>
    </row>
    <row r="430" spans="1:4" ht="13.2">
      <c r="A430" s="17"/>
      <c r="B430" s="30"/>
      <c r="C430" s="31"/>
      <c r="D430" s="31"/>
    </row>
    <row r="431" spans="1:4" ht="13.2">
      <c r="A431" s="17"/>
      <c r="B431" s="30"/>
      <c r="C431" s="31"/>
      <c r="D431" s="31"/>
    </row>
    <row r="432" spans="1:4" ht="13.2">
      <c r="A432" s="17"/>
      <c r="B432" s="30"/>
      <c r="C432" s="31"/>
      <c r="D432" s="31"/>
    </row>
    <row r="433" spans="1:4" ht="13.2">
      <c r="A433" s="17"/>
      <c r="B433" s="30"/>
      <c r="C433" s="31"/>
      <c r="D433" s="31"/>
    </row>
    <row r="434" spans="1:4" ht="13.2">
      <c r="A434" s="17"/>
      <c r="B434" s="30"/>
      <c r="C434" s="31"/>
      <c r="D434" s="31"/>
    </row>
    <row r="435" spans="1:4" ht="13.2">
      <c r="A435" s="17"/>
      <c r="B435" s="30"/>
      <c r="C435" s="31"/>
      <c r="D435" s="31"/>
    </row>
    <row r="436" spans="1:4" ht="13.2">
      <c r="A436" s="17"/>
      <c r="B436" s="30"/>
      <c r="C436" s="31"/>
      <c r="D436" s="31"/>
    </row>
    <row r="437" spans="1:4" ht="13.2">
      <c r="A437" s="17"/>
      <c r="B437" s="30"/>
      <c r="C437" s="31"/>
      <c r="D437" s="31"/>
    </row>
    <row r="438" spans="1:4" ht="13.2">
      <c r="A438" s="17"/>
      <c r="B438" s="30"/>
      <c r="C438" s="31"/>
      <c r="D438" s="31"/>
    </row>
    <row r="439" spans="1:4" ht="13.2">
      <c r="A439" s="17"/>
      <c r="B439" s="30"/>
      <c r="C439" s="31"/>
      <c r="D439" s="31"/>
    </row>
    <row r="440" spans="1:4" ht="13.2">
      <c r="A440" s="17"/>
      <c r="B440" s="30"/>
      <c r="C440" s="31"/>
      <c r="D440" s="31"/>
    </row>
    <row r="441" spans="1:4" ht="13.2">
      <c r="A441" s="17"/>
      <c r="B441" s="30"/>
      <c r="C441" s="31"/>
      <c r="D441" s="31"/>
    </row>
    <row r="442" spans="1:4" ht="13.2">
      <c r="A442" s="17"/>
      <c r="B442" s="30"/>
      <c r="C442" s="31"/>
      <c r="D442" s="31"/>
    </row>
    <row r="443" spans="1:4" ht="13.2">
      <c r="A443" s="17"/>
      <c r="B443" s="30"/>
      <c r="C443" s="31"/>
      <c r="D443" s="31"/>
    </row>
    <row r="444" spans="1:4" ht="13.2">
      <c r="A444" s="17"/>
      <c r="B444" s="30"/>
      <c r="C444" s="31"/>
      <c r="D444" s="31"/>
    </row>
    <row r="445" spans="1:4" ht="13.2">
      <c r="A445" s="17"/>
      <c r="B445" s="30"/>
      <c r="C445" s="31"/>
      <c r="D445" s="31"/>
    </row>
    <row r="446" spans="1:4" ht="13.2">
      <c r="A446" s="17"/>
      <c r="B446" s="30"/>
      <c r="C446" s="31"/>
      <c r="D446" s="31"/>
    </row>
    <row r="447" spans="1:4" ht="13.2">
      <c r="A447" s="17"/>
      <c r="B447" s="30"/>
      <c r="C447" s="31"/>
      <c r="D447" s="31"/>
    </row>
    <row r="448" spans="1:4" ht="13.2">
      <c r="A448" s="17"/>
      <c r="B448" s="30"/>
      <c r="C448" s="31"/>
      <c r="D448" s="31"/>
    </row>
    <row r="449" spans="1:4" ht="13.2">
      <c r="A449" s="17"/>
      <c r="B449" s="30"/>
      <c r="C449" s="31"/>
      <c r="D449" s="31"/>
    </row>
    <row r="450" spans="1:4" ht="13.2">
      <c r="A450" s="17"/>
      <c r="B450" s="30"/>
      <c r="C450" s="31"/>
      <c r="D450" s="31"/>
    </row>
    <row r="451" spans="1:4" ht="13.2">
      <c r="A451" s="17"/>
      <c r="B451" s="30"/>
      <c r="C451" s="31"/>
      <c r="D451" s="31"/>
    </row>
    <row r="452" spans="1:4" ht="13.2">
      <c r="A452" s="17"/>
      <c r="B452" s="30"/>
      <c r="C452" s="31"/>
      <c r="D452" s="31"/>
    </row>
    <row r="453" spans="1:4" ht="13.2">
      <c r="A453" s="17"/>
      <c r="B453" s="30"/>
      <c r="C453" s="31"/>
      <c r="D453" s="31"/>
    </row>
    <row r="454" spans="1:4" ht="13.2">
      <c r="A454" s="17"/>
      <c r="B454" s="30"/>
      <c r="C454" s="31"/>
      <c r="D454" s="31"/>
    </row>
    <row r="455" spans="1:4" ht="13.2">
      <c r="A455" s="17"/>
      <c r="B455" s="30"/>
      <c r="C455" s="31"/>
      <c r="D455" s="31"/>
    </row>
    <row r="456" spans="1:4" ht="13.2">
      <c r="A456" s="17"/>
      <c r="B456" s="30"/>
      <c r="C456" s="31"/>
      <c r="D456" s="31"/>
    </row>
    <row r="457" spans="1:4" ht="13.2">
      <c r="A457" s="17"/>
      <c r="B457" s="30"/>
      <c r="C457" s="31"/>
      <c r="D457" s="31"/>
    </row>
    <row r="458" spans="1:4" ht="13.2">
      <c r="A458" s="17"/>
      <c r="B458" s="30"/>
      <c r="C458" s="31"/>
      <c r="D458" s="31"/>
    </row>
    <row r="459" spans="1:4" ht="13.2">
      <c r="A459" s="17"/>
      <c r="B459" s="30"/>
      <c r="C459" s="31"/>
      <c r="D459" s="31"/>
    </row>
    <row r="460" spans="1:4" ht="13.2">
      <c r="A460" s="17"/>
      <c r="B460" s="30"/>
      <c r="C460" s="31"/>
      <c r="D460" s="31"/>
    </row>
    <row r="461" spans="1:4" ht="13.2">
      <c r="A461" s="17"/>
      <c r="B461" s="30"/>
      <c r="C461" s="31"/>
      <c r="D461" s="31"/>
    </row>
    <row r="462" spans="1:4" ht="13.2">
      <c r="A462" s="17"/>
      <c r="B462" s="30"/>
      <c r="C462" s="31"/>
      <c r="D462" s="31"/>
    </row>
    <row r="463" spans="1:4" ht="13.2">
      <c r="A463" s="17"/>
      <c r="B463" s="30"/>
      <c r="C463" s="31"/>
      <c r="D463" s="31"/>
    </row>
    <row r="464" spans="1:4" ht="13.2">
      <c r="A464" s="17"/>
      <c r="B464" s="30"/>
      <c r="C464" s="31"/>
      <c r="D464" s="31"/>
    </row>
    <row r="465" spans="1:4" ht="13.2">
      <c r="A465" s="17"/>
      <c r="B465" s="30"/>
      <c r="C465" s="31"/>
      <c r="D465" s="31"/>
    </row>
    <row r="466" spans="1:4" ht="13.2">
      <c r="A466" s="17"/>
      <c r="B466" s="30"/>
      <c r="C466" s="31"/>
      <c r="D466" s="31"/>
    </row>
    <row r="467" spans="1:4" ht="13.2">
      <c r="A467" s="17"/>
      <c r="B467" s="30"/>
      <c r="C467" s="31"/>
      <c r="D467" s="31"/>
    </row>
    <row r="468" spans="1:4" ht="13.2">
      <c r="A468" s="17"/>
      <c r="B468" s="30"/>
      <c r="C468" s="31"/>
      <c r="D468" s="31"/>
    </row>
    <row r="469" spans="1:4" ht="13.2">
      <c r="A469" s="17"/>
      <c r="B469" s="30"/>
      <c r="C469" s="31"/>
      <c r="D469" s="31"/>
    </row>
    <row r="470" spans="1:4" ht="13.2">
      <c r="A470" s="17"/>
      <c r="B470" s="30"/>
      <c r="C470" s="31"/>
      <c r="D470" s="31"/>
    </row>
    <row r="471" spans="1:4" ht="13.2">
      <c r="A471" s="17"/>
      <c r="B471" s="30"/>
      <c r="C471" s="31"/>
      <c r="D471" s="31"/>
    </row>
    <row r="472" spans="1:4" ht="13.2">
      <c r="A472" s="17"/>
      <c r="B472" s="30"/>
      <c r="C472" s="31"/>
      <c r="D472" s="31"/>
    </row>
    <row r="473" spans="1:4" ht="13.2">
      <c r="A473" s="17"/>
      <c r="B473" s="30"/>
      <c r="C473" s="31"/>
      <c r="D473" s="31"/>
    </row>
    <row r="474" spans="1:4" ht="13.2">
      <c r="A474" s="17"/>
      <c r="B474" s="30"/>
      <c r="C474" s="31"/>
      <c r="D474" s="31"/>
    </row>
    <row r="475" spans="1:4" ht="13.2">
      <c r="A475" s="17"/>
      <c r="B475" s="30"/>
      <c r="C475" s="31"/>
      <c r="D475" s="31"/>
    </row>
    <row r="476" spans="1:4" ht="13.2">
      <c r="A476" s="17"/>
      <c r="B476" s="30"/>
      <c r="C476" s="31"/>
      <c r="D476" s="31"/>
    </row>
    <row r="477" spans="1:4" ht="13.2">
      <c r="A477" s="17"/>
      <c r="B477" s="30"/>
      <c r="C477" s="31"/>
      <c r="D477" s="31"/>
    </row>
    <row r="478" spans="1:4" ht="13.2">
      <c r="A478" s="17"/>
      <c r="B478" s="30"/>
      <c r="C478" s="31"/>
      <c r="D478" s="31"/>
    </row>
    <row r="479" spans="1:4" ht="13.2">
      <c r="A479" s="17"/>
      <c r="B479" s="30"/>
      <c r="C479" s="31"/>
      <c r="D479" s="31"/>
    </row>
    <row r="480" spans="1:4" ht="13.2">
      <c r="A480" s="17"/>
      <c r="B480" s="30"/>
      <c r="C480" s="31"/>
      <c r="D480" s="31"/>
    </row>
    <row r="481" spans="1:4" ht="13.2">
      <c r="A481" s="17"/>
      <c r="B481" s="30"/>
      <c r="C481" s="31"/>
      <c r="D481" s="31"/>
    </row>
    <row r="482" spans="1:4" ht="13.2">
      <c r="A482" s="17"/>
      <c r="B482" s="30"/>
      <c r="C482" s="31"/>
      <c r="D482" s="31"/>
    </row>
    <row r="483" spans="1:4" ht="13.2">
      <c r="A483" s="17"/>
      <c r="B483" s="30"/>
      <c r="C483" s="31"/>
      <c r="D483" s="31"/>
    </row>
    <row r="484" spans="1:4" ht="13.2">
      <c r="A484" s="17"/>
      <c r="B484" s="30"/>
      <c r="C484" s="31"/>
      <c r="D484" s="31"/>
    </row>
    <row r="485" spans="1:4" ht="13.2">
      <c r="A485" s="17"/>
      <c r="B485" s="30"/>
      <c r="C485" s="31"/>
      <c r="D485" s="31"/>
    </row>
    <row r="486" spans="1:4" ht="13.2">
      <c r="A486" s="17"/>
      <c r="B486" s="30"/>
      <c r="C486" s="31"/>
      <c r="D486" s="31"/>
    </row>
    <row r="487" spans="1:4" ht="13.2">
      <c r="A487" s="17"/>
      <c r="B487" s="30"/>
      <c r="C487" s="31"/>
      <c r="D487" s="31"/>
    </row>
    <row r="488" spans="1:4" ht="13.2">
      <c r="A488" s="17"/>
      <c r="B488" s="30"/>
      <c r="C488" s="31"/>
      <c r="D488" s="31"/>
    </row>
    <row r="489" spans="1:4" ht="13.2">
      <c r="A489" s="17"/>
      <c r="B489" s="30"/>
      <c r="C489" s="31"/>
      <c r="D489" s="31"/>
    </row>
    <row r="490" spans="1:4" ht="13.2">
      <c r="A490" s="17"/>
      <c r="B490" s="30"/>
      <c r="C490" s="31"/>
      <c r="D490" s="31"/>
    </row>
    <row r="491" spans="1:4" ht="13.2">
      <c r="A491" s="17"/>
      <c r="B491" s="30"/>
      <c r="C491" s="31"/>
      <c r="D491" s="31"/>
    </row>
    <row r="492" spans="1:4" ht="13.2">
      <c r="A492" s="17"/>
      <c r="B492" s="30"/>
      <c r="C492" s="31"/>
      <c r="D492" s="31"/>
    </row>
    <row r="493" spans="1:4" ht="13.2">
      <c r="A493" s="17"/>
      <c r="B493" s="30"/>
      <c r="C493" s="31"/>
      <c r="D493" s="31"/>
    </row>
    <row r="494" spans="1:4" ht="13.2">
      <c r="A494" s="17"/>
      <c r="B494" s="30"/>
      <c r="C494" s="31"/>
      <c r="D494" s="31"/>
    </row>
    <row r="495" spans="1:4" ht="13.2">
      <c r="A495" s="17"/>
      <c r="B495" s="30"/>
      <c r="C495" s="31"/>
      <c r="D495" s="31"/>
    </row>
    <row r="496" spans="1:4" ht="13.2">
      <c r="A496" s="17"/>
      <c r="B496" s="30"/>
      <c r="C496" s="31"/>
      <c r="D496" s="31"/>
    </row>
    <row r="497" spans="1:4" ht="13.2">
      <c r="A497" s="17"/>
      <c r="B497" s="30"/>
      <c r="C497" s="31"/>
      <c r="D497" s="31"/>
    </row>
    <row r="498" spans="1:4" ht="13.2">
      <c r="A498" s="17"/>
      <c r="B498" s="30"/>
      <c r="C498" s="31"/>
      <c r="D498" s="31"/>
    </row>
    <row r="499" spans="1:4" ht="13.2">
      <c r="A499" s="17"/>
      <c r="B499" s="30"/>
      <c r="C499" s="31"/>
      <c r="D499" s="31"/>
    </row>
    <row r="500" spans="1:4" ht="13.2">
      <c r="A500" s="17"/>
      <c r="B500" s="30"/>
      <c r="C500" s="31"/>
      <c r="D500" s="31"/>
    </row>
    <row r="501" spans="1:4" ht="13.2">
      <c r="A501" s="17"/>
      <c r="B501" s="30"/>
      <c r="C501" s="31"/>
      <c r="D501" s="31"/>
    </row>
    <row r="502" spans="1:4" ht="13.2">
      <c r="A502" s="17"/>
      <c r="B502" s="30"/>
      <c r="C502" s="31"/>
      <c r="D502" s="31"/>
    </row>
    <row r="503" spans="1:4" ht="13.2">
      <c r="A503" s="17"/>
      <c r="B503" s="30"/>
      <c r="C503" s="31"/>
      <c r="D503" s="31"/>
    </row>
    <row r="504" spans="1:4" ht="13.2">
      <c r="A504" s="17"/>
      <c r="B504" s="30"/>
      <c r="C504" s="31"/>
      <c r="D504" s="31"/>
    </row>
    <row r="505" spans="1:4" ht="13.2">
      <c r="A505" s="17"/>
      <c r="B505" s="30"/>
      <c r="C505" s="31"/>
      <c r="D505" s="31"/>
    </row>
    <row r="506" spans="1:4" ht="13.2">
      <c r="A506" s="17"/>
      <c r="B506" s="30"/>
      <c r="C506" s="31"/>
      <c r="D506" s="31"/>
    </row>
    <row r="507" spans="1:4" ht="13.2">
      <c r="A507" s="17"/>
      <c r="B507" s="30"/>
      <c r="C507" s="31"/>
      <c r="D507" s="31"/>
    </row>
    <row r="508" spans="1:4" ht="13.2">
      <c r="A508" s="17"/>
      <c r="B508" s="30"/>
      <c r="C508" s="31"/>
      <c r="D508" s="31"/>
    </row>
    <row r="509" spans="1:4" ht="13.2">
      <c r="A509" s="17"/>
      <c r="B509" s="30"/>
      <c r="C509" s="31"/>
      <c r="D509" s="31"/>
    </row>
    <row r="510" spans="1:4" ht="13.2">
      <c r="A510" s="17"/>
      <c r="B510" s="30"/>
      <c r="C510" s="31"/>
      <c r="D510" s="31"/>
    </row>
    <row r="511" spans="1:4" ht="13.2">
      <c r="A511" s="17"/>
      <c r="B511" s="30"/>
      <c r="C511" s="31"/>
      <c r="D511" s="31"/>
    </row>
    <row r="512" spans="1:4" ht="13.2">
      <c r="A512" s="17"/>
      <c r="B512" s="30"/>
      <c r="C512" s="31"/>
      <c r="D512" s="31"/>
    </row>
    <row r="513" spans="1:4" ht="13.2">
      <c r="A513" s="17"/>
      <c r="B513" s="30"/>
      <c r="C513" s="31"/>
      <c r="D513" s="31"/>
    </row>
    <row r="514" spans="1:4" ht="13.2">
      <c r="A514" s="17"/>
      <c r="B514" s="30"/>
      <c r="C514" s="31"/>
      <c r="D514" s="31"/>
    </row>
    <row r="515" spans="1:4" ht="13.2">
      <c r="A515" s="17"/>
      <c r="B515" s="30"/>
      <c r="C515" s="31"/>
      <c r="D515" s="31"/>
    </row>
    <row r="516" spans="1:4" ht="13.2">
      <c r="A516" s="17"/>
      <c r="B516" s="30"/>
      <c r="C516" s="31"/>
      <c r="D516" s="31"/>
    </row>
    <row r="517" spans="1:4" ht="13.2">
      <c r="A517" s="17"/>
      <c r="B517" s="30"/>
      <c r="C517" s="31"/>
      <c r="D517" s="31"/>
    </row>
    <row r="518" spans="1:4" ht="13.2">
      <c r="A518" s="17"/>
      <c r="B518" s="30"/>
      <c r="C518" s="31"/>
      <c r="D518" s="31"/>
    </row>
    <row r="519" spans="1:4" ht="13.2">
      <c r="A519" s="17"/>
      <c r="B519" s="30"/>
      <c r="C519" s="31"/>
      <c r="D519" s="31"/>
    </row>
    <row r="520" spans="1:4" ht="13.2">
      <c r="A520" s="17"/>
      <c r="B520" s="30"/>
      <c r="C520" s="31"/>
      <c r="D520" s="31"/>
    </row>
    <row r="521" spans="1:4" ht="13.2">
      <c r="A521" s="17"/>
      <c r="B521" s="30"/>
      <c r="C521" s="31"/>
      <c r="D521" s="31"/>
    </row>
    <row r="522" spans="1:4" ht="13.2">
      <c r="A522" s="17"/>
      <c r="B522" s="30"/>
      <c r="C522" s="31"/>
      <c r="D522" s="31"/>
    </row>
    <row r="523" spans="1:4" ht="13.2">
      <c r="A523" s="17"/>
      <c r="B523" s="30"/>
      <c r="C523" s="31"/>
      <c r="D523" s="31"/>
    </row>
    <row r="524" spans="1:4" ht="13.2">
      <c r="A524" s="17"/>
      <c r="B524" s="30"/>
      <c r="C524" s="31"/>
      <c r="D524" s="31"/>
    </row>
    <row r="525" spans="1:4" ht="13.2">
      <c r="A525" s="17"/>
      <c r="B525" s="30"/>
      <c r="C525" s="31"/>
      <c r="D525" s="31"/>
    </row>
    <row r="526" spans="1:4" ht="13.2">
      <c r="A526" s="17"/>
      <c r="B526" s="30"/>
      <c r="C526" s="31"/>
      <c r="D526" s="31"/>
    </row>
    <row r="527" spans="1:4" ht="13.2">
      <c r="A527" s="17"/>
      <c r="B527" s="30"/>
      <c r="C527" s="31"/>
      <c r="D527" s="31"/>
    </row>
    <row r="528" spans="1:4" ht="13.2">
      <c r="A528" s="17"/>
      <c r="B528" s="30"/>
      <c r="C528" s="31"/>
      <c r="D528" s="31"/>
    </row>
    <row r="529" spans="1:4" ht="13.2">
      <c r="A529" s="17"/>
      <c r="B529" s="30"/>
      <c r="C529" s="31"/>
      <c r="D529" s="31"/>
    </row>
    <row r="530" spans="1:4" ht="13.2">
      <c r="A530" s="17"/>
      <c r="B530" s="30"/>
      <c r="C530" s="31"/>
      <c r="D530" s="31"/>
    </row>
    <row r="531" spans="1:4" ht="13.2">
      <c r="A531" s="17"/>
      <c r="B531" s="30"/>
      <c r="C531" s="31"/>
      <c r="D531" s="31"/>
    </row>
    <row r="532" spans="1:4" ht="13.2">
      <c r="A532" s="17"/>
      <c r="B532" s="30"/>
      <c r="C532" s="31"/>
      <c r="D532" s="31"/>
    </row>
    <row r="533" spans="1:4" ht="13.2">
      <c r="A533" s="17"/>
      <c r="B533" s="30"/>
      <c r="C533" s="31"/>
      <c r="D533" s="31"/>
    </row>
    <row r="534" spans="1:4" ht="13.2">
      <c r="A534" s="17"/>
      <c r="B534" s="30"/>
      <c r="C534" s="31"/>
      <c r="D534" s="31"/>
    </row>
    <row r="535" spans="1:4" ht="13.2">
      <c r="A535" s="17"/>
      <c r="B535" s="30"/>
      <c r="C535" s="31"/>
      <c r="D535" s="31"/>
    </row>
    <row r="536" spans="1:4" ht="13.2">
      <c r="A536" s="17"/>
      <c r="B536" s="30"/>
      <c r="C536" s="31"/>
      <c r="D536" s="31"/>
    </row>
    <row r="537" spans="1:4" ht="13.2">
      <c r="A537" s="17"/>
      <c r="B537" s="30"/>
      <c r="C537" s="31"/>
      <c r="D537" s="31"/>
    </row>
    <row r="538" spans="1:4" ht="13.2">
      <c r="A538" s="17"/>
      <c r="B538" s="30"/>
      <c r="C538" s="31"/>
      <c r="D538" s="31"/>
    </row>
    <row r="539" spans="1:4" ht="13.2">
      <c r="A539" s="17"/>
      <c r="B539" s="30"/>
      <c r="C539" s="31"/>
      <c r="D539" s="31"/>
    </row>
    <row r="540" spans="1:4" ht="13.2">
      <c r="A540" s="17"/>
      <c r="B540" s="30"/>
      <c r="C540" s="31"/>
      <c r="D540" s="31"/>
    </row>
    <row r="541" spans="1:4" ht="13.2">
      <c r="A541" s="17"/>
      <c r="B541" s="30"/>
      <c r="C541" s="31"/>
      <c r="D541" s="31"/>
    </row>
    <row r="542" spans="1:4" ht="13.2">
      <c r="A542" s="17"/>
      <c r="B542" s="30"/>
      <c r="C542" s="31"/>
      <c r="D542" s="31"/>
    </row>
    <row r="543" spans="1:4" ht="13.2">
      <c r="A543" s="17"/>
      <c r="B543" s="30"/>
      <c r="C543" s="31"/>
      <c r="D543" s="31"/>
    </row>
    <row r="544" spans="1:4" ht="13.2">
      <c r="A544" s="17"/>
      <c r="B544" s="30"/>
      <c r="C544" s="31"/>
      <c r="D544" s="31"/>
    </row>
    <row r="545" spans="1:4" ht="13.2">
      <c r="A545" s="17"/>
      <c r="B545" s="30"/>
      <c r="C545" s="31"/>
      <c r="D545" s="31"/>
    </row>
    <row r="546" spans="1:4" ht="13.2">
      <c r="A546" s="17"/>
      <c r="B546" s="30"/>
      <c r="C546" s="31"/>
      <c r="D546" s="31"/>
    </row>
    <row r="547" spans="1:4" ht="13.2">
      <c r="A547" s="17"/>
      <c r="B547" s="30"/>
      <c r="C547" s="31"/>
      <c r="D547" s="31"/>
    </row>
    <row r="548" spans="1:4" ht="13.2">
      <c r="A548" s="17"/>
      <c r="B548" s="30"/>
      <c r="C548" s="31"/>
      <c r="D548" s="31"/>
    </row>
    <row r="549" spans="1:4" ht="13.2">
      <c r="A549" s="17"/>
      <c r="B549" s="30"/>
      <c r="C549" s="31"/>
      <c r="D549" s="31"/>
    </row>
    <row r="550" spans="1:4" ht="13.2">
      <c r="A550" s="17"/>
      <c r="B550" s="30"/>
      <c r="C550" s="31"/>
      <c r="D550" s="31"/>
    </row>
    <row r="551" spans="1:4" ht="13.2">
      <c r="A551" s="17"/>
      <c r="B551" s="30"/>
      <c r="C551" s="31"/>
      <c r="D551" s="31"/>
    </row>
    <row r="552" spans="1:4" ht="13.2">
      <c r="A552" s="17"/>
      <c r="B552" s="30"/>
      <c r="C552" s="31"/>
      <c r="D552" s="31"/>
    </row>
    <row r="553" spans="1:4" ht="13.2">
      <c r="A553" s="17"/>
      <c r="B553" s="30"/>
      <c r="C553" s="31"/>
      <c r="D553" s="31"/>
    </row>
    <row r="554" spans="1:4" ht="13.2">
      <c r="A554" s="17"/>
      <c r="B554" s="30"/>
      <c r="C554" s="31"/>
      <c r="D554" s="31"/>
    </row>
    <row r="555" spans="1:4" ht="13.2">
      <c r="A555" s="17"/>
      <c r="B555" s="30"/>
      <c r="C555" s="31"/>
      <c r="D555" s="31"/>
    </row>
    <row r="556" spans="1:4" ht="13.2">
      <c r="A556" s="17"/>
      <c r="B556" s="30"/>
      <c r="C556" s="31"/>
      <c r="D556" s="31"/>
    </row>
    <row r="557" spans="1:4" ht="13.2">
      <c r="A557" s="17"/>
      <c r="B557" s="30"/>
      <c r="C557" s="31"/>
      <c r="D557" s="31"/>
    </row>
    <row r="558" spans="1:4" ht="13.2">
      <c r="A558" s="17"/>
      <c r="B558" s="30"/>
      <c r="C558" s="31"/>
      <c r="D558" s="31"/>
    </row>
    <row r="559" spans="1:4" ht="13.2">
      <c r="A559" s="17"/>
      <c r="B559" s="30"/>
      <c r="C559" s="31"/>
      <c r="D559" s="31"/>
    </row>
    <row r="560" spans="1:4" ht="13.2">
      <c r="A560" s="17"/>
      <c r="B560" s="30"/>
      <c r="C560" s="31"/>
      <c r="D560" s="31"/>
    </row>
    <row r="561" spans="1:4" ht="13.2">
      <c r="A561" s="17"/>
      <c r="B561" s="30"/>
      <c r="C561" s="31"/>
      <c r="D561" s="31"/>
    </row>
    <row r="562" spans="1:4" ht="13.2">
      <c r="A562" s="17"/>
      <c r="B562" s="30"/>
      <c r="C562" s="31"/>
      <c r="D562" s="31"/>
    </row>
    <row r="563" spans="1:4" ht="13.2">
      <c r="A563" s="17"/>
      <c r="B563" s="30"/>
      <c r="C563" s="31"/>
      <c r="D563" s="31"/>
    </row>
    <row r="564" spans="1:4" ht="13.2">
      <c r="A564" s="17"/>
      <c r="B564" s="30"/>
      <c r="C564" s="31"/>
      <c r="D564" s="31"/>
    </row>
    <row r="565" spans="1:4" ht="13.2">
      <c r="A565" s="17"/>
      <c r="B565" s="30"/>
      <c r="C565" s="31"/>
      <c r="D565" s="31"/>
    </row>
    <row r="566" spans="1:4" ht="13.2">
      <c r="A566" s="17"/>
      <c r="B566" s="30"/>
      <c r="C566" s="31"/>
      <c r="D566" s="31"/>
    </row>
    <row r="567" spans="1:4" ht="13.2">
      <c r="A567" s="17"/>
      <c r="B567" s="30"/>
      <c r="C567" s="31"/>
      <c r="D567" s="31"/>
    </row>
    <row r="568" spans="1:4" ht="13.2">
      <c r="A568" s="17"/>
      <c r="B568" s="30"/>
      <c r="C568" s="31"/>
      <c r="D568" s="31"/>
    </row>
    <row r="569" spans="1:4" ht="13.2">
      <c r="A569" s="17"/>
      <c r="B569" s="30"/>
      <c r="C569" s="31"/>
      <c r="D569" s="31"/>
    </row>
    <row r="570" spans="1:4" ht="13.2">
      <c r="A570" s="17"/>
      <c r="B570" s="30"/>
      <c r="C570" s="31"/>
      <c r="D570" s="31"/>
    </row>
    <row r="571" spans="1:4" ht="13.2">
      <c r="A571" s="17"/>
      <c r="B571" s="30"/>
      <c r="C571" s="31"/>
      <c r="D571" s="31"/>
    </row>
    <row r="572" spans="1:4" ht="13.2">
      <c r="A572" s="17"/>
      <c r="B572" s="30"/>
      <c r="C572" s="31"/>
      <c r="D572" s="31"/>
    </row>
    <row r="573" spans="1:4" ht="13.2">
      <c r="A573" s="17"/>
      <c r="B573" s="30"/>
      <c r="C573" s="31"/>
      <c r="D573" s="31"/>
    </row>
    <row r="574" spans="1:4" ht="13.2">
      <c r="A574" s="17"/>
      <c r="B574" s="30"/>
      <c r="C574" s="31"/>
      <c r="D574" s="31"/>
    </row>
    <row r="575" spans="1:4" ht="13.2">
      <c r="A575" s="17"/>
      <c r="B575" s="30"/>
      <c r="C575" s="31"/>
      <c r="D575" s="31"/>
    </row>
    <row r="576" spans="1:4" ht="13.2">
      <c r="A576" s="17"/>
      <c r="B576" s="30"/>
      <c r="C576" s="31"/>
      <c r="D576" s="31"/>
    </row>
    <row r="577" spans="1:4" ht="13.2">
      <c r="A577" s="17"/>
      <c r="B577" s="30"/>
      <c r="C577" s="31"/>
      <c r="D577" s="31"/>
    </row>
    <row r="578" spans="1:4" ht="13.2">
      <c r="A578" s="17"/>
      <c r="B578" s="30"/>
      <c r="C578" s="31"/>
      <c r="D578" s="31"/>
    </row>
    <row r="579" spans="1:4" ht="13.2">
      <c r="A579" s="17"/>
      <c r="B579" s="30"/>
      <c r="C579" s="31"/>
      <c r="D579" s="31"/>
    </row>
    <row r="580" spans="1:4" ht="13.2">
      <c r="A580" s="17"/>
      <c r="B580" s="30"/>
      <c r="C580" s="31"/>
      <c r="D580" s="31"/>
    </row>
    <row r="581" spans="1:4" ht="13.2">
      <c r="A581" s="17"/>
      <c r="B581" s="30"/>
      <c r="C581" s="31"/>
      <c r="D581" s="31"/>
    </row>
    <row r="582" spans="1:4" ht="13.2">
      <c r="A582" s="17"/>
      <c r="B582" s="30"/>
      <c r="C582" s="31"/>
      <c r="D582" s="31"/>
    </row>
    <row r="583" spans="1:4" ht="13.2">
      <c r="A583" s="17"/>
      <c r="B583" s="30"/>
      <c r="C583" s="31"/>
      <c r="D583" s="31"/>
    </row>
    <row r="584" spans="1:4" ht="13.2">
      <c r="A584" s="17"/>
      <c r="B584" s="30"/>
      <c r="C584" s="31"/>
      <c r="D584" s="31"/>
    </row>
    <row r="585" spans="1:4" ht="13.2">
      <c r="A585" s="17"/>
      <c r="B585" s="30"/>
      <c r="C585" s="31"/>
      <c r="D585" s="31"/>
    </row>
    <row r="586" spans="1:4" ht="13.2">
      <c r="A586" s="17"/>
      <c r="B586" s="30"/>
      <c r="C586" s="31"/>
      <c r="D586" s="31"/>
    </row>
    <row r="587" spans="1:4" ht="13.2">
      <c r="A587" s="17"/>
      <c r="B587" s="30"/>
      <c r="C587" s="31"/>
      <c r="D587" s="31"/>
    </row>
    <row r="588" spans="1:4" ht="13.2">
      <c r="A588" s="17"/>
      <c r="B588" s="30"/>
      <c r="C588" s="31"/>
      <c r="D588" s="31"/>
    </row>
    <row r="589" spans="1:4" ht="13.2">
      <c r="A589" s="17"/>
      <c r="B589" s="30"/>
      <c r="C589" s="31"/>
      <c r="D589" s="31"/>
    </row>
    <row r="590" spans="1:4" ht="13.2">
      <c r="A590" s="17"/>
      <c r="B590" s="30"/>
      <c r="C590" s="31"/>
      <c r="D590" s="31"/>
    </row>
    <row r="591" spans="1:4" ht="13.2">
      <c r="A591" s="17"/>
      <c r="B591" s="30"/>
      <c r="C591" s="31"/>
      <c r="D591" s="31"/>
    </row>
    <row r="592" spans="1:4" ht="13.2">
      <c r="A592" s="17"/>
      <c r="B592" s="30"/>
      <c r="C592" s="31"/>
      <c r="D592" s="31"/>
    </row>
    <row r="593" spans="1:4" ht="13.2">
      <c r="A593" s="17"/>
      <c r="B593" s="30"/>
      <c r="C593" s="31"/>
      <c r="D593" s="31"/>
    </row>
    <row r="594" spans="1:4" ht="13.2">
      <c r="A594" s="17"/>
      <c r="B594" s="30"/>
      <c r="C594" s="31"/>
      <c r="D594" s="31"/>
    </row>
    <row r="595" spans="1:4" ht="13.2">
      <c r="A595" s="17"/>
      <c r="B595" s="30"/>
      <c r="C595" s="31"/>
      <c r="D595" s="31"/>
    </row>
    <row r="596" spans="1:4" ht="13.2">
      <c r="A596" s="17"/>
      <c r="B596" s="30"/>
      <c r="C596" s="31"/>
      <c r="D596" s="31"/>
    </row>
    <row r="597" spans="1:4" ht="13.2">
      <c r="A597" s="17"/>
      <c r="B597" s="30"/>
      <c r="C597" s="31"/>
      <c r="D597" s="31"/>
    </row>
    <row r="598" spans="1:4" ht="13.2">
      <c r="A598" s="17"/>
      <c r="B598" s="30"/>
      <c r="C598" s="31"/>
      <c r="D598" s="31"/>
    </row>
    <row r="599" spans="1:4" ht="13.2">
      <c r="A599" s="17"/>
      <c r="B599" s="30"/>
      <c r="C599" s="31"/>
      <c r="D599" s="31"/>
    </row>
    <row r="600" spans="1:4" ht="13.2">
      <c r="A600" s="17"/>
      <c r="B600" s="30"/>
      <c r="C600" s="31"/>
      <c r="D600" s="31"/>
    </row>
    <row r="601" spans="1:4" ht="13.2">
      <c r="A601" s="17"/>
      <c r="B601" s="30"/>
      <c r="C601" s="31"/>
      <c r="D601" s="31"/>
    </row>
    <row r="602" spans="1:4" ht="13.2">
      <c r="A602" s="17"/>
      <c r="B602" s="30"/>
      <c r="C602" s="31"/>
      <c r="D602" s="31"/>
    </row>
    <row r="603" spans="1:4" ht="13.2">
      <c r="A603" s="17"/>
      <c r="B603" s="30"/>
      <c r="C603" s="31"/>
      <c r="D603" s="31"/>
    </row>
    <row r="604" spans="1:4" ht="13.2">
      <c r="A604" s="17"/>
      <c r="B604" s="30"/>
      <c r="C604" s="31"/>
      <c r="D604" s="31"/>
    </row>
    <row r="605" spans="1:4" ht="13.2">
      <c r="A605" s="17"/>
      <c r="B605" s="30"/>
      <c r="C605" s="31"/>
      <c r="D605" s="31"/>
    </row>
    <row r="606" spans="1:4" ht="13.2">
      <c r="A606" s="17"/>
      <c r="B606" s="30"/>
      <c r="C606" s="31"/>
      <c r="D606" s="31"/>
    </row>
    <row r="607" spans="1:4" ht="13.2">
      <c r="A607" s="17"/>
      <c r="B607" s="30"/>
      <c r="C607" s="31"/>
      <c r="D607" s="31"/>
    </row>
    <row r="608" spans="1:4" ht="13.2">
      <c r="A608" s="17"/>
      <c r="B608" s="30"/>
      <c r="C608" s="31"/>
      <c r="D608" s="31"/>
    </row>
    <row r="609" spans="1:4" ht="13.2">
      <c r="A609" s="17"/>
      <c r="B609" s="30"/>
      <c r="C609" s="31"/>
      <c r="D609" s="31"/>
    </row>
    <row r="610" spans="1:4" ht="13.2">
      <c r="A610" s="17"/>
      <c r="B610" s="30"/>
      <c r="C610" s="31"/>
      <c r="D610" s="31"/>
    </row>
    <row r="611" spans="1:4" ht="13.2">
      <c r="A611" s="17"/>
      <c r="B611" s="30"/>
      <c r="C611" s="31"/>
      <c r="D611" s="31"/>
    </row>
    <row r="612" spans="1:4" ht="13.2">
      <c r="A612" s="17"/>
      <c r="B612" s="30"/>
      <c r="C612" s="31"/>
      <c r="D612" s="31"/>
    </row>
    <row r="613" spans="1:4" ht="13.2">
      <c r="A613" s="17"/>
      <c r="B613" s="30"/>
      <c r="C613" s="31"/>
      <c r="D613" s="31"/>
    </row>
    <row r="614" spans="1:4" ht="13.2">
      <c r="A614" s="17"/>
      <c r="B614" s="30"/>
      <c r="C614" s="31"/>
      <c r="D614" s="31"/>
    </row>
    <row r="615" spans="1:4" ht="13.2">
      <c r="A615" s="17"/>
      <c r="B615" s="30"/>
      <c r="C615" s="31"/>
      <c r="D615" s="31"/>
    </row>
    <row r="616" spans="1:4" ht="13.2">
      <c r="A616" s="17"/>
      <c r="B616" s="30"/>
      <c r="C616" s="31"/>
      <c r="D616" s="31"/>
    </row>
    <row r="617" spans="1:4" ht="13.2">
      <c r="A617" s="17"/>
      <c r="B617" s="30"/>
      <c r="C617" s="31"/>
      <c r="D617" s="31"/>
    </row>
    <row r="618" spans="1:4" ht="13.2">
      <c r="A618" s="17"/>
      <c r="B618" s="30"/>
      <c r="C618" s="31"/>
      <c r="D618" s="31"/>
    </row>
    <row r="619" spans="1:4" ht="13.2">
      <c r="A619" s="17"/>
      <c r="B619" s="30"/>
      <c r="C619" s="31"/>
      <c r="D619" s="31"/>
    </row>
    <row r="620" spans="1:4" ht="13.2">
      <c r="A620" s="17"/>
      <c r="B620" s="30"/>
      <c r="C620" s="31"/>
      <c r="D620" s="31"/>
    </row>
    <row r="621" spans="1:4" ht="13.2">
      <c r="A621" s="17"/>
      <c r="B621" s="30"/>
      <c r="C621" s="31"/>
      <c r="D621" s="31"/>
    </row>
    <row r="622" spans="1:4" ht="13.2">
      <c r="A622" s="17"/>
      <c r="B622" s="30"/>
      <c r="C622" s="31"/>
      <c r="D622" s="31"/>
    </row>
    <row r="623" spans="1:4" ht="13.2">
      <c r="A623" s="17"/>
      <c r="B623" s="30"/>
      <c r="C623" s="31"/>
      <c r="D623" s="31"/>
    </row>
    <row r="624" spans="1:4" ht="13.2">
      <c r="A624" s="17"/>
      <c r="B624" s="30"/>
      <c r="C624" s="31"/>
      <c r="D624" s="31"/>
    </row>
    <row r="625" spans="1:4" ht="13.2">
      <c r="A625" s="17"/>
      <c r="B625" s="30"/>
      <c r="C625" s="31"/>
      <c r="D625" s="31"/>
    </row>
    <row r="626" spans="1:4" ht="13.2">
      <c r="A626" s="17"/>
      <c r="B626" s="30"/>
      <c r="C626" s="31"/>
      <c r="D626" s="31"/>
    </row>
    <row r="627" spans="1:4" ht="13.2">
      <c r="A627" s="17"/>
      <c r="B627" s="30"/>
      <c r="C627" s="31"/>
      <c r="D627" s="31"/>
    </row>
    <row r="628" spans="1:4" ht="13.2">
      <c r="A628" s="17"/>
      <c r="B628" s="30"/>
      <c r="C628" s="31"/>
      <c r="D628" s="31"/>
    </row>
    <row r="629" spans="1:4" ht="13.2">
      <c r="A629" s="17"/>
      <c r="B629" s="30"/>
      <c r="C629" s="31"/>
      <c r="D629" s="31"/>
    </row>
    <row r="630" spans="1:4" ht="13.2">
      <c r="A630" s="17"/>
      <c r="B630" s="30"/>
      <c r="C630" s="31"/>
      <c r="D630" s="31"/>
    </row>
    <row r="631" spans="1:4" ht="13.2">
      <c r="A631" s="17"/>
      <c r="B631" s="30"/>
      <c r="C631" s="31"/>
      <c r="D631" s="31"/>
    </row>
    <row r="632" spans="1:4" ht="13.2">
      <c r="A632" s="17"/>
      <c r="B632" s="30"/>
      <c r="C632" s="31"/>
      <c r="D632" s="31"/>
    </row>
    <row r="633" spans="1:4" ht="13.2">
      <c r="A633" s="17"/>
      <c r="B633" s="30"/>
      <c r="C633" s="31"/>
      <c r="D633" s="31"/>
    </row>
    <row r="634" spans="1:4" ht="13.2">
      <c r="A634" s="17"/>
      <c r="B634" s="30"/>
      <c r="C634" s="31"/>
      <c r="D634" s="31"/>
    </row>
    <row r="635" spans="1:4" ht="13.2">
      <c r="A635" s="17"/>
      <c r="B635" s="30"/>
      <c r="C635" s="31"/>
      <c r="D635" s="31"/>
    </row>
    <row r="636" spans="1:4" ht="13.2">
      <c r="A636" s="17"/>
      <c r="B636" s="30"/>
      <c r="C636" s="31"/>
      <c r="D636" s="31"/>
    </row>
    <row r="637" spans="1:4" ht="13.2">
      <c r="A637" s="17"/>
      <c r="B637" s="30"/>
      <c r="C637" s="31"/>
      <c r="D637" s="31"/>
    </row>
    <row r="638" spans="1:4" ht="13.2">
      <c r="A638" s="17"/>
      <c r="B638" s="30"/>
      <c r="C638" s="31"/>
      <c r="D638" s="31"/>
    </row>
    <row r="639" spans="1:4" ht="13.2">
      <c r="A639" s="17"/>
      <c r="B639" s="30"/>
      <c r="C639" s="31"/>
      <c r="D639" s="31"/>
    </row>
    <row r="640" spans="1:4" ht="13.2">
      <c r="A640" s="17"/>
      <c r="B640" s="30"/>
      <c r="C640" s="31"/>
      <c r="D640" s="31"/>
    </row>
    <row r="641" spans="1:4" ht="13.2">
      <c r="A641" s="17"/>
      <c r="B641" s="30"/>
      <c r="C641" s="31"/>
      <c r="D641" s="31"/>
    </row>
    <row r="642" spans="1:4" ht="13.2">
      <c r="A642" s="17"/>
      <c r="B642" s="30"/>
      <c r="C642" s="31"/>
      <c r="D642" s="31"/>
    </row>
    <row r="643" spans="1:4" ht="13.2">
      <c r="A643" s="17"/>
      <c r="B643" s="30"/>
      <c r="C643" s="31"/>
      <c r="D643" s="31"/>
    </row>
    <row r="644" spans="1:4" ht="13.2">
      <c r="A644" s="17"/>
      <c r="B644" s="30"/>
      <c r="C644" s="31"/>
      <c r="D644" s="31"/>
    </row>
    <row r="645" spans="1:4" ht="13.2">
      <c r="A645" s="17"/>
      <c r="B645" s="30"/>
      <c r="C645" s="31"/>
      <c r="D645" s="31"/>
    </row>
    <row r="646" spans="1:4" ht="13.2">
      <c r="A646" s="17"/>
      <c r="B646" s="30"/>
      <c r="C646" s="31"/>
      <c r="D646" s="31"/>
    </row>
    <row r="647" spans="1:4" ht="13.2">
      <c r="A647" s="17"/>
      <c r="B647" s="30"/>
      <c r="C647" s="31"/>
      <c r="D647" s="31"/>
    </row>
    <row r="648" spans="1:4" ht="13.2">
      <c r="A648" s="17"/>
      <c r="B648" s="30"/>
      <c r="C648" s="31"/>
      <c r="D648" s="31"/>
    </row>
    <row r="649" spans="1:4" ht="13.2">
      <c r="A649" s="17"/>
      <c r="B649" s="30"/>
      <c r="C649" s="31"/>
      <c r="D649" s="31"/>
    </row>
    <row r="650" spans="1:4" ht="13.2">
      <c r="A650" s="17"/>
      <c r="B650" s="30"/>
      <c r="C650" s="31"/>
      <c r="D650" s="31"/>
    </row>
    <row r="651" spans="1:4" ht="13.2">
      <c r="A651" s="17"/>
      <c r="B651" s="30"/>
      <c r="C651" s="31"/>
      <c r="D651" s="31"/>
    </row>
    <row r="652" spans="1:4" ht="13.2">
      <c r="A652" s="17"/>
      <c r="B652" s="30"/>
      <c r="C652" s="31"/>
      <c r="D652" s="31"/>
    </row>
    <row r="653" spans="1:4" ht="13.2">
      <c r="A653" s="17"/>
      <c r="B653" s="30"/>
      <c r="C653" s="31"/>
      <c r="D653" s="31"/>
    </row>
    <row r="654" spans="1:4" ht="13.2">
      <c r="A654" s="17"/>
      <c r="B654" s="30"/>
      <c r="C654" s="31"/>
      <c r="D654" s="31"/>
    </row>
    <row r="655" spans="1:4" ht="13.2">
      <c r="A655" s="17"/>
      <c r="B655" s="30"/>
      <c r="C655" s="31"/>
      <c r="D655" s="31"/>
    </row>
    <row r="656" spans="1:4" ht="13.2">
      <c r="A656" s="17"/>
      <c r="B656" s="30"/>
      <c r="C656" s="31"/>
      <c r="D656" s="31"/>
    </row>
    <row r="657" spans="1:4" ht="13.2">
      <c r="A657" s="17"/>
      <c r="B657" s="30"/>
      <c r="C657" s="31"/>
      <c r="D657" s="31"/>
    </row>
    <row r="658" spans="1:4" ht="13.2">
      <c r="A658" s="17"/>
      <c r="B658" s="30"/>
      <c r="C658" s="31"/>
      <c r="D658" s="31"/>
    </row>
    <row r="659" spans="1:4" ht="13.2">
      <c r="A659" s="17"/>
      <c r="B659" s="30"/>
      <c r="C659" s="31"/>
      <c r="D659" s="31"/>
    </row>
    <row r="660" spans="1:4" ht="13.2">
      <c r="A660" s="17"/>
      <c r="B660" s="30"/>
      <c r="C660" s="31"/>
      <c r="D660" s="31"/>
    </row>
    <row r="661" spans="1:4" ht="13.2">
      <c r="A661" s="17"/>
      <c r="B661" s="30"/>
      <c r="C661" s="31"/>
      <c r="D661" s="31"/>
    </row>
    <row r="662" spans="1:4" ht="13.2">
      <c r="A662" s="17"/>
      <c r="B662" s="30"/>
      <c r="C662" s="31"/>
      <c r="D662" s="31"/>
    </row>
    <row r="663" spans="1:4" ht="13.2">
      <c r="A663" s="17"/>
      <c r="B663" s="30"/>
      <c r="C663" s="31"/>
      <c r="D663" s="31"/>
    </row>
    <row r="664" spans="1:4" ht="13.2">
      <c r="A664" s="17"/>
      <c r="B664" s="30"/>
      <c r="C664" s="31"/>
      <c r="D664" s="31"/>
    </row>
    <row r="665" spans="1:4" ht="13.2">
      <c r="A665" s="17"/>
      <c r="B665" s="30"/>
      <c r="C665" s="31"/>
      <c r="D665" s="31"/>
    </row>
    <row r="666" spans="1:4" ht="13.2">
      <c r="A666" s="17"/>
      <c r="B666" s="30"/>
      <c r="C666" s="31"/>
      <c r="D666" s="31"/>
    </row>
    <row r="667" spans="1:4" ht="13.2">
      <c r="A667" s="17"/>
      <c r="B667" s="30"/>
      <c r="C667" s="31"/>
      <c r="D667" s="31"/>
    </row>
    <row r="668" spans="1:4" ht="13.2">
      <c r="A668" s="17"/>
      <c r="B668" s="30"/>
      <c r="C668" s="31"/>
      <c r="D668" s="31"/>
    </row>
    <row r="669" spans="1:4" ht="13.2">
      <c r="A669" s="17"/>
      <c r="B669" s="30"/>
      <c r="C669" s="31"/>
      <c r="D669" s="31"/>
    </row>
    <row r="670" spans="1:4" ht="13.2">
      <c r="A670" s="17"/>
      <c r="B670" s="30"/>
      <c r="C670" s="31"/>
      <c r="D670" s="31"/>
    </row>
    <row r="671" spans="1:4" ht="13.2">
      <c r="A671" s="17"/>
      <c r="B671" s="30"/>
      <c r="C671" s="31"/>
      <c r="D671" s="31"/>
    </row>
    <row r="672" spans="1:4" ht="13.2">
      <c r="A672" s="17"/>
      <c r="B672" s="30"/>
      <c r="C672" s="31"/>
      <c r="D672" s="31"/>
    </row>
    <row r="673" spans="1:4" ht="13.2">
      <c r="A673" s="17"/>
      <c r="B673" s="30"/>
      <c r="C673" s="31"/>
      <c r="D673" s="31"/>
    </row>
    <row r="674" spans="1:4" ht="13.2">
      <c r="A674" s="17"/>
      <c r="B674" s="30"/>
      <c r="C674" s="31"/>
      <c r="D674" s="31"/>
    </row>
    <row r="675" spans="1:4" ht="13.2">
      <c r="A675" s="17"/>
      <c r="B675" s="30"/>
      <c r="C675" s="31"/>
      <c r="D675" s="31"/>
    </row>
    <row r="676" spans="1:4" ht="13.2">
      <c r="A676" s="17"/>
      <c r="B676" s="30"/>
      <c r="C676" s="31"/>
      <c r="D676" s="31"/>
    </row>
    <row r="677" spans="1:4" ht="13.2">
      <c r="A677" s="17"/>
      <c r="B677" s="30"/>
      <c r="C677" s="31"/>
      <c r="D677" s="31"/>
    </row>
    <row r="678" spans="1:4" ht="13.2">
      <c r="A678" s="17"/>
      <c r="B678" s="30"/>
      <c r="C678" s="31"/>
      <c r="D678" s="31"/>
    </row>
    <row r="679" spans="1:4" ht="13.2">
      <c r="A679" s="17"/>
      <c r="B679" s="30"/>
      <c r="C679" s="31"/>
      <c r="D679" s="31"/>
    </row>
    <row r="680" spans="1:4" ht="13.2">
      <c r="A680" s="17"/>
      <c r="B680" s="30"/>
      <c r="C680" s="31"/>
      <c r="D680" s="31"/>
    </row>
    <row r="681" spans="1:4" ht="13.2">
      <c r="A681" s="17"/>
      <c r="B681" s="30"/>
      <c r="C681" s="31"/>
      <c r="D681" s="31"/>
    </row>
    <row r="682" spans="1:4" ht="13.2">
      <c r="A682" s="17"/>
      <c r="B682" s="30"/>
      <c r="C682" s="31"/>
      <c r="D682" s="31"/>
    </row>
    <row r="683" spans="1:4" ht="13.2">
      <c r="A683" s="17"/>
      <c r="B683" s="30"/>
      <c r="C683" s="31"/>
      <c r="D683" s="31"/>
    </row>
    <row r="684" spans="1:4" ht="13.2">
      <c r="A684" s="17"/>
      <c r="B684" s="30"/>
      <c r="C684" s="31"/>
      <c r="D684" s="31"/>
    </row>
    <row r="685" spans="1:4" ht="13.2">
      <c r="A685" s="17"/>
      <c r="B685" s="30"/>
      <c r="C685" s="31"/>
      <c r="D685" s="31"/>
    </row>
    <row r="686" spans="1:4" ht="13.2">
      <c r="A686" s="17"/>
      <c r="B686" s="30"/>
      <c r="C686" s="31"/>
      <c r="D686" s="31"/>
    </row>
    <row r="687" spans="1:4" ht="13.2">
      <c r="A687" s="17"/>
      <c r="B687" s="30"/>
      <c r="C687" s="31"/>
      <c r="D687" s="31"/>
    </row>
    <row r="688" spans="1:4" ht="13.2">
      <c r="A688" s="17"/>
      <c r="B688" s="30"/>
      <c r="C688" s="31"/>
      <c r="D688" s="31"/>
    </row>
    <row r="689" spans="1:4" ht="13.2">
      <c r="A689" s="17"/>
      <c r="B689" s="30"/>
      <c r="C689" s="31"/>
      <c r="D689" s="31"/>
    </row>
    <row r="690" spans="1:4" ht="13.2">
      <c r="A690" s="17"/>
      <c r="B690" s="30"/>
      <c r="C690" s="31"/>
      <c r="D690" s="31"/>
    </row>
    <row r="691" spans="1:4" ht="13.2">
      <c r="A691" s="17"/>
      <c r="B691" s="30"/>
      <c r="C691" s="31"/>
      <c r="D691" s="31"/>
    </row>
    <row r="692" spans="1:4" ht="13.2">
      <c r="A692" s="17"/>
      <c r="B692" s="30"/>
      <c r="C692" s="31"/>
      <c r="D692" s="31"/>
    </row>
    <row r="693" spans="1:4" ht="13.2">
      <c r="A693" s="17"/>
      <c r="B693" s="30"/>
      <c r="C693" s="31"/>
      <c r="D693" s="31"/>
    </row>
    <row r="694" spans="1:4" ht="13.2">
      <c r="A694" s="17"/>
      <c r="B694" s="30"/>
      <c r="C694" s="31"/>
      <c r="D694" s="31"/>
    </row>
    <row r="695" spans="1:4" ht="13.2">
      <c r="A695" s="17"/>
      <c r="B695" s="30"/>
      <c r="C695" s="31"/>
      <c r="D695" s="31"/>
    </row>
    <row r="696" spans="1:4" ht="13.2">
      <c r="A696" s="17"/>
      <c r="B696" s="30"/>
      <c r="C696" s="31"/>
      <c r="D696" s="31"/>
    </row>
    <row r="697" spans="1:4" ht="13.2">
      <c r="A697" s="17"/>
      <c r="B697" s="30"/>
      <c r="C697" s="31"/>
      <c r="D697" s="31"/>
    </row>
    <row r="698" spans="1:4" ht="13.2">
      <c r="A698" s="17"/>
      <c r="B698" s="30"/>
      <c r="C698" s="31"/>
      <c r="D698" s="31"/>
    </row>
    <row r="699" spans="1:4" ht="13.2">
      <c r="A699" s="17"/>
      <c r="B699" s="30"/>
      <c r="C699" s="31"/>
      <c r="D699" s="31"/>
    </row>
    <row r="700" spans="1:4" ht="13.2">
      <c r="A700" s="17"/>
      <c r="B700" s="30"/>
      <c r="C700" s="31"/>
      <c r="D700" s="31"/>
    </row>
    <row r="701" spans="1:4" ht="13.2">
      <c r="A701" s="17"/>
      <c r="B701" s="30"/>
      <c r="C701" s="31"/>
      <c r="D701" s="31"/>
    </row>
    <row r="702" spans="1:4" ht="13.2">
      <c r="A702" s="17"/>
      <c r="B702" s="30"/>
      <c r="C702" s="31"/>
      <c r="D702" s="31"/>
    </row>
    <row r="703" spans="1:4" ht="13.2">
      <c r="A703" s="17"/>
      <c r="B703" s="30"/>
      <c r="C703" s="31"/>
      <c r="D703" s="31"/>
    </row>
    <row r="704" spans="1:4" ht="13.2">
      <c r="A704" s="17"/>
      <c r="B704" s="30"/>
      <c r="C704" s="31"/>
      <c r="D704" s="31"/>
    </row>
    <row r="705" spans="1:4" ht="13.2">
      <c r="A705" s="17"/>
      <c r="B705" s="30"/>
      <c r="C705" s="31"/>
      <c r="D705" s="31"/>
    </row>
    <row r="706" spans="1:4" ht="13.2">
      <c r="A706" s="17"/>
      <c r="B706" s="30"/>
      <c r="C706" s="31"/>
      <c r="D706" s="31"/>
    </row>
    <row r="707" spans="1:4" ht="13.2">
      <c r="A707" s="17"/>
      <c r="B707" s="30"/>
      <c r="C707" s="31"/>
      <c r="D707" s="31"/>
    </row>
    <row r="708" spans="1:4" ht="13.2">
      <c r="A708" s="17"/>
      <c r="B708" s="30"/>
      <c r="C708" s="31"/>
      <c r="D708" s="31"/>
    </row>
    <row r="709" spans="1:4" ht="13.2">
      <c r="A709" s="17"/>
      <c r="B709" s="30"/>
      <c r="C709" s="31"/>
      <c r="D709" s="31"/>
    </row>
    <row r="710" spans="1:4" ht="13.2">
      <c r="A710" s="17"/>
      <c r="B710" s="30"/>
      <c r="C710" s="31"/>
      <c r="D710" s="31"/>
    </row>
    <row r="711" spans="1:4" ht="13.2">
      <c r="A711" s="17"/>
      <c r="B711" s="30"/>
      <c r="C711" s="31"/>
      <c r="D711" s="31"/>
    </row>
    <row r="712" spans="1:4" ht="13.2">
      <c r="A712" s="17"/>
      <c r="B712" s="30"/>
      <c r="C712" s="31"/>
      <c r="D712" s="31"/>
    </row>
    <row r="713" spans="1:4" ht="13.2">
      <c r="A713" s="17"/>
      <c r="B713" s="30"/>
      <c r="C713" s="31"/>
      <c r="D713" s="31"/>
    </row>
    <row r="714" spans="1:4" ht="13.2">
      <c r="A714" s="17"/>
      <c r="B714" s="30"/>
      <c r="C714" s="31"/>
      <c r="D714" s="31"/>
    </row>
    <row r="715" spans="1:4" ht="13.2">
      <c r="A715" s="17"/>
      <c r="B715" s="30"/>
      <c r="C715" s="31"/>
      <c r="D715" s="31"/>
    </row>
    <row r="716" spans="1:4" ht="13.2">
      <c r="A716" s="17"/>
      <c r="B716" s="30"/>
      <c r="C716" s="31"/>
      <c r="D716" s="31"/>
    </row>
    <row r="717" spans="1:4" ht="13.2">
      <c r="A717" s="17"/>
      <c r="B717" s="30"/>
      <c r="C717" s="31"/>
      <c r="D717" s="31"/>
    </row>
    <row r="718" spans="1:4" ht="13.2">
      <c r="A718" s="17"/>
      <c r="B718" s="30"/>
      <c r="C718" s="31"/>
      <c r="D718" s="31"/>
    </row>
    <row r="719" spans="1:4" ht="13.2">
      <c r="A719" s="17"/>
      <c r="B719" s="30"/>
      <c r="C719" s="31"/>
      <c r="D719" s="31"/>
    </row>
    <row r="720" spans="1:4" ht="13.2">
      <c r="A720" s="17"/>
      <c r="B720" s="30"/>
      <c r="C720" s="31"/>
      <c r="D720" s="31"/>
    </row>
    <row r="721" spans="1:4" ht="13.2">
      <c r="A721" s="17"/>
      <c r="B721" s="30"/>
      <c r="C721" s="31"/>
      <c r="D721" s="31"/>
    </row>
    <row r="722" spans="1:4" ht="13.2">
      <c r="A722" s="17"/>
      <c r="B722" s="30"/>
      <c r="C722" s="31"/>
      <c r="D722" s="31"/>
    </row>
    <row r="723" spans="1:4" ht="13.2">
      <c r="A723" s="17"/>
      <c r="B723" s="30"/>
      <c r="C723" s="31"/>
      <c r="D723" s="31"/>
    </row>
    <row r="724" spans="1:4" ht="13.2">
      <c r="A724" s="17"/>
      <c r="B724" s="30"/>
      <c r="C724" s="31"/>
      <c r="D724" s="31"/>
    </row>
    <row r="725" spans="1:4" ht="13.2">
      <c r="A725" s="17"/>
      <c r="B725" s="30"/>
      <c r="C725" s="31"/>
      <c r="D725" s="31"/>
    </row>
    <row r="726" spans="1:4" ht="13.2">
      <c r="A726" s="17"/>
      <c r="B726" s="30"/>
      <c r="C726" s="31"/>
      <c r="D726" s="31"/>
    </row>
    <row r="727" spans="1:4" ht="13.2">
      <c r="A727" s="17"/>
      <c r="B727" s="30"/>
      <c r="C727" s="31"/>
      <c r="D727" s="31"/>
    </row>
    <row r="728" spans="1:4" ht="13.2">
      <c r="A728" s="17"/>
      <c r="B728" s="30"/>
      <c r="C728" s="31"/>
      <c r="D728" s="31"/>
    </row>
    <row r="729" spans="1:4" ht="13.2">
      <c r="A729" s="17"/>
      <c r="B729" s="30"/>
      <c r="C729" s="31"/>
      <c r="D729" s="31"/>
    </row>
    <row r="730" spans="1:4" ht="13.2">
      <c r="A730" s="17"/>
      <c r="B730" s="30"/>
      <c r="C730" s="31"/>
      <c r="D730" s="31"/>
    </row>
    <row r="731" spans="1:4" ht="13.2">
      <c r="A731" s="17"/>
      <c r="B731" s="30"/>
      <c r="C731" s="31"/>
      <c r="D731" s="31"/>
    </row>
    <row r="732" spans="1:4" ht="13.2">
      <c r="A732" s="17"/>
      <c r="B732" s="30"/>
      <c r="C732" s="31"/>
      <c r="D732" s="31"/>
    </row>
    <row r="733" spans="1:4" ht="13.2">
      <c r="A733" s="17"/>
      <c r="B733" s="30"/>
      <c r="C733" s="31"/>
      <c r="D733" s="31"/>
    </row>
    <row r="734" spans="1:4" ht="13.2">
      <c r="A734" s="17"/>
      <c r="B734" s="30"/>
      <c r="C734" s="31"/>
      <c r="D734" s="31"/>
    </row>
    <row r="735" spans="1:4" ht="13.2">
      <c r="A735" s="17"/>
      <c r="B735" s="30"/>
      <c r="C735" s="31"/>
      <c r="D735" s="31"/>
    </row>
    <row r="736" spans="1:4" ht="13.2">
      <c r="A736" s="17"/>
      <c r="B736" s="30"/>
      <c r="C736" s="31"/>
      <c r="D736" s="31"/>
    </row>
    <row r="737" spans="1:4" ht="13.2">
      <c r="A737" s="17"/>
      <c r="B737" s="30"/>
      <c r="C737" s="31"/>
      <c r="D737" s="31"/>
    </row>
    <row r="738" spans="1:4" ht="13.2">
      <c r="A738" s="17"/>
      <c r="B738" s="30"/>
      <c r="C738" s="31"/>
      <c r="D738" s="31"/>
    </row>
    <row r="739" spans="1:4" ht="13.2">
      <c r="A739" s="17"/>
      <c r="B739" s="30"/>
      <c r="C739" s="31"/>
      <c r="D739" s="31"/>
    </row>
    <row r="740" spans="1:4" ht="13.2">
      <c r="A740" s="17"/>
      <c r="B740" s="30"/>
      <c r="C740" s="31"/>
      <c r="D740" s="31"/>
    </row>
    <row r="741" spans="1:4" ht="13.2">
      <c r="A741" s="17"/>
      <c r="B741" s="30"/>
      <c r="C741" s="31"/>
      <c r="D741" s="31"/>
    </row>
    <row r="742" spans="1:4" ht="13.2">
      <c r="A742" s="17"/>
      <c r="B742" s="30"/>
      <c r="C742" s="31"/>
      <c r="D742" s="31"/>
    </row>
    <row r="743" spans="1:4" ht="13.2">
      <c r="A743" s="17"/>
      <c r="B743" s="30"/>
      <c r="C743" s="31"/>
      <c r="D743" s="31"/>
    </row>
    <row r="744" spans="1:4" ht="13.2">
      <c r="A744" s="17"/>
      <c r="B744" s="30"/>
      <c r="C744" s="31"/>
      <c r="D744" s="31"/>
    </row>
    <row r="745" spans="1:4" ht="13.2">
      <c r="A745" s="17"/>
      <c r="B745" s="30"/>
      <c r="C745" s="31"/>
      <c r="D745" s="31"/>
    </row>
    <row r="746" spans="1:4" ht="13.2">
      <c r="A746" s="17"/>
      <c r="B746" s="30"/>
      <c r="C746" s="31"/>
      <c r="D746" s="31"/>
    </row>
    <row r="747" spans="1:4" ht="13.2">
      <c r="A747" s="17"/>
      <c r="B747" s="30"/>
      <c r="C747" s="31"/>
      <c r="D747" s="31"/>
    </row>
    <row r="748" spans="1:4" ht="13.2">
      <c r="A748" s="17"/>
      <c r="B748" s="30"/>
      <c r="C748" s="31"/>
      <c r="D748" s="31"/>
    </row>
    <row r="749" spans="1:4" ht="13.2">
      <c r="A749" s="17"/>
      <c r="B749" s="30"/>
      <c r="C749" s="31"/>
      <c r="D749" s="31"/>
    </row>
    <row r="750" spans="1:4" ht="13.2">
      <c r="A750" s="17"/>
      <c r="B750" s="30"/>
      <c r="C750" s="31"/>
      <c r="D750" s="31"/>
    </row>
    <row r="751" spans="1:4" ht="13.2">
      <c r="A751" s="17"/>
      <c r="B751" s="30"/>
      <c r="C751" s="31"/>
      <c r="D751" s="31"/>
    </row>
    <row r="752" spans="1:4" ht="13.2">
      <c r="A752" s="17"/>
      <c r="B752" s="30"/>
      <c r="C752" s="31"/>
      <c r="D752" s="31"/>
    </row>
    <row r="753" spans="1:4" ht="13.2">
      <c r="A753" s="17"/>
      <c r="B753" s="30"/>
      <c r="C753" s="31"/>
      <c r="D753" s="31"/>
    </row>
    <row r="754" spans="1:4" ht="13.2">
      <c r="A754" s="17"/>
      <c r="B754" s="30"/>
      <c r="C754" s="31"/>
      <c r="D754" s="31"/>
    </row>
    <row r="755" spans="1:4" ht="13.2">
      <c r="A755" s="17"/>
      <c r="B755" s="30"/>
      <c r="C755" s="31"/>
      <c r="D755" s="31"/>
    </row>
    <row r="756" spans="1:4" ht="13.2">
      <c r="A756" s="17"/>
      <c r="B756" s="30"/>
      <c r="C756" s="31"/>
      <c r="D756" s="31"/>
    </row>
    <row r="757" spans="1:4" ht="13.2">
      <c r="A757" s="17"/>
      <c r="B757" s="30"/>
      <c r="C757" s="31"/>
      <c r="D757" s="31"/>
    </row>
    <row r="758" spans="1:4" ht="13.2">
      <c r="A758" s="17"/>
      <c r="B758" s="30"/>
      <c r="C758" s="31"/>
      <c r="D758" s="31"/>
    </row>
    <row r="759" spans="1:4" ht="13.2">
      <c r="A759" s="17"/>
      <c r="B759" s="30"/>
      <c r="C759" s="31"/>
      <c r="D759" s="31"/>
    </row>
    <row r="760" spans="1:4" ht="13.2">
      <c r="A760" s="17"/>
      <c r="B760" s="30"/>
      <c r="C760" s="31"/>
      <c r="D760" s="31"/>
    </row>
    <row r="761" spans="1:4" ht="13.2">
      <c r="A761" s="17"/>
      <c r="B761" s="30"/>
      <c r="C761" s="31"/>
      <c r="D761" s="31"/>
    </row>
    <row r="762" spans="1:4" ht="13.2">
      <c r="A762" s="17"/>
      <c r="B762" s="30"/>
      <c r="C762" s="31"/>
      <c r="D762" s="31"/>
    </row>
    <row r="763" spans="1:4" ht="13.2">
      <c r="A763" s="17"/>
      <c r="B763" s="30"/>
      <c r="C763" s="31"/>
      <c r="D763" s="31"/>
    </row>
    <row r="764" spans="1:4" ht="13.2">
      <c r="A764" s="17"/>
      <c r="B764" s="30"/>
      <c r="C764" s="31"/>
      <c r="D764" s="31"/>
    </row>
    <row r="765" spans="1:4" ht="13.2">
      <c r="A765" s="17"/>
      <c r="B765" s="30"/>
      <c r="C765" s="31"/>
      <c r="D765" s="31"/>
    </row>
    <row r="766" spans="1:4" ht="13.2">
      <c r="A766" s="17"/>
      <c r="B766" s="30"/>
      <c r="C766" s="31"/>
      <c r="D766" s="31"/>
    </row>
    <row r="767" spans="1:4" ht="13.2">
      <c r="A767" s="17"/>
      <c r="B767" s="30"/>
      <c r="C767" s="31"/>
      <c r="D767" s="31"/>
    </row>
    <row r="768" spans="1:4" ht="13.2">
      <c r="A768" s="17"/>
      <c r="B768" s="30"/>
      <c r="C768" s="31"/>
      <c r="D768" s="31"/>
    </row>
    <row r="769" spans="1:4" ht="13.2">
      <c r="A769" s="17"/>
      <c r="B769" s="30"/>
      <c r="C769" s="31"/>
      <c r="D769" s="31"/>
    </row>
    <row r="770" spans="1:4" ht="13.2">
      <c r="A770" s="17"/>
      <c r="B770" s="30"/>
      <c r="C770" s="31"/>
      <c r="D770" s="31"/>
    </row>
    <row r="771" spans="1:4" ht="13.2">
      <c r="A771" s="17"/>
      <c r="B771" s="30"/>
      <c r="C771" s="31"/>
      <c r="D771" s="31"/>
    </row>
    <row r="772" spans="1:4" ht="13.2">
      <c r="A772" s="17"/>
      <c r="B772" s="30"/>
      <c r="C772" s="31"/>
      <c r="D772" s="31"/>
    </row>
    <row r="773" spans="1:4" ht="13.2">
      <c r="A773" s="17"/>
      <c r="B773" s="30"/>
      <c r="C773" s="31"/>
      <c r="D773" s="31"/>
    </row>
    <row r="774" spans="1:4" ht="13.2">
      <c r="A774" s="17"/>
      <c r="B774" s="30"/>
      <c r="C774" s="31"/>
      <c r="D774" s="31"/>
    </row>
    <row r="775" spans="1:4" ht="13.2">
      <c r="A775" s="17"/>
      <c r="B775" s="30"/>
      <c r="C775" s="31"/>
      <c r="D775" s="31"/>
    </row>
    <row r="776" spans="1:4" ht="13.2">
      <c r="A776" s="17"/>
      <c r="B776" s="30"/>
      <c r="C776" s="31"/>
      <c r="D776" s="31"/>
    </row>
    <row r="777" spans="1:4" ht="13.2">
      <c r="A777" s="17"/>
      <c r="B777" s="30"/>
      <c r="C777" s="31"/>
      <c r="D777" s="31"/>
    </row>
    <row r="778" spans="1:4" ht="13.2">
      <c r="A778" s="17"/>
      <c r="B778" s="30"/>
      <c r="C778" s="31"/>
      <c r="D778" s="31"/>
    </row>
    <row r="779" spans="1:4" ht="13.2">
      <c r="A779" s="17"/>
      <c r="B779" s="30"/>
      <c r="C779" s="31"/>
      <c r="D779" s="31"/>
    </row>
    <row r="780" spans="1:4" ht="13.2">
      <c r="A780" s="17"/>
      <c r="B780" s="30"/>
      <c r="C780" s="31"/>
      <c r="D780" s="31"/>
    </row>
    <row r="781" spans="1:4" ht="13.2">
      <c r="A781" s="17"/>
      <c r="B781" s="30"/>
      <c r="C781" s="31"/>
      <c r="D781" s="31"/>
    </row>
    <row r="782" spans="1:4" ht="13.2">
      <c r="A782" s="17"/>
      <c r="B782" s="30"/>
      <c r="C782" s="31"/>
      <c r="D782" s="31"/>
    </row>
    <row r="783" spans="1:4" ht="13.2">
      <c r="A783" s="17"/>
      <c r="B783" s="30"/>
      <c r="C783" s="31"/>
      <c r="D783" s="31"/>
    </row>
    <row r="784" spans="1:4" ht="13.2">
      <c r="A784" s="17"/>
      <c r="B784" s="30"/>
      <c r="C784" s="31"/>
      <c r="D784" s="31"/>
    </row>
    <row r="785" spans="1:4" ht="13.2">
      <c r="A785" s="17"/>
      <c r="B785" s="30"/>
      <c r="C785" s="31"/>
      <c r="D785" s="31"/>
    </row>
    <row r="786" spans="1:4" ht="13.2">
      <c r="A786" s="17"/>
      <c r="B786" s="30"/>
      <c r="C786" s="31"/>
      <c r="D786" s="31"/>
    </row>
    <row r="787" spans="1:4" ht="13.2">
      <c r="A787" s="17"/>
      <c r="B787" s="30"/>
      <c r="C787" s="31"/>
      <c r="D787" s="31"/>
    </row>
    <row r="788" spans="1:4" ht="13.2">
      <c r="A788" s="17"/>
      <c r="B788" s="30"/>
      <c r="C788" s="31"/>
      <c r="D788" s="31"/>
    </row>
    <row r="789" spans="1:4" ht="13.2">
      <c r="A789" s="17"/>
      <c r="B789" s="30"/>
      <c r="C789" s="31"/>
      <c r="D789" s="31"/>
    </row>
    <row r="790" spans="1:4" ht="13.2">
      <c r="A790" s="17"/>
      <c r="B790" s="30"/>
      <c r="C790" s="31"/>
      <c r="D790" s="31"/>
    </row>
    <row r="791" spans="1:4" ht="13.2">
      <c r="A791" s="17"/>
      <c r="B791" s="30"/>
      <c r="C791" s="31"/>
      <c r="D791" s="31"/>
    </row>
    <row r="792" spans="1:4" ht="13.2">
      <c r="A792" s="17"/>
      <c r="B792" s="30"/>
      <c r="C792" s="31"/>
      <c r="D792" s="31"/>
    </row>
    <row r="793" spans="1:4" ht="13.2">
      <c r="A793" s="17"/>
      <c r="B793" s="30"/>
      <c r="C793" s="31"/>
      <c r="D793" s="31"/>
    </row>
    <row r="794" spans="1:4" ht="13.2">
      <c r="A794" s="17"/>
      <c r="B794" s="30"/>
      <c r="C794" s="31"/>
      <c r="D794" s="31"/>
    </row>
    <row r="795" spans="1:4" ht="13.2">
      <c r="A795" s="17"/>
      <c r="B795" s="30"/>
      <c r="C795" s="31"/>
      <c r="D795" s="31"/>
    </row>
    <row r="796" spans="1:4" ht="13.2">
      <c r="A796" s="17"/>
      <c r="B796" s="30"/>
      <c r="C796" s="31"/>
      <c r="D796" s="31"/>
    </row>
    <row r="797" spans="1:4" ht="13.2">
      <c r="A797" s="17"/>
      <c r="B797" s="30"/>
      <c r="C797" s="31"/>
      <c r="D797" s="31"/>
    </row>
    <row r="798" spans="1:4" ht="13.2">
      <c r="A798" s="17"/>
      <c r="B798" s="30"/>
      <c r="C798" s="31"/>
      <c r="D798" s="31"/>
    </row>
    <row r="799" spans="1:4" ht="13.2">
      <c r="A799" s="17"/>
      <c r="B799" s="30"/>
      <c r="C799" s="31"/>
      <c r="D799" s="31"/>
    </row>
    <row r="800" spans="1:4" ht="13.2">
      <c r="A800" s="17"/>
      <c r="B800" s="30"/>
      <c r="C800" s="31"/>
      <c r="D800" s="31"/>
    </row>
    <row r="801" spans="1:4" ht="13.2">
      <c r="A801" s="17"/>
      <c r="B801" s="30"/>
      <c r="C801" s="31"/>
      <c r="D801" s="31"/>
    </row>
    <row r="802" spans="1:4" ht="13.2">
      <c r="A802" s="17"/>
      <c r="B802" s="30"/>
      <c r="C802" s="31"/>
      <c r="D802" s="31"/>
    </row>
    <row r="803" spans="1:4" ht="13.2">
      <c r="A803" s="17"/>
      <c r="B803" s="30"/>
      <c r="C803" s="31"/>
      <c r="D803" s="31"/>
    </row>
    <row r="804" spans="1:4" ht="13.2">
      <c r="A804" s="17"/>
      <c r="B804" s="30"/>
      <c r="C804" s="31"/>
      <c r="D804" s="31"/>
    </row>
    <row r="805" spans="1:4" ht="13.2">
      <c r="A805" s="17"/>
      <c r="B805" s="30"/>
      <c r="C805" s="31"/>
      <c r="D805" s="31"/>
    </row>
    <row r="806" spans="1:4" ht="13.2">
      <c r="A806" s="17"/>
      <c r="B806" s="30"/>
      <c r="C806" s="31"/>
      <c r="D806" s="31"/>
    </row>
    <row r="807" spans="1:4" ht="13.2">
      <c r="A807" s="17"/>
      <c r="B807" s="30"/>
      <c r="C807" s="31"/>
      <c r="D807" s="31"/>
    </row>
    <row r="808" spans="1:4" ht="13.2">
      <c r="A808" s="17"/>
      <c r="B808" s="30"/>
      <c r="C808" s="31"/>
      <c r="D808" s="31"/>
    </row>
    <row r="809" spans="1:4" ht="13.2">
      <c r="A809" s="17"/>
      <c r="B809" s="30"/>
      <c r="C809" s="31"/>
      <c r="D809" s="31"/>
    </row>
    <row r="810" spans="1:4" ht="13.2">
      <c r="A810" s="17"/>
      <c r="B810" s="30"/>
      <c r="C810" s="31"/>
      <c r="D810" s="31"/>
    </row>
    <row r="811" spans="1:4" ht="13.2">
      <c r="A811" s="17"/>
      <c r="B811" s="30"/>
      <c r="C811" s="31"/>
      <c r="D811" s="31"/>
    </row>
    <row r="812" spans="1:4" ht="13.2">
      <c r="A812" s="17"/>
      <c r="B812" s="30"/>
      <c r="C812" s="31"/>
      <c r="D812" s="31"/>
    </row>
    <row r="813" spans="1:4" ht="13.2">
      <c r="A813" s="17"/>
      <c r="B813" s="30"/>
      <c r="C813" s="31"/>
      <c r="D813" s="31"/>
    </row>
    <row r="814" spans="1:4" ht="13.2">
      <c r="A814" s="17"/>
      <c r="B814" s="30"/>
      <c r="C814" s="31"/>
      <c r="D814" s="31"/>
    </row>
    <row r="815" spans="1:4" ht="13.2">
      <c r="A815" s="17"/>
      <c r="B815" s="30"/>
      <c r="C815" s="31"/>
      <c r="D815" s="31"/>
    </row>
    <row r="816" spans="1:4" ht="13.2">
      <c r="A816" s="17"/>
      <c r="B816" s="30"/>
      <c r="C816" s="31"/>
      <c r="D816" s="31"/>
    </row>
    <row r="817" spans="1:4" ht="13.2">
      <c r="A817" s="17"/>
      <c r="B817" s="30"/>
      <c r="C817" s="31"/>
      <c r="D817" s="31"/>
    </row>
    <row r="818" spans="1:4" ht="13.2">
      <c r="A818" s="17"/>
      <c r="B818" s="30"/>
      <c r="C818" s="31"/>
      <c r="D818" s="31"/>
    </row>
    <row r="819" spans="1:4" ht="13.2">
      <c r="A819" s="17"/>
      <c r="B819" s="30"/>
      <c r="C819" s="31"/>
      <c r="D819" s="31"/>
    </row>
    <row r="820" spans="1:4" ht="13.2">
      <c r="A820" s="17"/>
      <c r="B820" s="30"/>
      <c r="C820" s="31"/>
      <c r="D820" s="31"/>
    </row>
    <row r="821" spans="1:4" ht="13.2">
      <c r="A821" s="17"/>
      <c r="B821" s="30"/>
      <c r="C821" s="31"/>
      <c r="D821" s="31"/>
    </row>
    <row r="822" spans="1:4" ht="13.2">
      <c r="A822" s="17"/>
      <c r="B822" s="30"/>
      <c r="C822" s="31"/>
      <c r="D822" s="31"/>
    </row>
    <row r="823" spans="1:4" ht="13.2">
      <c r="A823" s="17"/>
      <c r="B823" s="30"/>
      <c r="C823" s="31"/>
      <c r="D823" s="31"/>
    </row>
    <row r="824" spans="1:4" ht="13.2">
      <c r="A824" s="17"/>
      <c r="B824" s="30"/>
      <c r="C824" s="31"/>
      <c r="D824" s="31"/>
    </row>
    <row r="825" spans="1:4" ht="13.2">
      <c r="A825" s="17"/>
      <c r="B825" s="30"/>
      <c r="C825" s="31"/>
      <c r="D825" s="31"/>
    </row>
    <row r="826" spans="1:4" ht="13.2">
      <c r="A826" s="17"/>
      <c r="B826" s="30"/>
      <c r="C826" s="31"/>
      <c r="D826" s="31"/>
    </row>
    <row r="827" spans="1:4" ht="13.2">
      <c r="A827" s="17"/>
      <c r="B827" s="30"/>
      <c r="C827" s="31"/>
      <c r="D827" s="31"/>
    </row>
    <row r="828" spans="1:4" ht="13.2">
      <c r="A828" s="17"/>
      <c r="B828" s="30"/>
      <c r="C828" s="31"/>
      <c r="D828" s="31"/>
    </row>
    <row r="829" spans="1:4" ht="13.2">
      <c r="A829" s="17"/>
      <c r="B829" s="30"/>
      <c r="C829" s="31"/>
      <c r="D829" s="31"/>
    </row>
    <row r="830" spans="1:4" ht="13.2">
      <c r="A830" s="17"/>
      <c r="B830" s="30"/>
      <c r="C830" s="31"/>
      <c r="D830" s="31"/>
    </row>
    <row r="831" spans="1:4" ht="13.2">
      <c r="A831" s="17"/>
      <c r="B831" s="30"/>
      <c r="C831" s="31"/>
      <c r="D831" s="31"/>
    </row>
    <row r="832" spans="1:4" ht="13.2">
      <c r="A832" s="17"/>
      <c r="B832" s="30"/>
      <c r="C832" s="31"/>
      <c r="D832" s="31"/>
    </row>
    <row r="833" spans="1:4" ht="13.2">
      <c r="A833" s="17"/>
      <c r="B833" s="30"/>
      <c r="C833" s="31"/>
      <c r="D833" s="31"/>
    </row>
    <row r="834" spans="1:4" ht="13.2">
      <c r="A834" s="17"/>
      <c r="B834" s="30"/>
      <c r="C834" s="31"/>
      <c r="D834" s="31"/>
    </row>
    <row r="835" spans="1:4" ht="13.2">
      <c r="A835" s="17"/>
      <c r="B835" s="30"/>
      <c r="C835" s="31"/>
      <c r="D835" s="31"/>
    </row>
    <row r="836" spans="1:4" ht="13.2">
      <c r="A836" s="17"/>
      <c r="B836" s="30"/>
      <c r="C836" s="31"/>
      <c r="D836" s="31"/>
    </row>
    <row r="837" spans="1:4" ht="13.2">
      <c r="A837" s="17"/>
      <c r="B837" s="30"/>
      <c r="C837" s="31"/>
      <c r="D837" s="31"/>
    </row>
    <row r="838" spans="1:4" ht="13.2">
      <c r="A838" s="17"/>
      <c r="B838" s="30"/>
      <c r="C838" s="31"/>
      <c r="D838" s="31"/>
    </row>
    <row r="839" spans="1:4" ht="13.2">
      <c r="A839" s="17"/>
      <c r="B839" s="30"/>
      <c r="C839" s="31"/>
      <c r="D839" s="31"/>
    </row>
    <row r="840" spans="1:4" ht="13.2">
      <c r="A840" s="17"/>
      <c r="B840" s="30"/>
      <c r="C840" s="31"/>
      <c r="D840" s="31"/>
    </row>
    <row r="841" spans="1:4" ht="13.2">
      <c r="A841" s="17"/>
      <c r="B841" s="30"/>
      <c r="C841" s="31"/>
      <c r="D841" s="31"/>
    </row>
    <row r="842" spans="1:4" ht="13.2">
      <c r="A842" s="17"/>
      <c r="B842" s="30"/>
      <c r="C842" s="31"/>
      <c r="D842" s="31"/>
    </row>
    <row r="843" spans="1:4" ht="13.2">
      <c r="A843" s="17"/>
      <c r="B843" s="30"/>
      <c r="C843" s="31"/>
      <c r="D843" s="31"/>
    </row>
    <row r="844" spans="1:4" ht="13.2">
      <c r="A844" s="17"/>
      <c r="B844" s="30"/>
      <c r="C844" s="31"/>
      <c r="D844" s="31"/>
    </row>
    <row r="845" spans="1:4" ht="13.2">
      <c r="A845" s="17"/>
      <c r="B845" s="30"/>
      <c r="C845" s="31"/>
      <c r="D845" s="31"/>
    </row>
    <row r="846" spans="1:4" ht="13.2">
      <c r="A846" s="17"/>
      <c r="B846" s="30"/>
      <c r="C846" s="31"/>
      <c r="D846" s="31"/>
    </row>
    <row r="847" spans="1:4" ht="13.2">
      <c r="A847" s="17"/>
      <c r="B847" s="30"/>
      <c r="C847" s="31"/>
      <c r="D847" s="31"/>
    </row>
    <row r="848" spans="1:4" ht="13.2">
      <c r="A848" s="17"/>
      <c r="B848" s="30"/>
      <c r="C848" s="31"/>
      <c r="D848" s="31"/>
    </row>
    <row r="849" spans="1:4" ht="13.2">
      <c r="A849" s="17"/>
      <c r="B849" s="30"/>
      <c r="C849" s="31"/>
      <c r="D849" s="31"/>
    </row>
    <row r="850" spans="1:4" ht="13.2">
      <c r="A850" s="17"/>
      <c r="B850" s="30"/>
      <c r="C850" s="31"/>
      <c r="D850" s="31"/>
    </row>
    <row r="851" spans="1:4" ht="13.2">
      <c r="A851" s="17"/>
      <c r="B851" s="30"/>
      <c r="C851" s="31"/>
      <c r="D851" s="31"/>
    </row>
    <row r="852" spans="1:4" ht="13.2">
      <c r="A852" s="17"/>
      <c r="B852" s="30"/>
      <c r="C852" s="31"/>
      <c r="D852" s="31"/>
    </row>
    <row r="853" spans="1:4" ht="13.2">
      <c r="A853" s="17"/>
      <c r="B853" s="30"/>
      <c r="C853" s="31"/>
      <c r="D853" s="31"/>
    </row>
    <row r="854" spans="1:4" ht="13.2">
      <c r="A854" s="17"/>
      <c r="B854" s="30"/>
      <c r="C854" s="31"/>
      <c r="D854" s="31"/>
    </row>
    <row r="855" spans="1:4" ht="13.2">
      <c r="A855" s="17"/>
      <c r="B855" s="30"/>
      <c r="C855" s="31"/>
      <c r="D855" s="31"/>
    </row>
    <row r="856" spans="1:4" ht="13.2">
      <c r="A856" s="17"/>
      <c r="B856" s="30"/>
      <c r="C856" s="31"/>
      <c r="D856" s="31"/>
    </row>
    <row r="857" spans="1:4" ht="13.2">
      <c r="A857" s="17"/>
      <c r="B857" s="30"/>
      <c r="C857" s="31"/>
      <c r="D857" s="31"/>
    </row>
    <row r="858" spans="1:4" ht="13.2">
      <c r="A858" s="17"/>
      <c r="B858" s="30"/>
      <c r="C858" s="31"/>
      <c r="D858" s="31"/>
    </row>
    <row r="859" spans="1:4" ht="13.2">
      <c r="A859" s="17"/>
      <c r="B859" s="30"/>
      <c r="C859" s="31"/>
      <c r="D859" s="31"/>
    </row>
    <row r="860" spans="1:4" ht="13.2">
      <c r="A860" s="17"/>
      <c r="B860" s="30"/>
      <c r="C860" s="31"/>
      <c r="D860" s="31"/>
    </row>
    <row r="861" spans="1:4" ht="13.2">
      <c r="A861" s="17"/>
      <c r="B861" s="30"/>
      <c r="C861" s="31"/>
      <c r="D861" s="31"/>
    </row>
    <row r="862" spans="1:4" ht="13.2">
      <c r="A862" s="17"/>
      <c r="B862" s="30"/>
      <c r="C862" s="31"/>
      <c r="D862" s="31"/>
    </row>
    <row r="863" spans="1:4" ht="13.2">
      <c r="A863" s="17"/>
      <c r="B863" s="30"/>
      <c r="C863" s="31"/>
      <c r="D863" s="31"/>
    </row>
    <row r="864" spans="1:4" ht="13.2">
      <c r="A864" s="17"/>
      <c r="B864" s="30"/>
      <c r="C864" s="31"/>
      <c r="D864" s="31"/>
    </row>
    <row r="865" spans="1:4" ht="13.2">
      <c r="A865" s="17"/>
      <c r="B865" s="30"/>
      <c r="C865" s="31"/>
      <c r="D865" s="31"/>
    </row>
    <row r="866" spans="1:4" ht="13.2">
      <c r="A866" s="17"/>
      <c r="B866" s="30"/>
      <c r="C866" s="31"/>
      <c r="D866" s="31"/>
    </row>
    <row r="867" spans="1:4" ht="13.2">
      <c r="A867" s="17"/>
      <c r="B867" s="30"/>
      <c r="C867" s="31"/>
      <c r="D867" s="31"/>
    </row>
    <row r="868" spans="1:4" ht="13.2">
      <c r="A868" s="17"/>
      <c r="B868" s="30"/>
      <c r="C868" s="31"/>
      <c r="D868" s="31"/>
    </row>
    <row r="869" spans="1:4" ht="13.2">
      <c r="A869" s="17"/>
      <c r="B869" s="30"/>
      <c r="C869" s="31"/>
      <c r="D869" s="31"/>
    </row>
    <row r="870" spans="1:4" ht="13.2">
      <c r="A870" s="17"/>
      <c r="B870" s="30"/>
      <c r="C870" s="31"/>
      <c r="D870" s="31"/>
    </row>
    <row r="871" spans="1:4" ht="13.2">
      <c r="A871" s="17"/>
      <c r="B871" s="30"/>
      <c r="C871" s="31"/>
      <c r="D871" s="31"/>
    </row>
    <row r="872" spans="1:4" ht="13.2">
      <c r="A872" s="17"/>
      <c r="B872" s="30"/>
      <c r="C872" s="31"/>
      <c r="D872" s="31"/>
    </row>
    <row r="873" spans="1:4" ht="13.2">
      <c r="A873" s="17"/>
      <c r="B873" s="30"/>
      <c r="C873" s="31"/>
      <c r="D873" s="31"/>
    </row>
    <row r="874" spans="1:4" ht="13.2">
      <c r="A874" s="17"/>
      <c r="B874" s="30"/>
      <c r="C874" s="31"/>
      <c r="D874" s="31"/>
    </row>
    <row r="875" spans="1:4" ht="13.2">
      <c r="A875" s="17"/>
      <c r="B875" s="30"/>
      <c r="C875" s="31"/>
      <c r="D875" s="31"/>
    </row>
    <row r="876" spans="1:4" ht="13.2">
      <c r="A876" s="17"/>
      <c r="B876" s="30"/>
      <c r="C876" s="31"/>
      <c r="D876" s="31"/>
    </row>
    <row r="877" spans="1:4" ht="13.2">
      <c r="A877" s="17"/>
      <c r="B877" s="30"/>
      <c r="C877" s="31"/>
      <c r="D877" s="31"/>
    </row>
    <row r="878" spans="1:4" ht="13.2">
      <c r="A878" s="17"/>
      <c r="B878" s="30"/>
      <c r="C878" s="31"/>
      <c r="D878" s="31"/>
    </row>
    <row r="879" spans="1:4" ht="13.2">
      <c r="A879" s="17"/>
      <c r="B879" s="30"/>
      <c r="C879" s="31"/>
      <c r="D879" s="31"/>
    </row>
    <row r="880" spans="1:4" ht="13.2">
      <c r="A880" s="17"/>
      <c r="B880" s="30"/>
      <c r="C880" s="31"/>
      <c r="D880" s="31"/>
    </row>
    <row r="881" spans="1:4" ht="13.2">
      <c r="A881" s="17"/>
      <c r="B881" s="30"/>
      <c r="C881" s="31"/>
      <c r="D881" s="31"/>
    </row>
    <row r="882" spans="1:4" ht="13.2">
      <c r="A882" s="17"/>
      <c r="B882" s="30"/>
      <c r="C882" s="31"/>
      <c r="D882" s="31"/>
    </row>
    <row r="883" spans="1:4" ht="13.2">
      <c r="A883" s="17"/>
      <c r="B883" s="30"/>
      <c r="C883" s="31"/>
      <c r="D883" s="31"/>
    </row>
    <row r="884" spans="1:4" ht="13.2">
      <c r="A884" s="17"/>
      <c r="B884" s="30"/>
      <c r="C884" s="31"/>
      <c r="D884" s="31"/>
    </row>
    <row r="885" spans="1:4" ht="13.2">
      <c r="A885" s="17"/>
      <c r="B885" s="30"/>
      <c r="C885" s="31"/>
      <c r="D885" s="31"/>
    </row>
    <row r="886" spans="1:4" ht="13.2">
      <c r="A886" s="17"/>
      <c r="B886" s="30"/>
      <c r="C886" s="31"/>
      <c r="D886" s="31"/>
    </row>
    <row r="887" spans="1:4" ht="13.2">
      <c r="A887" s="17"/>
      <c r="B887" s="30"/>
      <c r="C887" s="31"/>
      <c r="D887" s="31"/>
    </row>
    <row r="888" spans="1:4" ht="13.2">
      <c r="A888" s="17"/>
      <c r="B888" s="30"/>
      <c r="C888" s="31"/>
      <c r="D888" s="31"/>
    </row>
    <row r="889" spans="1:4" ht="13.2">
      <c r="A889" s="17"/>
      <c r="B889" s="30"/>
      <c r="C889" s="31"/>
      <c r="D889" s="31"/>
    </row>
    <row r="890" spans="1:4" ht="13.2">
      <c r="A890" s="17"/>
      <c r="B890" s="30"/>
      <c r="C890" s="31"/>
      <c r="D890" s="31"/>
    </row>
    <row r="891" spans="1:4" ht="13.2">
      <c r="A891" s="17"/>
      <c r="B891" s="30"/>
      <c r="C891" s="31"/>
      <c r="D891" s="31"/>
    </row>
    <row r="892" spans="1:4" ht="13.2">
      <c r="A892" s="17"/>
      <c r="B892" s="30"/>
      <c r="C892" s="31"/>
      <c r="D892" s="31"/>
    </row>
    <row r="893" spans="1:4" ht="13.2">
      <c r="A893" s="17"/>
      <c r="B893" s="30"/>
      <c r="C893" s="31"/>
      <c r="D893" s="31"/>
    </row>
    <row r="894" spans="1:4" ht="13.2">
      <c r="A894" s="17"/>
      <c r="B894" s="30"/>
      <c r="C894" s="31"/>
      <c r="D894" s="31"/>
    </row>
    <row r="895" spans="1:4" ht="13.2">
      <c r="A895" s="17"/>
      <c r="B895" s="30"/>
      <c r="C895" s="31"/>
      <c r="D895" s="31"/>
    </row>
    <row r="896" spans="1:4" ht="13.2">
      <c r="A896" s="17"/>
      <c r="B896" s="30"/>
      <c r="C896" s="31"/>
      <c r="D896" s="31"/>
    </row>
    <row r="897" spans="1:4" ht="13.2">
      <c r="A897" s="17"/>
      <c r="B897" s="30"/>
      <c r="C897" s="31"/>
      <c r="D897" s="31"/>
    </row>
    <row r="898" spans="1:4" ht="13.2">
      <c r="A898" s="17"/>
      <c r="B898" s="30"/>
      <c r="C898" s="31"/>
      <c r="D898" s="31"/>
    </row>
    <row r="899" spans="1:4" ht="13.2">
      <c r="A899" s="17"/>
      <c r="B899" s="30"/>
      <c r="C899" s="31"/>
      <c r="D899" s="31"/>
    </row>
    <row r="900" spans="1:4" ht="13.2">
      <c r="A900" s="17"/>
      <c r="B900" s="30"/>
      <c r="C900" s="31"/>
      <c r="D900" s="31"/>
    </row>
    <row r="901" spans="1:4" ht="13.2">
      <c r="A901" s="17"/>
      <c r="B901" s="30"/>
      <c r="C901" s="31"/>
      <c r="D901" s="31"/>
    </row>
    <row r="902" spans="1:4" ht="13.2">
      <c r="A902" s="17"/>
      <c r="B902" s="30"/>
      <c r="C902" s="31"/>
      <c r="D902" s="31"/>
    </row>
    <row r="903" spans="1:4" ht="13.2">
      <c r="A903" s="17"/>
      <c r="B903" s="30"/>
      <c r="C903" s="31"/>
      <c r="D903" s="31"/>
    </row>
    <row r="904" spans="1:4" ht="13.2">
      <c r="A904" s="17"/>
      <c r="B904" s="30"/>
      <c r="C904" s="31"/>
      <c r="D904" s="31"/>
    </row>
    <row r="905" spans="1:4" ht="13.2">
      <c r="A905" s="17"/>
      <c r="B905" s="30"/>
      <c r="C905" s="31"/>
      <c r="D905" s="31"/>
    </row>
    <row r="906" spans="1:4" ht="13.2">
      <c r="A906" s="17"/>
      <c r="B906" s="30"/>
      <c r="C906" s="31"/>
      <c r="D906" s="31"/>
    </row>
    <row r="907" spans="1:4" ht="13.2">
      <c r="A907" s="17"/>
      <c r="B907" s="30"/>
      <c r="C907" s="31"/>
      <c r="D907" s="31"/>
    </row>
    <row r="908" spans="1:4" ht="13.2">
      <c r="A908" s="17"/>
      <c r="B908" s="30"/>
      <c r="C908" s="31"/>
      <c r="D908" s="31"/>
    </row>
    <row r="909" spans="1:4" ht="13.2">
      <c r="A909" s="17"/>
      <c r="B909" s="30"/>
      <c r="C909" s="31"/>
      <c r="D909" s="31"/>
    </row>
    <row r="910" spans="1:4" ht="13.2">
      <c r="A910" s="17"/>
      <c r="B910" s="30"/>
      <c r="C910" s="31"/>
      <c r="D910" s="31"/>
    </row>
    <row r="911" spans="1:4" ht="13.2">
      <c r="A911" s="17"/>
      <c r="B911" s="30"/>
      <c r="C911" s="31"/>
      <c r="D911" s="31"/>
    </row>
    <row r="912" spans="1:4" ht="13.2">
      <c r="A912" s="17"/>
      <c r="B912" s="30"/>
      <c r="C912" s="31"/>
      <c r="D912" s="31"/>
    </row>
    <row r="913" spans="1:4" ht="13.2">
      <c r="A913" s="17"/>
      <c r="B913" s="30"/>
      <c r="C913" s="31"/>
      <c r="D913" s="31"/>
    </row>
    <row r="914" spans="1:4" ht="13.2">
      <c r="A914" s="17"/>
      <c r="B914" s="30"/>
      <c r="C914" s="31"/>
      <c r="D914" s="31"/>
    </row>
    <row r="915" spans="1:4" ht="13.2">
      <c r="A915" s="17"/>
      <c r="B915" s="30"/>
      <c r="C915" s="31"/>
      <c r="D915" s="31"/>
    </row>
    <row r="916" spans="1:4" ht="13.2">
      <c r="A916" s="17"/>
      <c r="B916" s="30"/>
      <c r="C916" s="31"/>
      <c r="D916" s="31"/>
    </row>
    <row r="917" spans="1:4" ht="13.2">
      <c r="A917" s="17"/>
      <c r="B917" s="30"/>
      <c r="C917" s="31"/>
      <c r="D917" s="31"/>
    </row>
    <row r="918" spans="1:4" ht="13.2">
      <c r="A918" s="17"/>
      <c r="B918" s="30"/>
      <c r="C918" s="31"/>
      <c r="D918" s="31"/>
    </row>
    <row r="919" spans="1:4" ht="13.2">
      <c r="A919" s="17"/>
      <c r="B919" s="30"/>
      <c r="C919" s="31"/>
      <c r="D919" s="31"/>
    </row>
    <row r="920" spans="1:4" ht="13.2">
      <c r="A920" s="17"/>
      <c r="B920" s="30"/>
      <c r="C920" s="31"/>
      <c r="D920" s="31"/>
    </row>
    <row r="921" spans="1:4" ht="13.2">
      <c r="A921" s="17"/>
      <c r="B921" s="30"/>
      <c r="C921" s="31"/>
      <c r="D921" s="31"/>
    </row>
    <row r="922" spans="1:4" ht="13.2">
      <c r="A922" s="17"/>
      <c r="B922" s="30"/>
      <c r="C922" s="31"/>
      <c r="D922" s="31"/>
    </row>
    <row r="923" spans="1:4" ht="13.2">
      <c r="A923" s="17"/>
      <c r="B923" s="30"/>
      <c r="C923" s="31"/>
      <c r="D923" s="31"/>
    </row>
    <row r="924" spans="1:4" ht="13.2">
      <c r="A924" s="17"/>
      <c r="B924" s="30"/>
      <c r="C924" s="31"/>
      <c r="D924" s="31"/>
    </row>
    <row r="925" spans="1:4" ht="13.2">
      <c r="A925" s="17"/>
      <c r="B925" s="30"/>
      <c r="C925" s="31"/>
      <c r="D925" s="31"/>
    </row>
    <row r="926" spans="1:4" ht="13.2">
      <c r="A926" s="17"/>
      <c r="B926" s="30"/>
      <c r="C926" s="31"/>
      <c r="D926" s="31"/>
    </row>
    <row r="927" spans="1:4" ht="13.2">
      <c r="A927" s="17"/>
      <c r="B927" s="30"/>
      <c r="C927" s="31"/>
      <c r="D927" s="31"/>
    </row>
    <row r="928" spans="1:4" ht="13.2">
      <c r="A928" s="17"/>
      <c r="B928" s="30"/>
      <c r="C928" s="31"/>
      <c r="D928" s="31"/>
    </row>
    <row r="929" spans="1:4" ht="13.2">
      <c r="A929" s="17"/>
      <c r="B929" s="30"/>
      <c r="C929" s="31"/>
      <c r="D929" s="31"/>
    </row>
    <row r="930" spans="1:4" ht="13.2">
      <c r="A930" s="17"/>
      <c r="B930" s="30"/>
      <c r="C930" s="31"/>
      <c r="D930" s="31"/>
    </row>
    <row r="931" spans="1:4" ht="13.2">
      <c r="A931" s="17"/>
      <c r="B931" s="30"/>
      <c r="C931" s="31"/>
      <c r="D931" s="31"/>
    </row>
    <row r="932" spans="1:4" ht="13.2">
      <c r="A932" s="17"/>
      <c r="B932" s="30"/>
      <c r="C932" s="31"/>
      <c r="D932" s="31"/>
    </row>
    <row r="933" spans="1:4" ht="13.2">
      <c r="A933" s="17"/>
      <c r="B933" s="30"/>
      <c r="C933" s="31"/>
      <c r="D933" s="31"/>
    </row>
    <row r="934" spans="1:4" ht="13.2">
      <c r="A934" s="17"/>
      <c r="B934" s="30"/>
      <c r="C934" s="31"/>
      <c r="D934" s="31"/>
    </row>
    <row r="935" spans="1:4" ht="13.2">
      <c r="A935" s="17"/>
      <c r="B935" s="30"/>
      <c r="C935" s="31"/>
      <c r="D935" s="31"/>
    </row>
    <row r="936" spans="1:4" ht="13.2">
      <c r="A936" s="17"/>
      <c r="B936" s="30"/>
      <c r="C936" s="31"/>
      <c r="D936" s="31"/>
    </row>
    <row r="937" spans="1:4" ht="13.2">
      <c r="A937" s="17"/>
      <c r="B937" s="30"/>
      <c r="C937" s="31"/>
      <c r="D937" s="31"/>
    </row>
    <row r="938" spans="1:4" ht="13.2">
      <c r="A938" s="17"/>
      <c r="B938" s="30"/>
      <c r="C938" s="31"/>
      <c r="D938" s="31"/>
    </row>
    <row r="939" spans="1:4" ht="13.2">
      <c r="A939" s="17"/>
      <c r="B939" s="30"/>
      <c r="C939" s="31"/>
      <c r="D939" s="31"/>
    </row>
    <row r="940" spans="1:4" ht="13.2">
      <c r="A940" s="17"/>
      <c r="B940" s="30"/>
      <c r="C940" s="31"/>
      <c r="D940" s="31"/>
    </row>
    <row r="941" spans="1:4" ht="13.2">
      <c r="A941" s="17"/>
      <c r="B941" s="30"/>
      <c r="C941" s="31"/>
      <c r="D941" s="31"/>
    </row>
    <row r="942" spans="1:4" ht="13.2">
      <c r="A942" s="17"/>
      <c r="B942" s="30"/>
      <c r="C942" s="31"/>
      <c r="D942" s="31"/>
    </row>
    <row r="943" spans="1:4" ht="13.2">
      <c r="A943" s="17"/>
      <c r="B943" s="30"/>
      <c r="C943" s="31"/>
      <c r="D943" s="31"/>
    </row>
    <row r="944" spans="1:4" ht="13.2">
      <c r="A944" s="17"/>
      <c r="B944" s="30"/>
      <c r="C944" s="31"/>
      <c r="D944" s="31"/>
    </row>
    <row r="945" spans="1:4" ht="13.2">
      <c r="A945" s="17"/>
      <c r="B945" s="30"/>
      <c r="C945" s="31"/>
      <c r="D945" s="31"/>
    </row>
    <row r="946" spans="1:4" ht="13.2">
      <c r="A946" s="17"/>
      <c r="B946" s="30"/>
      <c r="C946" s="31"/>
      <c r="D946" s="31"/>
    </row>
    <row r="947" spans="1:4" ht="13.2">
      <c r="A947" s="17"/>
      <c r="B947" s="30"/>
      <c r="C947" s="31"/>
      <c r="D947" s="31"/>
    </row>
    <row r="948" spans="1:4" ht="13.2">
      <c r="A948" s="17"/>
      <c r="B948" s="30"/>
      <c r="C948" s="31"/>
      <c r="D948" s="31"/>
    </row>
    <row r="949" spans="1:4" ht="13.2">
      <c r="A949" s="17"/>
      <c r="B949" s="30"/>
      <c r="C949" s="31"/>
      <c r="D949" s="31"/>
    </row>
    <row r="950" spans="1:4" ht="13.2">
      <c r="A950" s="17"/>
      <c r="B950" s="30"/>
      <c r="C950" s="31"/>
      <c r="D950" s="31"/>
    </row>
    <row r="951" spans="1:4" ht="13.2">
      <c r="A951" s="17"/>
      <c r="B951" s="30"/>
      <c r="C951" s="31"/>
      <c r="D951" s="31"/>
    </row>
    <row r="952" spans="1:4" ht="13.2">
      <c r="A952" s="17"/>
      <c r="B952" s="30"/>
      <c r="C952" s="31"/>
      <c r="D952" s="31"/>
    </row>
    <row r="953" spans="1:4" ht="13.2">
      <c r="A953" s="17"/>
      <c r="B953" s="30"/>
      <c r="C953" s="31"/>
      <c r="D953" s="31"/>
    </row>
    <row r="954" spans="1:4" ht="13.2">
      <c r="A954" s="17"/>
      <c r="B954" s="30"/>
      <c r="C954" s="31"/>
      <c r="D954" s="31"/>
    </row>
    <row r="955" spans="1:4" ht="13.2">
      <c r="A955" s="17"/>
      <c r="B955" s="30"/>
      <c r="C955" s="31"/>
      <c r="D955" s="31"/>
    </row>
    <row r="956" spans="1:4" ht="13.2">
      <c r="A956" s="17"/>
      <c r="B956" s="30"/>
      <c r="C956" s="31"/>
      <c r="D956" s="31"/>
    </row>
    <row r="957" spans="1:4" ht="13.2">
      <c r="A957" s="17"/>
      <c r="B957" s="30"/>
      <c r="C957" s="31"/>
      <c r="D957" s="31"/>
    </row>
    <row r="958" spans="1:4" ht="13.2">
      <c r="A958" s="17"/>
      <c r="B958" s="30"/>
      <c r="C958" s="31"/>
      <c r="D958" s="31"/>
    </row>
    <row r="959" spans="1:4" ht="13.2">
      <c r="A959" s="17"/>
      <c r="B959" s="30"/>
      <c r="C959" s="31"/>
      <c r="D959" s="31"/>
    </row>
    <row r="960" spans="1:4" ht="13.2">
      <c r="A960" s="17"/>
      <c r="B960" s="30"/>
      <c r="C960" s="31"/>
      <c r="D960" s="31"/>
    </row>
    <row r="961" spans="1:4" ht="13.2">
      <c r="A961" s="17"/>
      <c r="B961" s="30"/>
      <c r="C961" s="31"/>
      <c r="D961" s="31"/>
    </row>
    <row r="962" spans="1:4" ht="13.2">
      <c r="A962" s="17"/>
      <c r="B962" s="30"/>
      <c r="C962" s="31"/>
      <c r="D962" s="31"/>
    </row>
    <row r="963" spans="1:4" ht="13.2">
      <c r="A963" s="17"/>
      <c r="B963" s="30"/>
      <c r="C963" s="31"/>
      <c r="D963" s="31"/>
    </row>
    <row r="964" spans="1:4" ht="13.2">
      <c r="A964" s="17"/>
      <c r="B964" s="30"/>
      <c r="C964" s="31"/>
      <c r="D964" s="31"/>
    </row>
    <row r="965" spans="1:4" ht="13.2">
      <c r="A965" s="17"/>
      <c r="B965" s="30"/>
      <c r="C965" s="31"/>
      <c r="D965" s="31"/>
    </row>
    <row r="966" spans="1:4" ht="13.2">
      <c r="A966" s="17"/>
      <c r="B966" s="30"/>
      <c r="C966" s="31"/>
      <c r="D966" s="31"/>
    </row>
    <row r="967" spans="1:4" ht="13.2">
      <c r="A967" s="17"/>
      <c r="B967" s="30"/>
      <c r="C967" s="31"/>
      <c r="D967" s="31"/>
    </row>
    <row r="968" spans="1:4" ht="13.2">
      <c r="A968" s="17"/>
      <c r="B968" s="30"/>
      <c r="C968" s="31"/>
      <c r="D968" s="31"/>
    </row>
    <row r="969" spans="1:4" ht="13.2">
      <c r="A969" s="17"/>
      <c r="B969" s="30"/>
      <c r="C969" s="31"/>
      <c r="D969" s="31"/>
    </row>
    <row r="970" spans="1:4" ht="13.2">
      <c r="A970" s="17"/>
      <c r="B970" s="30"/>
      <c r="C970" s="31"/>
      <c r="D970" s="31"/>
    </row>
    <row r="971" spans="1:4" ht="13.2">
      <c r="A971" s="17"/>
      <c r="B971" s="30"/>
      <c r="C971" s="31"/>
      <c r="D971" s="31"/>
    </row>
    <row r="972" spans="1:4" ht="13.2">
      <c r="A972" s="17"/>
      <c r="B972" s="30"/>
      <c r="C972" s="31"/>
      <c r="D972" s="31"/>
    </row>
    <row r="973" spans="1:4" ht="13.2">
      <c r="A973" s="17"/>
      <c r="B973" s="30"/>
      <c r="C973" s="31"/>
      <c r="D973" s="31"/>
    </row>
    <row r="974" spans="1:4" ht="13.2">
      <c r="A974" s="17"/>
      <c r="B974" s="30"/>
      <c r="C974" s="31"/>
      <c r="D974" s="31"/>
    </row>
    <row r="975" spans="1:4" ht="13.2">
      <c r="A975" s="17"/>
      <c r="B975" s="30"/>
      <c r="C975" s="31"/>
      <c r="D975" s="31"/>
    </row>
    <row r="976" spans="1:4" ht="13.2">
      <c r="A976" s="17"/>
      <c r="B976" s="30"/>
      <c r="C976" s="31"/>
      <c r="D976" s="31"/>
    </row>
    <row r="977" spans="1:4" ht="13.2">
      <c r="A977" s="17"/>
      <c r="B977" s="30"/>
      <c r="C977" s="31"/>
      <c r="D977" s="31"/>
    </row>
    <row r="978" spans="1:4" ht="13.2">
      <c r="A978" s="17"/>
      <c r="B978" s="30"/>
      <c r="C978" s="31"/>
      <c r="D978" s="31"/>
    </row>
    <row r="979" spans="1:4" ht="13.2">
      <c r="A979" s="17"/>
      <c r="B979" s="30"/>
      <c r="C979" s="31"/>
      <c r="D979" s="31"/>
    </row>
    <row r="980" spans="1:4" ht="13.2">
      <c r="A980" s="17"/>
      <c r="B980" s="30"/>
      <c r="C980" s="31"/>
      <c r="D980" s="31"/>
    </row>
    <row r="981" spans="1:4" ht="13.2">
      <c r="A981" s="17"/>
      <c r="B981" s="30"/>
      <c r="C981" s="31"/>
      <c r="D981" s="31"/>
    </row>
    <row r="982" spans="1:4" ht="13.2">
      <c r="A982" s="17"/>
      <c r="B982" s="30"/>
      <c r="C982" s="31"/>
      <c r="D982" s="31"/>
    </row>
    <row r="983" spans="1:4" ht="13.2">
      <c r="A983" s="17"/>
      <c r="B983" s="30"/>
      <c r="C983" s="31"/>
      <c r="D983" s="31"/>
    </row>
    <row r="984" spans="1:4" ht="13.2">
      <c r="A984" s="17"/>
      <c r="B984" s="30"/>
      <c r="C984" s="31"/>
      <c r="D984" s="31"/>
    </row>
    <row r="985" spans="1:4" ht="13.2">
      <c r="A985" s="17"/>
      <c r="B985" s="30"/>
      <c r="C985" s="31"/>
      <c r="D985" s="31"/>
    </row>
    <row r="986" spans="1:4" ht="13.2">
      <c r="A986" s="17"/>
      <c r="B986" s="30"/>
      <c r="C986" s="31"/>
      <c r="D986" s="31"/>
    </row>
    <row r="987" spans="1:4" ht="13.2">
      <c r="A987" s="17"/>
      <c r="B987" s="30"/>
      <c r="C987" s="31"/>
      <c r="D987" s="31"/>
    </row>
    <row r="988" spans="1:4" ht="13.2">
      <c r="A988" s="17"/>
      <c r="B988" s="30"/>
      <c r="C988" s="31"/>
      <c r="D988" s="31"/>
    </row>
    <row r="989" spans="1:4" ht="13.2">
      <c r="A989" s="17"/>
      <c r="B989" s="30"/>
      <c r="C989" s="31"/>
      <c r="D989" s="31"/>
    </row>
    <row r="990" spans="1:4" ht="13.2">
      <c r="A990" s="17"/>
      <c r="B990" s="30"/>
      <c r="C990" s="31"/>
      <c r="D990" s="31"/>
    </row>
    <row r="991" spans="1:4" ht="13.2">
      <c r="A991" s="17"/>
      <c r="B991" s="30"/>
      <c r="C991" s="31"/>
      <c r="D991" s="31"/>
    </row>
    <row r="992" spans="1:4" ht="13.2">
      <c r="A992" s="17"/>
      <c r="B992" s="30"/>
      <c r="C992" s="31"/>
      <c r="D992" s="31"/>
    </row>
    <row r="993" spans="1:4" ht="13.2">
      <c r="A993" s="17"/>
      <c r="B993" s="30"/>
      <c r="C993" s="31"/>
      <c r="D993" s="31"/>
    </row>
    <row r="994" spans="1:4" ht="13.2">
      <c r="A994" s="17"/>
      <c r="B994" s="30"/>
      <c r="C994" s="31"/>
      <c r="D994" s="31"/>
    </row>
    <row r="995" spans="1:4" ht="13.2">
      <c r="A995" s="17"/>
      <c r="B995" s="30"/>
      <c r="C995" s="31"/>
      <c r="D995" s="31"/>
    </row>
    <row r="996" spans="1:4" ht="13.2">
      <c r="A996" s="17"/>
      <c r="B996" s="30"/>
      <c r="C996" s="31"/>
      <c r="D996" s="31"/>
    </row>
    <row r="997" spans="1:4" ht="13.2">
      <c r="A997" s="17"/>
      <c r="B997" s="30"/>
      <c r="C997" s="31"/>
      <c r="D997" s="31"/>
    </row>
    <row r="998" spans="1:4" ht="13.2">
      <c r="A998" s="17"/>
      <c r="B998" s="30"/>
      <c r="C998" s="31"/>
      <c r="D998" s="31"/>
    </row>
    <row r="999" spans="1:4" ht="13.2">
      <c r="A999" s="17"/>
      <c r="B999" s="30"/>
      <c r="C999" s="31"/>
      <c r="D999" s="31"/>
    </row>
    <row r="1000" spans="1:4" ht="13.2">
      <c r="A1000" s="17"/>
      <c r="B1000" s="30"/>
      <c r="C1000" s="31"/>
      <c r="D1000" s="31"/>
    </row>
    <row r="1001" spans="1:4" ht="13.2">
      <c r="A1001" s="32"/>
      <c r="B1001" s="33"/>
      <c r="C1001" s="31"/>
      <c r="D1001" s="31"/>
    </row>
    <row r="1002" spans="1:4" ht="13.2">
      <c r="A1002" s="32"/>
      <c r="B1002" s="33"/>
      <c r="C1002" s="31"/>
      <c r="D1002" s="31"/>
    </row>
    <row r="1003" spans="1:4" ht="13.2">
      <c r="A1003" s="32"/>
      <c r="B1003" s="33"/>
      <c r="C1003" s="31"/>
      <c r="D1003" s="31"/>
    </row>
    <row r="1004" spans="1:4" ht="13.2">
      <c r="A1004" s="32"/>
      <c r="B1004" s="33"/>
      <c r="C1004" s="31"/>
      <c r="D1004" s="31"/>
    </row>
    <row r="1005" spans="1:4" ht="13.2">
      <c r="A1005" s="32"/>
      <c r="B1005" s="33"/>
      <c r="C1005" s="31"/>
      <c r="D1005" s="31"/>
    </row>
    <row r="1006" spans="1:4" ht="13.2">
      <c r="A1006" s="32"/>
      <c r="B1006" s="33"/>
      <c r="C1006" s="31"/>
      <c r="D1006" s="31"/>
    </row>
    <row r="1007" spans="1:4" ht="13.2">
      <c r="A1007" s="32"/>
      <c r="B1007" s="33"/>
      <c r="C1007" s="31"/>
      <c r="D1007" s="31"/>
    </row>
    <row r="1008" spans="1:4" ht="13.2">
      <c r="A1008" s="32"/>
      <c r="B1008" s="33"/>
      <c r="C1008" s="31"/>
      <c r="D1008" s="31"/>
    </row>
    <row r="1009" spans="1:4" ht="13.2">
      <c r="A1009" s="32"/>
      <c r="B1009" s="33"/>
      <c r="C1009" s="31"/>
      <c r="D1009" s="31"/>
    </row>
    <row r="1010" spans="1:4" ht="13.2">
      <c r="A1010" s="32"/>
      <c r="B1010" s="33"/>
      <c r="C1010" s="31"/>
      <c r="D1010" s="31"/>
    </row>
    <row r="1011" spans="1:4" ht="13.2">
      <c r="A1011" s="32"/>
      <c r="B1011" s="33"/>
      <c r="C1011" s="31"/>
      <c r="D1011" s="31"/>
    </row>
    <row r="1012" spans="1:4" ht="13.2">
      <c r="A1012" s="32"/>
      <c r="B1012" s="33"/>
      <c r="C1012" s="31"/>
      <c r="D1012" s="31"/>
    </row>
    <row r="1013" spans="1:4" ht="13.2">
      <c r="A1013" s="32"/>
      <c r="B1013" s="33"/>
      <c r="C1013" s="31"/>
      <c r="D1013" s="31"/>
    </row>
    <row r="1014" spans="1:4" ht="13.2">
      <c r="A1014" s="32"/>
      <c r="B1014" s="33"/>
      <c r="C1014" s="31"/>
      <c r="D1014" s="31"/>
    </row>
    <row r="1015" spans="1:4" ht="13.2">
      <c r="A1015" s="32"/>
      <c r="B1015" s="33"/>
      <c r="C1015" s="31"/>
      <c r="D1015" s="3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Z1000"/>
  <sheetViews>
    <sheetView workbookViewId="0"/>
  </sheetViews>
  <sheetFormatPr baseColWidth="10" defaultColWidth="12.6640625" defaultRowHeight="15.75" customHeight="1"/>
  <sheetData>
    <row r="1" spans="1:26" ht="15.75" customHeight="1">
      <c r="A1" s="23" t="s">
        <v>33</v>
      </c>
      <c r="B1" s="24" t="s">
        <v>34</v>
      </c>
      <c r="C1" s="25" t="s">
        <v>35</v>
      </c>
      <c r="D1" s="25" t="s">
        <v>36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5.75" customHeight="1">
      <c r="A2" s="26">
        <v>10101</v>
      </c>
      <c r="B2" s="27" t="s">
        <v>37</v>
      </c>
      <c r="C2" s="28"/>
      <c r="D2" s="28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5.75" customHeight="1">
      <c r="A3" s="26">
        <v>10102</v>
      </c>
      <c r="B3" s="27" t="s">
        <v>38</v>
      </c>
      <c r="C3" s="28"/>
      <c r="D3" s="2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ht="15.75" customHeight="1">
      <c r="A4" s="26">
        <v>10103</v>
      </c>
      <c r="B4" s="27" t="s">
        <v>39</v>
      </c>
      <c r="C4" s="28"/>
      <c r="D4" s="28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ht="15.75" customHeight="1">
      <c r="A5" s="26">
        <v>10201</v>
      </c>
      <c r="B5" s="27" t="s">
        <v>40</v>
      </c>
      <c r="C5" s="28"/>
      <c r="D5" s="28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5.75" customHeight="1">
      <c r="A6" s="26">
        <v>10202</v>
      </c>
      <c r="B6" s="27" t="s">
        <v>41</v>
      </c>
      <c r="C6" s="28"/>
      <c r="D6" s="28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ht="15.75" customHeight="1">
      <c r="A7" s="26">
        <v>10301</v>
      </c>
      <c r="B7" s="27" t="s">
        <v>42</v>
      </c>
      <c r="C7" s="28"/>
      <c r="D7" s="28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5.75" customHeight="1">
      <c r="A8" s="26">
        <v>10302</v>
      </c>
      <c r="B8" s="27" t="s">
        <v>43</v>
      </c>
      <c r="C8" s="28"/>
      <c r="D8" s="28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ht="15.75" customHeight="1">
      <c r="A9" s="26">
        <v>10303</v>
      </c>
      <c r="B9" s="27" t="s">
        <v>44</v>
      </c>
      <c r="C9" s="28"/>
      <c r="D9" s="2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5.75" customHeight="1">
      <c r="A10" s="26">
        <v>10304</v>
      </c>
      <c r="B10" s="27" t="s">
        <v>45</v>
      </c>
      <c r="C10" s="28"/>
      <c r="D10" s="2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5.75" customHeight="1">
      <c r="A11" s="26">
        <v>10401</v>
      </c>
      <c r="B11" s="27" t="s">
        <v>46</v>
      </c>
      <c r="C11" s="28"/>
      <c r="D11" s="2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15.75" customHeight="1">
      <c r="A12" s="26">
        <v>10402</v>
      </c>
      <c r="B12" s="27" t="s">
        <v>47</v>
      </c>
      <c r="C12" s="28"/>
      <c r="D12" s="2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15.75" customHeight="1">
      <c r="A13" s="26">
        <v>10403</v>
      </c>
      <c r="B13" s="27" t="s">
        <v>48</v>
      </c>
      <c r="C13" s="28"/>
      <c r="D13" s="2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15.75" customHeight="1">
      <c r="A14" s="26">
        <v>10404</v>
      </c>
      <c r="B14" s="27" t="s">
        <v>375</v>
      </c>
      <c r="C14" s="28"/>
      <c r="D14" s="2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15.75" customHeight="1">
      <c r="A15" s="26">
        <v>10405</v>
      </c>
      <c r="B15" s="27" t="s">
        <v>50</v>
      </c>
      <c r="C15" s="28"/>
      <c r="D15" s="2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5.75" customHeight="1">
      <c r="A16" s="26">
        <v>10501</v>
      </c>
      <c r="B16" s="27" t="s">
        <v>51</v>
      </c>
      <c r="C16" s="28"/>
      <c r="D16" s="28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15.75" customHeight="1">
      <c r="A17" s="26">
        <v>10502</v>
      </c>
      <c r="B17" s="27" t="s">
        <v>52</v>
      </c>
      <c r="C17" s="28"/>
      <c r="D17" s="28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15.75" customHeight="1">
      <c r="A18" s="26">
        <v>10601</v>
      </c>
      <c r="B18" s="27" t="s">
        <v>53</v>
      </c>
      <c r="C18" s="28"/>
      <c r="D18" s="28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15.75" customHeight="1">
      <c r="A19" s="26">
        <v>10602</v>
      </c>
      <c r="B19" s="27" t="s">
        <v>54</v>
      </c>
      <c r="C19" s="28"/>
      <c r="D19" s="2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 spans="1:26" ht="15.75" customHeight="1">
      <c r="A20" s="26">
        <v>10701</v>
      </c>
      <c r="B20" s="27" t="s">
        <v>55</v>
      </c>
      <c r="C20" s="28"/>
      <c r="D20" s="28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spans="1:26" ht="15.75" customHeight="1">
      <c r="A21" s="26">
        <v>10702</v>
      </c>
      <c r="B21" s="27" t="s">
        <v>56</v>
      </c>
      <c r="C21" s="28"/>
      <c r="D21" s="28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 spans="1:26" ht="15.75" customHeight="1">
      <c r="A22" s="26">
        <v>10703</v>
      </c>
      <c r="B22" s="27" t="s">
        <v>57</v>
      </c>
      <c r="C22" s="28"/>
      <c r="D22" s="28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spans="1:26" ht="15.75" customHeight="1">
      <c r="A23" s="26">
        <v>10704</v>
      </c>
      <c r="B23" s="27" t="s">
        <v>58</v>
      </c>
      <c r="C23" s="28"/>
      <c r="D23" s="28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15.75" customHeight="1">
      <c r="A24" s="26">
        <v>10801</v>
      </c>
      <c r="B24" s="27" t="s">
        <v>59</v>
      </c>
      <c r="C24" s="28"/>
      <c r="D24" s="2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spans="1:26" ht="15.75" customHeight="1">
      <c r="A25" s="26">
        <v>10901</v>
      </c>
      <c r="B25" s="27" t="s">
        <v>376</v>
      </c>
      <c r="C25" s="28"/>
      <c r="D25" s="2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spans="1:26" ht="15.75" customHeight="1">
      <c r="A26" s="26">
        <v>10902</v>
      </c>
      <c r="B26" s="27" t="s">
        <v>61</v>
      </c>
      <c r="C26" s="28"/>
      <c r="D26" s="2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spans="1:26" ht="14.4">
      <c r="A27" s="26">
        <v>10903</v>
      </c>
      <c r="B27" s="27" t="s">
        <v>62</v>
      </c>
      <c r="C27" s="28"/>
      <c r="D27" s="2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spans="1:26" ht="14.4">
      <c r="A28" s="26">
        <v>11001</v>
      </c>
      <c r="B28" s="27" t="s">
        <v>377</v>
      </c>
      <c r="C28" s="28"/>
      <c r="D28" s="2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spans="1:26" ht="14.4">
      <c r="A29" s="26">
        <v>11002</v>
      </c>
      <c r="B29" s="27" t="s">
        <v>378</v>
      </c>
      <c r="C29" s="28"/>
      <c r="D29" s="2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spans="1:26" ht="14.4">
      <c r="A30" s="26">
        <v>11003</v>
      </c>
      <c r="B30" s="27" t="s">
        <v>379</v>
      </c>
      <c r="C30" s="28"/>
      <c r="D30" s="2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14.4">
      <c r="A31" s="26">
        <v>20101</v>
      </c>
      <c r="B31" s="27" t="s">
        <v>380</v>
      </c>
      <c r="C31" s="28"/>
      <c r="D31" s="28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spans="1:26" ht="14.4">
      <c r="A32" s="26">
        <v>20102</v>
      </c>
      <c r="B32" s="27" t="s">
        <v>67</v>
      </c>
      <c r="C32" s="28"/>
      <c r="D32" s="2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spans="1:26" ht="14.4">
      <c r="A33" s="26">
        <v>20103</v>
      </c>
      <c r="B33" s="27" t="s">
        <v>68</v>
      </c>
      <c r="C33" s="28"/>
      <c r="D33" s="28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spans="1:26" ht="14.4">
      <c r="A34" s="26">
        <v>20104</v>
      </c>
      <c r="B34" s="27" t="s">
        <v>69</v>
      </c>
      <c r="C34" s="28"/>
      <c r="D34" s="2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spans="1:26" ht="14.4">
      <c r="A35" s="26">
        <v>20105</v>
      </c>
      <c r="B35" s="27" t="s">
        <v>70</v>
      </c>
      <c r="C35" s="28"/>
      <c r="D35" s="28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4.4">
      <c r="A36" s="26">
        <v>20201</v>
      </c>
      <c r="B36" s="27" t="s">
        <v>71</v>
      </c>
      <c r="C36" s="28"/>
      <c r="D36" s="28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spans="1:26" ht="14.4">
      <c r="A37" s="26">
        <v>20202</v>
      </c>
      <c r="B37" s="27" t="s">
        <v>381</v>
      </c>
      <c r="C37" s="28"/>
      <c r="D37" s="28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spans="1:26" ht="14.4">
      <c r="A38" s="26">
        <v>20203</v>
      </c>
      <c r="B38" s="27" t="s">
        <v>73</v>
      </c>
      <c r="C38" s="28"/>
      <c r="D38" s="2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spans="1:26" ht="14.4">
      <c r="A39" s="26">
        <v>20204</v>
      </c>
      <c r="B39" s="27" t="s">
        <v>74</v>
      </c>
      <c r="C39" s="28"/>
      <c r="D39" s="2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 spans="1:26" ht="14.4">
      <c r="A40" s="26">
        <v>20205</v>
      </c>
      <c r="B40" s="27" t="s">
        <v>75</v>
      </c>
      <c r="C40" s="28"/>
      <c r="D40" s="2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 spans="1:26" ht="14.4">
      <c r="A41" s="26">
        <v>20206</v>
      </c>
      <c r="B41" s="27" t="s">
        <v>76</v>
      </c>
      <c r="C41" s="28"/>
      <c r="D41" s="28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spans="1:26" ht="14.4">
      <c r="A42" s="26">
        <v>20301</v>
      </c>
      <c r="B42" s="27" t="s">
        <v>77</v>
      </c>
      <c r="C42" s="28"/>
      <c r="D42" s="28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spans="1:26" ht="14.4">
      <c r="A43" s="26">
        <v>20302</v>
      </c>
      <c r="B43" s="27" t="s">
        <v>78</v>
      </c>
      <c r="C43" s="28"/>
      <c r="D43" s="28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spans="1:26" ht="14.4">
      <c r="A44" s="26">
        <v>20303</v>
      </c>
      <c r="B44" s="27" t="s">
        <v>79</v>
      </c>
      <c r="C44" s="28"/>
      <c r="D44" s="2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 spans="1:26" ht="14.4">
      <c r="A45" s="26">
        <v>20304</v>
      </c>
      <c r="B45" s="27" t="s">
        <v>80</v>
      </c>
      <c r="C45" s="28"/>
      <c r="D45" s="2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spans="1:26" ht="14.4">
      <c r="A46" s="26">
        <v>20305</v>
      </c>
      <c r="B46" s="27" t="s">
        <v>81</v>
      </c>
      <c r="C46" s="28"/>
      <c r="D46" s="28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spans="1:26" ht="14.4">
      <c r="A47" s="26">
        <v>20306</v>
      </c>
      <c r="B47" s="27" t="s">
        <v>82</v>
      </c>
      <c r="C47" s="28"/>
      <c r="D47" s="28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 spans="1:26" ht="14.4">
      <c r="A48" s="26">
        <v>20307</v>
      </c>
      <c r="B48" s="27" t="s">
        <v>83</v>
      </c>
      <c r="C48" s="28"/>
      <c r="D48" s="28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spans="1:26" ht="14.4">
      <c r="A49" s="26">
        <v>20308</v>
      </c>
      <c r="B49" s="27" t="s">
        <v>382</v>
      </c>
      <c r="C49" s="28"/>
      <c r="D49" s="28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 spans="1:26" ht="14.4">
      <c r="A50" s="26">
        <v>20401</v>
      </c>
      <c r="B50" s="27" t="s">
        <v>85</v>
      </c>
      <c r="C50" s="28"/>
      <c r="D50" s="28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spans="1:26" ht="14.4">
      <c r="A51" s="26">
        <v>20402</v>
      </c>
      <c r="B51" s="27" t="s">
        <v>86</v>
      </c>
      <c r="C51" s="28"/>
      <c r="D51" s="28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 spans="1:26" ht="14.4">
      <c r="A52" s="26">
        <v>20403</v>
      </c>
      <c r="B52" s="27" t="s">
        <v>383</v>
      </c>
      <c r="C52" s="28"/>
      <c r="D52" s="28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 spans="1:26" ht="14.4">
      <c r="A53" s="26">
        <v>20404</v>
      </c>
      <c r="B53" s="27" t="s">
        <v>88</v>
      </c>
      <c r="C53" s="28"/>
      <c r="D53" s="28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 spans="1:26" ht="14.4">
      <c r="A54" s="26">
        <v>20405</v>
      </c>
      <c r="B54" s="27" t="s">
        <v>89</v>
      </c>
      <c r="C54" s="28"/>
      <c r="D54" s="28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 spans="1:26" ht="14.4">
      <c r="A55" s="26">
        <v>20501</v>
      </c>
      <c r="B55" s="27" t="s">
        <v>90</v>
      </c>
      <c r="C55" s="28"/>
      <c r="D55" s="28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 spans="1:26" ht="14.4">
      <c r="A56" s="26">
        <v>20502</v>
      </c>
      <c r="B56" s="27" t="s">
        <v>91</v>
      </c>
      <c r="C56" s="28"/>
      <c r="D56" s="28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 spans="1:26" ht="14.4">
      <c r="A57" s="26">
        <v>20503</v>
      </c>
      <c r="B57" s="27" t="s">
        <v>92</v>
      </c>
      <c r="C57" s="28"/>
      <c r="D57" s="28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 spans="1:26" ht="14.4">
      <c r="A58" s="26">
        <v>20601</v>
      </c>
      <c r="B58" s="27" t="s">
        <v>93</v>
      </c>
      <c r="C58" s="28"/>
      <c r="D58" s="28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 spans="1:26" ht="14.4">
      <c r="A59" s="26">
        <v>20602</v>
      </c>
      <c r="B59" s="27" t="s">
        <v>94</v>
      </c>
      <c r="C59" s="28"/>
      <c r="D59" s="28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4.4">
      <c r="A60" s="26">
        <v>20603</v>
      </c>
      <c r="B60" s="27" t="s">
        <v>95</v>
      </c>
      <c r="C60" s="28"/>
      <c r="D60" s="28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 spans="1:26" ht="14.4">
      <c r="A61" s="26">
        <v>20604</v>
      </c>
      <c r="B61" s="27" t="s">
        <v>96</v>
      </c>
      <c r="C61" s="28"/>
      <c r="D61" s="28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 spans="1:26" ht="14.4">
      <c r="A62" s="26">
        <v>20605</v>
      </c>
      <c r="B62" s="27" t="s">
        <v>97</v>
      </c>
      <c r="C62" s="28"/>
      <c r="D62" s="28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 spans="1:26" ht="14.4">
      <c r="A63" s="26">
        <v>20606</v>
      </c>
      <c r="B63" s="27" t="s">
        <v>98</v>
      </c>
      <c r="C63" s="28"/>
      <c r="D63" s="28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 spans="1:26" ht="14.4">
      <c r="A64" s="26">
        <v>20607</v>
      </c>
      <c r="B64" s="27" t="s">
        <v>99</v>
      </c>
      <c r="C64" s="28"/>
      <c r="D64" s="28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 spans="1:26" ht="14.4">
      <c r="A65" s="26">
        <v>20608</v>
      </c>
      <c r="B65" s="27" t="s">
        <v>100</v>
      </c>
      <c r="C65" s="28"/>
      <c r="D65" s="28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spans="1:26" ht="14.4">
      <c r="A66" s="26">
        <v>20701</v>
      </c>
      <c r="B66" s="27" t="s">
        <v>101</v>
      </c>
      <c r="C66" s="28"/>
      <c r="D66" s="28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spans="1:26" ht="14.4">
      <c r="A67" s="26">
        <v>20702</v>
      </c>
      <c r="B67" s="27" t="s">
        <v>102</v>
      </c>
      <c r="C67" s="28"/>
      <c r="D67" s="28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6" ht="14.4">
      <c r="A68" s="26">
        <v>20801</v>
      </c>
      <c r="B68" s="27" t="s">
        <v>103</v>
      </c>
      <c r="C68" s="28"/>
      <c r="D68" s="28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6" ht="14.4">
      <c r="A69" s="26">
        <v>20802</v>
      </c>
      <c r="B69" s="27" t="s">
        <v>384</v>
      </c>
      <c r="C69" s="28"/>
      <c r="D69" s="28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spans="1:26" ht="14.4">
      <c r="A70" s="26">
        <v>20803</v>
      </c>
      <c r="B70" s="27" t="s">
        <v>385</v>
      </c>
      <c r="C70" s="28"/>
      <c r="D70" s="28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spans="1:26" ht="14.4">
      <c r="A71" s="26">
        <v>20804</v>
      </c>
      <c r="B71" s="27" t="s">
        <v>106</v>
      </c>
      <c r="C71" s="28"/>
      <c r="D71" s="28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spans="1:26" ht="14.4">
      <c r="A72" s="26">
        <v>20805</v>
      </c>
      <c r="B72" s="27" t="s">
        <v>386</v>
      </c>
      <c r="C72" s="28"/>
      <c r="D72" s="28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spans="1:26" ht="14.4">
      <c r="A73" s="26">
        <v>20806</v>
      </c>
      <c r="B73" s="27" t="s">
        <v>387</v>
      </c>
      <c r="C73" s="28"/>
      <c r="D73" s="28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spans="1:26" ht="14.4">
      <c r="A74" s="26">
        <v>20807</v>
      </c>
      <c r="B74" s="27" t="s">
        <v>109</v>
      </c>
      <c r="C74" s="28"/>
      <c r="D74" s="28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spans="1:26" ht="14.4">
      <c r="A75" s="26">
        <v>20901</v>
      </c>
      <c r="B75" s="27" t="s">
        <v>110</v>
      </c>
      <c r="C75" s="28"/>
      <c r="D75" s="28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spans="1:26" ht="14.4">
      <c r="A76" s="26">
        <v>20902</v>
      </c>
      <c r="B76" s="27" t="s">
        <v>111</v>
      </c>
      <c r="C76" s="28"/>
      <c r="D76" s="28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spans="1:26" ht="14.4">
      <c r="A77" s="26">
        <v>20903</v>
      </c>
      <c r="B77" s="27" t="s">
        <v>112</v>
      </c>
      <c r="C77" s="28"/>
      <c r="D77" s="28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spans="1:26" ht="14.4">
      <c r="A78" s="26">
        <v>20904</v>
      </c>
      <c r="B78" s="27" t="s">
        <v>113</v>
      </c>
      <c r="C78" s="28"/>
      <c r="D78" s="28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spans="1:26" ht="14.4">
      <c r="A79" s="26">
        <v>20905</v>
      </c>
      <c r="B79" s="27" t="s">
        <v>114</v>
      </c>
      <c r="C79" s="28"/>
      <c r="D79" s="28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spans="1:26" ht="14.4">
      <c r="A80" s="26">
        <v>21001</v>
      </c>
      <c r="B80" s="27" t="s">
        <v>115</v>
      </c>
      <c r="C80" s="28"/>
      <c r="D80" s="28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spans="1:26" ht="14.4">
      <c r="A81" s="26">
        <v>21002</v>
      </c>
      <c r="B81" s="27" t="s">
        <v>116</v>
      </c>
      <c r="C81" s="28"/>
      <c r="D81" s="28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spans="1:26" ht="14.4">
      <c r="A82" s="26">
        <v>21003</v>
      </c>
      <c r="B82" s="27" t="s">
        <v>117</v>
      </c>
      <c r="C82" s="28"/>
      <c r="D82" s="28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spans="1:26" ht="14.4">
      <c r="A83" s="26">
        <v>21004</v>
      </c>
      <c r="B83" s="27" t="s">
        <v>118</v>
      </c>
      <c r="C83" s="28"/>
      <c r="D83" s="28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spans="1:26" ht="14.4">
      <c r="A84" s="26">
        <v>21005</v>
      </c>
      <c r="B84" s="27" t="s">
        <v>119</v>
      </c>
      <c r="C84" s="28"/>
      <c r="D84" s="28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spans="1:26" ht="14.4">
      <c r="A85" s="26">
        <v>21006</v>
      </c>
      <c r="B85" s="27" t="s">
        <v>120</v>
      </c>
      <c r="C85" s="28"/>
      <c r="D85" s="28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spans="1:26" ht="14.4">
      <c r="A86" s="26">
        <v>21101</v>
      </c>
      <c r="B86" s="27" t="s">
        <v>121</v>
      </c>
      <c r="C86" s="28"/>
      <c r="D86" s="28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spans="1:26" ht="14.4">
      <c r="A87" s="26">
        <v>21102</v>
      </c>
      <c r="B87" s="27" t="s">
        <v>122</v>
      </c>
      <c r="C87" s="28"/>
      <c r="D87" s="28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spans="1:26" ht="14.4">
      <c r="A88" s="26">
        <v>21103</v>
      </c>
      <c r="B88" s="27" t="s">
        <v>123</v>
      </c>
      <c r="C88" s="28"/>
      <c r="D88" s="28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spans="1:26" ht="14.4">
      <c r="A89" s="26">
        <v>21104</v>
      </c>
      <c r="B89" s="27" t="s">
        <v>124</v>
      </c>
      <c r="C89" s="28"/>
      <c r="D89" s="28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spans="1:26" ht="14.4">
      <c r="A90" s="26">
        <v>21105</v>
      </c>
      <c r="B90" s="27" t="s">
        <v>125</v>
      </c>
      <c r="C90" s="28"/>
      <c r="D90" s="28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spans="1:26" ht="14.4">
      <c r="A91" s="26">
        <v>21201</v>
      </c>
      <c r="B91" s="27" t="s">
        <v>126</v>
      </c>
      <c r="C91" s="28"/>
      <c r="D91" s="28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spans="1:26" ht="14.4">
      <c r="A92" s="26">
        <v>21202</v>
      </c>
      <c r="B92" s="27" t="s">
        <v>127</v>
      </c>
      <c r="C92" s="28"/>
      <c r="D92" s="28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spans="1:26" ht="14.4">
      <c r="A93" s="26">
        <v>21203</v>
      </c>
      <c r="B93" s="27" t="s">
        <v>128</v>
      </c>
      <c r="C93" s="28"/>
      <c r="D93" s="28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spans="1:26" ht="14.4">
      <c r="A94" s="26">
        <v>21204</v>
      </c>
      <c r="B94" s="27" t="s">
        <v>129</v>
      </c>
      <c r="C94" s="28"/>
      <c r="D94" s="28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spans="1:26" ht="14.4">
      <c r="A95" s="26">
        <v>21301</v>
      </c>
      <c r="B95" s="27" t="s">
        <v>388</v>
      </c>
      <c r="C95" s="28"/>
      <c r="D95" s="28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spans="1:26" ht="14.4">
      <c r="A96" s="26">
        <v>21302</v>
      </c>
      <c r="B96" s="27" t="s">
        <v>131</v>
      </c>
      <c r="C96" s="28"/>
      <c r="D96" s="28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spans="1:26" ht="14.4">
      <c r="A97" s="26">
        <v>21303</v>
      </c>
      <c r="B97" s="27" t="s">
        <v>132</v>
      </c>
      <c r="C97" s="28"/>
      <c r="D97" s="28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spans="1:26" ht="14.4">
      <c r="A98" s="26">
        <v>21304</v>
      </c>
      <c r="B98" s="27" t="s">
        <v>133</v>
      </c>
      <c r="C98" s="28"/>
      <c r="D98" s="28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spans="1:26" ht="14.4">
      <c r="A99" s="26">
        <v>21305</v>
      </c>
      <c r="B99" s="27" t="s">
        <v>134</v>
      </c>
      <c r="C99" s="28"/>
      <c r="D99" s="28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spans="1:26" ht="14.4">
      <c r="A100" s="26">
        <v>21306</v>
      </c>
      <c r="B100" s="27" t="s">
        <v>135</v>
      </c>
      <c r="C100" s="28"/>
      <c r="D100" s="28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spans="1:26" ht="14.4">
      <c r="A101" s="26">
        <v>21307</v>
      </c>
      <c r="B101" s="27" t="s">
        <v>136</v>
      </c>
      <c r="C101" s="28"/>
      <c r="D101" s="28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spans="1:26" ht="14.4">
      <c r="A102" s="26">
        <v>21401</v>
      </c>
      <c r="B102" s="27" t="s">
        <v>137</v>
      </c>
      <c r="C102" s="28"/>
      <c r="D102" s="28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spans="1:26" ht="14.4">
      <c r="A103" s="26">
        <v>21402</v>
      </c>
      <c r="B103" s="27" t="s">
        <v>138</v>
      </c>
      <c r="C103" s="28"/>
      <c r="D103" s="28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spans="1:26" ht="14.4">
      <c r="A104" s="26">
        <v>21501</v>
      </c>
      <c r="B104" s="27" t="s">
        <v>389</v>
      </c>
      <c r="C104" s="28"/>
      <c r="D104" s="28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spans="1:26" ht="14.4">
      <c r="A105" s="26">
        <v>21502</v>
      </c>
      <c r="B105" s="27" t="s">
        <v>140</v>
      </c>
      <c r="C105" s="28"/>
      <c r="D105" s="28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spans="1:26" ht="14.4">
      <c r="A106" s="26">
        <v>21601</v>
      </c>
      <c r="B106" s="27" t="s">
        <v>141</v>
      </c>
      <c r="C106" s="28"/>
      <c r="D106" s="28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spans="1:26" ht="14.4">
      <c r="A107" s="26">
        <v>21602</v>
      </c>
      <c r="B107" s="27" t="s">
        <v>142</v>
      </c>
      <c r="C107" s="28"/>
      <c r="D107" s="28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spans="1:26" ht="14.4">
      <c r="A108" s="26">
        <v>21701</v>
      </c>
      <c r="B108" s="27" t="s">
        <v>143</v>
      </c>
      <c r="C108" s="28"/>
      <c r="D108" s="28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spans="1:26" ht="14.4">
      <c r="A109" s="26">
        <v>21702</v>
      </c>
      <c r="B109" s="27" t="s">
        <v>144</v>
      </c>
      <c r="C109" s="28"/>
      <c r="D109" s="28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spans="1:26" ht="14.4">
      <c r="A110" s="26">
        <v>21703</v>
      </c>
      <c r="B110" s="27" t="s">
        <v>145</v>
      </c>
      <c r="C110" s="28"/>
      <c r="D110" s="28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14.4">
      <c r="A111" s="26">
        <v>21801</v>
      </c>
      <c r="B111" s="27" t="s">
        <v>146</v>
      </c>
      <c r="C111" s="28"/>
      <c r="D111" s="28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14.4">
      <c r="A112" s="26">
        <v>21802</v>
      </c>
      <c r="B112" s="27" t="s">
        <v>147</v>
      </c>
      <c r="C112" s="28"/>
      <c r="D112" s="28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14.4">
      <c r="A113" s="26">
        <v>21803</v>
      </c>
      <c r="B113" s="27" t="s">
        <v>148</v>
      </c>
      <c r="C113" s="28"/>
      <c r="D113" s="28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14.4">
      <c r="A114" s="26">
        <v>21901</v>
      </c>
      <c r="B114" s="27" t="s">
        <v>149</v>
      </c>
      <c r="C114" s="28"/>
      <c r="D114" s="28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14.4">
      <c r="A115" s="26">
        <v>21902</v>
      </c>
      <c r="B115" s="27" t="s">
        <v>150</v>
      </c>
      <c r="C115" s="28"/>
      <c r="D115" s="28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14.4">
      <c r="A116" s="26">
        <v>22001</v>
      </c>
      <c r="B116" s="27" t="s">
        <v>151</v>
      </c>
      <c r="C116" s="28"/>
      <c r="D116" s="28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14.4">
      <c r="A117" s="26">
        <v>22002</v>
      </c>
      <c r="B117" s="27" t="s">
        <v>152</v>
      </c>
      <c r="C117" s="28"/>
      <c r="D117" s="28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14.4">
      <c r="A118" s="26">
        <v>30101</v>
      </c>
      <c r="B118" s="27" t="s">
        <v>390</v>
      </c>
      <c r="C118" s="28"/>
      <c r="D118" s="28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14.4">
      <c r="A119" s="26">
        <v>30201</v>
      </c>
      <c r="B119" s="27" t="s">
        <v>154</v>
      </c>
      <c r="C119" s="28"/>
      <c r="D119" s="28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14.4">
      <c r="A120" s="26">
        <v>30202</v>
      </c>
      <c r="B120" s="27" t="s">
        <v>155</v>
      </c>
      <c r="C120" s="28"/>
      <c r="D120" s="28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14.4">
      <c r="A121" s="26">
        <v>30203</v>
      </c>
      <c r="B121" s="27" t="s">
        <v>156</v>
      </c>
      <c r="C121" s="28"/>
      <c r="D121" s="28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14.4">
      <c r="A122" s="26">
        <v>30301</v>
      </c>
      <c r="B122" s="27" t="s">
        <v>391</v>
      </c>
      <c r="C122" s="28"/>
      <c r="D122" s="28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14.4">
      <c r="A123" s="26">
        <v>30302</v>
      </c>
      <c r="B123" s="27" t="s">
        <v>158</v>
      </c>
      <c r="C123" s="28"/>
      <c r="D123" s="28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14.4">
      <c r="A124" s="26">
        <v>30303</v>
      </c>
      <c r="B124" s="27" t="s">
        <v>159</v>
      </c>
      <c r="C124" s="28"/>
      <c r="D124" s="28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14.4">
      <c r="A125" s="26">
        <v>30401</v>
      </c>
      <c r="B125" s="27" t="s">
        <v>392</v>
      </c>
      <c r="C125" s="28"/>
      <c r="D125" s="28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14.4">
      <c r="A126" s="26">
        <v>30402</v>
      </c>
      <c r="B126" s="27" t="s">
        <v>161</v>
      </c>
      <c r="C126" s="28"/>
      <c r="D126" s="28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14.4">
      <c r="A127" s="26">
        <v>30403</v>
      </c>
      <c r="B127" s="27" t="s">
        <v>162</v>
      </c>
      <c r="C127" s="28"/>
      <c r="D127" s="28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14.4">
      <c r="A128" s="26">
        <v>30404</v>
      </c>
      <c r="B128" s="27" t="s">
        <v>163</v>
      </c>
      <c r="C128" s="28"/>
      <c r="D128" s="28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14.4">
      <c r="A129" s="26">
        <v>30501</v>
      </c>
      <c r="B129" s="27" t="s">
        <v>164</v>
      </c>
      <c r="C129" s="28"/>
      <c r="D129" s="28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14.4">
      <c r="A130" s="26">
        <v>30502</v>
      </c>
      <c r="B130" s="27" t="s">
        <v>165</v>
      </c>
      <c r="C130" s="28"/>
      <c r="D130" s="28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14.4">
      <c r="A131" s="26">
        <v>30601</v>
      </c>
      <c r="B131" s="27" t="s">
        <v>393</v>
      </c>
      <c r="C131" s="28"/>
      <c r="D131" s="28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14.4">
      <c r="A132" s="26">
        <v>30602</v>
      </c>
      <c r="B132" s="27" t="s">
        <v>167</v>
      </c>
      <c r="C132" s="28"/>
      <c r="D132" s="28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14.4">
      <c r="A133" s="26">
        <v>30701</v>
      </c>
      <c r="B133" s="27" t="s">
        <v>168</v>
      </c>
      <c r="C133" s="28"/>
      <c r="D133" s="28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14.4">
      <c r="A134" s="26">
        <v>30702</v>
      </c>
      <c r="B134" s="27" t="s">
        <v>394</v>
      </c>
      <c r="C134" s="28"/>
      <c r="D134" s="28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14.4">
      <c r="A135" s="26">
        <v>30703</v>
      </c>
      <c r="B135" s="27" t="s">
        <v>170</v>
      </c>
      <c r="C135" s="28"/>
      <c r="D135" s="28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14.4">
      <c r="A136" s="26">
        <v>30801</v>
      </c>
      <c r="B136" s="27" t="s">
        <v>171</v>
      </c>
      <c r="C136" s="28"/>
      <c r="D136" s="28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14.4">
      <c r="A137" s="26">
        <v>30802</v>
      </c>
      <c r="B137" s="27" t="s">
        <v>395</v>
      </c>
      <c r="C137" s="28"/>
      <c r="D137" s="28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14.4">
      <c r="A138" s="26">
        <v>30803</v>
      </c>
      <c r="B138" s="27" t="s">
        <v>173</v>
      </c>
      <c r="C138" s="28"/>
      <c r="D138" s="28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14.4">
      <c r="A139" s="26">
        <v>30901</v>
      </c>
      <c r="B139" s="27" t="s">
        <v>174</v>
      </c>
      <c r="C139" s="28"/>
      <c r="D139" s="28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14.4">
      <c r="A140" s="26">
        <v>30902</v>
      </c>
      <c r="B140" s="27" t="s">
        <v>175</v>
      </c>
      <c r="C140" s="28"/>
      <c r="D140" s="28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14.4">
      <c r="A141" s="26">
        <v>30903</v>
      </c>
      <c r="B141" s="27" t="s">
        <v>176</v>
      </c>
      <c r="C141" s="28"/>
      <c r="D141" s="28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spans="1:26" ht="14.4">
      <c r="A142" s="26">
        <v>30904</v>
      </c>
      <c r="B142" s="27" t="s">
        <v>396</v>
      </c>
      <c r="C142" s="28"/>
      <c r="D142" s="28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spans="1:26" ht="14.4">
      <c r="A143" s="26">
        <v>30905</v>
      </c>
      <c r="B143" s="27" t="s">
        <v>178</v>
      </c>
      <c r="C143" s="28"/>
      <c r="D143" s="28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spans="1:26" ht="14.4">
      <c r="A144" s="26">
        <v>31001</v>
      </c>
      <c r="B144" s="27" t="s">
        <v>179</v>
      </c>
      <c r="C144" s="28"/>
      <c r="D144" s="28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spans="1:26" ht="14.4">
      <c r="A145" s="26">
        <v>31002</v>
      </c>
      <c r="B145" s="27" t="s">
        <v>180</v>
      </c>
      <c r="C145" s="28"/>
      <c r="D145" s="28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spans="1:26" ht="14.4">
      <c r="A146" s="26">
        <v>31003</v>
      </c>
      <c r="B146" s="27" t="s">
        <v>181</v>
      </c>
      <c r="C146" s="28"/>
      <c r="D146" s="28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spans="1:26" ht="14.4">
      <c r="A147" s="26">
        <v>31101</v>
      </c>
      <c r="B147" s="27" t="s">
        <v>182</v>
      </c>
      <c r="C147" s="28"/>
      <c r="D147" s="28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spans="1:26" ht="14.4">
      <c r="A148" s="26">
        <v>31201</v>
      </c>
      <c r="B148" s="27" t="s">
        <v>397</v>
      </c>
      <c r="C148" s="28"/>
      <c r="D148" s="28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spans="1:26" ht="14.4">
      <c r="A149" s="26">
        <v>31202</v>
      </c>
      <c r="B149" s="27" t="s">
        <v>184</v>
      </c>
      <c r="C149" s="28"/>
      <c r="D149" s="28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spans="1:26" ht="14.4">
      <c r="A150" s="26">
        <v>31203</v>
      </c>
      <c r="B150" s="27" t="s">
        <v>185</v>
      </c>
      <c r="C150" s="28"/>
      <c r="D150" s="28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spans="1:26" ht="14.4">
      <c r="A151" s="26">
        <v>31204</v>
      </c>
      <c r="B151" s="27" t="s">
        <v>186</v>
      </c>
      <c r="C151" s="28"/>
      <c r="D151" s="28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spans="1:26" ht="14.4">
      <c r="A152" s="26">
        <v>31205</v>
      </c>
      <c r="B152" s="27" t="s">
        <v>187</v>
      </c>
      <c r="C152" s="28"/>
      <c r="D152" s="28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spans="1:26" ht="14.4">
      <c r="A153" s="26">
        <v>31206</v>
      </c>
      <c r="B153" s="27" t="s">
        <v>188</v>
      </c>
      <c r="C153" s="28"/>
      <c r="D153" s="28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spans="1:26" ht="14.4">
      <c r="A154" s="26">
        <v>31301</v>
      </c>
      <c r="B154" s="27" t="s">
        <v>189</v>
      </c>
      <c r="C154" s="28"/>
      <c r="D154" s="28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spans="1:26" ht="14.4">
      <c r="A155" s="26">
        <v>31302</v>
      </c>
      <c r="B155" s="27" t="s">
        <v>190</v>
      </c>
      <c r="C155" s="28"/>
      <c r="D155" s="28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spans="1:26" ht="14.4">
      <c r="A156" s="26">
        <v>31303</v>
      </c>
      <c r="B156" s="27" t="s">
        <v>191</v>
      </c>
      <c r="C156" s="28"/>
      <c r="D156" s="28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spans="1:26" ht="14.4">
      <c r="A157" s="29">
        <v>31304</v>
      </c>
      <c r="B157" s="27" t="s">
        <v>192</v>
      </c>
      <c r="C157" s="28"/>
      <c r="D157" s="28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spans="1:26" ht="14.4">
      <c r="A158" s="26">
        <v>31401</v>
      </c>
      <c r="B158" s="27" t="s">
        <v>193</v>
      </c>
      <c r="C158" s="28"/>
      <c r="D158" s="28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spans="1:26" ht="14.4">
      <c r="A159" s="26">
        <v>31402</v>
      </c>
      <c r="B159" s="27" t="s">
        <v>194</v>
      </c>
      <c r="C159" s="28"/>
      <c r="D159" s="28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spans="1:26" ht="14.4">
      <c r="A160" s="26">
        <v>31403</v>
      </c>
      <c r="B160" s="27" t="s">
        <v>195</v>
      </c>
      <c r="C160" s="28"/>
      <c r="D160" s="28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spans="1:26" ht="14.4">
      <c r="A161" s="26">
        <v>31404</v>
      </c>
      <c r="B161" s="27" t="s">
        <v>196</v>
      </c>
      <c r="C161" s="28"/>
      <c r="D161" s="28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spans="1:26" ht="14.4">
      <c r="A162" s="26">
        <v>31405</v>
      </c>
      <c r="B162" s="27" t="s">
        <v>398</v>
      </c>
      <c r="C162" s="28"/>
      <c r="D162" s="28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spans="1:26" ht="14.4">
      <c r="A163" s="26">
        <v>31501</v>
      </c>
      <c r="B163" s="27" t="s">
        <v>399</v>
      </c>
      <c r="C163" s="28"/>
      <c r="D163" s="28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spans="1:26" ht="14.4">
      <c r="A164" s="26">
        <v>31601</v>
      </c>
      <c r="B164" s="27" t="s">
        <v>199</v>
      </c>
      <c r="C164" s="28"/>
      <c r="D164" s="28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spans="1:26" ht="14.4">
      <c r="A165" s="26">
        <v>31602</v>
      </c>
      <c r="B165" s="27" t="s">
        <v>200</v>
      </c>
      <c r="C165" s="28"/>
      <c r="D165" s="28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spans="1:26" ht="14.4">
      <c r="A166" s="26">
        <v>40101</v>
      </c>
      <c r="B166" s="27" t="s">
        <v>201</v>
      </c>
      <c r="C166" s="28"/>
      <c r="D166" s="28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spans="1:26" ht="14.4">
      <c r="A167" s="26">
        <v>40102</v>
      </c>
      <c r="B167" s="27" t="s">
        <v>202</v>
      </c>
      <c r="C167" s="28"/>
      <c r="D167" s="28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spans="1:26" ht="14.4">
      <c r="A168" s="26">
        <v>40103</v>
      </c>
      <c r="B168" s="27" t="s">
        <v>203</v>
      </c>
      <c r="C168" s="28"/>
      <c r="D168" s="28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spans="1:26" ht="14.4">
      <c r="A169" s="26">
        <v>40104</v>
      </c>
      <c r="B169" s="27" t="s">
        <v>400</v>
      </c>
      <c r="C169" s="28"/>
      <c r="D169" s="28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spans="1:26" ht="14.4">
      <c r="A170" s="26">
        <v>40201</v>
      </c>
      <c r="B170" s="27" t="s">
        <v>205</v>
      </c>
      <c r="C170" s="28"/>
      <c r="D170" s="28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spans="1:26" ht="14.4">
      <c r="A171" s="26">
        <v>40202</v>
      </c>
      <c r="B171" s="27" t="s">
        <v>401</v>
      </c>
      <c r="C171" s="28"/>
      <c r="D171" s="28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spans="1:26" ht="14.4">
      <c r="A172" s="26">
        <v>40301</v>
      </c>
      <c r="B172" s="27" t="s">
        <v>207</v>
      </c>
      <c r="C172" s="28"/>
      <c r="D172" s="28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spans="1:26" ht="14.4">
      <c r="A173" s="26">
        <v>40302</v>
      </c>
      <c r="B173" s="27" t="s">
        <v>402</v>
      </c>
      <c r="C173" s="28"/>
      <c r="D173" s="28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spans="1:26" ht="14.4">
      <c r="A174" s="26">
        <v>40401</v>
      </c>
      <c r="B174" s="27" t="s">
        <v>209</v>
      </c>
      <c r="C174" s="28"/>
      <c r="D174" s="28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spans="1:26" ht="14.4">
      <c r="A175" s="26">
        <v>40402</v>
      </c>
      <c r="B175" s="27" t="s">
        <v>210</v>
      </c>
      <c r="C175" s="28"/>
      <c r="D175" s="28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spans="1:26" ht="14.4">
      <c r="A176" s="26">
        <v>40501</v>
      </c>
      <c r="B176" s="27" t="s">
        <v>211</v>
      </c>
      <c r="C176" s="28"/>
      <c r="D176" s="28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spans="1:26" ht="14.4">
      <c r="A177" s="26">
        <v>40502</v>
      </c>
      <c r="B177" s="27" t="s">
        <v>212</v>
      </c>
      <c r="C177" s="28"/>
      <c r="D177" s="28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spans="1:26" ht="14.4">
      <c r="A178" s="26">
        <v>40503</v>
      </c>
      <c r="B178" s="27" t="s">
        <v>213</v>
      </c>
      <c r="C178" s="28"/>
      <c r="D178" s="28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spans="1:26" ht="14.4">
      <c r="A179" s="26">
        <v>40504</v>
      </c>
      <c r="B179" s="27" t="s">
        <v>403</v>
      </c>
      <c r="C179" s="28"/>
      <c r="D179" s="28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spans="1:26" ht="14.4">
      <c r="A180" s="26">
        <v>40505</v>
      </c>
      <c r="B180" s="27" t="s">
        <v>215</v>
      </c>
      <c r="C180" s="28"/>
      <c r="D180" s="28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spans="1:26" ht="14.4">
      <c r="A181" s="26">
        <v>40601</v>
      </c>
      <c r="B181" s="27" t="s">
        <v>216</v>
      </c>
      <c r="C181" s="28"/>
      <c r="D181" s="28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spans="1:26" ht="14.4">
      <c r="A182" s="26">
        <v>40602</v>
      </c>
      <c r="B182" s="27" t="s">
        <v>217</v>
      </c>
      <c r="C182" s="28"/>
      <c r="D182" s="28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spans="1:26" ht="14.4">
      <c r="A183" s="26">
        <v>40603</v>
      </c>
      <c r="B183" s="27" t="s">
        <v>218</v>
      </c>
      <c r="C183" s="28"/>
      <c r="D183" s="28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spans="1:26" ht="14.4">
      <c r="A184" s="26">
        <v>40701</v>
      </c>
      <c r="B184" s="27" t="s">
        <v>219</v>
      </c>
      <c r="C184" s="28"/>
      <c r="D184" s="28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spans="1:26" ht="14.4">
      <c r="A185" s="26">
        <v>40702</v>
      </c>
      <c r="B185" s="27" t="s">
        <v>220</v>
      </c>
      <c r="C185" s="28"/>
      <c r="D185" s="28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spans="1:26" ht="14.4">
      <c r="A186" s="26">
        <v>40801</v>
      </c>
      <c r="B186" s="27" t="s">
        <v>404</v>
      </c>
      <c r="C186" s="28"/>
      <c r="D186" s="28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spans="1:26" ht="14.4">
      <c r="A187" s="26">
        <v>40802</v>
      </c>
      <c r="B187" s="27" t="s">
        <v>222</v>
      </c>
      <c r="C187" s="28"/>
      <c r="D187" s="28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spans="1:26" ht="14.4">
      <c r="A188" s="26">
        <v>40901</v>
      </c>
      <c r="B188" s="27" t="s">
        <v>223</v>
      </c>
      <c r="C188" s="28"/>
      <c r="D188" s="28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spans="1:26" ht="14.4">
      <c r="A189" s="26">
        <v>40902</v>
      </c>
      <c r="B189" s="27" t="s">
        <v>224</v>
      </c>
      <c r="C189" s="28"/>
      <c r="D189" s="28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spans="1:26" ht="14.4">
      <c r="A190" s="26">
        <v>40903</v>
      </c>
      <c r="B190" s="27" t="s">
        <v>405</v>
      </c>
      <c r="C190" s="28"/>
      <c r="D190" s="28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spans="1:26" ht="14.4">
      <c r="A191" s="26">
        <v>41001</v>
      </c>
      <c r="B191" s="27" t="s">
        <v>226</v>
      </c>
      <c r="C191" s="28"/>
      <c r="D191" s="28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spans="1:26" ht="14.4">
      <c r="A192" s="26">
        <v>41101</v>
      </c>
      <c r="B192" s="27" t="s">
        <v>227</v>
      </c>
      <c r="C192" s="28"/>
      <c r="D192" s="28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spans="1:26" ht="14.4">
      <c r="A193" s="26">
        <v>41201</v>
      </c>
      <c r="B193" s="27" t="s">
        <v>406</v>
      </c>
      <c r="C193" s="28"/>
      <c r="D193" s="28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spans="1:26" ht="14.4">
      <c r="A194" s="26">
        <v>41202</v>
      </c>
      <c r="B194" s="27" t="s">
        <v>229</v>
      </c>
      <c r="C194" s="28"/>
      <c r="D194" s="28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spans="1:26" ht="14.4">
      <c r="A195" s="26">
        <v>41301</v>
      </c>
      <c r="B195" s="27" t="s">
        <v>397</v>
      </c>
      <c r="C195" s="28"/>
      <c r="D195" s="28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spans="1:26" ht="14.4">
      <c r="A196" s="26">
        <v>41401</v>
      </c>
      <c r="B196" s="27" t="s">
        <v>407</v>
      </c>
      <c r="C196" s="28"/>
      <c r="D196" s="28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spans="1:26" ht="14.4">
      <c r="A197" s="26">
        <v>41501</v>
      </c>
      <c r="B197" s="27" t="s">
        <v>232</v>
      </c>
      <c r="C197" s="28"/>
      <c r="D197" s="28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spans="1:26" ht="14.4">
      <c r="A198" s="26">
        <v>41502</v>
      </c>
      <c r="B198" s="27" t="s">
        <v>233</v>
      </c>
      <c r="C198" s="28"/>
      <c r="D198" s="28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spans="1:26" ht="14.4">
      <c r="A199" s="26">
        <v>41503</v>
      </c>
      <c r="B199" s="27" t="s">
        <v>234</v>
      </c>
      <c r="C199" s="28"/>
      <c r="D199" s="28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spans="1:26" ht="14.4">
      <c r="A200" s="26">
        <v>41601</v>
      </c>
      <c r="B200" s="27" t="s">
        <v>408</v>
      </c>
      <c r="C200" s="28"/>
      <c r="D200" s="28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spans="1:26" ht="14.4">
      <c r="A201" s="26">
        <v>50101</v>
      </c>
      <c r="B201" s="27" t="s">
        <v>236</v>
      </c>
      <c r="C201" s="28"/>
      <c r="D201" s="28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spans="1:26" ht="14.4">
      <c r="A202" s="26">
        <v>50102</v>
      </c>
      <c r="B202" s="27" t="s">
        <v>237</v>
      </c>
      <c r="C202" s="28"/>
      <c r="D202" s="28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spans="1:26" ht="14.4">
      <c r="A203" s="26">
        <v>50103</v>
      </c>
      <c r="B203" s="27" t="s">
        <v>238</v>
      </c>
      <c r="C203" s="28"/>
      <c r="D203" s="28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spans="1:26" ht="14.4">
      <c r="A204" s="26">
        <v>50104</v>
      </c>
      <c r="B204" s="27" t="s">
        <v>239</v>
      </c>
      <c r="C204" s="28"/>
      <c r="D204" s="28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spans="1:26" ht="14.4">
      <c r="A205" s="26">
        <v>50201</v>
      </c>
      <c r="B205" s="27" t="s">
        <v>409</v>
      </c>
      <c r="C205" s="28"/>
      <c r="D205" s="28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spans="1:26" ht="14.4">
      <c r="A206" s="26">
        <v>50202</v>
      </c>
      <c r="B206" s="27" t="s">
        <v>241</v>
      </c>
      <c r="C206" s="28"/>
      <c r="D206" s="28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spans="1:26" ht="14.4">
      <c r="A207" s="26">
        <v>50203</v>
      </c>
      <c r="B207" s="27" t="s">
        <v>242</v>
      </c>
      <c r="C207" s="28"/>
      <c r="D207" s="28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spans="1:26" ht="14.4">
      <c r="A208" s="26">
        <v>50204</v>
      </c>
      <c r="B208" s="27" t="s">
        <v>410</v>
      </c>
      <c r="C208" s="28"/>
      <c r="D208" s="28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spans="1:26" ht="14.4">
      <c r="A209" s="26">
        <v>50301</v>
      </c>
      <c r="B209" s="27" t="s">
        <v>244</v>
      </c>
      <c r="C209" s="28"/>
      <c r="D209" s="28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spans="1:26" ht="14.4">
      <c r="A210" s="26">
        <v>50302</v>
      </c>
      <c r="B210" s="27" t="s">
        <v>245</v>
      </c>
      <c r="C210" s="28"/>
      <c r="D210" s="28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spans="1:26" ht="14.4">
      <c r="A211" s="26">
        <v>50303</v>
      </c>
      <c r="B211" s="27" t="s">
        <v>246</v>
      </c>
      <c r="C211" s="28"/>
      <c r="D211" s="28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spans="1:26" ht="14.4">
      <c r="A212" s="26">
        <v>50401</v>
      </c>
      <c r="B212" s="27" t="s">
        <v>247</v>
      </c>
      <c r="C212" s="28"/>
      <c r="D212" s="28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spans="1:26" ht="14.4">
      <c r="A213" s="26">
        <v>50402</v>
      </c>
      <c r="B213" s="27" t="s">
        <v>248</v>
      </c>
      <c r="C213" s="28"/>
      <c r="D213" s="28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spans="1:26" ht="14.4">
      <c r="A214" s="26">
        <v>50403</v>
      </c>
      <c r="B214" s="27" t="s">
        <v>249</v>
      </c>
      <c r="C214" s="28"/>
      <c r="D214" s="28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spans="1:26" ht="14.4">
      <c r="A215" s="26">
        <v>50404</v>
      </c>
      <c r="B215" s="27" t="s">
        <v>250</v>
      </c>
      <c r="C215" s="28"/>
      <c r="D215" s="28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spans="1:26" ht="14.4">
      <c r="A216" s="29">
        <v>50405</v>
      </c>
      <c r="B216" s="27" t="s">
        <v>251</v>
      </c>
      <c r="C216" s="28"/>
      <c r="D216" s="28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spans="1:26" ht="14.4">
      <c r="A217" s="26">
        <v>50501</v>
      </c>
      <c r="B217" s="27" t="s">
        <v>328</v>
      </c>
      <c r="C217" s="28"/>
      <c r="D217" s="28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spans="1:26" ht="14.4">
      <c r="A218" s="26">
        <v>50502</v>
      </c>
      <c r="B218" s="27" t="s">
        <v>253</v>
      </c>
      <c r="C218" s="28"/>
      <c r="D218" s="28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spans="1:26" ht="14.4">
      <c r="A219" s="26">
        <v>50601</v>
      </c>
      <c r="B219" s="27" t="s">
        <v>254</v>
      </c>
      <c r="C219" s="28"/>
      <c r="D219" s="28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spans="1:26" ht="14.4">
      <c r="A220" s="26">
        <v>50602</v>
      </c>
      <c r="B220" s="27" t="s">
        <v>255</v>
      </c>
      <c r="C220" s="28"/>
      <c r="D220" s="28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spans="1:26" ht="14.4">
      <c r="A221" s="26">
        <v>50701</v>
      </c>
      <c r="B221" s="27" t="s">
        <v>411</v>
      </c>
      <c r="C221" s="28"/>
      <c r="D221" s="28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spans="1:26" ht="14.4">
      <c r="A222" s="26">
        <v>50702</v>
      </c>
      <c r="B222" s="27" t="s">
        <v>257</v>
      </c>
      <c r="C222" s="28"/>
      <c r="D222" s="28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spans="1:26" ht="14.4">
      <c r="A223" s="26">
        <v>50801</v>
      </c>
      <c r="B223" s="27" t="s">
        <v>258</v>
      </c>
      <c r="C223" s="28"/>
      <c r="D223" s="28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spans="1:26" ht="14.4">
      <c r="A224" s="26">
        <v>50802</v>
      </c>
      <c r="B224" s="27" t="s">
        <v>259</v>
      </c>
      <c r="C224" s="28"/>
      <c r="D224" s="28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spans="1:26" ht="14.4">
      <c r="A225" s="26">
        <v>50901</v>
      </c>
      <c r="B225" s="27" t="s">
        <v>260</v>
      </c>
      <c r="C225" s="28"/>
      <c r="D225" s="28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spans="1:26" ht="14.4">
      <c r="A226" s="26">
        <v>50902</v>
      </c>
      <c r="B226" s="27" t="s">
        <v>261</v>
      </c>
      <c r="C226" s="28"/>
      <c r="D226" s="28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spans="1:26" ht="14.4">
      <c r="A227" s="26">
        <v>51001</v>
      </c>
      <c r="B227" s="27" t="s">
        <v>412</v>
      </c>
      <c r="C227" s="28"/>
      <c r="D227" s="28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spans="1:26" ht="14.4">
      <c r="A228" s="26">
        <v>51002</v>
      </c>
      <c r="B228" s="27" t="s">
        <v>263</v>
      </c>
      <c r="C228" s="28"/>
      <c r="D228" s="28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spans="1:26" ht="14.4">
      <c r="A229" s="26">
        <v>51003</v>
      </c>
      <c r="B229" s="27" t="s">
        <v>264</v>
      </c>
      <c r="C229" s="28"/>
      <c r="D229" s="28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spans="1:26" ht="14.4">
      <c r="A230" s="26">
        <v>51101</v>
      </c>
      <c r="B230" s="27" t="s">
        <v>265</v>
      </c>
      <c r="C230" s="28"/>
      <c r="D230" s="28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spans="1:26" ht="14.4">
      <c r="A231" s="26">
        <v>51102</v>
      </c>
      <c r="B231" s="27" t="s">
        <v>266</v>
      </c>
      <c r="C231" s="28"/>
      <c r="D231" s="28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spans="1:26" ht="14.4">
      <c r="A232" s="26">
        <v>51103</v>
      </c>
      <c r="B232" s="27" t="s">
        <v>267</v>
      </c>
      <c r="C232" s="28"/>
      <c r="D232" s="28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spans="1:26" ht="14.4">
      <c r="A233" s="26">
        <v>51201</v>
      </c>
      <c r="B233" s="27" t="s">
        <v>268</v>
      </c>
      <c r="C233" s="28"/>
      <c r="D233" s="28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spans="1:26" ht="14.4">
      <c r="A234" s="26">
        <v>51202</v>
      </c>
      <c r="B234" s="27" t="s">
        <v>269</v>
      </c>
      <c r="C234" s="28"/>
      <c r="D234" s="28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spans="1:26" ht="14.4">
      <c r="A235" s="26">
        <v>51203</v>
      </c>
      <c r="B235" s="27" t="s">
        <v>270</v>
      </c>
      <c r="C235" s="28"/>
      <c r="D235" s="28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spans="1:26" ht="14.4">
      <c r="A236" s="29">
        <v>51204</v>
      </c>
      <c r="B236" s="27" t="s">
        <v>271</v>
      </c>
      <c r="C236" s="28"/>
      <c r="D236" s="28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spans="1:26" ht="14.4">
      <c r="A237" s="26">
        <v>51301</v>
      </c>
      <c r="B237" s="27" t="s">
        <v>272</v>
      </c>
      <c r="C237" s="28"/>
      <c r="D237" s="28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spans="1:26" ht="14.4">
      <c r="A238" s="26">
        <v>51302</v>
      </c>
      <c r="B238" s="27" t="s">
        <v>273</v>
      </c>
      <c r="C238" s="28"/>
      <c r="D238" s="28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spans="1:26" ht="14.4">
      <c r="A239" s="26">
        <v>51401</v>
      </c>
      <c r="B239" s="27" t="s">
        <v>274</v>
      </c>
      <c r="C239" s="28"/>
      <c r="D239" s="28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spans="1:26" ht="14.4">
      <c r="A240" s="26">
        <v>51402</v>
      </c>
      <c r="B240" s="27" t="s">
        <v>275</v>
      </c>
      <c r="C240" s="28"/>
      <c r="D240" s="28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spans="1:26" ht="14.4">
      <c r="A241" s="26">
        <v>51501</v>
      </c>
      <c r="B241" s="27" t="s">
        <v>276</v>
      </c>
      <c r="C241" s="28"/>
      <c r="D241" s="28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spans="1:26" ht="14.4">
      <c r="A242" s="26">
        <v>51601</v>
      </c>
      <c r="B242" s="27" t="s">
        <v>277</v>
      </c>
      <c r="C242" s="28"/>
      <c r="D242" s="28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spans="1:26" ht="14.4">
      <c r="A243" s="26">
        <v>60101</v>
      </c>
      <c r="B243" s="27" t="s">
        <v>278</v>
      </c>
      <c r="C243" s="28"/>
      <c r="D243" s="28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spans="1:26" ht="14.4">
      <c r="A244" s="26">
        <v>60201</v>
      </c>
      <c r="B244" s="27" t="s">
        <v>279</v>
      </c>
      <c r="C244" s="28"/>
      <c r="D244" s="28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spans="1:26" ht="14.4">
      <c r="A245" s="26">
        <v>60202</v>
      </c>
      <c r="B245" s="27" t="s">
        <v>280</v>
      </c>
      <c r="C245" s="28"/>
      <c r="D245" s="28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spans="1:26" ht="14.4">
      <c r="A246" s="26">
        <v>60301</v>
      </c>
      <c r="B246" s="27" t="s">
        <v>281</v>
      </c>
      <c r="C246" s="28"/>
      <c r="D246" s="28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spans="1:26" ht="14.4">
      <c r="A247" s="26">
        <v>60302</v>
      </c>
      <c r="B247" s="27" t="s">
        <v>282</v>
      </c>
      <c r="C247" s="28"/>
      <c r="D247" s="28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spans="1:26" ht="14.4">
      <c r="A248" s="26">
        <v>60303</v>
      </c>
      <c r="B248" s="27" t="s">
        <v>413</v>
      </c>
      <c r="C248" s="28"/>
      <c r="D248" s="28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spans="1:26" ht="14.4">
      <c r="A249" s="26">
        <v>60401</v>
      </c>
      <c r="B249" s="27" t="s">
        <v>284</v>
      </c>
      <c r="C249" s="28"/>
      <c r="D249" s="28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spans="1:26" ht="14.4">
      <c r="A250" s="26">
        <v>60402</v>
      </c>
      <c r="B250" s="27" t="s">
        <v>285</v>
      </c>
      <c r="C250" s="28"/>
      <c r="D250" s="28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spans="1:26" ht="14.4">
      <c r="A251" s="26">
        <v>60501</v>
      </c>
      <c r="B251" s="27" t="s">
        <v>368</v>
      </c>
      <c r="C251" s="28"/>
      <c r="D251" s="28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spans="1:26" ht="14.4">
      <c r="A252" s="26">
        <v>60502</v>
      </c>
      <c r="B252" s="27" t="s">
        <v>287</v>
      </c>
      <c r="C252" s="28"/>
      <c r="D252" s="28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spans="1:26" ht="14.4">
      <c r="A253" s="26">
        <v>60601</v>
      </c>
      <c r="B253" s="27" t="s">
        <v>188</v>
      </c>
      <c r="C253" s="28"/>
      <c r="D253" s="28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spans="1:26" ht="14.4">
      <c r="A254" s="26">
        <v>70101</v>
      </c>
      <c r="B254" s="27" t="s">
        <v>288</v>
      </c>
      <c r="C254" s="28"/>
      <c r="D254" s="28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spans="1:26" ht="14.4">
      <c r="A255" s="26">
        <v>70102</v>
      </c>
      <c r="B255" s="27" t="s">
        <v>289</v>
      </c>
      <c r="C255" s="28"/>
      <c r="D255" s="28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spans="1:26" ht="14.4">
      <c r="A256" s="26">
        <v>70103</v>
      </c>
      <c r="B256" s="27" t="s">
        <v>290</v>
      </c>
      <c r="C256" s="28"/>
      <c r="D256" s="28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spans="1:26" ht="14.4">
      <c r="A257" s="26">
        <v>70104</v>
      </c>
      <c r="B257" s="27" t="s">
        <v>291</v>
      </c>
      <c r="C257" s="28"/>
      <c r="D257" s="28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spans="1:26" ht="14.4">
      <c r="A258" s="26">
        <v>70105</v>
      </c>
      <c r="B258" s="27" t="s">
        <v>292</v>
      </c>
      <c r="C258" s="28"/>
      <c r="D258" s="28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spans="1:26" ht="14.4">
      <c r="A259" s="26">
        <v>70201</v>
      </c>
      <c r="B259" s="27" t="s">
        <v>293</v>
      </c>
      <c r="C259" s="28"/>
      <c r="D259" s="28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spans="1:26" ht="14.4">
      <c r="A260" s="26">
        <v>70202</v>
      </c>
      <c r="B260" s="27" t="s">
        <v>294</v>
      </c>
      <c r="C260" s="28"/>
      <c r="D260" s="28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spans="1:26" ht="14.4">
      <c r="A261" s="26">
        <v>70301</v>
      </c>
      <c r="B261" s="27" t="s">
        <v>352</v>
      </c>
      <c r="C261" s="28"/>
      <c r="D261" s="28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spans="1:26" ht="14.4">
      <c r="A262" s="26">
        <v>70302</v>
      </c>
      <c r="B262" s="27" t="s">
        <v>414</v>
      </c>
      <c r="C262" s="28"/>
      <c r="D262" s="28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spans="1:26" ht="14.4">
      <c r="A263" s="26">
        <v>70303</v>
      </c>
      <c r="B263" s="27" t="s">
        <v>297</v>
      </c>
      <c r="C263" s="28"/>
      <c r="D263" s="28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spans="1:26" ht="14.4">
      <c r="A264" s="26">
        <v>70401</v>
      </c>
      <c r="B264" s="27" t="s">
        <v>298</v>
      </c>
      <c r="C264" s="28"/>
      <c r="D264" s="28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spans="1:26" ht="14.4">
      <c r="A265" s="26">
        <v>70402</v>
      </c>
      <c r="B265" s="27" t="s">
        <v>299</v>
      </c>
      <c r="C265" s="28"/>
      <c r="D265" s="28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spans="1:26" ht="14.4">
      <c r="A266" s="26">
        <v>70403</v>
      </c>
      <c r="B266" s="27" t="s">
        <v>300</v>
      </c>
      <c r="C266" s="28"/>
      <c r="D266" s="28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spans="1:26" ht="14.4">
      <c r="A267" s="26">
        <v>70404</v>
      </c>
      <c r="B267" s="27" t="s">
        <v>415</v>
      </c>
      <c r="C267" s="28"/>
      <c r="D267" s="28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spans="1:26" ht="14.4">
      <c r="A268" s="26">
        <v>70501</v>
      </c>
      <c r="B268" s="27" t="s">
        <v>416</v>
      </c>
      <c r="C268" s="28"/>
      <c r="D268" s="28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spans="1:26" ht="14.4">
      <c r="A269" s="26">
        <v>70502</v>
      </c>
      <c r="B269" s="27" t="s">
        <v>303</v>
      </c>
      <c r="C269" s="28"/>
      <c r="D269" s="28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spans="1:26" ht="14.4">
      <c r="A270" s="26">
        <v>70503</v>
      </c>
      <c r="B270" s="27" t="s">
        <v>304</v>
      </c>
      <c r="C270" s="28"/>
      <c r="D270" s="28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spans="1:26" ht="14.4">
      <c r="A271" s="26">
        <v>70601</v>
      </c>
      <c r="B271" s="27" t="s">
        <v>305</v>
      </c>
      <c r="C271" s="28"/>
      <c r="D271" s="28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spans="1:26" ht="14.4">
      <c r="A272" s="26">
        <v>70602</v>
      </c>
      <c r="B272" s="27" t="s">
        <v>348</v>
      </c>
      <c r="C272" s="28"/>
      <c r="D272" s="28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spans="1:26" ht="14.4">
      <c r="A273" s="26">
        <v>70603</v>
      </c>
      <c r="B273" s="27" t="s">
        <v>417</v>
      </c>
      <c r="C273" s="28"/>
      <c r="D273" s="28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spans="1:26" ht="14.4">
      <c r="A274" s="26">
        <v>70701</v>
      </c>
      <c r="B274" s="27" t="s">
        <v>308</v>
      </c>
      <c r="C274" s="28"/>
      <c r="D274" s="28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spans="1:26" ht="14.4">
      <c r="A275" s="26">
        <v>70702</v>
      </c>
      <c r="B275" s="27" t="s">
        <v>418</v>
      </c>
      <c r="C275" s="28"/>
      <c r="D275" s="28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spans="1:26" ht="14.4">
      <c r="A276" s="26">
        <v>70703</v>
      </c>
      <c r="B276" s="27" t="s">
        <v>310</v>
      </c>
      <c r="C276" s="28"/>
      <c r="D276" s="28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spans="1:26" ht="14.4">
      <c r="A277" s="26">
        <v>70704</v>
      </c>
      <c r="B277" s="27" t="s">
        <v>419</v>
      </c>
      <c r="C277" s="28"/>
      <c r="D277" s="28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spans="1:26" ht="14.4">
      <c r="A278" s="26">
        <v>70705</v>
      </c>
      <c r="B278" s="27" t="s">
        <v>420</v>
      </c>
      <c r="C278" s="28"/>
      <c r="D278" s="28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spans="1:26" ht="14.4">
      <c r="A279" s="26">
        <v>70706</v>
      </c>
      <c r="B279" s="27" t="s">
        <v>313</v>
      </c>
      <c r="C279" s="28"/>
      <c r="D279" s="28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spans="1:26" ht="14.4">
      <c r="A280" s="26">
        <v>70707</v>
      </c>
      <c r="B280" s="27" t="s">
        <v>314</v>
      </c>
      <c r="C280" s="28"/>
      <c r="D280" s="28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spans="1:26" ht="14.4">
      <c r="A281" s="26">
        <v>70801</v>
      </c>
      <c r="B281" s="27" t="s">
        <v>315</v>
      </c>
      <c r="C281" s="28"/>
      <c r="D281" s="28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spans="1:26" ht="14.4">
      <c r="A282" s="26">
        <v>70802</v>
      </c>
      <c r="B282" s="27" t="s">
        <v>421</v>
      </c>
      <c r="C282" s="28"/>
      <c r="D282" s="28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spans="1:26" ht="14.4">
      <c r="A283" s="26">
        <v>70803</v>
      </c>
      <c r="B283" s="27" t="s">
        <v>422</v>
      </c>
      <c r="C283" s="28"/>
      <c r="D283" s="28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spans="1:26" ht="14.4">
      <c r="A284" s="26">
        <v>70804</v>
      </c>
      <c r="B284" s="27" t="s">
        <v>423</v>
      </c>
      <c r="C284" s="28"/>
      <c r="D284" s="28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spans="1:26" ht="14.4">
      <c r="A285" s="26">
        <v>70805</v>
      </c>
      <c r="B285" s="27" t="s">
        <v>319</v>
      </c>
      <c r="C285" s="28"/>
      <c r="D285" s="28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spans="1:26" ht="14.4">
      <c r="A286" s="26">
        <v>70901</v>
      </c>
      <c r="B286" s="27" t="s">
        <v>320</v>
      </c>
      <c r="C286" s="28"/>
      <c r="D286" s="28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spans="1:26" ht="14.4">
      <c r="A287" s="26">
        <v>70902</v>
      </c>
      <c r="B287" s="27" t="s">
        <v>424</v>
      </c>
      <c r="C287" s="28"/>
      <c r="D287" s="28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spans="1:26" ht="14.4">
      <c r="A288" s="26">
        <v>70903</v>
      </c>
      <c r="B288" s="27" t="s">
        <v>322</v>
      </c>
      <c r="C288" s="28"/>
      <c r="D288" s="28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spans="1:26" ht="14.4">
      <c r="A289" s="26">
        <v>70904</v>
      </c>
      <c r="B289" s="27" t="s">
        <v>323</v>
      </c>
      <c r="C289" s="28"/>
      <c r="D289" s="28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spans="1:26" ht="14.4">
      <c r="A290" s="26">
        <v>71001</v>
      </c>
      <c r="B290" s="27" t="s">
        <v>324</v>
      </c>
      <c r="C290" s="28"/>
      <c r="D290" s="28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spans="1:26" ht="14.4">
      <c r="A291" s="26">
        <v>71002</v>
      </c>
      <c r="B291" s="27" t="s">
        <v>425</v>
      </c>
      <c r="C291" s="28"/>
      <c r="D291" s="28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spans="1:26" ht="14.4">
      <c r="A292" s="26">
        <v>71003</v>
      </c>
      <c r="B292" s="27" t="s">
        <v>326</v>
      </c>
      <c r="C292" s="28"/>
      <c r="D292" s="28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spans="1:26" ht="14.4">
      <c r="A293" s="26">
        <v>71004</v>
      </c>
      <c r="B293" s="27" t="s">
        <v>426</v>
      </c>
      <c r="C293" s="28"/>
      <c r="D293" s="28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spans="1:26" ht="14.4">
      <c r="A294" s="26">
        <v>71005</v>
      </c>
      <c r="B294" s="27" t="s">
        <v>328</v>
      </c>
      <c r="C294" s="28"/>
      <c r="D294" s="28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spans="1:26" ht="14.4">
      <c r="A295" s="26">
        <v>71101</v>
      </c>
      <c r="B295" s="27" t="s">
        <v>329</v>
      </c>
      <c r="C295" s="28"/>
      <c r="D295" s="28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spans="1:26" ht="14.4">
      <c r="A296" s="26">
        <v>71102</v>
      </c>
      <c r="B296" s="27" t="s">
        <v>330</v>
      </c>
      <c r="C296" s="28"/>
      <c r="D296" s="28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spans="1:26" ht="14.4">
      <c r="A297" s="26">
        <v>71103</v>
      </c>
      <c r="B297" s="27" t="s">
        <v>331</v>
      </c>
      <c r="C297" s="28"/>
      <c r="D297" s="28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spans="1:26" ht="14.4">
      <c r="A298" s="26">
        <v>71104</v>
      </c>
      <c r="B298" s="27" t="s">
        <v>332</v>
      </c>
      <c r="C298" s="28"/>
      <c r="D298" s="28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spans="1:26" ht="14.4">
      <c r="A299" s="26">
        <v>71105</v>
      </c>
      <c r="B299" s="27" t="s">
        <v>427</v>
      </c>
      <c r="C299" s="28"/>
      <c r="D299" s="28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spans="1:26" ht="14.4">
      <c r="A300" s="26">
        <v>71106</v>
      </c>
      <c r="B300" s="27" t="s">
        <v>334</v>
      </c>
      <c r="C300" s="28"/>
      <c r="D300" s="28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spans="1:26" ht="14.4">
      <c r="A301" s="26">
        <v>71201</v>
      </c>
      <c r="B301" s="27" t="s">
        <v>335</v>
      </c>
      <c r="C301" s="28"/>
      <c r="D301" s="28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spans="1:26" ht="14.4">
      <c r="A302" s="26">
        <v>71301</v>
      </c>
      <c r="B302" s="27" t="s">
        <v>336</v>
      </c>
      <c r="C302" s="28"/>
      <c r="D302" s="28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spans="1:26" ht="14.4">
      <c r="A303" s="26">
        <v>71302</v>
      </c>
      <c r="B303" s="27" t="s">
        <v>337</v>
      </c>
      <c r="C303" s="28"/>
      <c r="D303" s="28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spans="1:26" ht="14.4">
      <c r="A304" s="26">
        <v>71401</v>
      </c>
      <c r="B304" s="27" t="s">
        <v>338</v>
      </c>
      <c r="C304" s="28"/>
      <c r="D304" s="28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spans="1:26" ht="14.4">
      <c r="A305" s="26">
        <v>71402</v>
      </c>
      <c r="B305" s="27" t="s">
        <v>339</v>
      </c>
      <c r="C305" s="28"/>
      <c r="D305" s="28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spans="1:26" ht="14.4">
      <c r="A306" s="26">
        <v>71403</v>
      </c>
      <c r="B306" s="27" t="s">
        <v>428</v>
      </c>
      <c r="C306" s="28"/>
      <c r="D306" s="28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spans="1:26" ht="14.4">
      <c r="A307" s="26">
        <v>71501</v>
      </c>
      <c r="B307" s="27" t="s">
        <v>429</v>
      </c>
      <c r="C307" s="28"/>
      <c r="D307" s="28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spans="1:26" ht="14.4">
      <c r="A308" s="26">
        <v>71502</v>
      </c>
      <c r="B308" s="27" t="s">
        <v>342</v>
      </c>
      <c r="C308" s="28"/>
      <c r="D308" s="28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spans="1:26" ht="14.4">
      <c r="A309" s="26">
        <v>71503</v>
      </c>
      <c r="B309" s="27" t="s">
        <v>287</v>
      </c>
      <c r="C309" s="28"/>
      <c r="D309" s="28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spans="1:26" ht="14.4">
      <c r="A310" s="26">
        <v>80101</v>
      </c>
      <c r="B310" s="27" t="s">
        <v>343</v>
      </c>
      <c r="C310" s="28"/>
      <c r="D310" s="28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spans="1:26" ht="14.4">
      <c r="A311" s="26">
        <v>80102</v>
      </c>
      <c r="B311" s="27" t="s">
        <v>330</v>
      </c>
      <c r="C311" s="28"/>
      <c r="D311" s="28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spans="1:26" ht="14.4">
      <c r="A312" s="26">
        <v>80201</v>
      </c>
      <c r="B312" s="27" t="s">
        <v>344</v>
      </c>
      <c r="C312" s="28"/>
      <c r="D312" s="28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spans="1:26" ht="14.4">
      <c r="A313" s="26">
        <v>80202</v>
      </c>
      <c r="B313" s="27" t="s">
        <v>345</v>
      </c>
      <c r="C313" s="28"/>
      <c r="D313" s="28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spans="1:26" ht="14.4">
      <c r="A314" s="26">
        <v>80301</v>
      </c>
      <c r="B314" s="27" t="s">
        <v>346</v>
      </c>
      <c r="C314" s="28"/>
      <c r="D314" s="28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spans="1:26" ht="14.4">
      <c r="A315" s="26">
        <v>80302</v>
      </c>
      <c r="B315" s="27" t="s">
        <v>347</v>
      </c>
      <c r="C315" s="28"/>
      <c r="D315" s="28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spans="1:26" ht="14.4">
      <c r="A316" s="26">
        <v>80303</v>
      </c>
      <c r="B316" s="27" t="s">
        <v>348</v>
      </c>
      <c r="C316" s="28"/>
      <c r="D316" s="28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spans="1:26" ht="14.4">
      <c r="A317" s="26">
        <v>80304</v>
      </c>
      <c r="B317" s="27" t="s">
        <v>430</v>
      </c>
      <c r="C317" s="28"/>
      <c r="D317" s="28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spans="1:26" ht="14.4">
      <c r="A318" s="26">
        <v>80401</v>
      </c>
      <c r="B318" s="27" t="s">
        <v>431</v>
      </c>
      <c r="C318" s="28"/>
      <c r="D318" s="28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spans="1:26" ht="14.4">
      <c r="A319" s="26">
        <v>80402</v>
      </c>
      <c r="B319" s="27" t="s">
        <v>351</v>
      </c>
      <c r="C319" s="28"/>
      <c r="D319" s="28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spans="1:26" ht="14.4">
      <c r="A320" s="26">
        <v>80501</v>
      </c>
      <c r="B320" s="27" t="s">
        <v>352</v>
      </c>
      <c r="C320" s="28"/>
      <c r="D320" s="28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spans="1:26" ht="14.4">
      <c r="A321" s="26">
        <v>80601</v>
      </c>
      <c r="B321" s="27" t="s">
        <v>353</v>
      </c>
      <c r="C321" s="28"/>
      <c r="D321" s="28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spans="1:26" ht="14.4">
      <c r="A322" s="26">
        <v>80602</v>
      </c>
      <c r="B322" s="27" t="s">
        <v>354</v>
      </c>
      <c r="C322" s="28"/>
      <c r="D322" s="28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spans="1:26" ht="14.4">
      <c r="A323" s="26">
        <v>80701</v>
      </c>
      <c r="B323" s="27" t="s">
        <v>355</v>
      </c>
      <c r="C323" s="28"/>
      <c r="D323" s="28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spans="1:26" ht="14.4">
      <c r="A324" s="26">
        <v>80702</v>
      </c>
      <c r="B324" s="27" t="s">
        <v>331</v>
      </c>
      <c r="C324" s="28"/>
      <c r="D324" s="28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spans="1:26" ht="14.4">
      <c r="A325" s="26">
        <v>80703</v>
      </c>
      <c r="B325" s="27" t="s">
        <v>356</v>
      </c>
      <c r="C325" s="28"/>
      <c r="D325" s="28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spans="1:26" ht="14.4">
      <c r="A326" s="26">
        <v>80801</v>
      </c>
      <c r="B326" s="27" t="s">
        <v>357</v>
      </c>
      <c r="C326" s="28"/>
      <c r="D326" s="28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spans="1:26" ht="14.4">
      <c r="A327" s="26">
        <v>80802</v>
      </c>
      <c r="B327" s="27" t="s">
        <v>358</v>
      </c>
      <c r="C327" s="28"/>
      <c r="D327" s="28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spans="1:26" ht="14.4">
      <c r="A328" s="26">
        <v>80803</v>
      </c>
      <c r="B328" s="27" t="s">
        <v>359</v>
      </c>
      <c r="C328" s="28"/>
      <c r="D328" s="28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spans="1:26" ht="14.4">
      <c r="A329" s="29">
        <v>80901</v>
      </c>
      <c r="B329" s="27" t="s">
        <v>360</v>
      </c>
      <c r="C329" s="28"/>
      <c r="D329" s="28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spans="1:26" ht="14.4">
      <c r="A330" s="26">
        <v>90101</v>
      </c>
      <c r="B330" s="27" t="s">
        <v>432</v>
      </c>
      <c r="C330" s="28"/>
      <c r="D330" s="28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spans="1:26" ht="14.4">
      <c r="A331" s="26">
        <v>90102</v>
      </c>
      <c r="B331" s="27" t="s">
        <v>362</v>
      </c>
      <c r="C331" s="28"/>
      <c r="D331" s="28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spans="1:26" ht="14.4">
      <c r="A332" s="26">
        <v>90103</v>
      </c>
      <c r="B332" s="27" t="s">
        <v>363</v>
      </c>
      <c r="C332" s="28"/>
      <c r="D332" s="28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spans="1:26" ht="14.4">
      <c r="A333" s="26">
        <v>90104</v>
      </c>
      <c r="B333" s="27" t="s">
        <v>364</v>
      </c>
      <c r="C333" s="28"/>
      <c r="D333" s="28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spans="1:26" ht="14.4">
      <c r="A334" s="26">
        <v>90201</v>
      </c>
      <c r="B334" s="27" t="s">
        <v>433</v>
      </c>
      <c r="C334" s="28"/>
      <c r="D334" s="28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spans="1:26" ht="14.4">
      <c r="A335" s="26">
        <v>90202</v>
      </c>
      <c r="B335" s="27" t="s">
        <v>328</v>
      </c>
      <c r="C335" s="28"/>
      <c r="D335" s="28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spans="1:26" ht="14.4">
      <c r="A336" s="26">
        <v>90203</v>
      </c>
      <c r="B336" s="27" t="s">
        <v>366</v>
      </c>
      <c r="C336" s="28"/>
      <c r="D336" s="28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spans="1:26" ht="14.4">
      <c r="A337" s="26">
        <v>90301</v>
      </c>
      <c r="B337" s="27" t="s">
        <v>434</v>
      </c>
      <c r="C337" s="28"/>
      <c r="D337" s="28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spans="1:26" ht="14.4">
      <c r="A338" s="26">
        <v>90302</v>
      </c>
      <c r="B338" s="27" t="s">
        <v>368</v>
      </c>
      <c r="C338" s="28"/>
      <c r="D338" s="28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spans="1:26" ht="14.4">
      <c r="A339" s="26">
        <v>90303</v>
      </c>
      <c r="B339" s="27" t="s">
        <v>369</v>
      </c>
      <c r="C339" s="28"/>
      <c r="D339" s="28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spans="1:26" ht="14.4">
      <c r="A340" s="26">
        <v>90401</v>
      </c>
      <c r="B340" s="27" t="s">
        <v>348</v>
      </c>
      <c r="C340" s="28"/>
      <c r="D340" s="28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spans="1:26" ht="14.4">
      <c r="A341" s="26">
        <v>90402</v>
      </c>
      <c r="B341" s="27" t="s">
        <v>371</v>
      </c>
      <c r="C341" s="28"/>
      <c r="D341" s="28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spans="1:26" ht="14.4">
      <c r="A342" s="26">
        <v>90501</v>
      </c>
      <c r="B342" s="27" t="s">
        <v>372</v>
      </c>
      <c r="C342" s="28"/>
      <c r="D342" s="28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spans="1:26" ht="14.4">
      <c r="A343" s="26">
        <v>90502</v>
      </c>
      <c r="B343" s="27" t="s">
        <v>435</v>
      </c>
      <c r="C343" s="28"/>
      <c r="D343" s="28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spans="1:26" ht="14.4">
      <c r="A344" s="26">
        <v>90503</v>
      </c>
      <c r="B344" s="27" t="s">
        <v>374</v>
      </c>
      <c r="C344" s="28"/>
      <c r="D344" s="28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spans="1:26" ht="13.2">
      <c r="A345" s="17"/>
      <c r="B345" s="30"/>
      <c r="C345" s="31"/>
      <c r="D345" s="31"/>
    </row>
    <row r="346" spans="1:26" ht="13.2">
      <c r="A346" s="17"/>
      <c r="B346" s="30"/>
      <c r="C346" s="31"/>
      <c r="D346" s="31"/>
    </row>
    <row r="347" spans="1:26" ht="13.2">
      <c r="A347" s="17"/>
      <c r="B347" s="30"/>
      <c r="C347" s="31"/>
      <c r="D347" s="31"/>
    </row>
    <row r="348" spans="1:26" ht="13.2">
      <c r="A348" s="17"/>
      <c r="B348" s="30"/>
      <c r="C348" s="31"/>
      <c r="D348" s="31"/>
    </row>
    <row r="349" spans="1:26" ht="13.2">
      <c r="A349" s="17"/>
      <c r="B349" s="30"/>
      <c r="C349" s="31"/>
      <c r="D349" s="31"/>
    </row>
    <row r="350" spans="1:26" ht="13.2">
      <c r="A350" s="17"/>
      <c r="B350" s="30"/>
      <c r="C350" s="31"/>
      <c r="D350" s="31"/>
    </row>
    <row r="351" spans="1:26" ht="13.2">
      <c r="A351" s="17"/>
      <c r="B351" s="30"/>
      <c r="C351" s="31"/>
      <c r="D351" s="31"/>
    </row>
    <row r="352" spans="1:26" ht="13.2">
      <c r="A352" s="17"/>
      <c r="B352" s="30"/>
      <c r="C352" s="31"/>
      <c r="D352" s="31"/>
    </row>
    <row r="353" spans="1:4" ht="13.2">
      <c r="A353" s="17"/>
      <c r="B353" s="30"/>
      <c r="C353" s="31"/>
      <c r="D353" s="31"/>
    </row>
    <row r="354" spans="1:4" ht="13.2">
      <c r="A354" s="17"/>
      <c r="B354" s="30"/>
      <c r="C354" s="31"/>
      <c r="D354" s="31"/>
    </row>
    <row r="355" spans="1:4" ht="13.2">
      <c r="A355" s="17"/>
      <c r="B355" s="30"/>
      <c r="C355" s="31"/>
      <c r="D355" s="31"/>
    </row>
    <row r="356" spans="1:4" ht="13.2">
      <c r="A356" s="17"/>
      <c r="B356" s="30"/>
      <c r="C356" s="31"/>
      <c r="D356" s="31"/>
    </row>
    <row r="357" spans="1:4" ht="13.2">
      <c r="A357" s="17"/>
      <c r="B357" s="30"/>
      <c r="C357" s="31"/>
      <c r="D357" s="31"/>
    </row>
    <row r="358" spans="1:4" ht="13.2">
      <c r="A358" s="17"/>
      <c r="B358" s="30"/>
      <c r="C358" s="31"/>
      <c r="D358" s="31"/>
    </row>
    <row r="359" spans="1:4" ht="13.2">
      <c r="A359" s="17"/>
      <c r="B359" s="30"/>
      <c r="C359" s="31"/>
      <c r="D359" s="31"/>
    </row>
    <row r="360" spans="1:4" ht="13.2">
      <c r="A360" s="17"/>
      <c r="B360" s="30"/>
      <c r="C360" s="31"/>
      <c r="D360" s="31"/>
    </row>
    <row r="361" spans="1:4" ht="13.2">
      <c r="A361" s="17"/>
      <c r="B361" s="30"/>
      <c r="C361" s="31"/>
      <c r="D361" s="31"/>
    </row>
    <row r="362" spans="1:4" ht="13.2">
      <c r="A362" s="17"/>
      <c r="B362" s="30"/>
      <c r="C362" s="31"/>
      <c r="D362" s="31"/>
    </row>
    <row r="363" spans="1:4" ht="13.2">
      <c r="A363" s="17"/>
      <c r="B363" s="30"/>
      <c r="C363" s="31"/>
      <c r="D363" s="31"/>
    </row>
    <row r="364" spans="1:4" ht="13.2">
      <c r="A364" s="17"/>
      <c r="B364" s="30"/>
      <c r="C364" s="31"/>
      <c r="D364" s="31"/>
    </row>
    <row r="365" spans="1:4" ht="13.2">
      <c r="A365" s="17"/>
      <c r="B365" s="30"/>
      <c r="C365" s="31"/>
      <c r="D365" s="31"/>
    </row>
    <row r="366" spans="1:4" ht="13.2">
      <c r="A366" s="17"/>
      <c r="B366" s="30"/>
      <c r="C366" s="31"/>
      <c r="D366" s="31"/>
    </row>
    <row r="367" spans="1:4" ht="13.2">
      <c r="A367" s="17"/>
      <c r="B367" s="30"/>
      <c r="C367" s="31"/>
      <c r="D367" s="31"/>
    </row>
    <row r="368" spans="1:4" ht="13.2">
      <c r="A368" s="17"/>
      <c r="B368" s="30"/>
      <c r="C368" s="31"/>
      <c r="D368" s="31"/>
    </row>
    <row r="369" spans="1:4" ht="13.2">
      <c r="A369" s="17"/>
      <c r="B369" s="30"/>
      <c r="C369" s="31"/>
      <c r="D369" s="31"/>
    </row>
    <row r="370" spans="1:4" ht="13.2">
      <c r="A370" s="17"/>
      <c r="B370" s="30"/>
      <c r="C370" s="31"/>
      <c r="D370" s="31"/>
    </row>
    <row r="371" spans="1:4" ht="13.2">
      <c r="A371" s="17"/>
      <c r="B371" s="30"/>
      <c r="C371" s="31"/>
      <c r="D371" s="31"/>
    </row>
    <row r="372" spans="1:4" ht="13.2">
      <c r="A372" s="17"/>
      <c r="B372" s="30"/>
      <c r="C372" s="31"/>
      <c r="D372" s="31"/>
    </row>
    <row r="373" spans="1:4" ht="13.2">
      <c r="A373" s="17"/>
      <c r="B373" s="30"/>
      <c r="C373" s="31"/>
      <c r="D373" s="31"/>
    </row>
    <row r="374" spans="1:4" ht="13.2">
      <c r="A374" s="17"/>
      <c r="B374" s="30"/>
      <c r="C374" s="31"/>
      <c r="D374" s="31"/>
    </row>
    <row r="375" spans="1:4" ht="13.2">
      <c r="A375" s="17"/>
      <c r="B375" s="30"/>
      <c r="C375" s="31"/>
      <c r="D375" s="31"/>
    </row>
    <row r="376" spans="1:4" ht="13.2">
      <c r="A376" s="17"/>
      <c r="B376" s="30"/>
      <c r="C376" s="31"/>
      <c r="D376" s="31"/>
    </row>
    <row r="377" spans="1:4" ht="13.2">
      <c r="A377" s="17"/>
      <c r="B377" s="30"/>
      <c r="C377" s="31"/>
      <c r="D377" s="31"/>
    </row>
    <row r="378" spans="1:4" ht="13.2">
      <c r="A378" s="17"/>
      <c r="B378" s="30"/>
      <c r="C378" s="31"/>
      <c r="D378" s="31"/>
    </row>
    <row r="379" spans="1:4" ht="13.2">
      <c r="A379" s="17"/>
      <c r="B379" s="30"/>
      <c r="C379" s="31"/>
      <c r="D379" s="31"/>
    </row>
    <row r="380" spans="1:4" ht="13.2">
      <c r="A380" s="17"/>
      <c r="B380" s="30"/>
      <c r="C380" s="31"/>
      <c r="D380" s="31"/>
    </row>
    <row r="381" spans="1:4" ht="13.2">
      <c r="A381" s="17"/>
      <c r="B381" s="30"/>
      <c r="C381" s="31"/>
      <c r="D381" s="31"/>
    </row>
    <row r="382" spans="1:4" ht="13.2">
      <c r="A382" s="17"/>
      <c r="B382" s="30"/>
      <c r="C382" s="31"/>
      <c r="D382" s="31"/>
    </row>
    <row r="383" spans="1:4" ht="13.2">
      <c r="A383" s="17"/>
      <c r="B383" s="30"/>
      <c r="C383" s="31"/>
      <c r="D383" s="31"/>
    </row>
    <row r="384" spans="1:4" ht="13.2">
      <c r="A384" s="17"/>
      <c r="B384" s="30"/>
      <c r="C384" s="31"/>
      <c r="D384" s="31"/>
    </row>
    <row r="385" spans="1:4" ht="13.2">
      <c r="A385" s="17"/>
      <c r="B385" s="30"/>
      <c r="C385" s="31"/>
      <c r="D385" s="31"/>
    </row>
    <row r="386" spans="1:4" ht="13.2">
      <c r="A386" s="17"/>
      <c r="B386" s="30"/>
      <c r="C386" s="31"/>
      <c r="D386" s="31"/>
    </row>
    <row r="387" spans="1:4" ht="13.2">
      <c r="A387" s="17"/>
      <c r="B387" s="30"/>
      <c r="C387" s="31"/>
      <c r="D387" s="31"/>
    </row>
    <row r="388" spans="1:4" ht="13.2">
      <c r="A388" s="17"/>
      <c r="B388" s="30"/>
      <c r="C388" s="31"/>
      <c r="D388" s="31"/>
    </row>
    <row r="389" spans="1:4" ht="13.2">
      <c r="A389" s="17"/>
      <c r="B389" s="30"/>
      <c r="C389" s="31"/>
      <c r="D389" s="31"/>
    </row>
    <row r="390" spans="1:4" ht="13.2">
      <c r="A390" s="17"/>
      <c r="B390" s="30"/>
      <c r="C390" s="31"/>
      <c r="D390" s="31"/>
    </row>
    <row r="391" spans="1:4" ht="13.2">
      <c r="A391" s="17"/>
      <c r="B391" s="30"/>
      <c r="C391" s="31"/>
      <c r="D391" s="31"/>
    </row>
    <row r="392" spans="1:4" ht="13.2">
      <c r="A392" s="17"/>
      <c r="B392" s="30"/>
      <c r="C392" s="31"/>
      <c r="D392" s="31"/>
    </row>
    <row r="393" spans="1:4" ht="13.2">
      <c r="A393" s="17"/>
      <c r="B393" s="30"/>
      <c r="C393" s="31"/>
      <c r="D393" s="31"/>
    </row>
    <row r="394" spans="1:4" ht="13.2">
      <c r="A394" s="17"/>
      <c r="B394" s="30"/>
      <c r="C394" s="31"/>
      <c r="D394" s="31"/>
    </row>
    <row r="395" spans="1:4" ht="13.2">
      <c r="A395" s="17"/>
      <c r="B395" s="30"/>
      <c r="C395" s="31"/>
      <c r="D395" s="31"/>
    </row>
    <row r="396" spans="1:4" ht="13.2">
      <c r="A396" s="17"/>
      <c r="B396" s="30"/>
      <c r="C396" s="31"/>
      <c r="D396" s="31"/>
    </row>
    <row r="397" spans="1:4" ht="13.2">
      <c r="A397" s="17"/>
      <c r="B397" s="30"/>
      <c r="C397" s="31"/>
      <c r="D397" s="31"/>
    </row>
    <row r="398" spans="1:4" ht="13.2">
      <c r="A398" s="17"/>
      <c r="B398" s="30"/>
      <c r="C398" s="31"/>
      <c r="D398" s="31"/>
    </row>
    <row r="399" spans="1:4" ht="13.2">
      <c r="A399" s="17"/>
      <c r="B399" s="30"/>
      <c r="C399" s="31"/>
      <c r="D399" s="31"/>
    </row>
    <row r="400" spans="1:4" ht="13.2">
      <c r="A400" s="17"/>
      <c r="B400" s="30"/>
      <c r="C400" s="31"/>
      <c r="D400" s="31"/>
    </row>
    <row r="401" spans="1:4" ht="13.2">
      <c r="A401" s="17"/>
      <c r="B401" s="30"/>
      <c r="C401" s="31"/>
      <c r="D401" s="31"/>
    </row>
    <row r="402" spans="1:4" ht="13.2">
      <c r="A402" s="17"/>
      <c r="B402" s="30"/>
      <c r="C402" s="31"/>
      <c r="D402" s="31"/>
    </row>
    <row r="403" spans="1:4" ht="13.2">
      <c r="A403" s="17"/>
      <c r="B403" s="30"/>
      <c r="C403" s="31"/>
      <c r="D403" s="31"/>
    </row>
    <row r="404" spans="1:4" ht="13.2">
      <c r="A404" s="17"/>
      <c r="B404" s="30"/>
      <c r="C404" s="31"/>
      <c r="D404" s="31"/>
    </row>
    <row r="405" spans="1:4" ht="13.2">
      <c r="A405" s="17"/>
      <c r="B405" s="30"/>
      <c r="C405" s="31"/>
      <c r="D405" s="31"/>
    </row>
    <row r="406" spans="1:4" ht="13.2">
      <c r="A406" s="17"/>
      <c r="B406" s="30"/>
      <c r="C406" s="31"/>
      <c r="D406" s="31"/>
    </row>
    <row r="407" spans="1:4" ht="13.2">
      <c r="A407" s="17"/>
      <c r="B407" s="30"/>
      <c r="C407" s="31"/>
      <c r="D407" s="31"/>
    </row>
    <row r="408" spans="1:4" ht="13.2">
      <c r="A408" s="17"/>
      <c r="B408" s="30"/>
      <c r="C408" s="31"/>
      <c r="D408" s="31"/>
    </row>
    <row r="409" spans="1:4" ht="13.2">
      <c r="A409" s="17"/>
      <c r="B409" s="30"/>
      <c r="C409" s="31"/>
      <c r="D409" s="31"/>
    </row>
    <row r="410" spans="1:4" ht="13.2">
      <c r="A410" s="17"/>
      <c r="B410" s="30"/>
      <c r="C410" s="31"/>
      <c r="D410" s="31"/>
    </row>
    <row r="411" spans="1:4" ht="13.2">
      <c r="A411" s="17"/>
      <c r="B411" s="30"/>
      <c r="C411" s="31"/>
      <c r="D411" s="31"/>
    </row>
    <row r="412" spans="1:4" ht="13.2">
      <c r="A412" s="17"/>
      <c r="B412" s="30"/>
      <c r="C412" s="31"/>
      <c r="D412" s="31"/>
    </row>
    <row r="413" spans="1:4" ht="13.2">
      <c r="A413" s="17"/>
      <c r="B413" s="30"/>
      <c r="C413" s="31"/>
      <c r="D413" s="31"/>
    </row>
    <row r="414" spans="1:4" ht="13.2">
      <c r="A414" s="17"/>
      <c r="B414" s="30"/>
      <c r="C414" s="31"/>
      <c r="D414" s="31"/>
    </row>
    <row r="415" spans="1:4" ht="13.2">
      <c r="A415" s="17"/>
      <c r="B415" s="30"/>
      <c r="C415" s="31"/>
      <c r="D415" s="31"/>
    </row>
    <row r="416" spans="1:4" ht="13.2">
      <c r="A416" s="17"/>
      <c r="B416" s="30"/>
      <c r="C416" s="31"/>
      <c r="D416" s="31"/>
    </row>
    <row r="417" spans="1:4" ht="13.2">
      <c r="A417" s="17"/>
      <c r="B417" s="30"/>
      <c r="C417" s="31"/>
      <c r="D417" s="31"/>
    </row>
    <row r="418" spans="1:4" ht="13.2">
      <c r="A418" s="17"/>
      <c r="B418" s="30"/>
      <c r="C418" s="31"/>
      <c r="D418" s="31"/>
    </row>
    <row r="419" spans="1:4" ht="13.2">
      <c r="A419" s="17"/>
      <c r="B419" s="30"/>
      <c r="C419" s="31"/>
      <c r="D419" s="31"/>
    </row>
    <row r="420" spans="1:4" ht="13.2">
      <c r="A420" s="17"/>
      <c r="B420" s="30"/>
      <c r="C420" s="31"/>
      <c r="D420" s="31"/>
    </row>
    <row r="421" spans="1:4" ht="13.2">
      <c r="A421" s="17"/>
      <c r="B421" s="30"/>
      <c r="C421" s="31"/>
      <c r="D421" s="31"/>
    </row>
    <row r="422" spans="1:4" ht="13.2">
      <c r="A422" s="17"/>
      <c r="B422" s="30"/>
      <c r="C422" s="31"/>
      <c r="D422" s="31"/>
    </row>
    <row r="423" spans="1:4" ht="13.2">
      <c r="A423" s="17"/>
      <c r="B423" s="30"/>
      <c r="C423" s="31"/>
      <c r="D423" s="31"/>
    </row>
    <row r="424" spans="1:4" ht="13.2">
      <c r="A424" s="17"/>
      <c r="B424" s="30"/>
      <c r="C424" s="31"/>
      <c r="D424" s="31"/>
    </row>
    <row r="425" spans="1:4" ht="13.2">
      <c r="A425" s="17"/>
      <c r="B425" s="30"/>
      <c r="C425" s="31"/>
      <c r="D425" s="31"/>
    </row>
    <row r="426" spans="1:4" ht="13.2">
      <c r="A426" s="17"/>
      <c r="B426" s="30"/>
      <c r="C426" s="31"/>
      <c r="D426" s="31"/>
    </row>
    <row r="427" spans="1:4" ht="13.2">
      <c r="A427" s="17"/>
      <c r="B427" s="30"/>
      <c r="C427" s="31"/>
      <c r="D427" s="31"/>
    </row>
    <row r="428" spans="1:4" ht="13.2">
      <c r="A428" s="17"/>
      <c r="B428" s="30"/>
      <c r="C428" s="31"/>
      <c r="D428" s="31"/>
    </row>
    <row r="429" spans="1:4" ht="13.2">
      <c r="A429" s="17"/>
      <c r="B429" s="30"/>
      <c r="C429" s="31"/>
      <c r="D429" s="31"/>
    </row>
    <row r="430" spans="1:4" ht="13.2">
      <c r="A430" s="17"/>
      <c r="B430" s="30"/>
      <c r="C430" s="31"/>
      <c r="D430" s="31"/>
    </row>
    <row r="431" spans="1:4" ht="13.2">
      <c r="A431" s="17"/>
      <c r="B431" s="30"/>
      <c r="C431" s="31"/>
      <c r="D431" s="31"/>
    </row>
    <row r="432" spans="1:4" ht="13.2">
      <c r="A432" s="17"/>
      <c r="B432" s="30"/>
      <c r="C432" s="31"/>
      <c r="D432" s="31"/>
    </row>
    <row r="433" spans="1:4" ht="13.2">
      <c r="A433" s="17"/>
      <c r="B433" s="30"/>
      <c r="C433" s="31"/>
      <c r="D433" s="31"/>
    </row>
    <row r="434" spans="1:4" ht="13.2">
      <c r="A434" s="17"/>
      <c r="B434" s="30"/>
      <c r="C434" s="31"/>
      <c r="D434" s="31"/>
    </row>
    <row r="435" spans="1:4" ht="13.2">
      <c r="A435" s="17"/>
      <c r="B435" s="30"/>
      <c r="C435" s="31"/>
      <c r="D435" s="31"/>
    </row>
    <row r="436" spans="1:4" ht="13.2">
      <c r="A436" s="17"/>
      <c r="B436" s="30"/>
      <c r="C436" s="31"/>
      <c r="D436" s="31"/>
    </row>
    <row r="437" spans="1:4" ht="13.2">
      <c r="A437" s="17"/>
      <c r="B437" s="30"/>
      <c r="C437" s="31"/>
      <c r="D437" s="31"/>
    </row>
    <row r="438" spans="1:4" ht="13.2">
      <c r="A438" s="17"/>
      <c r="B438" s="30"/>
      <c r="C438" s="31"/>
      <c r="D438" s="31"/>
    </row>
    <row r="439" spans="1:4" ht="13.2">
      <c r="A439" s="17"/>
      <c r="B439" s="30"/>
      <c r="C439" s="31"/>
      <c r="D439" s="31"/>
    </row>
    <row r="440" spans="1:4" ht="13.2">
      <c r="A440" s="17"/>
      <c r="B440" s="30"/>
      <c r="C440" s="31"/>
      <c r="D440" s="31"/>
    </row>
    <row r="441" spans="1:4" ht="13.2">
      <c r="A441" s="17"/>
      <c r="B441" s="30"/>
      <c r="C441" s="31"/>
      <c r="D441" s="31"/>
    </row>
    <row r="442" spans="1:4" ht="13.2">
      <c r="A442" s="17"/>
      <c r="B442" s="30"/>
      <c r="C442" s="31"/>
      <c r="D442" s="31"/>
    </row>
    <row r="443" spans="1:4" ht="13.2">
      <c r="A443" s="17"/>
      <c r="B443" s="30"/>
      <c r="C443" s="31"/>
      <c r="D443" s="31"/>
    </row>
    <row r="444" spans="1:4" ht="13.2">
      <c r="A444" s="17"/>
      <c r="B444" s="30"/>
      <c r="C444" s="31"/>
      <c r="D444" s="31"/>
    </row>
    <row r="445" spans="1:4" ht="13.2">
      <c r="A445" s="17"/>
      <c r="B445" s="30"/>
      <c r="C445" s="31"/>
      <c r="D445" s="31"/>
    </row>
    <row r="446" spans="1:4" ht="13.2">
      <c r="A446" s="17"/>
      <c r="B446" s="30"/>
      <c r="C446" s="31"/>
      <c r="D446" s="31"/>
    </row>
    <row r="447" spans="1:4" ht="13.2">
      <c r="A447" s="17"/>
      <c r="B447" s="30"/>
      <c r="C447" s="31"/>
      <c r="D447" s="31"/>
    </row>
    <row r="448" spans="1:4" ht="13.2">
      <c r="A448" s="17"/>
      <c r="B448" s="30"/>
      <c r="C448" s="31"/>
      <c r="D448" s="31"/>
    </row>
    <row r="449" spans="1:4" ht="13.2">
      <c r="A449" s="17"/>
      <c r="B449" s="30"/>
      <c r="C449" s="31"/>
      <c r="D449" s="31"/>
    </row>
    <row r="450" spans="1:4" ht="13.2">
      <c r="A450" s="17"/>
      <c r="B450" s="30"/>
      <c r="C450" s="31"/>
      <c r="D450" s="31"/>
    </row>
    <row r="451" spans="1:4" ht="13.2">
      <c r="A451" s="17"/>
      <c r="B451" s="30"/>
      <c r="C451" s="31"/>
      <c r="D451" s="31"/>
    </row>
    <row r="452" spans="1:4" ht="13.2">
      <c r="A452" s="17"/>
      <c r="B452" s="30"/>
      <c r="C452" s="31"/>
      <c r="D452" s="31"/>
    </row>
    <row r="453" spans="1:4" ht="13.2">
      <c r="A453" s="17"/>
      <c r="B453" s="30"/>
      <c r="C453" s="31"/>
      <c r="D453" s="31"/>
    </row>
    <row r="454" spans="1:4" ht="13.2">
      <c r="A454" s="17"/>
      <c r="B454" s="30"/>
      <c r="C454" s="31"/>
      <c r="D454" s="31"/>
    </row>
    <row r="455" spans="1:4" ht="13.2">
      <c r="A455" s="17"/>
      <c r="B455" s="30"/>
      <c r="C455" s="31"/>
      <c r="D455" s="31"/>
    </row>
    <row r="456" spans="1:4" ht="13.2">
      <c r="A456" s="17"/>
      <c r="B456" s="30"/>
      <c r="C456" s="31"/>
      <c r="D456" s="31"/>
    </row>
    <row r="457" spans="1:4" ht="13.2">
      <c r="A457" s="17"/>
      <c r="B457" s="30"/>
      <c r="C457" s="31"/>
      <c r="D457" s="31"/>
    </row>
    <row r="458" spans="1:4" ht="13.2">
      <c r="A458" s="17"/>
      <c r="B458" s="30"/>
      <c r="C458" s="31"/>
      <c r="D458" s="31"/>
    </row>
    <row r="459" spans="1:4" ht="13.2">
      <c r="A459" s="17"/>
      <c r="B459" s="30"/>
      <c r="C459" s="31"/>
      <c r="D459" s="31"/>
    </row>
    <row r="460" spans="1:4" ht="13.2">
      <c r="A460" s="17"/>
      <c r="B460" s="30"/>
      <c r="C460" s="31"/>
      <c r="D460" s="31"/>
    </row>
    <row r="461" spans="1:4" ht="13.2">
      <c r="A461" s="17"/>
      <c r="B461" s="30"/>
      <c r="C461" s="31"/>
      <c r="D461" s="31"/>
    </row>
    <row r="462" spans="1:4" ht="13.2">
      <c r="A462" s="17"/>
      <c r="B462" s="30"/>
      <c r="C462" s="31"/>
      <c r="D462" s="31"/>
    </row>
    <row r="463" spans="1:4" ht="13.2">
      <c r="A463" s="17"/>
      <c r="B463" s="30"/>
      <c r="C463" s="31"/>
      <c r="D463" s="31"/>
    </row>
    <row r="464" spans="1:4" ht="13.2">
      <c r="A464" s="17"/>
      <c r="B464" s="30"/>
      <c r="C464" s="31"/>
      <c r="D464" s="31"/>
    </row>
    <row r="465" spans="1:4" ht="13.2">
      <c r="A465" s="17"/>
      <c r="B465" s="30"/>
      <c r="C465" s="31"/>
      <c r="D465" s="31"/>
    </row>
    <row r="466" spans="1:4" ht="13.2">
      <c r="A466" s="17"/>
      <c r="B466" s="30"/>
      <c r="C466" s="31"/>
      <c r="D466" s="31"/>
    </row>
    <row r="467" spans="1:4" ht="13.2">
      <c r="A467" s="17"/>
      <c r="B467" s="30"/>
      <c r="C467" s="31"/>
      <c r="D467" s="31"/>
    </row>
    <row r="468" spans="1:4" ht="13.2">
      <c r="A468" s="17"/>
      <c r="B468" s="30"/>
      <c r="C468" s="31"/>
      <c r="D468" s="31"/>
    </row>
    <row r="469" spans="1:4" ht="13.2">
      <c r="A469" s="17"/>
      <c r="B469" s="30"/>
      <c r="C469" s="31"/>
      <c r="D469" s="31"/>
    </row>
    <row r="470" spans="1:4" ht="13.2">
      <c r="A470" s="17"/>
      <c r="B470" s="30"/>
      <c r="C470" s="31"/>
      <c r="D470" s="31"/>
    </row>
    <row r="471" spans="1:4" ht="13.2">
      <c r="A471" s="17"/>
      <c r="B471" s="30"/>
      <c r="C471" s="31"/>
      <c r="D471" s="31"/>
    </row>
    <row r="472" spans="1:4" ht="13.2">
      <c r="A472" s="17"/>
      <c r="B472" s="30"/>
      <c r="C472" s="31"/>
      <c r="D472" s="31"/>
    </row>
    <row r="473" spans="1:4" ht="13.2">
      <c r="A473" s="17"/>
      <c r="B473" s="30"/>
      <c r="C473" s="31"/>
      <c r="D473" s="31"/>
    </row>
    <row r="474" spans="1:4" ht="13.2">
      <c r="A474" s="17"/>
      <c r="B474" s="30"/>
      <c r="C474" s="31"/>
      <c r="D474" s="31"/>
    </row>
    <row r="475" spans="1:4" ht="13.2">
      <c r="A475" s="17"/>
      <c r="B475" s="30"/>
      <c r="C475" s="31"/>
      <c r="D475" s="31"/>
    </row>
    <row r="476" spans="1:4" ht="13.2">
      <c r="A476" s="17"/>
      <c r="B476" s="30"/>
      <c r="C476" s="31"/>
      <c r="D476" s="31"/>
    </row>
    <row r="477" spans="1:4" ht="13.2">
      <c r="A477" s="17"/>
      <c r="B477" s="30"/>
      <c r="C477" s="31"/>
      <c r="D477" s="31"/>
    </row>
    <row r="478" spans="1:4" ht="13.2">
      <c r="A478" s="17"/>
      <c r="B478" s="30"/>
      <c r="C478" s="31"/>
      <c r="D478" s="31"/>
    </row>
    <row r="479" spans="1:4" ht="13.2">
      <c r="A479" s="17"/>
      <c r="B479" s="30"/>
      <c r="C479" s="31"/>
      <c r="D479" s="31"/>
    </row>
    <row r="480" spans="1:4" ht="13.2">
      <c r="A480" s="17"/>
      <c r="B480" s="30"/>
      <c r="C480" s="31"/>
      <c r="D480" s="31"/>
    </row>
    <row r="481" spans="1:4" ht="13.2">
      <c r="A481" s="17"/>
      <c r="B481" s="30"/>
      <c r="C481" s="31"/>
      <c r="D481" s="31"/>
    </row>
    <row r="482" spans="1:4" ht="13.2">
      <c r="A482" s="17"/>
      <c r="B482" s="30"/>
      <c r="C482" s="31"/>
      <c r="D482" s="31"/>
    </row>
    <row r="483" spans="1:4" ht="13.2">
      <c r="A483" s="17"/>
      <c r="B483" s="30"/>
      <c r="C483" s="31"/>
      <c r="D483" s="31"/>
    </row>
    <row r="484" spans="1:4" ht="13.2">
      <c r="A484" s="17"/>
      <c r="B484" s="30"/>
      <c r="C484" s="31"/>
      <c r="D484" s="31"/>
    </row>
    <row r="485" spans="1:4" ht="13.2">
      <c r="A485" s="17"/>
      <c r="B485" s="30"/>
      <c r="C485" s="31"/>
      <c r="D485" s="31"/>
    </row>
    <row r="486" spans="1:4" ht="13.2">
      <c r="A486" s="17"/>
      <c r="B486" s="30"/>
      <c r="C486" s="31"/>
      <c r="D486" s="31"/>
    </row>
    <row r="487" spans="1:4" ht="13.2">
      <c r="A487" s="17"/>
      <c r="B487" s="30"/>
      <c r="C487" s="31"/>
      <c r="D487" s="31"/>
    </row>
    <row r="488" spans="1:4" ht="13.2">
      <c r="A488" s="17"/>
      <c r="B488" s="30"/>
      <c r="C488" s="31"/>
      <c r="D488" s="31"/>
    </row>
    <row r="489" spans="1:4" ht="13.2">
      <c r="A489" s="17"/>
      <c r="B489" s="30"/>
      <c r="C489" s="31"/>
      <c r="D489" s="31"/>
    </row>
    <row r="490" spans="1:4" ht="13.2">
      <c r="A490" s="17"/>
      <c r="B490" s="30"/>
      <c r="C490" s="31"/>
      <c r="D490" s="31"/>
    </row>
    <row r="491" spans="1:4" ht="13.2">
      <c r="A491" s="17"/>
      <c r="B491" s="30"/>
      <c r="C491" s="31"/>
      <c r="D491" s="31"/>
    </row>
    <row r="492" spans="1:4" ht="13.2">
      <c r="A492" s="17"/>
      <c r="B492" s="30"/>
      <c r="C492" s="31"/>
      <c r="D492" s="31"/>
    </row>
    <row r="493" spans="1:4" ht="13.2">
      <c r="A493" s="17"/>
      <c r="B493" s="30"/>
      <c r="C493" s="31"/>
      <c r="D493" s="31"/>
    </row>
    <row r="494" spans="1:4" ht="13.2">
      <c r="A494" s="17"/>
      <c r="B494" s="30"/>
      <c r="C494" s="31"/>
      <c r="D494" s="31"/>
    </row>
    <row r="495" spans="1:4" ht="13.2">
      <c r="A495" s="17"/>
      <c r="B495" s="30"/>
      <c r="C495" s="31"/>
      <c r="D495" s="31"/>
    </row>
    <row r="496" spans="1:4" ht="13.2">
      <c r="A496" s="17"/>
      <c r="B496" s="30"/>
      <c r="C496" s="31"/>
      <c r="D496" s="31"/>
    </row>
    <row r="497" spans="1:4" ht="13.2">
      <c r="A497" s="17"/>
      <c r="B497" s="30"/>
      <c r="C497" s="31"/>
      <c r="D497" s="31"/>
    </row>
    <row r="498" spans="1:4" ht="13.2">
      <c r="A498" s="17"/>
      <c r="B498" s="30"/>
      <c r="C498" s="31"/>
      <c r="D498" s="31"/>
    </row>
    <row r="499" spans="1:4" ht="13.2">
      <c r="A499" s="17"/>
      <c r="B499" s="30"/>
      <c r="C499" s="31"/>
      <c r="D499" s="31"/>
    </row>
    <row r="500" spans="1:4" ht="13.2">
      <c r="A500" s="17"/>
      <c r="B500" s="30"/>
      <c r="C500" s="31"/>
      <c r="D500" s="31"/>
    </row>
    <row r="501" spans="1:4" ht="13.2">
      <c r="A501" s="17"/>
      <c r="B501" s="30"/>
      <c r="C501" s="31"/>
      <c r="D501" s="31"/>
    </row>
    <row r="502" spans="1:4" ht="13.2">
      <c r="A502" s="17"/>
      <c r="B502" s="30"/>
      <c r="C502" s="31"/>
      <c r="D502" s="31"/>
    </row>
    <row r="503" spans="1:4" ht="13.2">
      <c r="A503" s="17"/>
      <c r="B503" s="30"/>
      <c r="C503" s="31"/>
      <c r="D503" s="31"/>
    </row>
    <row r="504" spans="1:4" ht="13.2">
      <c r="A504" s="17"/>
      <c r="B504" s="30"/>
      <c r="C504" s="31"/>
      <c r="D504" s="31"/>
    </row>
    <row r="505" spans="1:4" ht="13.2">
      <c r="A505" s="17"/>
      <c r="B505" s="30"/>
      <c r="C505" s="31"/>
      <c r="D505" s="31"/>
    </row>
    <row r="506" spans="1:4" ht="13.2">
      <c r="A506" s="17"/>
      <c r="B506" s="30"/>
      <c r="C506" s="31"/>
      <c r="D506" s="31"/>
    </row>
    <row r="507" spans="1:4" ht="13.2">
      <c r="A507" s="17"/>
      <c r="B507" s="30"/>
      <c r="C507" s="31"/>
      <c r="D507" s="31"/>
    </row>
    <row r="508" spans="1:4" ht="13.2">
      <c r="A508" s="17"/>
      <c r="B508" s="30"/>
      <c r="C508" s="31"/>
      <c r="D508" s="31"/>
    </row>
    <row r="509" spans="1:4" ht="13.2">
      <c r="A509" s="17"/>
      <c r="B509" s="30"/>
      <c r="C509" s="31"/>
      <c r="D509" s="31"/>
    </row>
    <row r="510" spans="1:4" ht="13.2">
      <c r="A510" s="17"/>
      <c r="B510" s="30"/>
      <c r="C510" s="31"/>
      <c r="D510" s="31"/>
    </row>
    <row r="511" spans="1:4" ht="13.2">
      <c r="A511" s="17"/>
      <c r="B511" s="30"/>
      <c r="C511" s="31"/>
      <c r="D511" s="31"/>
    </row>
    <row r="512" spans="1:4" ht="13.2">
      <c r="A512" s="17"/>
      <c r="B512" s="30"/>
      <c r="C512" s="31"/>
      <c r="D512" s="31"/>
    </row>
    <row r="513" spans="1:4" ht="13.2">
      <c r="A513" s="17"/>
      <c r="B513" s="30"/>
      <c r="C513" s="31"/>
      <c r="D513" s="31"/>
    </row>
    <row r="514" spans="1:4" ht="13.2">
      <c r="A514" s="17"/>
      <c r="B514" s="30"/>
      <c r="C514" s="31"/>
      <c r="D514" s="31"/>
    </row>
    <row r="515" spans="1:4" ht="13.2">
      <c r="A515" s="17"/>
      <c r="B515" s="30"/>
      <c r="C515" s="31"/>
      <c r="D515" s="31"/>
    </row>
    <row r="516" spans="1:4" ht="13.2">
      <c r="A516" s="17"/>
      <c r="B516" s="30"/>
      <c r="C516" s="31"/>
      <c r="D516" s="31"/>
    </row>
    <row r="517" spans="1:4" ht="13.2">
      <c r="A517" s="17"/>
      <c r="B517" s="30"/>
      <c r="C517" s="31"/>
      <c r="D517" s="31"/>
    </row>
    <row r="518" spans="1:4" ht="13.2">
      <c r="A518" s="17"/>
      <c r="B518" s="30"/>
      <c r="C518" s="31"/>
      <c r="D518" s="31"/>
    </row>
    <row r="519" spans="1:4" ht="13.2">
      <c r="A519" s="17"/>
      <c r="B519" s="30"/>
      <c r="C519" s="31"/>
      <c r="D519" s="31"/>
    </row>
    <row r="520" spans="1:4" ht="13.2">
      <c r="A520" s="17"/>
      <c r="B520" s="30"/>
      <c r="C520" s="31"/>
      <c r="D520" s="31"/>
    </row>
    <row r="521" spans="1:4" ht="13.2">
      <c r="A521" s="17"/>
      <c r="B521" s="30"/>
      <c r="C521" s="31"/>
      <c r="D521" s="31"/>
    </row>
    <row r="522" spans="1:4" ht="13.2">
      <c r="A522" s="17"/>
      <c r="B522" s="30"/>
      <c r="C522" s="31"/>
      <c r="D522" s="31"/>
    </row>
    <row r="523" spans="1:4" ht="13.2">
      <c r="A523" s="17"/>
      <c r="B523" s="30"/>
      <c r="C523" s="31"/>
      <c r="D523" s="31"/>
    </row>
    <row r="524" spans="1:4" ht="13.2">
      <c r="A524" s="17"/>
      <c r="B524" s="30"/>
      <c r="C524" s="31"/>
      <c r="D524" s="31"/>
    </row>
    <row r="525" spans="1:4" ht="13.2">
      <c r="A525" s="17"/>
      <c r="B525" s="30"/>
      <c r="C525" s="31"/>
      <c r="D525" s="31"/>
    </row>
    <row r="526" spans="1:4" ht="13.2">
      <c r="A526" s="17"/>
      <c r="B526" s="30"/>
      <c r="C526" s="31"/>
      <c r="D526" s="31"/>
    </row>
    <row r="527" spans="1:4" ht="13.2">
      <c r="A527" s="17"/>
      <c r="B527" s="30"/>
      <c r="C527" s="31"/>
      <c r="D527" s="31"/>
    </row>
    <row r="528" spans="1:4" ht="13.2">
      <c r="A528" s="17"/>
      <c r="B528" s="30"/>
      <c r="C528" s="31"/>
      <c r="D528" s="31"/>
    </row>
    <row r="529" spans="1:4" ht="13.2">
      <c r="A529" s="17"/>
      <c r="B529" s="30"/>
      <c r="C529" s="31"/>
      <c r="D529" s="31"/>
    </row>
    <row r="530" spans="1:4" ht="13.2">
      <c r="A530" s="17"/>
      <c r="B530" s="30"/>
      <c r="C530" s="31"/>
      <c r="D530" s="31"/>
    </row>
    <row r="531" spans="1:4" ht="13.2">
      <c r="A531" s="17"/>
      <c r="B531" s="30"/>
      <c r="C531" s="31"/>
      <c r="D531" s="31"/>
    </row>
    <row r="532" spans="1:4" ht="13.2">
      <c r="A532" s="17"/>
      <c r="B532" s="30"/>
      <c r="C532" s="31"/>
      <c r="D532" s="31"/>
    </row>
    <row r="533" spans="1:4" ht="13.2">
      <c r="A533" s="17"/>
      <c r="B533" s="30"/>
      <c r="C533" s="31"/>
      <c r="D533" s="31"/>
    </row>
    <row r="534" spans="1:4" ht="13.2">
      <c r="A534" s="17"/>
      <c r="B534" s="30"/>
      <c r="C534" s="31"/>
      <c r="D534" s="31"/>
    </row>
    <row r="535" spans="1:4" ht="13.2">
      <c r="A535" s="17"/>
      <c r="B535" s="30"/>
      <c r="C535" s="31"/>
      <c r="D535" s="31"/>
    </row>
    <row r="536" spans="1:4" ht="13.2">
      <c r="A536" s="17"/>
      <c r="B536" s="30"/>
      <c r="C536" s="31"/>
      <c r="D536" s="31"/>
    </row>
    <row r="537" spans="1:4" ht="13.2">
      <c r="A537" s="17"/>
      <c r="B537" s="30"/>
      <c r="C537" s="31"/>
      <c r="D537" s="31"/>
    </row>
    <row r="538" spans="1:4" ht="13.2">
      <c r="A538" s="17"/>
      <c r="B538" s="30"/>
      <c r="C538" s="31"/>
      <c r="D538" s="31"/>
    </row>
    <row r="539" spans="1:4" ht="13.2">
      <c r="A539" s="17"/>
      <c r="B539" s="30"/>
      <c r="C539" s="31"/>
      <c r="D539" s="31"/>
    </row>
    <row r="540" spans="1:4" ht="13.2">
      <c r="A540" s="17"/>
      <c r="B540" s="30"/>
      <c r="C540" s="31"/>
      <c r="D540" s="31"/>
    </row>
    <row r="541" spans="1:4" ht="13.2">
      <c r="A541" s="17"/>
      <c r="B541" s="30"/>
      <c r="C541" s="31"/>
      <c r="D541" s="31"/>
    </row>
    <row r="542" spans="1:4" ht="13.2">
      <c r="A542" s="17"/>
      <c r="B542" s="30"/>
      <c r="C542" s="31"/>
      <c r="D542" s="31"/>
    </row>
    <row r="543" spans="1:4" ht="13.2">
      <c r="A543" s="17"/>
      <c r="B543" s="30"/>
      <c r="C543" s="31"/>
      <c r="D543" s="31"/>
    </row>
    <row r="544" spans="1:4" ht="13.2">
      <c r="A544" s="17"/>
      <c r="B544" s="30"/>
      <c r="C544" s="31"/>
      <c r="D544" s="31"/>
    </row>
    <row r="545" spans="1:4" ht="13.2">
      <c r="A545" s="17"/>
      <c r="B545" s="30"/>
      <c r="C545" s="31"/>
      <c r="D545" s="31"/>
    </row>
    <row r="546" spans="1:4" ht="13.2">
      <c r="A546" s="17"/>
      <c r="B546" s="30"/>
      <c r="C546" s="31"/>
      <c r="D546" s="31"/>
    </row>
    <row r="547" spans="1:4" ht="13.2">
      <c r="A547" s="17"/>
      <c r="B547" s="30"/>
      <c r="C547" s="31"/>
      <c r="D547" s="31"/>
    </row>
    <row r="548" spans="1:4" ht="13.2">
      <c r="A548" s="17"/>
      <c r="B548" s="30"/>
      <c r="C548" s="31"/>
      <c r="D548" s="31"/>
    </row>
    <row r="549" spans="1:4" ht="13.2">
      <c r="A549" s="17"/>
      <c r="B549" s="30"/>
      <c r="C549" s="31"/>
      <c r="D549" s="31"/>
    </row>
    <row r="550" spans="1:4" ht="13.2">
      <c r="A550" s="17"/>
      <c r="B550" s="30"/>
      <c r="C550" s="31"/>
      <c r="D550" s="31"/>
    </row>
    <row r="551" spans="1:4" ht="13.2">
      <c r="A551" s="17"/>
      <c r="B551" s="30"/>
      <c r="C551" s="31"/>
      <c r="D551" s="31"/>
    </row>
    <row r="552" spans="1:4" ht="13.2">
      <c r="A552" s="17"/>
      <c r="B552" s="30"/>
      <c r="C552" s="31"/>
      <c r="D552" s="31"/>
    </row>
    <row r="553" spans="1:4" ht="13.2">
      <c r="A553" s="17"/>
      <c r="B553" s="30"/>
      <c r="C553" s="31"/>
      <c r="D553" s="31"/>
    </row>
    <row r="554" spans="1:4" ht="13.2">
      <c r="A554" s="17"/>
      <c r="B554" s="30"/>
      <c r="C554" s="31"/>
      <c r="D554" s="31"/>
    </row>
    <row r="555" spans="1:4" ht="13.2">
      <c r="A555" s="17"/>
      <c r="B555" s="30"/>
      <c r="C555" s="31"/>
      <c r="D555" s="31"/>
    </row>
    <row r="556" spans="1:4" ht="13.2">
      <c r="A556" s="17"/>
      <c r="B556" s="30"/>
      <c r="C556" s="31"/>
      <c r="D556" s="31"/>
    </row>
    <row r="557" spans="1:4" ht="13.2">
      <c r="A557" s="17"/>
      <c r="B557" s="30"/>
      <c r="C557" s="31"/>
      <c r="D557" s="31"/>
    </row>
    <row r="558" spans="1:4" ht="13.2">
      <c r="A558" s="17"/>
      <c r="B558" s="30"/>
      <c r="C558" s="31"/>
      <c r="D558" s="31"/>
    </row>
    <row r="559" spans="1:4" ht="13.2">
      <c r="A559" s="17"/>
      <c r="B559" s="30"/>
      <c r="C559" s="31"/>
      <c r="D559" s="31"/>
    </row>
    <row r="560" spans="1:4" ht="13.2">
      <c r="A560" s="17"/>
      <c r="B560" s="30"/>
      <c r="C560" s="31"/>
      <c r="D560" s="31"/>
    </row>
    <row r="561" spans="1:4" ht="13.2">
      <c r="A561" s="17"/>
      <c r="B561" s="30"/>
      <c r="C561" s="31"/>
      <c r="D561" s="31"/>
    </row>
    <row r="562" spans="1:4" ht="13.2">
      <c r="A562" s="17"/>
      <c r="B562" s="30"/>
      <c r="C562" s="31"/>
      <c r="D562" s="31"/>
    </row>
    <row r="563" spans="1:4" ht="13.2">
      <c r="A563" s="17"/>
      <c r="B563" s="30"/>
      <c r="C563" s="31"/>
      <c r="D563" s="31"/>
    </row>
    <row r="564" spans="1:4" ht="13.2">
      <c r="A564" s="17"/>
      <c r="B564" s="30"/>
      <c r="C564" s="31"/>
      <c r="D564" s="31"/>
    </row>
    <row r="565" spans="1:4" ht="13.2">
      <c r="A565" s="17"/>
      <c r="B565" s="30"/>
      <c r="C565" s="31"/>
      <c r="D565" s="31"/>
    </row>
    <row r="566" spans="1:4" ht="13.2">
      <c r="A566" s="17"/>
      <c r="B566" s="30"/>
      <c r="C566" s="31"/>
      <c r="D566" s="31"/>
    </row>
    <row r="567" spans="1:4" ht="13.2">
      <c r="A567" s="17"/>
      <c r="B567" s="30"/>
      <c r="C567" s="31"/>
      <c r="D567" s="31"/>
    </row>
    <row r="568" spans="1:4" ht="13.2">
      <c r="A568" s="17"/>
      <c r="B568" s="30"/>
      <c r="C568" s="31"/>
      <c r="D568" s="31"/>
    </row>
    <row r="569" spans="1:4" ht="13.2">
      <c r="A569" s="17"/>
      <c r="B569" s="30"/>
      <c r="C569" s="31"/>
      <c r="D569" s="31"/>
    </row>
    <row r="570" spans="1:4" ht="13.2">
      <c r="A570" s="17"/>
      <c r="B570" s="30"/>
      <c r="C570" s="31"/>
      <c r="D570" s="31"/>
    </row>
    <row r="571" spans="1:4" ht="13.2">
      <c r="A571" s="17"/>
      <c r="B571" s="30"/>
      <c r="C571" s="31"/>
      <c r="D571" s="31"/>
    </row>
    <row r="572" spans="1:4" ht="13.2">
      <c r="A572" s="17"/>
      <c r="B572" s="30"/>
      <c r="C572" s="31"/>
      <c r="D572" s="31"/>
    </row>
    <row r="573" spans="1:4" ht="13.2">
      <c r="A573" s="17"/>
      <c r="B573" s="30"/>
      <c r="C573" s="31"/>
      <c r="D573" s="31"/>
    </row>
    <row r="574" spans="1:4" ht="13.2">
      <c r="A574" s="17"/>
      <c r="B574" s="30"/>
      <c r="C574" s="31"/>
      <c r="D574" s="31"/>
    </row>
    <row r="575" spans="1:4" ht="13.2">
      <c r="A575" s="17"/>
      <c r="B575" s="30"/>
      <c r="C575" s="31"/>
      <c r="D575" s="31"/>
    </row>
    <row r="576" spans="1:4" ht="13.2">
      <c r="A576" s="17"/>
      <c r="B576" s="30"/>
      <c r="C576" s="31"/>
      <c r="D576" s="31"/>
    </row>
    <row r="577" spans="1:4" ht="13.2">
      <c r="A577" s="17"/>
      <c r="B577" s="30"/>
      <c r="C577" s="31"/>
      <c r="D577" s="31"/>
    </row>
    <row r="578" spans="1:4" ht="13.2">
      <c r="A578" s="17"/>
      <c r="B578" s="30"/>
      <c r="C578" s="31"/>
      <c r="D578" s="31"/>
    </row>
    <row r="579" spans="1:4" ht="13.2">
      <c r="A579" s="17"/>
      <c r="B579" s="30"/>
      <c r="C579" s="31"/>
      <c r="D579" s="31"/>
    </row>
    <row r="580" spans="1:4" ht="13.2">
      <c r="A580" s="17"/>
      <c r="B580" s="30"/>
      <c r="C580" s="31"/>
      <c r="D580" s="31"/>
    </row>
    <row r="581" spans="1:4" ht="13.2">
      <c r="A581" s="17"/>
      <c r="B581" s="30"/>
      <c r="C581" s="31"/>
      <c r="D581" s="31"/>
    </row>
    <row r="582" spans="1:4" ht="13.2">
      <c r="A582" s="17"/>
      <c r="B582" s="30"/>
      <c r="C582" s="31"/>
      <c r="D582" s="31"/>
    </row>
    <row r="583" spans="1:4" ht="13.2">
      <c r="A583" s="17"/>
      <c r="B583" s="30"/>
      <c r="C583" s="31"/>
      <c r="D583" s="31"/>
    </row>
    <row r="584" spans="1:4" ht="13.2">
      <c r="A584" s="17"/>
      <c r="B584" s="30"/>
      <c r="C584" s="31"/>
      <c r="D584" s="31"/>
    </row>
    <row r="585" spans="1:4" ht="13.2">
      <c r="A585" s="17"/>
      <c r="B585" s="30"/>
      <c r="C585" s="31"/>
      <c r="D585" s="31"/>
    </row>
    <row r="586" spans="1:4" ht="13.2">
      <c r="A586" s="17"/>
      <c r="B586" s="30"/>
      <c r="C586" s="31"/>
      <c r="D586" s="31"/>
    </row>
    <row r="587" spans="1:4" ht="13.2">
      <c r="A587" s="17"/>
      <c r="B587" s="30"/>
      <c r="C587" s="31"/>
      <c r="D587" s="31"/>
    </row>
    <row r="588" spans="1:4" ht="13.2">
      <c r="A588" s="17"/>
      <c r="B588" s="30"/>
      <c r="C588" s="31"/>
      <c r="D588" s="31"/>
    </row>
    <row r="589" spans="1:4" ht="13.2">
      <c r="A589" s="17"/>
      <c r="B589" s="30"/>
      <c r="C589" s="31"/>
      <c r="D589" s="31"/>
    </row>
    <row r="590" spans="1:4" ht="13.2">
      <c r="A590" s="17"/>
      <c r="B590" s="30"/>
      <c r="C590" s="31"/>
      <c r="D590" s="31"/>
    </row>
    <row r="591" spans="1:4" ht="13.2">
      <c r="A591" s="17"/>
      <c r="B591" s="30"/>
      <c r="C591" s="31"/>
      <c r="D591" s="31"/>
    </row>
    <row r="592" spans="1:4" ht="13.2">
      <c r="A592" s="17"/>
      <c r="B592" s="30"/>
      <c r="C592" s="31"/>
      <c r="D592" s="31"/>
    </row>
    <row r="593" spans="1:4" ht="13.2">
      <c r="A593" s="17"/>
      <c r="B593" s="30"/>
      <c r="C593" s="31"/>
      <c r="D593" s="31"/>
    </row>
    <row r="594" spans="1:4" ht="13.2">
      <c r="A594" s="17"/>
      <c r="B594" s="30"/>
      <c r="C594" s="31"/>
      <c r="D594" s="31"/>
    </row>
    <row r="595" spans="1:4" ht="13.2">
      <c r="A595" s="17"/>
      <c r="B595" s="30"/>
      <c r="C595" s="31"/>
      <c r="D595" s="31"/>
    </row>
    <row r="596" spans="1:4" ht="13.2">
      <c r="A596" s="17"/>
      <c r="B596" s="30"/>
      <c r="C596" s="31"/>
      <c r="D596" s="31"/>
    </row>
    <row r="597" spans="1:4" ht="13.2">
      <c r="A597" s="17"/>
      <c r="B597" s="30"/>
      <c r="C597" s="31"/>
      <c r="D597" s="31"/>
    </row>
    <row r="598" spans="1:4" ht="13.2">
      <c r="A598" s="17"/>
      <c r="B598" s="30"/>
      <c r="C598" s="31"/>
      <c r="D598" s="31"/>
    </row>
    <row r="599" spans="1:4" ht="13.2">
      <c r="A599" s="17"/>
      <c r="B599" s="30"/>
      <c r="C599" s="31"/>
      <c r="D599" s="31"/>
    </row>
    <row r="600" spans="1:4" ht="13.2">
      <c r="A600" s="17"/>
      <c r="B600" s="30"/>
      <c r="C600" s="31"/>
      <c r="D600" s="31"/>
    </row>
    <row r="601" spans="1:4" ht="13.2">
      <c r="A601" s="17"/>
      <c r="B601" s="30"/>
      <c r="C601" s="31"/>
      <c r="D601" s="31"/>
    </row>
    <row r="602" spans="1:4" ht="13.2">
      <c r="A602" s="17"/>
      <c r="B602" s="30"/>
      <c r="C602" s="31"/>
      <c r="D602" s="31"/>
    </row>
    <row r="603" spans="1:4" ht="13.2">
      <c r="A603" s="17"/>
      <c r="B603" s="30"/>
      <c r="C603" s="31"/>
      <c r="D603" s="31"/>
    </row>
    <row r="604" spans="1:4" ht="13.2">
      <c r="A604" s="17"/>
      <c r="B604" s="30"/>
      <c r="C604" s="31"/>
      <c r="D604" s="31"/>
    </row>
    <row r="605" spans="1:4" ht="13.2">
      <c r="A605" s="17"/>
      <c r="B605" s="30"/>
      <c r="C605" s="31"/>
      <c r="D605" s="31"/>
    </row>
    <row r="606" spans="1:4" ht="13.2">
      <c r="A606" s="17"/>
      <c r="B606" s="30"/>
      <c r="C606" s="31"/>
      <c r="D606" s="31"/>
    </row>
    <row r="607" spans="1:4" ht="13.2">
      <c r="A607" s="17"/>
      <c r="B607" s="30"/>
      <c r="C607" s="31"/>
      <c r="D607" s="31"/>
    </row>
    <row r="608" spans="1:4" ht="13.2">
      <c r="A608" s="17"/>
      <c r="B608" s="30"/>
      <c r="C608" s="31"/>
      <c r="D608" s="31"/>
    </row>
    <row r="609" spans="1:4" ht="13.2">
      <c r="A609" s="17"/>
      <c r="B609" s="30"/>
      <c r="C609" s="31"/>
      <c r="D609" s="31"/>
    </row>
    <row r="610" spans="1:4" ht="13.2">
      <c r="A610" s="17"/>
      <c r="B610" s="30"/>
      <c r="C610" s="31"/>
      <c r="D610" s="31"/>
    </row>
    <row r="611" spans="1:4" ht="13.2">
      <c r="A611" s="17"/>
      <c r="B611" s="30"/>
      <c r="C611" s="31"/>
      <c r="D611" s="31"/>
    </row>
    <row r="612" spans="1:4" ht="13.2">
      <c r="A612" s="17"/>
      <c r="B612" s="30"/>
      <c r="C612" s="31"/>
      <c r="D612" s="31"/>
    </row>
    <row r="613" spans="1:4" ht="13.2">
      <c r="A613" s="17"/>
      <c r="B613" s="30"/>
      <c r="C613" s="31"/>
      <c r="D613" s="31"/>
    </row>
    <row r="614" spans="1:4" ht="13.2">
      <c r="A614" s="17"/>
      <c r="B614" s="30"/>
      <c r="C614" s="31"/>
      <c r="D614" s="31"/>
    </row>
    <row r="615" spans="1:4" ht="13.2">
      <c r="A615" s="17"/>
      <c r="B615" s="30"/>
      <c r="C615" s="31"/>
      <c r="D615" s="31"/>
    </row>
    <row r="616" spans="1:4" ht="13.2">
      <c r="A616" s="17"/>
      <c r="B616" s="30"/>
      <c r="C616" s="31"/>
      <c r="D616" s="31"/>
    </row>
    <row r="617" spans="1:4" ht="13.2">
      <c r="A617" s="17"/>
      <c r="B617" s="30"/>
      <c r="C617" s="31"/>
      <c r="D617" s="31"/>
    </row>
    <row r="618" spans="1:4" ht="13.2">
      <c r="A618" s="17"/>
      <c r="B618" s="30"/>
      <c r="C618" s="31"/>
      <c r="D618" s="31"/>
    </row>
    <row r="619" spans="1:4" ht="13.2">
      <c r="A619" s="17"/>
      <c r="B619" s="30"/>
      <c r="C619" s="31"/>
      <c r="D619" s="31"/>
    </row>
    <row r="620" spans="1:4" ht="13.2">
      <c r="A620" s="17"/>
      <c r="B620" s="30"/>
      <c r="C620" s="31"/>
      <c r="D620" s="31"/>
    </row>
    <row r="621" spans="1:4" ht="13.2">
      <c r="A621" s="17"/>
      <c r="B621" s="30"/>
      <c r="C621" s="31"/>
      <c r="D621" s="31"/>
    </row>
    <row r="622" spans="1:4" ht="13.2">
      <c r="A622" s="17"/>
      <c r="B622" s="30"/>
      <c r="C622" s="31"/>
      <c r="D622" s="31"/>
    </row>
    <row r="623" spans="1:4" ht="13.2">
      <c r="A623" s="17"/>
      <c r="B623" s="30"/>
      <c r="C623" s="31"/>
      <c r="D623" s="31"/>
    </row>
    <row r="624" spans="1:4" ht="13.2">
      <c r="A624" s="17"/>
      <c r="B624" s="30"/>
      <c r="C624" s="31"/>
      <c r="D624" s="31"/>
    </row>
    <row r="625" spans="1:4" ht="13.2">
      <c r="A625" s="17"/>
      <c r="B625" s="30"/>
      <c r="C625" s="31"/>
      <c r="D625" s="31"/>
    </row>
    <row r="626" spans="1:4" ht="13.2">
      <c r="A626" s="17"/>
      <c r="B626" s="30"/>
      <c r="C626" s="31"/>
      <c r="D626" s="31"/>
    </row>
    <row r="627" spans="1:4" ht="13.2">
      <c r="A627" s="17"/>
      <c r="B627" s="30"/>
      <c r="C627" s="31"/>
      <c r="D627" s="31"/>
    </row>
    <row r="628" spans="1:4" ht="13.2">
      <c r="A628" s="17"/>
      <c r="B628" s="30"/>
      <c r="C628" s="31"/>
      <c r="D628" s="31"/>
    </row>
    <row r="629" spans="1:4" ht="13.2">
      <c r="A629" s="17"/>
      <c r="B629" s="30"/>
      <c r="C629" s="31"/>
      <c r="D629" s="31"/>
    </row>
    <row r="630" spans="1:4" ht="13.2">
      <c r="A630" s="17"/>
      <c r="B630" s="30"/>
      <c r="C630" s="31"/>
      <c r="D630" s="31"/>
    </row>
    <row r="631" spans="1:4" ht="13.2">
      <c r="A631" s="17"/>
      <c r="B631" s="30"/>
      <c r="C631" s="31"/>
      <c r="D631" s="31"/>
    </row>
    <row r="632" spans="1:4" ht="13.2">
      <c r="A632" s="17"/>
      <c r="B632" s="30"/>
      <c r="C632" s="31"/>
      <c r="D632" s="31"/>
    </row>
    <row r="633" spans="1:4" ht="13.2">
      <c r="A633" s="17"/>
      <c r="B633" s="30"/>
      <c r="C633" s="31"/>
      <c r="D633" s="31"/>
    </row>
    <row r="634" spans="1:4" ht="13.2">
      <c r="A634" s="17"/>
      <c r="B634" s="30"/>
      <c r="C634" s="31"/>
      <c r="D634" s="31"/>
    </row>
    <row r="635" spans="1:4" ht="13.2">
      <c r="A635" s="17"/>
      <c r="B635" s="30"/>
      <c r="C635" s="31"/>
      <c r="D635" s="31"/>
    </row>
    <row r="636" spans="1:4" ht="13.2">
      <c r="A636" s="17"/>
      <c r="B636" s="30"/>
      <c r="C636" s="31"/>
      <c r="D636" s="31"/>
    </row>
    <row r="637" spans="1:4" ht="13.2">
      <c r="A637" s="17"/>
      <c r="B637" s="30"/>
      <c r="C637" s="31"/>
      <c r="D637" s="31"/>
    </row>
    <row r="638" spans="1:4" ht="13.2">
      <c r="A638" s="17"/>
      <c r="B638" s="30"/>
      <c r="C638" s="31"/>
      <c r="D638" s="31"/>
    </row>
    <row r="639" spans="1:4" ht="13.2">
      <c r="A639" s="17"/>
      <c r="B639" s="30"/>
      <c r="C639" s="31"/>
      <c r="D639" s="31"/>
    </row>
    <row r="640" spans="1:4" ht="13.2">
      <c r="A640" s="17"/>
      <c r="B640" s="30"/>
      <c r="C640" s="31"/>
      <c r="D640" s="31"/>
    </row>
    <row r="641" spans="1:4" ht="13.2">
      <c r="A641" s="17"/>
      <c r="B641" s="30"/>
      <c r="C641" s="31"/>
      <c r="D641" s="31"/>
    </row>
    <row r="642" spans="1:4" ht="13.2">
      <c r="A642" s="17"/>
      <c r="B642" s="30"/>
      <c r="C642" s="31"/>
      <c r="D642" s="31"/>
    </row>
    <row r="643" spans="1:4" ht="13.2">
      <c r="A643" s="17"/>
      <c r="B643" s="30"/>
      <c r="C643" s="31"/>
      <c r="D643" s="31"/>
    </row>
    <row r="644" spans="1:4" ht="13.2">
      <c r="A644" s="17"/>
      <c r="B644" s="30"/>
      <c r="C644" s="31"/>
      <c r="D644" s="31"/>
    </row>
    <row r="645" spans="1:4" ht="13.2">
      <c r="A645" s="17"/>
      <c r="B645" s="30"/>
      <c r="C645" s="31"/>
      <c r="D645" s="31"/>
    </row>
    <row r="646" spans="1:4" ht="13.2">
      <c r="A646" s="17"/>
      <c r="B646" s="30"/>
      <c r="C646" s="31"/>
      <c r="D646" s="31"/>
    </row>
    <row r="647" spans="1:4" ht="13.2">
      <c r="A647" s="17"/>
      <c r="B647" s="30"/>
      <c r="C647" s="31"/>
      <c r="D647" s="31"/>
    </row>
    <row r="648" spans="1:4" ht="13.2">
      <c r="A648" s="17"/>
      <c r="B648" s="30"/>
      <c r="C648" s="31"/>
      <c r="D648" s="31"/>
    </row>
    <row r="649" spans="1:4" ht="13.2">
      <c r="A649" s="17"/>
      <c r="B649" s="30"/>
      <c r="C649" s="31"/>
      <c r="D649" s="31"/>
    </row>
    <row r="650" spans="1:4" ht="13.2">
      <c r="A650" s="17"/>
      <c r="B650" s="30"/>
      <c r="C650" s="31"/>
      <c r="D650" s="31"/>
    </row>
    <row r="651" spans="1:4" ht="13.2">
      <c r="A651" s="17"/>
      <c r="B651" s="30"/>
      <c r="C651" s="31"/>
      <c r="D651" s="31"/>
    </row>
    <row r="652" spans="1:4" ht="13.2">
      <c r="A652" s="17"/>
      <c r="B652" s="30"/>
      <c r="C652" s="31"/>
      <c r="D652" s="31"/>
    </row>
    <row r="653" spans="1:4" ht="13.2">
      <c r="A653" s="17"/>
      <c r="B653" s="30"/>
      <c r="C653" s="31"/>
      <c r="D653" s="31"/>
    </row>
    <row r="654" spans="1:4" ht="13.2">
      <c r="A654" s="17"/>
      <c r="B654" s="30"/>
      <c r="C654" s="31"/>
      <c r="D654" s="31"/>
    </row>
    <row r="655" spans="1:4" ht="13.2">
      <c r="A655" s="17"/>
      <c r="B655" s="30"/>
      <c r="C655" s="31"/>
      <c r="D655" s="31"/>
    </row>
    <row r="656" spans="1:4" ht="13.2">
      <c r="A656" s="17"/>
      <c r="B656" s="30"/>
      <c r="C656" s="31"/>
      <c r="D656" s="31"/>
    </row>
    <row r="657" spans="1:4" ht="13.2">
      <c r="A657" s="17"/>
      <c r="B657" s="30"/>
      <c r="C657" s="31"/>
      <c r="D657" s="31"/>
    </row>
    <row r="658" spans="1:4" ht="13.2">
      <c r="A658" s="17"/>
      <c r="B658" s="30"/>
      <c r="C658" s="31"/>
      <c r="D658" s="31"/>
    </row>
    <row r="659" spans="1:4" ht="13.2">
      <c r="A659" s="17"/>
      <c r="B659" s="30"/>
      <c r="C659" s="31"/>
      <c r="D659" s="31"/>
    </row>
    <row r="660" spans="1:4" ht="13.2">
      <c r="A660" s="17"/>
      <c r="B660" s="30"/>
      <c r="C660" s="31"/>
      <c r="D660" s="31"/>
    </row>
    <row r="661" spans="1:4" ht="13.2">
      <c r="A661" s="17"/>
      <c r="B661" s="30"/>
      <c r="C661" s="31"/>
      <c r="D661" s="31"/>
    </row>
    <row r="662" spans="1:4" ht="13.2">
      <c r="A662" s="17"/>
      <c r="B662" s="30"/>
      <c r="C662" s="31"/>
      <c r="D662" s="31"/>
    </row>
    <row r="663" spans="1:4" ht="13.2">
      <c r="A663" s="17"/>
      <c r="B663" s="30"/>
      <c r="C663" s="31"/>
      <c r="D663" s="31"/>
    </row>
    <row r="664" spans="1:4" ht="13.2">
      <c r="A664" s="17"/>
      <c r="B664" s="30"/>
      <c r="C664" s="31"/>
      <c r="D664" s="31"/>
    </row>
    <row r="665" spans="1:4" ht="13.2">
      <c r="A665" s="17"/>
      <c r="B665" s="30"/>
      <c r="C665" s="31"/>
      <c r="D665" s="31"/>
    </row>
    <row r="666" spans="1:4" ht="13.2">
      <c r="A666" s="17"/>
      <c r="B666" s="30"/>
      <c r="C666" s="31"/>
      <c r="D666" s="31"/>
    </row>
    <row r="667" spans="1:4" ht="13.2">
      <c r="A667" s="17"/>
      <c r="B667" s="30"/>
      <c r="C667" s="31"/>
      <c r="D667" s="31"/>
    </row>
    <row r="668" spans="1:4" ht="13.2">
      <c r="A668" s="17"/>
      <c r="B668" s="30"/>
      <c r="C668" s="31"/>
      <c r="D668" s="31"/>
    </row>
    <row r="669" spans="1:4" ht="13.2">
      <c r="A669" s="17"/>
      <c r="B669" s="30"/>
      <c r="C669" s="31"/>
      <c r="D669" s="31"/>
    </row>
    <row r="670" spans="1:4" ht="13.2">
      <c r="A670" s="17"/>
      <c r="B670" s="30"/>
      <c r="C670" s="31"/>
      <c r="D670" s="31"/>
    </row>
    <row r="671" spans="1:4" ht="13.2">
      <c r="A671" s="17"/>
      <c r="B671" s="30"/>
      <c r="C671" s="31"/>
      <c r="D671" s="31"/>
    </row>
    <row r="672" spans="1:4" ht="13.2">
      <c r="A672" s="17"/>
      <c r="B672" s="30"/>
      <c r="C672" s="31"/>
      <c r="D672" s="31"/>
    </row>
    <row r="673" spans="1:4" ht="13.2">
      <c r="A673" s="17"/>
      <c r="B673" s="30"/>
      <c r="C673" s="31"/>
      <c r="D673" s="31"/>
    </row>
    <row r="674" spans="1:4" ht="13.2">
      <c r="A674" s="17"/>
      <c r="B674" s="30"/>
      <c r="C674" s="31"/>
      <c r="D674" s="31"/>
    </row>
    <row r="675" spans="1:4" ht="13.2">
      <c r="A675" s="17"/>
      <c r="B675" s="30"/>
      <c r="C675" s="31"/>
      <c r="D675" s="31"/>
    </row>
    <row r="676" spans="1:4" ht="13.2">
      <c r="A676" s="17"/>
      <c r="B676" s="30"/>
      <c r="C676" s="31"/>
      <c r="D676" s="31"/>
    </row>
    <row r="677" spans="1:4" ht="13.2">
      <c r="A677" s="17"/>
      <c r="B677" s="30"/>
      <c r="C677" s="31"/>
      <c r="D677" s="31"/>
    </row>
    <row r="678" spans="1:4" ht="13.2">
      <c r="A678" s="17"/>
      <c r="B678" s="30"/>
      <c r="C678" s="31"/>
      <c r="D678" s="31"/>
    </row>
    <row r="679" spans="1:4" ht="13.2">
      <c r="A679" s="17"/>
      <c r="B679" s="30"/>
      <c r="C679" s="31"/>
      <c r="D679" s="31"/>
    </row>
    <row r="680" spans="1:4" ht="13.2">
      <c r="A680" s="17"/>
      <c r="B680" s="30"/>
      <c r="C680" s="31"/>
      <c r="D680" s="31"/>
    </row>
    <row r="681" spans="1:4" ht="13.2">
      <c r="A681" s="17"/>
      <c r="B681" s="30"/>
      <c r="C681" s="31"/>
      <c r="D681" s="31"/>
    </row>
    <row r="682" spans="1:4" ht="13.2">
      <c r="A682" s="17"/>
      <c r="B682" s="30"/>
      <c r="C682" s="31"/>
      <c r="D682" s="31"/>
    </row>
    <row r="683" spans="1:4" ht="13.2">
      <c r="A683" s="17"/>
      <c r="B683" s="30"/>
      <c r="C683" s="31"/>
      <c r="D683" s="31"/>
    </row>
    <row r="684" spans="1:4" ht="13.2">
      <c r="A684" s="17"/>
      <c r="B684" s="30"/>
      <c r="C684" s="31"/>
      <c r="D684" s="31"/>
    </row>
    <row r="685" spans="1:4" ht="13.2">
      <c r="A685" s="17"/>
      <c r="B685" s="30"/>
      <c r="C685" s="31"/>
      <c r="D685" s="31"/>
    </row>
    <row r="686" spans="1:4" ht="13.2">
      <c r="A686" s="17"/>
      <c r="B686" s="30"/>
      <c r="C686" s="31"/>
      <c r="D686" s="31"/>
    </row>
    <row r="687" spans="1:4" ht="13.2">
      <c r="A687" s="17"/>
      <c r="B687" s="30"/>
      <c r="C687" s="31"/>
      <c r="D687" s="31"/>
    </row>
    <row r="688" spans="1:4" ht="13.2">
      <c r="A688" s="17"/>
      <c r="B688" s="30"/>
      <c r="C688" s="31"/>
      <c r="D688" s="31"/>
    </row>
    <row r="689" spans="1:4" ht="13.2">
      <c r="A689" s="17"/>
      <c r="B689" s="30"/>
      <c r="C689" s="31"/>
      <c r="D689" s="31"/>
    </row>
    <row r="690" spans="1:4" ht="13.2">
      <c r="A690" s="17"/>
      <c r="B690" s="30"/>
      <c r="C690" s="31"/>
      <c r="D690" s="31"/>
    </row>
    <row r="691" spans="1:4" ht="13.2">
      <c r="A691" s="17"/>
      <c r="B691" s="30"/>
      <c r="C691" s="31"/>
      <c r="D691" s="31"/>
    </row>
    <row r="692" spans="1:4" ht="13.2">
      <c r="A692" s="17"/>
      <c r="B692" s="30"/>
      <c r="C692" s="31"/>
      <c r="D692" s="31"/>
    </row>
    <row r="693" spans="1:4" ht="13.2">
      <c r="A693" s="17"/>
      <c r="B693" s="30"/>
      <c r="C693" s="31"/>
      <c r="D693" s="31"/>
    </row>
    <row r="694" spans="1:4" ht="13.2">
      <c r="A694" s="17"/>
      <c r="B694" s="30"/>
      <c r="C694" s="31"/>
      <c r="D694" s="31"/>
    </row>
    <row r="695" spans="1:4" ht="13.2">
      <c r="A695" s="17"/>
      <c r="B695" s="30"/>
      <c r="C695" s="31"/>
      <c r="D695" s="31"/>
    </row>
    <row r="696" spans="1:4" ht="13.2">
      <c r="A696" s="17"/>
      <c r="B696" s="30"/>
      <c r="C696" s="31"/>
      <c r="D696" s="31"/>
    </row>
    <row r="697" spans="1:4" ht="13.2">
      <c r="A697" s="17"/>
      <c r="B697" s="30"/>
      <c r="C697" s="31"/>
      <c r="D697" s="31"/>
    </row>
    <row r="698" spans="1:4" ht="13.2">
      <c r="A698" s="17"/>
      <c r="B698" s="30"/>
      <c r="C698" s="31"/>
      <c r="D698" s="31"/>
    </row>
    <row r="699" spans="1:4" ht="13.2">
      <c r="A699" s="17"/>
      <c r="B699" s="30"/>
      <c r="C699" s="31"/>
      <c r="D699" s="31"/>
    </row>
    <row r="700" spans="1:4" ht="13.2">
      <c r="A700" s="17"/>
      <c r="B700" s="30"/>
      <c r="C700" s="31"/>
      <c r="D700" s="31"/>
    </row>
    <row r="701" spans="1:4" ht="13.2">
      <c r="A701" s="17"/>
      <c r="B701" s="30"/>
      <c r="C701" s="31"/>
      <c r="D701" s="31"/>
    </row>
    <row r="702" spans="1:4" ht="13.2">
      <c r="A702" s="17"/>
      <c r="B702" s="30"/>
      <c r="C702" s="31"/>
      <c r="D702" s="31"/>
    </row>
    <row r="703" spans="1:4" ht="13.2">
      <c r="A703" s="17"/>
      <c r="B703" s="30"/>
      <c r="C703" s="31"/>
      <c r="D703" s="31"/>
    </row>
    <row r="704" spans="1:4" ht="13.2">
      <c r="A704" s="17"/>
      <c r="B704" s="30"/>
      <c r="C704" s="31"/>
      <c r="D704" s="31"/>
    </row>
    <row r="705" spans="1:4" ht="13.2">
      <c r="A705" s="17"/>
      <c r="B705" s="30"/>
      <c r="C705" s="31"/>
      <c r="D705" s="31"/>
    </row>
    <row r="706" spans="1:4" ht="13.2">
      <c r="A706" s="17"/>
      <c r="B706" s="30"/>
      <c r="C706" s="31"/>
      <c r="D706" s="31"/>
    </row>
    <row r="707" spans="1:4" ht="13.2">
      <c r="A707" s="17"/>
      <c r="B707" s="30"/>
      <c r="C707" s="31"/>
      <c r="D707" s="31"/>
    </row>
    <row r="708" spans="1:4" ht="13.2">
      <c r="A708" s="17"/>
      <c r="B708" s="30"/>
      <c r="C708" s="31"/>
      <c r="D708" s="31"/>
    </row>
    <row r="709" spans="1:4" ht="13.2">
      <c r="A709" s="17"/>
      <c r="B709" s="30"/>
      <c r="C709" s="31"/>
      <c r="D709" s="31"/>
    </row>
    <row r="710" spans="1:4" ht="13.2">
      <c r="A710" s="17"/>
      <c r="B710" s="30"/>
      <c r="C710" s="31"/>
      <c r="D710" s="31"/>
    </row>
    <row r="711" spans="1:4" ht="13.2">
      <c r="A711" s="17"/>
      <c r="B711" s="30"/>
      <c r="C711" s="31"/>
      <c r="D711" s="31"/>
    </row>
    <row r="712" spans="1:4" ht="13.2">
      <c r="A712" s="17"/>
      <c r="B712" s="30"/>
      <c r="C712" s="31"/>
      <c r="D712" s="31"/>
    </row>
    <row r="713" spans="1:4" ht="13.2">
      <c r="A713" s="17"/>
      <c r="B713" s="30"/>
      <c r="C713" s="31"/>
      <c r="D713" s="31"/>
    </row>
    <row r="714" spans="1:4" ht="13.2">
      <c r="A714" s="17"/>
      <c r="B714" s="30"/>
      <c r="C714" s="31"/>
      <c r="D714" s="31"/>
    </row>
    <row r="715" spans="1:4" ht="13.2">
      <c r="A715" s="17"/>
      <c r="B715" s="30"/>
      <c r="C715" s="31"/>
      <c r="D715" s="31"/>
    </row>
    <row r="716" spans="1:4" ht="13.2">
      <c r="A716" s="17"/>
      <c r="B716" s="30"/>
      <c r="C716" s="31"/>
      <c r="D716" s="31"/>
    </row>
    <row r="717" spans="1:4" ht="13.2">
      <c r="A717" s="17"/>
      <c r="B717" s="30"/>
      <c r="C717" s="31"/>
      <c r="D717" s="31"/>
    </row>
    <row r="718" spans="1:4" ht="13.2">
      <c r="A718" s="17"/>
      <c r="B718" s="30"/>
      <c r="C718" s="31"/>
      <c r="D718" s="31"/>
    </row>
    <row r="719" spans="1:4" ht="13.2">
      <c r="A719" s="17"/>
      <c r="B719" s="30"/>
      <c r="C719" s="31"/>
      <c r="D719" s="31"/>
    </row>
    <row r="720" spans="1:4" ht="13.2">
      <c r="A720" s="17"/>
      <c r="B720" s="30"/>
      <c r="C720" s="31"/>
      <c r="D720" s="31"/>
    </row>
    <row r="721" spans="1:4" ht="13.2">
      <c r="A721" s="17"/>
      <c r="B721" s="30"/>
      <c r="C721" s="31"/>
      <c r="D721" s="31"/>
    </row>
    <row r="722" spans="1:4" ht="13.2">
      <c r="A722" s="17"/>
      <c r="B722" s="30"/>
      <c r="C722" s="31"/>
      <c r="D722" s="31"/>
    </row>
    <row r="723" spans="1:4" ht="13.2">
      <c r="A723" s="17"/>
      <c r="B723" s="30"/>
      <c r="C723" s="31"/>
      <c r="D723" s="31"/>
    </row>
    <row r="724" spans="1:4" ht="13.2">
      <c r="A724" s="17"/>
      <c r="B724" s="30"/>
      <c r="C724" s="31"/>
      <c r="D724" s="31"/>
    </row>
    <row r="725" spans="1:4" ht="13.2">
      <c r="A725" s="17"/>
      <c r="B725" s="30"/>
      <c r="C725" s="31"/>
      <c r="D725" s="31"/>
    </row>
    <row r="726" spans="1:4" ht="13.2">
      <c r="A726" s="17"/>
      <c r="B726" s="30"/>
      <c r="C726" s="31"/>
      <c r="D726" s="31"/>
    </row>
    <row r="727" spans="1:4" ht="13.2">
      <c r="A727" s="17"/>
      <c r="B727" s="30"/>
      <c r="C727" s="31"/>
      <c r="D727" s="31"/>
    </row>
    <row r="728" spans="1:4" ht="13.2">
      <c r="A728" s="17"/>
      <c r="B728" s="30"/>
      <c r="C728" s="31"/>
      <c r="D728" s="31"/>
    </row>
    <row r="729" spans="1:4" ht="13.2">
      <c r="A729" s="17"/>
      <c r="B729" s="30"/>
      <c r="C729" s="31"/>
      <c r="D729" s="31"/>
    </row>
    <row r="730" spans="1:4" ht="13.2">
      <c r="A730" s="17"/>
      <c r="B730" s="30"/>
      <c r="C730" s="31"/>
      <c r="D730" s="31"/>
    </row>
    <row r="731" spans="1:4" ht="13.2">
      <c r="A731" s="17"/>
      <c r="B731" s="30"/>
      <c r="C731" s="31"/>
      <c r="D731" s="31"/>
    </row>
    <row r="732" spans="1:4" ht="13.2">
      <c r="A732" s="17"/>
      <c r="B732" s="30"/>
      <c r="C732" s="31"/>
      <c r="D732" s="31"/>
    </row>
    <row r="733" spans="1:4" ht="13.2">
      <c r="A733" s="17"/>
      <c r="B733" s="30"/>
      <c r="C733" s="31"/>
      <c r="D733" s="31"/>
    </row>
    <row r="734" spans="1:4" ht="13.2">
      <c r="A734" s="17"/>
      <c r="B734" s="30"/>
      <c r="C734" s="31"/>
      <c r="D734" s="31"/>
    </row>
    <row r="735" spans="1:4" ht="13.2">
      <c r="A735" s="17"/>
      <c r="B735" s="30"/>
      <c r="C735" s="31"/>
      <c r="D735" s="31"/>
    </row>
    <row r="736" spans="1:4" ht="13.2">
      <c r="A736" s="17"/>
      <c r="B736" s="30"/>
      <c r="C736" s="31"/>
      <c r="D736" s="31"/>
    </row>
    <row r="737" spans="1:4" ht="13.2">
      <c r="A737" s="17"/>
      <c r="B737" s="30"/>
      <c r="C737" s="31"/>
      <c r="D737" s="31"/>
    </row>
    <row r="738" spans="1:4" ht="13.2">
      <c r="A738" s="17"/>
      <c r="B738" s="30"/>
      <c r="C738" s="31"/>
      <c r="D738" s="31"/>
    </row>
    <row r="739" spans="1:4" ht="13.2">
      <c r="A739" s="17"/>
      <c r="B739" s="30"/>
      <c r="C739" s="31"/>
      <c r="D739" s="31"/>
    </row>
    <row r="740" spans="1:4" ht="13.2">
      <c r="A740" s="17"/>
      <c r="B740" s="30"/>
      <c r="C740" s="31"/>
      <c r="D740" s="31"/>
    </row>
    <row r="741" spans="1:4" ht="13.2">
      <c r="A741" s="17"/>
      <c r="B741" s="30"/>
      <c r="C741" s="31"/>
      <c r="D741" s="31"/>
    </row>
    <row r="742" spans="1:4" ht="13.2">
      <c r="A742" s="17"/>
      <c r="B742" s="30"/>
      <c r="C742" s="31"/>
      <c r="D742" s="31"/>
    </row>
    <row r="743" spans="1:4" ht="13.2">
      <c r="A743" s="17"/>
      <c r="B743" s="30"/>
      <c r="C743" s="31"/>
      <c r="D743" s="31"/>
    </row>
    <row r="744" spans="1:4" ht="13.2">
      <c r="A744" s="17"/>
      <c r="B744" s="30"/>
      <c r="C744" s="31"/>
      <c r="D744" s="31"/>
    </row>
    <row r="745" spans="1:4" ht="13.2">
      <c r="A745" s="17"/>
      <c r="B745" s="30"/>
      <c r="C745" s="31"/>
      <c r="D745" s="31"/>
    </row>
    <row r="746" spans="1:4" ht="13.2">
      <c r="A746" s="17"/>
      <c r="B746" s="30"/>
      <c r="C746" s="31"/>
      <c r="D746" s="31"/>
    </row>
    <row r="747" spans="1:4" ht="13.2">
      <c r="A747" s="17"/>
      <c r="B747" s="30"/>
      <c r="C747" s="31"/>
      <c r="D747" s="31"/>
    </row>
    <row r="748" spans="1:4" ht="13.2">
      <c r="A748" s="17"/>
      <c r="B748" s="30"/>
      <c r="C748" s="31"/>
      <c r="D748" s="31"/>
    </row>
    <row r="749" spans="1:4" ht="13.2">
      <c r="A749" s="17"/>
      <c r="B749" s="30"/>
      <c r="C749" s="31"/>
      <c r="D749" s="31"/>
    </row>
    <row r="750" spans="1:4" ht="13.2">
      <c r="A750" s="17"/>
      <c r="B750" s="30"/>
      <c r="C750" s="31"/>
      <c r="D750" s="31"/>
    </row>
    <row r="751" spans="1:4" ht="13.2">
      <c r="A751" s="17"/>
      <c r="B751" s="30"/>
      <c r="C751" s="31"/>
      <c r="D751" s="31"/>
    </row>
    <row r="752" spans="1:4" ht="13.2">
      <c r="A752" s="17"/>
      <c r="B752" s="30"/>
      <c r="C752" s="31"/>
      <c r="D752" s="31"/>
    </row>
    <row r="753" spans="1:4" ht="13.2">
      <c r="A753" s="17"/>
      <c r="B753" s="30"/>
      <c r="C753" s="31"/>
      <c r="D753" s="31"/>
    </row>
    <row r="754" spans="1:4" ht="13.2">
      <c r="A754" s="17"/>
      <c r="B754" s="30"/>
      <c r="C754" s="31"/>
      <c r="D754" s="31"/>
    </row>
    <row r="755" spans="1:4" ht="13.2">
      <c r="A755" s="17"/>
      <c r="B755" s="30"/>
      <c r="C755" s="31"/>
      <c r="D755" s="31"/>
    </row>
    <row r="756" spans="1:4" ht="13.2">
      <c r="A756" s="17"/>
      <c r="B756" s="30"/>
      <c r="C756" s="31"/>
      <c r="D756" s="31"/>
    </row>
    <row r="757" spans="1:4" ht="13.2">
      <c r="A757" s="17"/>
      <c r="B757" s="30"/>
      <c r="C757" s="31"/>
      <c r="D757" s="31"/>
    </row>
    <row r="758" spans="1:4" ht="13.2">
      <c r="A758" s="17"/>
      <c r="B758" s="30"/>
      <c r="C758" s="31"/>
      <c r="D758" s="31"/>
    </row>
    <row r="759" spans="1:4" ht="13.2">
      <c r="A759" s="17"/>
      <c r="B759" s="30"/>
      <c r="C759" s="31"/>
      <c r="D759" s="31"/>
    </row>
    <row r="760" spans="1:4" ht="13.2">
      <c r="A760" s="17"/>
      <c r="B760" s="30"/>
      <c r="C760" s="31"/>
      <c r="D760" s="31"/>
    </row>
    <row r="761" spans="1:4" ht="13.2">
      <c r="A761" s="17"/>
      <c r="B761" s="30"/>
      <c r="C761" s="31"/>
      <c r="D761" s="31"/>
    </row>
    <row r="762" spans="1:4" ht="13.2">
      <c r="A762" s="17"/>
      <c r="B762" s="30"/>
      <c r="C762" s="31"/>
      <c r="D762" s="31"/>
    </row>
    <row r="763" spans="1:4" ht="13.2">
      <c r="A763" s="17"/>
      <c r="B763" s="30"/>
      <c r="C763" s="31"/>
      <c r="D763" s="31"/>
    </row>
    <row r="764" spans="1:4" ht="13.2">
      <c r="A764" s="17"/>
      <c r="B764" s="30"/>
      <c r="C764" s="31"/>
      <c r="D764" s="31"/>
    </row>
    <row r="765" spans="1:4" ht="13.2">
      <c r="A765" s="17"/>
      <c r="B765" s="30"/>
      <c r="C765" s="31"/>
      <c r="D765" s="31"/>
    </row>
    <row r="766" spans="1:4" ht="13.2">
      <c r="A766" s="17"/>
      <c r="B766" s="30"/>
      <c r="C766" s="31"/>
      <c r="D766" s="31"/>
    </row>
    <row r="767" spans="1:4" ht="13.2">
      <c r="A767" s="17"/>
      <c r="B767" s="30"/>
      <c r="C767" s="31"/>
      <c r="D767" s="31"/>
    </row>
    <row r="768" spans="1:4" ht="13.2">
      <c r="A768" s="17"/>
      <c r="B768" s="30"/>
      <c r="C768" s="31"/>
      <c r="D768" s="31"/>
    </row>
    <row r="769" spans="1:4" ht="13.2">
      <c r="A769" s="17"/>
      <c r="B769" s="30"/>
      <c r="C769" s="31"/>
      <c r="D769" s="31"/>
    </row>
    <row r="770" spans="1:4" ht="13.2">
      <c r="A770" s="17"/>
      <c r="B770" s="30"/>
      <c r="C770" s="31"/>
      <c r="D770" s="31"/>
    </row>
    <row r="771" spans="1:4" ht="13.2">
      <c r="A771" s="17"/>
      <c r="B771" s="30"/>
      <c r="C771" s="31"/>
      <c r="D771" s="31"/>
    </row>
    <row r="772" spans="1:4" ht="13.2">
      <c r="A772" s="17"/>
      <c r="B772" s="30"/>
      <c r="C772" s="31"/>
      <c r="D772" s="31"/>
    </row>
    <row r="773" spans="1:4" ht="13.2">
      <c r="A773" s="17"/>
      <c r="B773" s="30"/>
      <c r="C773" s="31"/>
      <c r="D773" s="31"/>
    </row>
    <row r="774" spans="1:4" ht="13.2">
      <c r="A774" s="17"/>
      <c r="B774" s="30"/>
      <c r="C774" s="31"/>
      <c r="D774" s="31"/>
    </row>
    <row r="775" spans="1:4" ht="13.2">
      <c r="A775" s="17"/>
      <c r="B775" s="30"/>
      <c r="C775" s="31"/>
      <c r="D775" s="31"/>
    </row>
    <row r="776" spans="1:4" ht="13.2">
      <c r="A776" s="17"/>
      <c r="B776" s="30"/>
      <c r="C776" s="31"/>
      <c r="D776" s="31"/>
    </row>
    <row r="777" spans="1:4" ht="13.2">
      <c r="A777" s="17"/>
      <c r="B777" s="30"/>
      <c r="C777" s="31"/>
      <c r="D777" s="31"/>
    </row>
    <row r="778" spans="1:4" ht="13.2">
      <c r="A778" s="17"/>
      <c r="B778" s="30"/>
      <c r="C778" s="31"/>
      <c r="D778" s="31"/>
    </row>
    <row r="779" spans="1:4" ht="13.2">
      <c r="A779" s="17"/>
      <c r="B779" s="30"/>
      <c r="C779" s="31"/>
      <c r="D779" s="31"/>
    </row>
    <row r="780" spans="1:4" ht="13.2">
      <c r="A780" s="17"/>
      <c r="B780" s="30"/>
      <c r="C780" s="31"/>
      <c r="D780" s="31"/>
    </row>
    <row r="781" spans="1:4" ht="13.2">
      <c r="A781" s="17"/>
      <c r="B781" s="30"/>
      <c r="C781" s="31"/>
      <c r="D781" s="31"/>
    </row>
    <row r="782" spans="1:4" ht="13.2">
      <c r="A782" s="17"/>
      <c r="B782" s="30"/>
      <c r="C782" s="31"/>
      <c r="D782" s="31"/>
    </row>
    <row r="783" spans="1:4" ht="13.2">
      <c r="A783" s="17"/>
      <c r="B783" s="30"/>
      <c r="C783" s="31"/>
      <c r="D783" s="31"/>
    </row>
    <row r="784" spans="1:4" ht="13.2">
      <c r="A784" s="17"/>
      <c r="B784" s="30"/>
      <c r="C784" s="31"/>
      <c r="D784" s="31"/>
    </row>
    <row r="785" spans="1:4" ht="13.2">
      <c r="A785" s="17"/>
      <c r="B785" s="30"/>
      <c r="C785" s="31"/>
      <c r="D785" s="31"/>
    </row>
    <row r="786" spans="1:4" ht="13.2">
      <c r="A786" s="17"/>
      <c r="B786" s="30"/>
      <c r="C786" s="31"/>
      <c r="D786" s="31"/>
    </row>
    <row r="787" spans="1:4" ht="13.2">
      <c r="A787" s="17"/>
      <c r="B787" s="30"/>
      <c r="C787" s="31"/>
      <c r="D787" s="31"/>
    </row>
    <row r="788" spans="1:4" ht="13.2">
      <c r="A788" s="17"/>
      <c r="B788" s="30"/>
      <c r="C788" s="31"/>
      <c r="D788" s="31"/>
    </row>
    <row r="789" spans="1:4" ht="13.2">
      <c r="A789" s="17"/>
      <c r="B789" s="30"/>
      <c r="C789" s="31"/>
      <c r="D789" s="31"/>
    </row>
    <row r="790" spans="1:4" ht="13.2">
      <c r="A790" s="17"/>
      <c r="B790" s="30"/>
      <c r="C790" s="31"/>
      <c r="D790" s="31"/>
    </row>
    <row r="791" spans="1:4" ht="13.2">
      <c r="A791" s="17"/>
      <c r="B791" s="30"/>
      <c r="C791" s="31"/>
      <c r="D791" s="31"/>
    </row>
    <row r="792" spans="1:4" ht="13.2">
      <c r="A792" s="17"/>
      <c r="B792" s="30"/>
      <c r="C792" s="31"/>
      <c r="D792" s="31"/>
    </row>
    <row r="793" spans="1:4" ht="13.2">
      <c r="A793" s="17"/>
      <c r="B793" s="30"/>
      <c r="C793" s="31"/>
      <c r="D793" s="31"/>
    </row>
    <row r="794" spans="1:4" ht="13.2">
      <c r="A794" s="17"/>
      <c r="B794" s="30"/>
      <c r="C794" s="31"/>
      <c r="D794" s="31"/>
    </row>
    <row r="795" spans="1:4" ht="13.2">
      <c r="A795" s="17"/>
      <c r="B795" s="30"/>
      <c r="C795" s="31"/>
      <c r="D795" s="31"/>
    </row>
    <row r="796" spans="1:4" ht="13.2">
      <c r="A796" s="17"/>
      <c r="B796" s="30"/>
      <c r="C796" s="31"/>
      <c r="D796" s="31"/>
    </row>
    <row r="797" spans="1:4" ht="13.2">
      <c r="A797" s="17"/>
      <c r="B797" s="30"/>
      <c r="C797" s="31"/>
      <c r="D797" s="31"/>
    </row>
    <row r="798" spans="1:4" ht="13.2">
      <c r="A798" s="17"/>
      <c r="B798" s="30"/>
      <c r="C798" s="31"/>
      <c r="D798" s="31"/>
    </row>
    <row r="799" spans="1:4" ht="13.2">
      <c r="A799" s="17"/>
      <c r="B799" s="30"/>
      <c r="C799" s="31"/>
      <c r="D799" s="31"/>
    </row>
    <row r="800" spans="1:4" ht="13.2">
      <c r="A800" s="17"/>
      <c r="B800" s="30"/>
      <c r="C800" s="31"/>
      <c r="D800" s="31"/>
    </row>
    <row r="801" spans="1:4" ht="13.2">
      <c r="A801" s="17"/>
      <c r="B801" s="30"/>
      <c r="C801" s="31"/>
      <c r="D801" s="31"/>
    </row>
    <row r="802" spans="1:4" ht="13.2">
      <c r="A802" s="17"/>
      <c r="B802" s="30"/>
      <c r="C802" s="31"/>
      <c r="D802" s="31"/>
    </row>
    <row r="803" spans="1:4" ht="13.2">
      <c r="A803" s="17"/>
      <c r="B803" s="30"/>
      <c r="C803" s="31"/>
      <c r="D803" s="31"/>
    </row>
    <row r="804" spans="1:4" ht="13.2">
      <c r="A804" s="17"/>
      <c r="B804" s="30"/>
      <c r="C804" s="31"/>
      <c r="D804" s="31"/>
    </row>
    <row r="805" spans="1:4" ht="13.2">
      <c r="A805" s="17"/>
      <c r="B805" s="30"/>
      <c r="C805" s="31"/>
      <c r="D805" s="31"/>
    </row>
    <row r="806" spans="1:4" ht="13.2">
      <c r="A806" s="17"/>
      <c r="B806" s="30"/>
      <c r="C806" s="31"/>
      <c r="D806" s="31"/>
    </row>
    <row r="807" spans="1:4" ht="13.2">
      <c r="A807" s="17"/>
      <c r="B807" s="30"/>
      <c r="C807" s="31"/>
      <c r="D807" s="31"/>
    </row>
    <row r="808" spans="1:4" ht="13.2">
      <c r="A808" s="17"/>
      <c r="B808" s="30"/>
      <c r="C808" s="31"/>
      <c r="D808" s="31"/>
    </row>
    <row r="809" spans="1:4" ht="13.2">
      <c r="A809" s="17"/>
      <c r="B809" s="30"/>
      <c r="C809" s="31"/>
      <c r="D809" s="31"/>
    </row>
    <row r="810" spans="1:4" ht="13.2">
      <c r="A810" s="17"/>
      <c r="B810" s="30"/>
      <c r="C810" s="31"/>
      <c r="D810" s="31"/>
    </row>
    <row r="811" spans="1:4" ht="13.2">
      <c r="A811" s="17"/>
      <c r="B811" s="30"/>
      <c r="C811" s="31"/>
      <c r="D811" s="31"/>
    </row>
    <row r="812" spans="1:4" ht="13.2">
      <c r="A812" s="17"/>
      <c r="B812" s="30"/>
      <c r="C812" s="31"/>
      <c r="D812" s="31"/>
    </row>
    <row r="813" spans="1:4" ht="13.2">
      <c r="A813" s="17"/>
      <c r="B813" s="30"/>
      <c r="C813" s="31"/>
      <c r="D813" s="31"/>
    </row>
    <row r="814" spans="1:4" ht="13.2">
      <c r="A814" s="17"/>
      <c r="B814" s="30"/>
      <c r="C814" s="31"/>
      <c r="D814" s="31"/>
    </row>
    <row r="815" spans="1:4" ht="13.2">
      <c r="A815" s="17"/>
      <c r="B815" s="30"/>
      <c r="C815" s="31"/>
      <c r="D815" s="31"/>
    </row>
    <row r="816" spans="1:4" ht="13.2">
      <c r="A816" s="17"/>
      <c r="B816" s="30"/>
      <c r="C816" s="31"/>
      <c r="D816" s="31"/>
    </row>
    <row r="817" spans="1:4" ht="13.2">
      <c r="A817" s="17"/>
      <c r="B817" s="30"/>
      <c r="C817" s="31"/>
      <c r="D817" s="31"/>
    </row>
    <row r="818" spans="1:4" ht="13.2">
      <c r="A818" s="17"/>
      <c r="B818" s="30"/>
      <c r="C818" s="31"/>
      <c r="D818" s="31"/>
    </row>
    <row r="819" spans="1:4" ht="13.2">
      <c r="A819" s="17"/>
      <c r="B819" s="30"/>
      <c r="C819" s="31"/>
      <c r="D819" s="31"/>
    </row>
    <row r="820" spans="1:4" ht="13.2">
      <c r="A820" s="17"/>
      <c r="B820" s="30"/>
      <c r="C820" s="31"/>
      <c r="D820" s="31"/>
    </row>
    <row r="821" spans="1:4" ht="13.2">
      <c r="A821" s="17"/>
      <c r="B821" s="30"/>
      <c r="C821" s="31"/>
      <c r="D821" s="31"/>
    </row>
    <row r="822" spans="1:4" ht="13.2">
      <c r="A822" s="17"/>
      <c r="B822" s="30"/>
      <c r="C822" s="31"/>
      <c r="D822" s="31"/>
    </row>
    <row r="823" spans="1:4" ht="13.2">
      <c r="A823" s="17"/>
      <c r="B823" s="30"/>
      <c r="C823" s="31"/>
      <c r="D823" s="31"/>
    </row>
    <row r="824" spans="1:4" ht="13.2">
      <c r="A824" s="17"/>
      <c r="B824" s="30"/>
      <c r="C824" s="31"/>
      <c r="D824" s="31"/>
    </row>
    <row r="825" spans="1:4" ht="13.2">
      <c r="A825" s="17"/>
      <c r="B825" s="30"/>
      <c r="C825" s="31"/>
      <c r="D825" s="31"/>
    </row>
    <row r="826" spans="1:4" ht="13.2">
      <c r="A826" s="17"/>
      <c r="B826" s="30"/>
      <c r="C826" s="31"/>
      <c r="D826" s="31"/>
    </row>
    <row r="827" spans="1:4" ht="13.2">
      <c r="A827" s="17"/>
      <c r="B827" s="30"/>
      <c r="C827" s="31"/>
      <c r="D827" s="31"/>
    </row>
    <row r="828" spans="1:4" ht="13.2">
      <c r="A828" s="17"/>
      <c r="B828" s="30"/>
      <c r="C828" s="31"/>
      <c r="D828" s="31"/>
    </row>
    <row r="829" spans="1:4" ht="13.2">
      <c r="A829" s="17"/>
      <c r="B829" s="30"/>
      <c r="C829" s="31"/>
      <c r="D829" s="31"/>
    </row>
    <row r="830" spans="1:4" ht="13.2">
      <c r="A830" s="17"/>
      <c r="B830" s="30"/>
      <c r="C830" s="31"/>
      <c r="D830" s="31"/>
    </row>
    <row r="831" spans="1:4" ht="13.2">
      <c r="A831" s="17"/>
      <c r="B831" s="30"/>
      <c r="C831" s="31"/>
      <c r="D831" s="31"/>
    </row>
    <row r="832" spans="1:4" ht="13.2">
      <c r="A832" s="17"/>
      <c r="B832" s="30"/>
      <c r="C832" s="31"/>
      <c r="D832" s="31"/>
    </row>
    <row r="833" spans="1:4" ht="13.2">
      <c r="A833" s="17"/>
      <c r="B833" s="30"/>
      <c r="C833" s="31"/>
      <c r="D833" s="31"/>
    </row>
    <row r="834" spans="1:4" ht="13.2">
      <c r="A834" s="17"/>
      <c r="B834" s="30"/>
      <c r="C834" s="31"/>
      <c r="D834" s="31"/>
    </row>
    <row r="835" spans="1:4" ht="13.2">
      <c r="A835" s="17"/>
      <c r="B835" s="30"/>
      <c r="C835" s="31"/>
      <c r="D835" s="31"/>
    </row>
    <row r="836" spans="1:4" ht="13.2">
      <c r="A836" s="17"/>
      <c r="B836" s="30"/>
      <c r="C836" s="31"/>
      <c r="D836" s="31"/>
    </row>
    <row r="837" spans="1:4" ht="13.2">
      <c r="A837" s="17"/>
      <c r="B837" s="30"/>
      <c r="C837" s="31"/>
      <c r="D837" s="31"/>
    </row>
    <row r="838" spans="1:4" ht="13.2">
      <c r="A838" s="17"/>
      <c r="B838" s="30"/>
      <c r="C838" s="31"/>
      <c r="D838" s="31"/>
    </row>
    <row r="839" spans="1:4" ht="13.2">
      <c r="A839" s="17"/>
      <c r="B839" s="30"/>
      <c r="C839" s="31"/>
      <c r="D839" s="31"/>
    </row>
    <row r="840" spans="1:4" ht="13.2">
      <c r="A840" s="17"/>
      <c r="B840" s="30"/>
      <c r="C840" s="31"/>
      <c r="D840" s="31"/>
    </row>
    <row r="841" spans="1:4" ht="13.2">
      <c r="A841" s="17"/>
      <c r="B841" s="30"/>
      <c r="C841" s="31"/>
      <c r="D841" s="31"/>
    </row>
    <row r="842" spans="1:4" ht="13.2">
      <c r="A842" s="17"/>
      <c r="B842" s="30"/>
      <c r="C842" s="31"/>
      <c r="D842" s="31"/>
    </row>
    <row r="843" spans="1:4" ht="13.2">
      <c r="A843" s="17"/>
      <c r="B843" s="30"/>
      <c r="C843" s="31"/>
      <c r="D843" s="31"/>
    </row>
    <row r="844" spans="1:4" ht="13.2">
      <c r="A844" s="17"/>
      <c r="B844" s="30"/>
      <c r="C844" s="31"/>
      <c r="D844" s="31"/>
    </row>
    <row r="845" spans="1:4" ht="13.2">
      <c r="A845" s="17"/>
      <c r="B845" s="30"/>
      <c r="C845" s="31"/>
      <c r="D845" s="31"/>
    </row>
    <row r="846" spans="1:4" ht="13.2">
      <c r="A846" s="17"/>
      <c r="B846" s="30"/>
      <c r="C846" s="31"/>
      <c r="D846" s="31"/>
    </row>
    <row r="847" spans="1:4" ht="13.2">
      <c r="A847" s="17"/>
      <c r="B847" s="30"/>
      <c r="C847" s="31"/>
      <c r="D847" s="31"/>
    </row>
    <row r="848" spans="1:4" ht="13.2">
      <c r="A848" s="17"/>
      <c r="B848" s="30"/>
      <c r="C848" s="31"/>
      <c r="D848" s="31"/>
    </row>
    <row r="849" spans="1:4" ht="13.2">
      <c r="A849" s="17"/>
      <c r="B849" s="30"/>
      <c r="C849" s="31"/>
      <c r="D849" s="31"/>
    </row>
    <row r="850" spans="1:4" ht="13.2">
      <c r="A850" s="17"/>
      <c r="B850" s="30"/>
      <c r="C850" s="31"/>
      <c r="D850" s="31"/>
    </row>
    <row r="851" spans="1:4" ht="13.2">
      <c r="A851" s="17"/>
      <c r="B851" s="30"/>
      <c r="C851" s="31"/>
      <c r="D851" s="31"/>
    </row>
    <row r="852" spans="1:4" ht="13.2">
      <c r="A852" s="17"/>
      <c r="B852" s="30"/>
      <c r="C852" s="31"/>
      <c r="D852" s="31"/>
    </row>
    <row r="853" spans="1:4" ht="13.2">
      <c r="A853" s="17"/>
      <c r="B853" s="30"/>
      <c r="C853" s="31"/>
      <c r="D853" s="31"/>
    </row>
    <row r="854" spans="1:4" ht="13.2">
      <c r="A854" s="17"/>
      <c r="B854" s="30"/>
      <c r="C854" s="31"/>
      <c r="D854" s="31"/>
    </row>
    <row r="855" spans="1:4" ht="13.2">
      <c r="A855" s="17"/>
      <c r="B855" s="30"/>
      <c r="C855" s="31"/>
      <c r="D855" s="31"/>
    </row>
    <row r="856" spans="1:4" ht="13.2">
      <c r="A856" s="17"/>
      <c r="B856" s="30"/>
      <c r="C856" s="31"/>
      <c r="D856" s="31"/>
    </row>
    <row r="857" spans="1:4" ht="13.2">
      <c r="A857" s="17"/>
      <c r="B857" s="30"/>
      <c r="C857" s="31"/>
      <c r="D857" s="31"/>
    </row>
    <row r="858" spans="1:4" ht="13.2">
      <c r="A858" s="17"/>
      <c r="B858" s="30"/>
      <c r="C858" s="31"/>
      <c r="D858" s="31"/>
    </row>
    <row r="859" spans="1:4" ht="13.2">
      <c r="A859" s="17"/>
      <c r="B859" s="30"/>
      <c r="C859" s="31"/>
      <c r="D859" s="31"/>
    </row>
    <row r="860" spans="1:4" ht="13.2">
      <c r="A860" s="17"/>
      <c r="B860" s="30"/>
      <c r="C860" s="31"/>
      <c r="D860" s="31"/>
    </row>
    <row r="861" spans="1:4" ht="13.2">
      <c r="A861" s="17"/>
      <c r="B861" s="30"/>
      <c r="C861" s="31"/>
      <c r="D861" s="31"/>
    </row>
    <row r="862" spans="1:4" ht="13.2">
      <c r="A862" s="17"/>
      <c r="B862" s="30"/>
      <c r="C862" s="31"/>
      <c r="D862" s="31"/>
    </row>
    <row r="863" spans="1:4" ht="13.2">
      <c r="A863" s="17"/>
      <c r="B863" s="30"/>
      <c r="C863" s="31"/>
      <c r="D863" s="31"/>
    </row>
    <row r="864" spans="1:4" ht="13.2">
      <c r="A864" s="17"/>
      <c r="B864" s="30"/>
      <c r="C864" s="31"/>
      <c r="D864" s="31"/>
    </row>
    <row r="865" spans="1:4" ht="13.2">
      <c r="A865" s="17"/>
      <c r="B865" s="30"/>
      <c r="C865" s="31"/>
      <c r="D865" s="31"/>
    </row>
    <row r="866" spans="1:4" ht="13.2">
      <c r="A866" s="17"/>
      <c r="B866" s="30"/>
      <c r="C866" s="31"/>
      <c r="D866" s="31"/>
    </row>
    <row r="867" spans="1:4" ht="13.2">
      <c r="A867" s="17"/>
      <c r="B867" s="30"/>
      <c r="C867" s="31"/>
      <c r="D867" s="31"/>
    </row>
    <row r="868" spans="1:4" ht="13.2">
      <c r="A868" s="17"/>
      <c r="B868" s="30"/>
      <c r="C868" s="31"/>
      <c r="D868" s="31"/>
    </row>
    <row r="869" spans="1:4" ht="13.2">
      <c r="A869" s="17"/>
      <c r="B869" s="30"/>
      <c r="C869" s="31"/>
      <c r="D869" s="31"/>
    </row>
    <row r="870" spans="1:4" ht="13.2">
      <c r="A870" s="17"/>
      <c r="B870" s="30"/>
      <c r="C870" s="31"/>
      <c r="D870" s="31"/>
    </row>
    <row r="871" spans="1:4" ht="13.2">
      <c r="A871" s="17"/>
      <c r="B871" s="30"/>
      <c r="C871" s="31"/>
      <c r="D871" s="31"/>
    </row>
    <row r="872" spans="1:4" ht="13.2">
      <c r="A872" s="17"/>
      <c r="B872" s="30"/>
      <c r="C872" s="31"/>
      <c r="D872" s="31"/>
    </row>
    <row r="873" spans="1:4" ht="13.2">
      <c r="A873" s="17"/>
      <c r="B873" s="30"/>
      <c r="C873" s="31"/>
      <c r="D873" s="31"/>
    </row>
    <row r="874" spans="1:4" ht="13.2">
      <c r="A874" s="17"/>
      <c r="B874" s="30"/>
      <c r="C874" s="31"/>
      <c r="D874" s="31"/>
    </row>
    <row r="875" spans="1:4" ht="13.2">
      <c r="A875" s="17"/>
      <c r="B875" s="30"/>
      <c r="C875" s="31"/>
      <c r="D875" s="31"/>
    </row>
    <row r="876" spans="1:4" ht="13.2">
      <c r="A876" s="17"/>
      <c r="B876" s="30"/>
      <c r="C876" s="31"/>
      <c r="D876" s="31"/>
    </row>
    <row r="877" spans="1:4" ht="13.2">
      <c r="A877" s="17"/>
      <c r="B877" s="30"/>
      <c r="C877" s="31"/>
      <c r="D877" s="31"/>
    </row>
    <row r="878" spans="1:4" ht="13.2">
      <c r="A878" s="17"/>
      <c r="B878" s="30"/>
      <c r="C878" s="31"/>
      <c r="D878" s="31"/>
    </row>
    <row r="879" spans="1:4" ht="13.2">
      <c r="A879" s="17"/>
      <c r="B879" s="30"/>
      <c r="C879" s="31"/>
      <c r="D879" s="31"/>
    </row>
    <row r="880" spans="1:4" ht="13.2">
      <c r="A880" s="17"/>
      <c r="B880" s="30"/>
      <c r="C880" s="31"/>
      <c r="D880" s="31"/>
    </row>
    <row r="881" spans="1:4" ht="13.2">
      <c r="A881" s="17"/>
      <c r="B881" s="30"/>
      <c r="C881" s="31"/>
      <c r="D881" s="31"/>
    </row>
    <row r="882" spans="1:4" ht="13.2">
      <c r="A882" s="17"/>
      <c r="B882" s="30"/>
      <c r="C882" s="31"/>
      <c r="D882" s="31"/>
    </row>
    <row r="883" spans="1:4" ht="13.2">
      <c r="A883" s="17"/>
      <c r="B883" s="30"/>
      <c r="C883" s="31"/>
      <c r="D883" s="31"/>
    </row>
    <row r="884" spans="1:4" ht="13.2">
      <c r="A884" s="17"/>
      <c r="B884" s="30"/>
      <c r="C884" s="31"/>
      <c r="D884" s="31"/>
    </row>
    <row r="885" spans="1:4" ht="13.2">
      <c r="A885" s="17"/>
      <c r="B885" s="30"/>
      <c r="C885" s="31"/>
      <c r="D885" s="31"/>
    </row>
    <row r="886" spans="1:4" ht="13.2">
      <c r="A886" s="17"/>
      <c r="B886" s="30"/>
      <c r="C886" s="31"/>
      <c r="D886" s="31"/>
    </row>
    <row r="887" spans="1:4" ht="13.2">
      <c r="A887" s="17"/>
      <c r="B887" s="30"/>
      <c r="C887" s="31"/>
      <c r="D887" s="31"/>
    </row>
    <row r="888" spans="1:4" ht="13.2">
      <c r="A888" s="17"/>
      <c r="B888" s="30"/>
      <c r="C888" s="31"/>
      <c r="D888" s="31"/>
    </row>
    <row r="889" spans="1:4" ht="13.2">
      <c r="A889" s="17"/>
      <c r="B889" s="30"/>
      <c r="C889" s="31"/>
      <c r="D889" s="31"/>
    </row>
    <row r="890" spans="1:4" ht="13.2">
      <c r="A890" s="17"/>
      <c r="B890" s="30"/>
      <c r="C890" s="31"/>
      <c r="D890" s="31"/>
    </row>
    <row r="891" spans="1:4" ht="13.2">
      <c r="A891" s="17"/>
      <c r="B891" s="30"/>
      <c r="C891" s="31"/>
      <c r="D891" s="31"/>
    </row>
    <row r="892" spans="1:4" ht="13.2">
      <c r="A892" s="17"/>
      <c r="B892" s="30"/>
      <c r="C892" s="31"/>
      <c r="D892" s="31"/>
    </row>
    <row r="893" spans="1:4" ht="13.2">
      <c r="A893" s="17"/>
      <c r="B893" s="30"/>
      <c r="C893" s="31"/>
      <c r="D893" s="31"/>
    </row>
    <row r="894" spans="1:4" ht="13.2">
      <c r="A894" s="17"/>
      <c r="B894" s="30"/>
      <c r="C894" s="31"/>
      <c r="D894" s="31"/>
    </row>
    <row r="895" spans="1:4" ht="13.2">
      <c r="A895" s="17"/>
      <c r="B895" s="30"/>
      <c r="C895" s="31"/>
      <c r="D895" s="31"/>
    </row>
    <row r="896" spans="1:4" ht="13.2">
      <c r="A896" s="17"/>
      <c r="B896" s="30"/>
      <c r="C896" s="31"/>
      <c r="D896" s="31"/>
    </row>
    <row r="897" spans="1:4" ht="13.2">
      <c r="A897" s="17"/>
      <c r="B897" s="30"/>
      <c r="C897" s="31"/>
      <c r="D897" s="31"/>
    </row>
    <row r="898" spans="1:4" ht="13.2">
      <c r="A898" s="17"/>
      <c r="B898" s="30"/>
      <c r="C898" s="31"/>
      <c r="D898" s="31"/>
    </row>
    <row r="899" spans="1:4" ht="13.2">
      <c r="A899" s="17"/>
      <c r="B899" s="30"/>
      <c r="C899" s="31"/>
      <c r="D899" s="31"/>
    </row>
    <row r="900" spans="1:4" ht="13.2">
      <c r="A900" s="17"/>
      <c r="B900" s="30"/>
      <c r="C900" s="31"/>
      <c r="D900" s="31"/>
    </row>
    <row r="901" spans="1:4" ht="13.2">
      <c r="A901" s="17"/>
      <c r="B901" s="30"/>
      <c r="C901" s="31"/>
      <c r="D901" s="31"/>
    </row>
    <row r="902" spans="1:4" ht="13.2">
      <c r="A902" s="17"/>
      <c r="B902" s="30"/>
      <c r="C902" s="31"/>
      <c r="D902" s="31"/>
    </row>
    <row r="903" spans="1:4" ht="13.2">
      <c r="A903" s="17"/>
      <c r="B903" s="30"/>
      <c r="C903" s="31"/>
      <c r="D903" s="31"/>
    </row>
    <row r="904" spans="1:4" ht="13.2">
      <c r="A904" s="17"/>
      <c r="B904" s="30"/>
      <c r="C904" s="31"/>
      <c r="D904" s="31"/>
    </row>
    <row r="905" spans="1:4" ht="13.2">
      <c r="A905" s="17"/>
      <c r="B905" s="30"/>
      <c r="C905" s="31"/>
      <c r="D905" s="31"/>
    </row>
    <row r="906" spans="1:4" ht="13.2">
      <c r="A906" s="17"/>
      <c r="B906" s="30"/>
      <c r="C906" s="31"/>
      <c r="D906" s="31"/>
    </row>
    <row r="907" spans="1:4" ht="13.2">
      <c r="A907" s="17"/>
      <c r="B907" s="30"/>
      <c r="C907" s="31"/>
      <c r="D907" s="31"/>
    </row>
    <row r="908" spans="1:4" ht="13.2">
      <c r="A908" s="17"/>
      <c r="B908" s="30"/>
      <c r="C908" s="31"/>
      <c r="D908" s="31"/>
    </row>
    <row r="909" spans="1:4" ht="13.2">
      <c r="A909" s="17"/>
      <c r="B909" s="30"/>
      <c r="C909" s="31"/>
      <c r="D909" s="31"/>
    </row>
    <row r="910" spans="1:4" ht="13.2">
      <c r="A910" s="17"/>
      <c r="B910" s="30"/>
      <c r="C910" s="31"/>
      <c r="D910" s="31"/>
    </row>
    <row r="911" spans="1:4" ht="13.2">
      <c r="A911" s="17"/>
      <c r="B911" s="30"/>
      <c r="C911" s="31"/>
      <c r="D911" s="31"/>
    </row>
    <row r="912" spans="1:4" ht="13.2">
      <c r="A912" s="17"/>
      <c r="B912" s="30"/>
      <c r="C912" s="31"/>
      <c r="D912" s="31"/>
    </row>
    <row r="913" spans="1:4" ht="13.2">
      <c r="A913" s="17"/>
      <c r="B913" s="30"/>
      <c r="C913" s="31"/>
      <c r="D913" s="31"/>
    </row>
    <row r="914" spans="1:4" ht="13.2">
      <c r="A914" s="17"/>
      <c r="B914" s="30"/>
      <c r="C914" s="31"/>
      <c r="D914" s="31"/>
    </row>
    <row r="915" spans="1:4" ht="13.2">
      <c r="A915" s="17"/>
      <c r="B915" s="30"/>
      <c r="C915" s="31"/>
      <c r="D915" s="31"/>
    </row>
    <row r="916" spans="1:4" ht="13.2">
      <c r="A916" s="17"/>
      <c r="B916" s="30"/>
      <c r="C916" s="31"/>
      <c r="D916" s="31"/>
    </row>
    <row r="917" spans="1:4" ht="13.2">
      <c r="A917" s="17"/>
      <c r="B917" s="30"/>
      <c r="C917" s="31"/>
      <c r="D917" s="31"/>
    </row>
    <row r="918" spans="1:4" ht="13.2">
      <c r="A918" s="17"/>
      <c r="B918" s="30"/>
      <c r="C918" s="31"/>
      <c r="D918" s="31"/>
    </row>
    <row r="919" spans="1:4" ht="13.2">
      <c r="A919" s="17"/>
      <c r="B919" s="30"/>
      <c r="C919" s="31"/>
      <c r="D919" s="31"/>
    </row>
    <row r="920" spans="1:4" ht="13.2">
      <c r="A920" s="17"/>
      <c r="B920" s="30"/>
      <c r="C920" s="31"/>
      <c r="D920" s="31"/>
    </row>
    <row r="921" spans="1:4" ht="13.2">
      <c r="A921" s="17"/>
      <c r="B921" s="30"/>
      <c r="C921" s="31"/>
      <c r="D921" s="31"/>
    </row>
    <row r="922" spans="1:4" ht="13.2">
      <c r="A922" s="17"/>
      <c r="B922" s="30"/>
      <c r="C922" s="31"/>
      <c r="D922" s="31"/>
    </row>
    <row r="923" spans="1:4" ht="13.2">
      <c r="A923" s="17"/>
      <c r="B923" s="30"/>
      <c r="C923" s="31"/>
      <c r="D923" s="31"/>
    </row>
    <row r="924" spans="1:4" ht="13.2">
      <c r="A924" s="17"/>
      <c r="B924" s="30"/>
      <c r="C924" s="31"/>
      <c r="D924" s="31"/>
    </row>
    <row r="925" spans="1:4" ht="13.2">
      <c r="A925" s="17"/>
      <c r="B925" s="30"/>
      <c r="C925" s="31"/>
      <c r="D925" s="31"/>
    </row>
    <row r="926" spans="1:4" ht="13.2">
      <c r="A926" s="17"/>
      <c r="B926" s="30"/>
      <c r="C926" s="31"/>
      <c r="D926" s="31"/>
    </row>
    <row r="927" spans="1:4" ht="13.2">
      <c r="A927" s="17"/>
      <c r="B927" s="30"/>
      <c r="C927" s="31"/>
      <c r="D927" s="31"/>
    </row>
    <row r="928" spans="1:4" ht="13.2">
      <c r="A928" s="17"/>
      <c r="B928" s="30"/>
      <c r="C928" s="31"/>
      <c r="D928" s="31"/>
    </row>
    <row r="929" spans="1:4" ht="13.2">
      <c r="A929" s="17"/>
      <c r="B929" s="30"/>
      <c r="C929" s="31"/>
      <c r="D929" s="31"/>
    </row>
    <row r="930" spans="1:4" ht="13.2">
      <c r="A930" s="17"/>
      <c r="B930" s="30"/>
      <c r="C930" s="31"/>
      <c r="D930" s="31"/>
    </row>
    <row r="931" spans="1:4" ht="13.2">
      <c r="A931" s="17"/>
      <c r="B931" s="30"/>
      <c r="C931" s="31"/>
      <c r="D931" s="31"/>
    </row>
    <row r="932" spans="1:4" ht="13.2">
      <c r="A932" s="17"/>
      <c r="B932" s="30"/>
      <c r="C932" s="31"/>
      <c r="D932" s="31"/>
    </row>
    <row r="933" spans="1:4" ht="13.2">
      <c r="A933" s="17"/>
      <c r="B933" s="30"/>
      <c r="C933" s="31"/>
      <c r="D933" s="31"/>
    </row>
    <row r="934" spans="1:4" ht="13.2">
      <c r="A934" s="17"/>
      <c r="B934" s="30"/>
      <c r="C934" s="31"/>
      <c r="D934" s="31"/>
    </row>
    <row r="935" spans="1:4" ht="13.2">
      <c r="A935" s="17"/>
      <c r="B935" s="30"/>
      <c r="C935" s="31"/>
      <c r="D935" s="31"/>
    </row>
    <row r="936" spans="1:4" ht="13.2">
      <c r="A936" s="17"/>
      <c r="B936" s="30"/>
      <c r="C936" s="31"/>
      <c r="D936" s="31"/>
    </row>
    <row r="937" spans="1:4" ht="13.2">
      <c r="A937" s="17"/>
      <c r="B937" s="30"/>
      <c r="C937" s="31"/>
      <c r="D937" s="31"/>
    </row>
    <row r="938" spans="1:4" ht="13.2">
      <c r="A938" s="17"/>
      <c r="B938" s="30"/>
      <c r="C938" s="31"/>
      <c r="D938" s="31"/>
    </row>
    <row r="939" spans="1:4" ht="13.2">
      <c r="A939" s="17"/>
      <c r="B939" s="30"/>
      <c r="C939" s="31"/>
      <c r="D939" s="31"/>
    </row>
    <row r="940" spans="1:4" ht="13.2">
      <c r="A940" s="17"/>
      <c r="B940" s="30"/>
      <c r="C940" s="31"/>
      <c r="D940" s="31"/>
    </row>
    <row r="941" spans="1:4" ht="13.2">
      <c r="A941" s="17"/>
      <c r="B941" s="30"/>
      <c r="C941" s="31"/>
      <c r="D941" s="31"/>
    </row>
    <row r="942" spans="1:4" ht="13.2">
      <c r="A942" s="17"/>
      <c r="B942" s="30"/>
      <c r="C942" s="31"/>
      <c r="D942" s="31"/>
    </row>
    <row r="943" spans="1:4" ht="13.2">
      <c r="A943" s="17"/>
      <c r="B943" s="30"/>
      <c r="C943" s="31"/>
      <c r="D943" s="31"/>
    </row>
    <row r="944" spans="1:4" ht="13.2">
      <c r="A944" s="17"/>
      <c r="B944" s="30"/>
      <c r="C944" s="31"/>
      <c r="D944" s="31"/>
    </row>
    <row r="945" spans="1:4" ht="13.2">
      <c r="A945" s="17"/>
      <c r="B945" s="30"/>
      <c r="C945" s="31"/>
      <c r="D945" s="31"/>
    </row>
    <row r="946" spans="1:4" ht="13.2">
      <c r="A946" s="17"/>
      <c r="B946" s="30"/>
      <c r="C946" s="31"/>
      <c r="D946" s="31"/>
    </row>
    <row r="947" spans="1:4" ht="13.2">
      <c r="A947" s="17"/>
      <c r="B947" s="30"/>
      <c r="C947" s="31"/>
      <c r="D947" s="31"/>
    </row>
    <row r="948" spans="1:4" ht="13.2">
      <c r="A948" s="17"/>
      <c r="B948" s="30"/>
      <c r="C948" s="31"/>
      <c r="D948" s="31"/>
    </row>
    <row r="949" spans="1:4" ht="13.2">
      <c r="A949" s="17"/>
      <c r="B949" s="30"/>
      <c r="C949" s="31"/>
      <c r="D949" s="31"/>
    </row>
    <row r="950" spans="1:4" ht="13.2">
      <c r="A950" s="17"/>
      <c r="B950" s="30"/>
      <c r="C950" s="31"/>
      <c r="D950" s="31"/>
    </row>
    <row r="951" spans="1:4" ht="13.2">
      <c r="A951" s="17"/>
      <c r="B951" s="30"/>
      <c r="C951" s="31"/>
      <c r="D951" s="31"/>
    </row>
    <row r="952" spans="1:4" ht="13.2">
      <c r="A952" s="17"/>
      <c r="B952" s="30"/>
      <c r="C952" s="31"/>
      <c r="D952" s="31"/>
    </row>
    <row r="953" spans="1:4" ht="13.2">
      <c r="A953" s="17"/>
      <c r="B953" s="30"/>
      <c r="C953" s="31"/>
      <c r="D953" s="31"/>
    </row>
    <row r="954" spans="1:4" ht="13.2">
      <c r="A954" s="17"/>
      <c r="B954" s="30"/>
      <c r="C954" s="31"/>
      <c r="D954" s="31"/>
    </row>
    <row r="955" spans="1:4" ht="13.2">
      <c r="A955" s="17"/>
      <c r="B955" s="30"/>
      <c r="C955" s="31"/>
      <c r="D955" s="31"/>
    </row>
    <row r="956" spans="1:4" ht="13.2">
      <c r="A956" s="17"/>
      <c r="B956" s="30"/>
      <c r="C956" s="31"/>
      <c r="D956" s="31"/>
    </row>
    <row r="957" spans="1:4" ht="13.2">
      <c r="A957" s="17"/>
      <c r="B957" s="30"/>
      <c r="C957" s="31"/>
      <c r="D957" s="31"/>
    </row>
    <row r="958" spans="1:4" ht="13.2">
      <c r="A958" s="17"/>
      <c r="B958" s="30"/>
      <c r="C958" s="31"/>
      <c r="D958" s="31"/>
    </row>
    <row r="959" spans="1:4" ht="13.2">
      <c r="A959" s="17"/>
      <c r="B959" s="30"/>
      <c r="C959" s="31"/>
      <c r="D959" s="31"/>
    </row>
    <row r="960" spans="1:4" ht="13.2">
      <c r="A960" s="17"/>
      <c r="B960" s="30"/>
      <c r="C960" s="31"/>
      <c r="D960" s="31"/>
    </row>
    <row r="961" spans="1:4" ht="13.2">
      <c r="A961" s="17"/>
      <c r="B961" s="30"/>
      <c r="C961" s="31"/>
      <c r="D961" s="31"/>
    </row>
    <row r="962" spans="1:4" ht="13.2">
      <c r="A962" s="17"/>
      <c r="B962" s="30"/>
      <c r="C962" s="31"/>
      <c r="D962" s="31"/>
    </row>
    <row r="963" spans="1:4" ht="13.2">
      <c r="A963" s="17"/>
      <c r="B963" s="30"/>
      <c r="C963" s="31"/>
      <c r="D963" s="31"/>
    </row>
    <row r="964" spans="1:4" ht="13.2">
      <c r="A964" s="17"/>
      <c r="B964" s="30"/>
      <c r="C964" s="31"/>
      <c r="D964" s="31"/>
    </row>
    <row r="965" spans="1:4" ht="13.2">
      <c r="A965" s="17"/>
      <c r="B965" s="30"/>
      <c r="C965" s="31"/>
      <c r="D965" s="31"/>
    </row>
    <row r="966" spans="1:4" ht="13.2">
      <c r="A966" s="17"/>
      <c r="B966" s="30"/>
      <c r="C966" s="31"/>
      <c r="D966" s="31"/>
    </row>
    <row r="967" spans="1:4" ht="13.2">
      <c r="A967" s="17"/>
      <c r="B967" s="30"/>
      <c r="C967" s="31"/>
      <c r="D967" s="31"/>
    </row>
    <row r="968" spans="1:4" ht="13.2">
      <c r="A968" s="17"/>
      <c r="B968" s="30"/>
      <c r="C968" s="31"/>
      <c r="D968" s="31"/>
    </row>
    <row r="969" spans="1:4" ht="13.2">
      <c r="A969" s="17"/>
      <c r="B969" s="30"/>
      <c r="C969" s="31"/>
      <c r="D969" s="31"/>
    </row>
    <row r="970" spans="1:4" ht="13.2">
      <c r="A970" s="17"/>
      <c r="B970" s="30"/>
      <c r="C970" s="31"/>
      <c r="D970" s="31"/>
    </row>
    <row r="971" spans="1:4" ht="13.2">
      <c r="A971" s="17"/>
      <c r="B971" s="30"/>
      <c r="C971" s="31"/>
      <c r="D971" s="31"/>
    </row>
    <row r="972" spans="1:4" ht="13.2">
      <c r="A972" s="17"/>
      <c r="B972" s="30"/>
      <c r="C972" s="31"/>
      <c r="D972" s="31"/>
    </row>
    <row r="973" spans="1:4" ht="13.2">
      <c r="A973" s="17"/>
      <c r="B973" s="30"/>
      <c r="C973" s="31"/>
      <c r="D973" s="31"/>
    </row>
    <row r="974" spans="1:4" ht="13.2">
      <c r="A974" s="17"/>
      <c r="B974" s="30"/>
      <c r="C974" s="31"/>
      <c r="D974" s="31"/>
    </row>
    <row r="975" spans="1:4" ht="13.2">
      <c r="A975" s="17"/>
      <c r="B975" s="30"/>
      <c r="C975" s="31"/>
      <c r="D975" s="31"/>
    </row>
    <row r="976" spans="1:4" ht="13.2">
      <c r="A976" s="17"/>
      <c r="B976" s="30"/>
      <c r="C976" s="31"/>
      <c r="D976" s="31"/>
    </row>
    <row r="977" spans="1:4" ht="13.2">
      <c r="A977" s="17"/>
      <c r="B977" s="30"/>
      <c r="C977" s="31"/>
      <c r="D977" s="31"/>
    </row>
    <row r="978" spans="1:4" ht="13.2">
      <c r="A978" s="17"/>
      <c r="B978" s="30"/>
      <c r="C978" s="31"/>
      <c r="D978" s="31"/>
    </row>
    <row r="979" spans="1:4" ht="13.2">
      <c r="A979" s="17"/>
      <c r="B979" s="30"/>
      <c r="C979" s="31"/>
      <c r="D979" s="31"/>
    </row>
    <row r="980" spans="1:4" ht="13.2">
      <c r="A980" s="17"/>
      <c r="B980" s="30"/>
      <c r="C980" s="31"/>
      <c r="D980" s="31"/>
    </row>
    <row r="981" spans="1:4" ht="13.2">
      <c r="A981" s="17"/>
      <c r="B981" s="30"/>
      <c r="C981" s="31"/>
      <c r="D981" s="31"/>
    </row>
    <row r="982" spans="1:4" ht="13.2">
      <c r="A982" s="17"/>
      <c r="B982" s="30"/>
      <c r="C982" s="31"/>
      <c r="D982" s="31"/>
    </row>
    <row r="983" spans="1:4" ht="13.2">
      <c r="A983" s="17"/>
      <c r="B983" s="30"/>
      <c r="C983" s="31"/>
      <c r="D983" s="31"/>
    </row>
    <row r="984" spans="1:4" ht="13.2">
      <c r="A984" s="17"/>
      <c r="B984" s="30"/>
      <c r="C984" s="31"/>
      <c r="D984" s="31"/>
    </row>
    <row r="985" spans="1:4" ht="13.2">
      <c r="A985" s="17"/>
      <c r="B985" s="30"/>
      <c r="C985" s="31"/>
      <c r="D985" s="31"/>
    </row>
    <row r="986" spans="1:4" ht="13.2">
      <c r="A986" s="17"/>
      <c r="B986" s="30"/>
      <c r="C986" s="31"/>
      <c r="D986" s="31"/>
    </row>
    <row r="987" spans="1:4" ht="13.2">
      <c r="A987" s="17"/>
      <c r="B987" s="30"/>
      <c r="C987" s="31"/>
      <c r="D987" s="31"/>
    </row>
    <row r="988" spans="1:4" ht="13.2">
      <c r="A988" s="17"/>
      <c r="B988" s="30"/>
      <c r="C988" s="31"/>
      <c r="D988" s="31"/>
    </row>
    <row r="989" spans="1:4" ht="13.2">
      <c r="A989" s="17"/>
      <c r="B989" s="30"/>
      <c r="C989" s="31"/>
      <c r="D989" s="31"/>
    </row>
    <row r="990" spans="1:4" ht="13.2">
      <c r="A990" s="17"/>
      <c r="B990" s="30"/>
      <c r="C990" s="31"/>
      <c r="D990" s="31"/>
    </row>
    <row r="991" spans="1:4" ht="13.2">
      <c r="A991" s="17"/>
      <c r="B991" s="30"/>
      <c r="C991" s="31"/>
      <c r="D991" s="31"/>
    </row>
    <row r="992" spans="1:4" ht="13.2">
      <c r="A992" s="17"/>
      <c r="B992" s="30"/>
      <c r="C992" s="31"/>
      <c r="D992" s="31"/>
    </row>
    <row r="993" spans="1:4" ht="13.2">
      <c r="A993" s="17"/>
      <c r="B993" s="30"/>
      <c r="C993" s="31"/>
      <c r="D993" s="31"/>
    </row>
    <row r="994" spans="1:4" ht="13.2">
      <c r="A994" s="17"/>
      <c r="B994" s="30"/>
      <c r="C994" s="31"/>
      <c r="D994" s="31"/>
    </row>
    <row r="995" spans="1:4" ht="13.2">
      <c r="A995" s="17"/>
      <c r="B995" s="30"/>
      <c r="C995" s="31"/>
      <c r="D995" s="31"/>
    </row>
    <row r="996" spans="1:4" ht="13.2">
      <c r="A996" s="17"/>
      <c r="B996" s="30"/>
      <c r="C996" s="31"/>
      <c r="D996" s="31"/>
    </row>
    <row r="997" spans="1:4" ht="13.2">
      <c r="A997" s="17"/>
      <c r="B997" s="30"/>
      <c r="C997" s="31"/>
      <c r="D997" s="31"/>
    </row>
    <row r="998" spans="1:4" ht="13.2">
      <c r="A998" s="17"/>
      <c r="B998" s="30"/>
      <c r="C998" s="31"/>
      <c r="D998" s="31"/>
    </row>
    <row r="999" spans="1:4" ht="13.2">
      <c r="A999" s="17"/>
      <c r="B999" s="30"/>
      <c r="C999" s="31"/>
      <c r="D999" s="31"/>
    </row>
    <row r="1000" spans="1:4" ht="13.2">
      <c r="A1000" s="17"/>
      <c r="B1000" s="30"/>
      <c r="C1000" s="31"/>
      <c r="D1000" s="3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000"/>
  <sheetViews>
    <sheetView workbookViewId="0">
      <selection activeCell="C2" sqref="C2:D12"/>
    </sheetView>
  </sheetViews>
  <sheetFormatPr baseColWidth="10" defaultColWidth="12.6640625" defaultRowHeight="15.75" customHeight="1"/>
  <sheetData>
    <row r="1" spans="1:26" ht="15.75" customHeight="1">
      <c r="A1" s="34" t="s">
        <v>436</v>
      </c>
      <c r="B1" s="35" t="s">
        <v>437</v>
      </c>
      <c r="C1" s="25" t="s">
        <v>35</v>
      </c>
      <c r="D1" s="25" t="s">
        <v>36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5.75" customHeight="1">
      <c r="A2" s="26">
        <v>1</v>
      </c>
      <c r="B2" s="27" t="s">
        <v>438</v>
      </c>
      <c r="C2" s="36">
        <v>0.74833203945087567</v>
      </c>
      <c r="D2" s="36">
        <v>1.8418094606927069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5.75" customHeight="1">
      <c r="A3" s="26">
        <v>2</v>
      </c>
      <c r="B3" s="27" t="s">
        <v>66</v>
      </c>
      <c r="C3" s="36">
        <v>0.78467091323011395</v>
      </c>
      <c r="D3" s="36">
        <v>1.6904409297792138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ht="15.75" customHeight="1">
      <c r="A4" s="26">
        <v>3</v>
      </c>
      <c r="B4" s="27" t="s">
        <v>390</v>
      </c>
      <c r="C4" s="36">
        <v>0.76393535380075761</v>
      </c>
      <c r="D4" s="36">
        <v>1.7182395707845617</v>
      </c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ht="15.75" customHeight="1">
      <c r="A5" s="26">
        <v>4</v>
      </c>
      <c r="B5" s="27" t="s">
        <v>201</v>
      </c>
      <c r="C5" s="36">
        <v>0.88234141354062134</v>
      </c>
      <c r="D5" s="36">
        <v>2.0126302198919097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5.75" customHeight="1">
      <c r="A6" s="26">
        <v>5</v>
      </c>
      <c r="B6" s="27" t="s">
        <v>236</v>
      </c>
      <c r="C6" s="36">
        <v>0.88960123341001207</v>
      </c>
      <c r="D6" s="36">
        <v>1.8826527676624794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ht="15.75" customHeight="1">
      <c r="A7" s="26">
        <v>6</v>
      </c>
      <c r="B7" s="27" t="s">
        <v>278</v>
      </c>
      <c r="C7" s="36">
        <v>0.78498422652230171</v>
      </c>
      <c r="D7" s="36">
        <v>1.4937486862774716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5.75" customHeight="1">
      <c r="A8" s="26">
        <v>7</v>
      </c>
      <c r="B8" s="27" t="s">
        <v>439</v>
      </c>
      <c r="C8" s="36">
        <v>0.66484820453029314</v>
      </c>
      <c r="D8" s="36">
        <v>1.2470917752664477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ht="15.75" customHeight="1">
      <c r="A9" s="26">
        <v>8</v>
      </c>
      <c r="B9" s="27" t="s">
        <v>440</v>
      </c>
      <c r="C9" s="36">
        <v>0.75416746362459097</v>
      </c>
      <c r="D9" s="36">
        <v>0.92603447880550172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5.75" customHeight="1">
      <c r="A10" s="26">
        <v>9</v>
      </c>
      <c r="B10" s="27" t="s">
        <v>441</v>
      </c>
      <c r="C10" s="36">
        <v>0.70104939934429888</v>
      </c>
      <c r="D10" s="36">
        <v>1.3587059511580479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5.75" customHeight="1">
      <c r="A11" s="37">
        <v>10</v>
      </c>
      <c r="B11" s="33" t="s">
        <v>442</v>
      </c>
      <c r="C11" s="38">
        <v>0.74082266538264052</v>
      </c>
      <c r="D11" s="36">
        <v>1.4091724833768076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15.75" customHeight="1">
      <c r="A12" s="37">
        <v>11</v>
      </c>
      <c r="B12" s="33" t="s">
        <v>443</v>
      </c>
      <c r="C12" s="38">
        <v>0.77486391615914996</v>
      </c>
      <c r="D12" s="36">
        <v>1.7002055608202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13.2">
      <c r="A13" s="17"/>
      <c r="B13" s="30"/>
      <c r="C13" s="31"/>
      <c r="D13" s="31"/>
    </row>
    <row r="14" spans="1:26" ht="13.2">
      <c r="A14" s="17"/>
      <c r="B14" s="30"/>
      <c r="C14" s="31"/>
      <c r="D14" s="31"/>
    </row>
    <row r="15" spans="1:26" ht="13.2">
      <c r="A15" s="17"/>
      <c r="B15" s="30"/>
      <c r="C15" s="31"/>
      <c r="D15" s="31"/>
    </row>
    <row r="16" spans="1:26" ht="13.2">
      <c r="A16" s="17"/>
      <c r="B16" s="30"/>
      <c r="C16" s="31"/>
      <c r="D16" s="31"/>
    </row>
    <row r="17" spans="1:4" ht="13.2">
      <c r="A17" s="17"/>
      <c r="B17" s="30"/>
      <c r="C17" s="31"/>
      <c r="D17" s="31"/>
    </row>
    <row r="18" spans="1:4" ht="13.2">
      <c r="A18" s="17"/>
      <c r="B18" s="30"/>
      <c r="C18" s="31"/>
      <c r="D18" s="31"/>
    </row>
    <row r="19" spans="1:4" ht="13.2">
      <c r="A19" s="17"/>
      <c r="B19" s="30"/>
      <c r="C19" s="31"/>
      <c r="D19" s="31"/>
    </row>
    <row r="20" spans="1:4" ht="13.2">
      <c r="A20" s="17"/>
      <c r="B20" s="30"/>
      <c r="C20" s="31"/>
      <c r="D20" s="31"/>
    </row>
    <row r="21" spans="1:4" ht="13.2">
      <c r="A21" s="17"/>
      <c r="B21" s="30"/>
      <c r="C21" s="31"/>
      <c r="D21" s="31"/>
    </row>
    <row r="22" spans="1:4" ht="13.2">
      <c r="A22" s="17"/>
      <c r="B22" s="30"/>
      <c r="C22" s="31"/>
      <c r="D22" s="31"/>
    </row>
    <row r="23" spans="1:4" ht="13.2">
      <c r="A23" s="17"/>
      <c r="B23" s="30"/>
      <c r="C23" s="31"/>
      <c r="D23" s="31"/>
    </row>
    <row r="24" spans="1:4" ht="13.2">
      <c r="A24" s="17"/>
      <c r="B24" s="30"/>
      <c r="C24" s="31"/>
      <c r="D24" s="31"/>
    </row>
    <row r="25" spans="1:4" ht="13.2">
      <c r="A25" s="17"/>
      <c r="B25" s="30"/>
      <c r="C25" s="31"/>
      <c r="D25" s="31"/>
    </row>
    <row r="26" spans="1:4" ht="13.2">
      <c r="A26" s="17"/>
      <c r="B26" s="30"/>
      <c r="C26" s="31"/>
      <c r="D26" s="31"/>
    </row>
    <row r="27" spans="1:4" ht="13.2">
      <c r="A27" s="17"/>
      <c r="B27" s="30"/>
      <c r="C27" s="31"/>
      <c r="D27" s="31"/>
    </row>
    <row r="28" spans="1:4" ht="13.2">
      <c r="A28" s="17"/>
      <c r="B28" s="30"/>
      <c r="C28" s="31"/>
      <c r="D28" s="31"/>
    </row>
    <row r="29" spans="1:4" ht="13.2">
      <c r="A29" s="17"/>
      <c r="B29" s="30"/>
      <c r="C29" s="31"/>
      <c r="D29" s="31"/>
    </row>
    <row r="30" spans="1:4" ht="13.2">
      <c r="A30" s="17"/>
      <c r="B30" s="30"/>
      <c r="C30" s="31"/>
      <c r="D30" s="31"/>
    </row>
    <row r="31" spans="1:4" ht="13.2">
      <c r="A31" s="17"/>
      <c r="B31" s="30"/>
      <c r="C31" s="31"/>
      <c r="D31" s="31"/>
    </row>
    <row r="32" spans="1:4" ht="13.2">
      <c r="A32" s="17"/>
      <c r="B32" s="30"/>
      <c r="C32" s="31"/>
      <c r="D32" s="31"/>
    </row>
    <row r="33" spans="1:4" ht="13.2">
      <c r="A33" s="17"/>
      <c r="B33" s="30"/>
      <c r="C33" s="31"/>
      <c r="D33" s="31"/>
    </row>
    <row r="34" spans="1:4" ht="13.2">
      <c r="A34" s="17"/>
      <c r="B34" s="30"/>
      <c r="C34" s="31"/>
      <c r="D34" s="31"/>
    </row>
    <row r="35" spans="1:4" ht="13.2">
      <c r="A35" s="17"/>
      <c r="B35" s="30"/>
      <c r="C35" s="31"/>
      <c r="D35" s="31"/>
    </row>
    <row r="36" spans="1:4" ht="13.2">
      <c r="A36" s="17"/>
      <c r="B36" s="30"/>
      <c r="C36" s="31"/>
      <c r="D36" s="31"/>
    </row>
    <row r="37" spans="1:4" ht="13.2">
      <c r="A37" s="17"/>
      <c r="B37" s="30"/>
      <c r="C37" s="31"/>
      <c r="D37" s="31"/>
    </row>
    <row r="38" spans="1:4" ht="13.2">
      <c r="A38" s="17"/>
      <c r="B38" s="30"/>
      <c r="C38" s="31"/>
      <c r="D38" s="31"/>
    </row>
    <row r="39" spans="1:4" ht="13.2">
      <c r="A39" s="17"/>
      <c r="B39" s="30"/>
      <c r="C39" s="31"/>
      <c r="D39" s="31"/>
    </row>
    <row r="40" spans="1:4" ht="13.2">
      <c r="A40" s="17"/>
      <c r="B40" s="30"/>
      <c r="C40" s="31"/>
      <c r="D40" s="31"/>
    </row>
    <row r="41" spans="1:4" ht="13.2">
      <c r="A41" s="17"/>
      <c r="B41" s="30"/>
      <c r="C41" s="31"/>
      <c r="D41" s="31"/>
    </row>
    <row r="42" spans="1:4" ht="13.2">
      <c r="A42" s="17"/>
      <c r="B42" s="30"/>
      <c r="C42" s="31"/>
      <c r="D42" s="31"/>
    </row>
    <row r="43" spans="1:4" ht="13.2">
      <c r="A43" s="17"/>
      <c r="B43" s="30"/>
      <c r="C43" s="31"/>
      <c r="D43" s="31"/>
    </row>
    <row r="44" spans="1:4" ht="13.2">
      <c r="A44" s="17"/>
      <c r="B44" s="30"/>
      <c r="C44" s="31"/>
      <c r="D44" s="31"/>
    </row>
    <row r="45" spans="1:4" ht="13.2">
      <c r="A45" s="17"/>
      <c r="B45" s="30"/>
      <c r="C45" s="31"/>
      <c r="D45" s="31"/>
    </row>
    <row r="46" spans="1:4" ht="13.2">
      <c r="A46" s="17"/>
      <c r="B46" s="30"/>
      <c r="C46" s="31"/>
      <c r="D46" s="31"/>
    </row>
    <row r="47" spans="1:4" ht="13.2">
      <c r="A47" s="17"/>
      <c r="B47" s="30"/>
      <c r="C47" s="31"/>
      <c r="D47" s="31"/>
    </row>
    <row r="48" spans="1:4" ht="13.2">
      <c r="A48" s="17"/>
      <c r="B48" s="30"/>
      <c r="C48" s="31"/>
      <c r="D48" s="31"/>
    </row>
    <row r="49" spans="1:4" ht="13.2">
      <c r="A49" s="17"/>
      <c r="B49" s="30"/>
      <c r="C49" s="31"/>
      <c r="D49" s="31"/>
    </row>
    <row r="50" spans="1:4" ht="13.2">
      <c r="A50" s="17"/>
      <c r="B50" s="30"/>
      <c r="C50" s="31"/>
      <c r="D50" s="31"/>
    </row>
    <row r="51" spans="1:4" ht="13.2">
      <c r="A51" s="17"/>
      <c r="B51" s="30"/>
      <c r="C51" s="31"/>
      <c r="D51" s="31"/>
    </row>
    <row r="52" spans="1:4" ht="13.2">
      <c r="A52" s="17"/>
      <c r="B52" s="30"/>
      <c r="C52" s="31"/>
      <c r="D52" s="31"/>
    </row>
    <row r="53" spans="1:4" ht="13.2">
      <c r="A53" s="17"/>
      <c r="B53" s="30"/>
      <c r="C53" s="31"/>
      <c r="D53" s="31"/>
    </row>
    <row r="54" spans="1:4" ht="13.2">
      <c r="A54" s="17"/>
      <c r="B54" s="30"/>
      <c r="C54" s="31"/>
      <c r="D54" s="31"/>
    </row>
    <row r="55" spans="1:4" ht="13.2">
      <c r="A55" s="17"/>
      <c r="B55" s="30"/>
      <c r="C55" s="31"/>
      <c r="D55" s="31"/>
    </row>
    <row r="56" spans="1:4" ht="13.2">
      <c r="A56" s="17"/>
      <c r="B56" s="30"/>
      <c r="C56" s="31"/>
      <c r="D56" s="31"/>
    </row>
    <row r="57" spans="1:4" ht="13.2">
      <c r="A57" s="17"/>
      <c r="B57" s="30"/>
      <c r="C57" s="31"/>
      <c r="D57" s="31"/>
    </row>
    <row r="58" spans="1:4" ht="13.2">
      <c r="A58" s="17"/>
      <c r="B58" s="30"/>
      <c r="C58" s="31"/>
      <c r="D58" s="31"/>
    </row>
    <row r="59" spans="1:4" ht="13.2">
      <c r="A59" s="17"/>
      <c r="B59" s="30"/>
      <c r="C59" s="31"/>
      <c r="D59" s="31"/>
    </row>
    <row r="60" spans="1:4" ht="13.2">
      <c r="A60" s="17"/>
      <c r="B60" s="30"/>
      <c r="C60" s="31"/>
      <c r="D60" s="31"/>
    </row>
    <row r="61" spans="1:4" ht="13.2">
      <c r="A61" s="17"/>
      <c r="B61" s="30"/>
      <c r="C61" s="31"/>
      <c r="D61" s="31"/>
    </row>
    <row r="62" spans="1:4" ht="13.2">
      <c r="A62" s="17"/>
      <c r="B62" s="30"/>
      <c r="C62" s="31"/>
      <c r="D62" s="31"/>
    </row>
    <row r="63" spans="1:4" ht="13.2">
      <c r="A63" s="17"/>
      <c r="B63" s="30"/>
      <c r="C63" s="31"/>
      <c r="D63" s="31"/>
    </row>
    <row r="64" spans="1:4" ht="13.2">
      <c r="A64" s="17"/>
      <c r="B64" s="30"/>
      <c r="C64" s="31"/>
      <c r="D64" s="31"/>
    </row>
    <row r="65" spans="1:4" ht="13.2">
      <c r="A65" s="17"/>
      <c r="B65" s="30"/>
      <c r="C65" s="31"/>
      <c r="D65" s="31"/>
    </row>
    <row r="66" spans="1:4" ht="13.2">
      <c r="A66" s="17"/>
      <c r="B66" s="30"/>
      <c r="C66" s="31"/>
      <c r="D66" s="31"/>
    </row>
    <row r="67" spans="1:4" ht="13.2">
      <c r="A67" s="17"/>
      <c r="B67" s="30"/>
      <c r="C67" s="31"/>
      <c r="D67" s="31"/>
    </row>
    <row r="68" spans="1:4" ht="13.2">
      <c r="A68" s="17"/>
      <c r="B68" s="30"/>
      <c r="C68" s="31"/>
      <c r="D68" s="31"/>
    </row>
    <row r="69" spans="1:4" ht="13.2">
      <c r="A69" s="17"/>
      <c r="B69" s="30"/>
      <c r="C69" s="31"/>
      <c r="D69" s="31"/>
    </row>
    <row r="70" spans="1:4" ht="13.2">
      <c r="A70" s="17"/>
      <c r="B70" s="30"/>
      <c r="C70" s="31"/>
      <c r="D70" s="31"/>
    </row>
    <row r="71" spans="1:4" ht="13.2">
      <c r="A71" s="17"/>
      <c r="B71" s="30"/>
      <c r="C71" s="31"/>
      <c r="D71" s="31"/>
    </row>
    <row r="72" spans="1:4" ht="13.2">
      <c r="A72" s="17"/>
      <c r="B72" s="30"/>
      <c r="C72" s="31"/>
      <c r="D72" s="31"/>
    </row>
    <row r="73" spans="1:4" ht="13.2">
      <c r="A73" s="17"/>
      <c r="B73" s="30"/>
      <c r="C73" s="31"/>
      <c r="D73" s="31"/>
    </row>
    <row r="74" spans="1:4" ht="13.2">
      <c r="A74" s="17"/>
      <c r="B74" s="30"/>
      <c r="C74" s="31"/>
      <c r="D74" s="31"/>
    </row>
    <row r="75" spans="1:4" ht="13.2">
      <c r="A75" s="17"/>
      <c r="B75" s="30"/>
      <c r="C75" s="31"/>
      <c r="D75" s="31"/>
    </row>
    <row r="76" spans="1:4" ht="13.2">
      <c r="A76" s="17"/>
      <c r="B76" s="30"/>
      <c r="C76" s="31"/>
      <c r="D76" s="31"/>
    </row>
    <row r="77" spans="1:4" ht="13.2">
      <c r="A77" s="17"/>
      <c r="B77" s="30"/>
      <c r="C77" s="31"/>
      <c r="D77" s="31"/>
    </row>
    <row r="78" spans="1:4" ht="13.2">
      <c r="A78" s="17"/>
      <c r="B78" s="30"/>
      <c r="C78" s="31"/>
      <c r="D78" s="31"/>
    </row>
    <row r="79" spans="1:4" ht="13.2">
      <c r="A79" s="17"/>
      <c r="B79" s="30"/>
      <c r="C79" s="31"/>
      <c r="D79" s="31"/>
    </row>
    <row r="80" spans="1:4" ht="13.2">
      <c r="A80" s="17"/>
      <c r="B80" s="30"/>
      <c r="C80" s="31"/>
      <c r="D80" s="31"/>
    </row>
    <row r="81" spans="1:4" ht="13.2">
      <c r="A81" s="17"/>
      <c r="B81" s="30"/>
      <c r="C81" s="31"/>
      <c r="D81" s="31"/>
    </row>
    <row r="82" spans="1:4" ht="13.2">
      <c r="A82" s="17"/>
      <c r="B82" s="30"/>
      <c r="C82" s="31"/>
      <c r="D82" s="31"/>
    </row>
    <row r="83" spans="1:4" ht="13.2">
      <c r="A83" s="17"/>
      <c r="B83" s="30"/>
      <c r="C83" s="31"/>
      <c r="D83" s="31"/>
    </row>
    <row r="84" spans="1:4" ht="13.2">
      <c r="A84" s="17"/>
      <c r="B84" s="30"/>
      <c r="C84" s="31"/>
      <c r="D84" s="31"/>
    </row>
    <row r="85" spans="1:4" ht="13.2">
      <c r="A85" s="17"/>
      <c r="B85" s="30"/>
      <c r="C85" s="31"/>
      <c r="D85" s="31"/>
    </row>
    <row r="86" spans="1:4" ht="13.2">
      <c r="A86" s="17"/>
      <c r="B86" s="30"/>
      <c r="C86" s="31"/>
      <c r="D86" s="31"/>
    </row>
    <row r="87" spans="1:4" ht="13.2">
      <c r="A87" s="17"/>
      <c r="B87" s="30"/>
      <c r="C87" s="31"/>
      <c r="D87" s="31"/>
    </row>
    <row r="88" spans="1:4" ht="13.2">
      <c r="A88" s="17"/>
      <c r="B88" s="30"/>
      <c r="C88" s="31"/>
      <c r="D88" s="31"/>
    </row>
    <row r="89" spans="1:4" ht="13.2">
      <c r="A89" s="17"/>
      <c r="B89" s="30"/>
      <c r="C89" s="31"/>
      <c r="D89" s="31"/>
    </row>
    <row r="90" spans="1:4" ht="13.2">
      <c r="A90" s="17"/>
      <c r="B90" s="30"/>
      <c r="C90" s="31"/>
      <c r="D90" s="31"/>
    </row>
    <row r="91" spans="1:4" ht="13.2">
      <c r="A91" s="17"/>
      <c r="B91" s="30"/>
      <c r="C91" s="31"/>
      <c r="D91" s="31"/>
    </row>
    <row r="92" spans="1:4" ht="13.2">
      <c r="A92" s="17"/>
      <c r="B92" s="30"/>
      <c r="C92" s="31"/>
      <c r="D92" s="31"/>
    </row>
    <row r="93" spans="1:4" ht="13.2">
      <c r="A93" s="17"/>
      <c r="B93" s="30"/>
      <c r="C93" s="31"/>
      <c r="D93" s="31"/>
    </row>
    <row r="94" spans="1:4" ht="13.2">
      <c r="A94" s="17"/>
      <c r="B94" s="30"/>
      <c r="C94" s="31"/>
      <c r="D94" s="31"/>
    </row>
    <row r="95" spans="1:4" ht="13.2">
      <c r="A95" s="17"/>
      <c r="B95" s="30"/>
      <c r="C95" s="31"/>
      <c r="D95" s="31"/>
    </row>
    <row r="96" spans="1:4" ht="13.2">
      <c r="A96" s="17"/>
      <c r="B96" s="30"/>
      <c r="C96" s="31"/>
      <c r="D96" s="31"/>
    </row>
    <row r="97" spans="1:4" ht="13.2">
      <c r="A97" s="17"/>
      <c r="B97" s="30"/>
      <c r="C97" s="31"/>
      <c r="D97" s="31"/>
    </row>
    <row r="98" spans="1:4" ht="13.2">
      <c r="A98" s="17"/>
      <c r="B98" s="30"/>
      <c r="C98" s="31"/>
      <c r="D98" s="31"/>
    </row>
    <row r="99" spans="1:4" ht="13.2">
      <c r="A99" s="17"/>
      <c r="B99" s="30"/>
      <c r="C99" s="31"/>
      <c r="D99" s="31"/>
    </row>
    <row r="100" spans="1:4" ht="13.2">
      <c r="A100" s="17"/>
      <c r="B100" s="30"/>
      <c r="C100" s="31"/>
      <c r="D100" s="31"/>
    </row>
    <row r="101" spans="1:4" ht="13.2">
      <c r="A101" s="17"/>
      <c r="B101" s="30"/>
      <c r="C101" s="31"/>
      <c r="D101" s="31"/>
    </row>
    <row r="102" spans="1:4" ht="13.2">
      <c r="A102" s="17"/>
      <c r="B102" s="30"/>
      <c r="C102" s="31"/>
      <c r="D102" s="31"/>
    </row>
    <row r="103" spans="1:4" ht="13.2">
      <c r="A103" s="17"/>
      <c r="B103" s="30"/>
      <c r="C103" s="31"/>
      <c r="D103" s="31"/>
    </row>
    <row r="104" spans="1:4" ht="13.2">
      <c r="A104" s="17"/>
      <c r="B104" s="30"/>
      <c r="C104" s="31"/>
      <c r="D104" s="31"/>
    </row>
    <row r="105" spans="1:4" ht="13.2">
      <c r="A105" s="17"/>
      <c r="B105" s="30"/>
      <c r="C105" s="31"/>
      <c r="D105" s="31"/>
    </row>
    <row r="106" spans="1:4" ht="13.2">
      <c r="A106" s="17"/>
      <c r="B106" s="30"/>
      <c r="C106" s="31"/>
      <c r="D106" s="31"/>
    </row>
    <row r="107" spans="1:4" ht="13.2">
      <c r="A107" s="17"/>
      <c r="B107" s="30"/>
      <c r="C107" s="31"/>
      <c r="D107" s="31"/>
    </row>
    <row r="108" spans="1:4" ht="13.2">
      <c r="A108" s="17"/>
      <c r="B108" s="30"/>
      <c r="C108" s="31"/>
      <c r="D108" s="31"/>
    </row>
    <row r="109" spans="1:4" ht="13.2">
      <c r="A109" s="17"/>
      <c r="B109" s="30"/>
      <c r="C109" s="31"/>
      <c r="D109" s="31"/>
    </row>
    <row r="110" spans="1:4" ht="13.2">
      <c r="A110" s="17"/>
      <c r="B110" s="30"/>
      <c r="C110" s="31"/>
      <c r="D110" s="31"/>
    </row>
    <row r="111" spans="1:4" ht="13.2">
      <c r="A111" s="17"/>
      <c r="B111" s="30"/>
      <c r="C111" s="31"/>
      <c r="D111" s="31"/>
    </row>
    <row r="112" spans="1:4" ht="13.2">
      <c r="A112" s="17"/>
      <c r="B112" s="30"/>
      <c r="C112" s="31"/>
      <c r="D112" s="31"/>
    </row>
    <row r="113" spans="1:4" ht="13.2">
      <c r="A113" s="17"/>
      <c r="B113" s="30"/>
      <c r="C113" s="31"/>
      <c r="D113" s="31"/>
    </row>
    <row r="114" spans="1:4" ht="13.2">
      <c r="A114" s="17"/>
      <c r="B114" s="30"/>
      <c r="C114" s="31"/>
      <c r="D114" s="31"/>
    </row>
    <row r="115" spans="1:4" ht="13.2">
      <c r="A115" s="17"/>
      <c r="B115" s="30"/>
      <c r="C115" s="31"/>
      <c r="D115" s="31"/>
    </row>
    <row r="116" spans="1:4" ht="13.2">
      <c r="A116" s="17"/>
      <c r="B116" s="30"/>
      <c r="C116" s="31"/>
      <c r="D116" s="31"/>
    </row>
    <row r="117" spans="1:4" ht="13.2">
      <c r="A117" s="17"/>
      <c r="B117" s="30"/>
      <c r="C117" s="31"/>
      <c r="D117" s="31"/>
    </row>
    <row r="118" spans="1:4" ht="13.2">
      <c r="A118" s="17"/>
      <c r="B118" s="30"/>
      <c r="C118" s="31"/>
      <c r="D118" s="31"/>
    </row>
    <row r="119" spans="1:4" ht="13.2">
      <c r="A119" s="17"/>
      <c r="B119" s="30"/>
      <c r="C119" s="31"/>
      <c r="D119" s="31"/>
    </row>
    <row r="120" spans="1:4" ht="13.2">
      <c r="A120" s="17"/>
      <c r="B120" s="30"/>
      <c r="C120" s="31"/>
      <c r="D120" s="31"/>
    </row>
    <row r="121" spans="1:4" ht="13.2">
      <c r="A121" s="17"/>
      <c r="B121" s="30"/>
      <c r="C121" s="31"/>
      <c r="D121" s="31"/>
    </row>
    <row r="122" spans="1:4" ht="13.2">
      <c r="A122" s="17"/>
      <c r="B122" s="30"/>
      <c r="C122" s="31"/>
      <c r="D122" s="31"/>
    </row>
    <row r="123" spans="1:4" ht="13.2">
      <c r="A123" s="17"/>
      <c r="B123" s="30"/>
      <c r="C123" s="31"/>
      <c r="D123" s="31"/>
    </row>
    <row r="124" spans="1:4" ht="13.2">
      <c r="A124" s="17"/>
      <c r="B124" s="30"/>
      <c r="C124" s="31"/>
      <c r="D124" s="31"/>
    </row>
    <row r="125" spans="1:4" ht="13.2">
      <c r="A125" s="17"/>
      <c r="B125" s="30"/>
      <c r="C125" s="31"/>
      <c r="D125" s="31"/>
    </row>
    <row r="126" spans="1:4" ht="13.2">
      <c r="A126" s="17"/>
      <c r="B126" s="30"/>
      <c r="C126" s="31"/>
      <c r="D126" s="31"/>
    </row>
    <row r="127" spans="1:4" ht="13.2">
      <c r="A127" s="17"/>
      <c r="B127" s="30"/>
      <c r="C127" s="31"/>
      <c r="D127" s="31"/>
    </row>
    <row r="128" spans="1:4" ht="13.2">
      <c r="A128" s="17"/>
      <c r="B128" s="30"/>
      <c r="C128" s="31"/>
      <c r="D128" s="31"/>
    </row>
    <row r="129" spans="1:4" ht="13.2">
      <c r="A129" s="17"/>
      <c r="B129" s="30"/>
      <c r="C129" s="31"/>
      <c r="D129" s="31"/>
    </row>
    <row r="130" spans="1:4" ht="13.2">
      <c r="A130" s="17"/>
      <c r="B130" s="30"/>
      <c r="C130" s="31"/>
      <c r="D130" s="31"/>
    </row>
    <row r="131" spans="1:4" ht="13.2">
      <c r="A131" s="17"/>
      <c r="B131" s="30"/>
      <c r="C131" s="31"/>
      <c r="D131" s="31"/>
    </row>
    <row r="132" spans="1:4" ht="13.2">
      <c r="A132" s="17"/>
      <c r="B132" s="30"/>
      <c r="C132" s="31"/>
      <c r="D132" s="31"/>
    </row>
    <row r="133" spans="1:4" ht="13.2">
      <c r="A133" s="17"/>
      <c r="B133" s="30"/>
      <c r="C133" s="31"/>
      <c r="D133" s="31"/>
    </row>
    <row r="134" spans="1:4" ht="13.2">
      <c r="A134" s="17"/>
      <c r="B134" s="30"/>
      <c r="C134" s="31"/>
      <c r="D134" s="31"/>
    </row>
    <row r="135" spans="1:4" ht="13.2">
      <c r="A135" s="17"/>
      <c r="B135" s="30"/>
      <c r="C135" s="31"/>
      <c r="D135" s="31"/>
    </row>
    <row r="136" spans="1:4" ht="13.2">
      <c r="A136" s="17"/>
      <c r="B136" s="30"/>
      <c r="C136" s="31"/>
      <c r="D136" s="31"/>
    </row>
    <row r="137" spans="1:4" ht="13.2">
      <c r="A137" s="17"/>
      <c r="B137" s="30"/>
      <c r="C137" s="31"/>
      <c r="D137" s="31"/>
    </row>
    <row r="138" spans="1:4" ht="13.2">
      <c r="A138" s="17"/>
      <c r="B138" s="30"/>
      <c r="C138" s="31"/>
      <c r="D138" s="31"/>
    </row>
    <row r="139" spans="1:4" ht="13.2">
      <c r="A139" s="17"/>
      <c r="B139" s="30"/>
      <c r="C139" s="31"/>
      <c r="D139" s="31"/>
    </row>
    <row r="140" spans="1:4" ht="13.2">
      <c r="A140" s="17"/>
      <c r="B140" s="30"/>
      <c r="C140" s="31"/>
      <c r="D140" s="31"/>
    </row>
    <row r="141" spans="1:4" ht="13.2">
      <c r="A141" s="17"/>
      <c r="B141" s="30"/>
      <c r="C141" s="31"/>
      <c r="D141" s="31"/>
    </row>
    <row r="142" spans="1:4" ht="13.2">
      <c r="A142" s="17"/>
      <c r="B142" s="30"/>
      <c r="C142" s="31"/>
      <c r="D142" s="31"/>
    </row>
    <row r="143" spans="1:4" ht="13.2">
      <c r="A143" s="17"/>
      <c r="B143" s="30"/>
      <c r="C143" s="31"/>
      <c r="D143" s="31"/>
    </row>
    <row r="144" spans="1:4" ht="13.2">
      <c r="A144" s="17"/>
      <c r="B144" s="30"/>
      <c r="C144" s="31"/>
      <c r="D144" s="31"/>
    </row>
    <row r="145" spans="1:4" ht="13.2">
      <c r="A145" s="17"/>
      <c r="B145" s="30"/>
      <c r="C145" s="31"/>
      <c r="D145" s="31"/>
    </row>
    <row r="146" spans="1:4" ht="13.2">
      <c r="A146" s="17"/>
      <c r="B146" s="30"/>
      <c r="C146" s="31"/>
      <c r="D146" s="31"/>
    </row>
    <row r="147" spans="1:4" ht="13.2">
      <c r="A147" s="17"/>
      <c r="B147" s="30"/>
      <c r="C147" s="31"/>
      <c r="D147" s="31"/>
    </row>
    <row r="148" spans="1:4" ht="13.2">
      <c r="A148" s="17"/>
      <c r="B148" s="30"/>
      <c r="C148" s="31"/>
      <c r="D148" s="31"/>
    </row>
    <row r="149" spans="1:4" ht="13.2">
      <c r="A149" s="17"/>
      <c r="B149" s="30"/>
      <c r="C149" s="31"/>
      <c r="D149" s="31"/>
    </row>
    <row r="150" spans="1:4" ht="13.2">
      <c r="A150" s="17"/>
      <c r="B150" s="30"/>
      <c r="C150" s="31"/>
      <c r="D150" s="31"/>
    </row>
    <row r="151" spans="1:4" ht="13.2">
      <c r="A151" s="17"/>
      <c r="B151" s="30"/>
      <c r="C151" s="31"/>
      <c r="D151" s="31"/>
    </row>
    <row r="152" spans="1:4" ht="13.2">
      <c r="A152" s="17"/>
      <c r="B152" s="30"/>
      <c r="C152" s="31"/>
      <c r="D152" s="31"/>
    </row>
    <row r="153" spans="1:4" ht="13.2">
      <c r="A153" s="17"/>
      <c r="B153" s="30"/>
      <c r="C153" s="31"/>
      <c r="D153" s="31"/>
    </row>
    <row r="154" spans="1:4" ht="13.2">
      <c r="A154" s="17"/>
      <c r="B154" s="30"/>
      <c r="C154" s="31"/>
      <c r="D154" s="31"/>
    </row>
    <row r="155" spans="1:4" ht="13.2">
      <c r="A155" s="17"/>
      <c r="B155" s="30"/>
      <c r="C155" s="31"/>
      <c r="D155" s="31"/>
    </row>
    <row r="156" spans="1:4" ht="13.2">
      <c r="A156" s="17"/>
      <c r="B156" s="30"/>
      <c r="C156" s="31"/>
      <c r="D156" s="31"/>
    </row>
    <row r="157" spans="1:4" ht="13.2">
      <c r="A157" s="17"/>
      <c r="B157" s="30"/>
      <c r="C157" s="31"/>
      <c r="D157" s="31"/>
    </row>
    <row r="158" spans="1:4" ht="13.2">
      <c r="A158" s="17"/>
      <c r="B158" s="30"/>
      <c r="C158" s="31"/>
      <c r="D158" s="31"/>
    </row>
    <row r="159" spans="1:4" ht="13.2">
      <c r="A159" s="17"/>
      <c r="B159" s="30"/>
      <c r="C159" s="31"/>
      <c r="D159" s="31"/>
    </row>
    <row r="160" spans="1:4" ht="13.2">
      <c r="A160" s="17"/>
      <c r="B160" s="30"/>
      <c r="C160" s="31"/>
      <c r="D160" s="31"/>
    </row>
    <row r="161" spans="1:4" ht="13.2">
      <c r="A161" s="17"/>
      <c r="B161" s="30"/>
      <c r="C161" s="31"/>
      <c r="D161" s="31"/>
    </row>
    <row r="162" spans="1:4" ht="13.2">
      <c r="A162" s="17"/>
      <c r="B162" s="30"/>
      <c r="C162" s="31"/>
      <c r="D162" s="31"/>
    </row>
    <row r="163" spans="1:4" ht="13.2">
      <c r="A163" s="17"/>
      <c r="B163" s="30"/>
      <c r="C163" s="31"/>
      <c r="D163" s="31"/>
    </row>
    <row r="164" spans="1:4" ht="13.2">
      <c r="A164" s="17"/>
      <c r="B164" s="30"/>
      <c r="C164" s="31"/>
      <c r="D164" s="31"/>
    </row>
    <row r="165" spans="1:4" ht="13.2">
      <c r="A165" s="17"/>
      <c r="B165" s="30"/>
      <c r="C165" s="31"/>
      <c r="D165" s="31"/>
    </row>
    <row r="166" spans="1:4" ht="13.2">
      <c r="A166" s="17"/>
      <c r="B166" s="30"/>
      <c r="C166" s="31"/>
      <c r="D166" s="31"/>
    </row>
    <row r="167" spans="1:4" ht="13.2">
      <c r="A167" s="17"/>
      <c r="B167" s="30"/>
      <c r="C167" s="31"/>
      <c r="D167" s="31"/>
    </row>
    <row r="168" spans="1:4" ht="13.2">
      <c r="A168" s="17"/>
      <c r="B168" s="30"/>
      <c r="C168" s="31"/>
      <c r="D168" s="31"/>
    </row>
    <row r="169" spans="1:4" ht="13.2">
      <c r="A169" s="17"/>
      <c r="B169" s="30"/>
      <c r="C169" s="31"/>
      <c r="D169" s="31"/>
    </row>
    <row r="170" spans="1:4" ht="13.2">
      <c r="A170" s="17"/>
      <c r="B170" s="30"/>
      <c r="C170" s="31"/>
      <c r="D170" s="31"/>
    </row>
    <row r="171" spans="1:4" ht="13.2">
      <c r="A171" s="17"/>
      <c r="B171" s="30"/>
      <c r="C171" s="31"/>
      <c r="D171" s="31"/>
    </row>
    <row r="172" spans="1:4" ht="13.2">
      <c r="A172" s="17"/>
      <c r="B172" s="30"/>
      <c r="C172" s="31"/>
      <c r="D172" s="31"/>
    </row>
    <row r="173" spans="1:4" ht="13.2">
      <c r="A173" s="17"/>
      <c r="B173" s="30"/>
      <c r="C173" s="31"/>
      <c r="D173" s="31"/>
    </row>
    <row r="174" spans="1:4" ht="13.2">
      <c r="A174" s="17"/>
      <c r="B174" s="30"/>
      <c r="C174" s="31"/>
      <c r="D174" s="31"/>
    </row>
    <row r="175" spans="1:4" ht="13.2">
      <c r="A175" s="17"/>
      <c r="B175" s="30"/>
      <c r="C175" s="31"/>
      <c r="D175" s="31"/>
    </row>
    <row r="176" spans="1:4" ht="13.2">
      <c r="A176" s="17"/>
      <c r="B176" s="30"/>
      <c r="C176" s="31"/>
      <c r="D176" s="31"/>
    </row>
    <row r="177" spans="1:4" ht="13.2">
      <c r="A177" s="17"/>
      <c r="B177" s="30"/>
      <c r="C177" s="31"/>
      <c r="D177" s="31"/>
    </row>
    <row r="178" spans="1:4" ht="13.2">
      <c r="A178" s="17"/>
      <c r="B178" s="30"/>
      <c r="C178" s="31"/>
      <c r="D178" s="31"/>
    </row>
    <row r="179" spans="1:4" ht="13.2">
      <c r="A179" s="17"/>
      <c r="B179" s="30"/>
      <c r="C179" s="31"/>
      <c r="D179" s="31"/>
    </row>
    <row r="180" spans="1:4" ht="13.2">
      <c r="A180" s="17"/>
      <c r="B180" s="30"/>
      <c r="C180" s="31"/>
      <c r="D180" s="31"/>
    </row>
    <row r="181" spans="1:4" ht="13.2">
      <c r="A181" s="17"/>
      <c r="B181" s="30"/>
      <c r="C181" s="31"/>
      <c r="D181" s="31"/>
    </row>
    <row r="182" spans="1:4" ht="13.2">
      <c r="A182" s="17"/>
      <c r="B182" s="30"/>
      <c r="C182" s="31"/>
      <c r="D182" s="31"/>
    </row>
    <row r="183" spans="1:4" ht="13.2">
      <c r="A183" s="17"/>
      <c r="B183" s="30"/>
      <c r="C183" s="31"/>
      <c r="D183" s="31"/>
    </row>
    <row r="184" spans="1:4" ht="13.2">
      <c r="A184" s="17"/>
      <c r="B184" s="30"/>
      <c r="C184" s="31"/>
      <c r="D184" s="31"/>
    </row>
    <row r="185" spans="1:4" ht="13.2">
      <c r="A185" s="17"/>
      <c r="B185" s="30"/>
      <c r="C185" s="31"/>
      <c r="D185" s="31"/>
    </row>
    <row r="186" spans="1:4" ht="13.2">
      <c r="A186" s="17"/>
      <c r="B186" s="30"/>
      <c r="C186" s="31"/>
      <c r="D186" s="31"/>
    </row>
    <row r="187" spans="1:4" ht="13.2">
      <c r="A187" s="17"/>
      <c r="B187" s="30"/>
      <c r="C187" s="31"/>
      <c r="D187" s="31"/>
    </row>
    <row r="188" spans="1:4" ht="13.2">
      <c r="A188" s="17"/>
      <c r="B188" s="30"/>
      <c r="C188" s="31"/>
      <c r="D188" s="31"/>
    </row>
    <row r="189" spans="1:4" ht="13.2">
      <c r="A189" s="17"/>
      <c r="B189" s="30"/>
      <c r="C189" s="31"/>
      <c r="D189" s="31"/>
    </row>
    <row r="190" spans="1:4" ht="13.2">
      <c r="A190" s="17"/>
      <c r="B190" s="30"/>
      <c r="C190" s="31"/>
      <c r="D190" s="31"/>
    </row>
    <row r="191" spans="1:4" ht="13.2">
      <c r="A191" s="17"/>
      <c r="B191" s="30"/>
      <c r="C191" s="31"/>
      <c r="D191" s="31"/>
    </row>
    <row r="192" spans="1:4" ht="13.2">
      <c r="A192" s="17"/>
      <c r="B192" s="30"/>
      <c r="C192" s="31"/>
      <c r="D192" s="31"/>
    </row>
    <row r="193" spans="1:4" ht="13.2">
      <c r="A193" s="17"/>
      <c r="B193" s="30"/>
      <c r="C193" s="31"/>
      <c r="D193" s="31"/>
    </row>
    <row r="194" spans="1:4" ht="13.2">
      <c r="A194" s="17"/>
      <c r="B194" s="30"/>
      <c r="C194" s="31"/>
      <c r="D194" s="31"/>
    </row>
    <row r="195" spans="1:4" ht="13.2">
      <c r="A195" s="17"/>
      <c r="B195" s="30"/>
      <c r="C195" s="31"/>
      <c r="D195" s="31"/>
    </row>
    <row r="196" spans="1:4" ht="13.2">
      <c r="A196" s="17"/>
      <c r="B196" s="30"/>
      <c r="C196" s="31"/>
      <c r="D196" s="31"/>
    </row>
    <row r="197" spans="1:4" ht="13.2">
      <c r="A197" s="17"/>
      <c r="B197" s="30"/>
      <c r="C197" s="31"/>
      <c r="D197" s="31"/>
    </row>
    <row r="198" spans="1:4" ht="13.2">
      <c r="A198" s="17"/>
      <c r="B198" s="30"/>
      <c r="C198" s="31"/>
      <c r="D198" s="31"/>
    </row>
    <row r="199" spans="1:4" ht="13.2">
      <c r="A199" s="17"/>
      <c r="B199" s="30"/>
      <c r="C199" s="31"/>
      <c r="D199" s="31"/>
    </row>
    <row r="200" spans="1:4" ht="13.2">
      <c r="A200" s="17"/>
      <c r="B200" s="30"/>
      <c r="C200" s="31"/>
      <c r="D200" s="31"/>
    </row>
    <row r="201" spans="1:4" ht="13.2">
      <c r="A201" s="17"/>
      <c r="B201" s="30"/>
      <c r="C201" s="31"/>
      <c r="D201" s="31"/>
    </row>
    <row r="202" spans="1:4" ht="13.2">
      <c r="A202" s="17"/>
      <c r="B202" s="30"/>
      <c r="C202" s="31"/>
      <c r="D202" s="31"/>
    </row>
    <row r="203" spans="1:4" ht="13.2">
      <c r="A203" s="17"/>
      <c r="B203" s="30"/>
      <c r="C203" s="31"/>
      <c r="D203" s="31"/>
    </row>
    <row r="204" spans="1:4" ht="13.2">
      <c r="A204" s="17"/>
      <c r="B204" s="30"/>
      <c r="C204" s="31"/>
      <c r="D204" s="31"/>
    </row>
    <row r="205" spans="1:4" ht="13.2">
      <c r="A205" s="17"/>
      <c r="B205" s="30"/>
      <c r="C205" s="31"/>
      <c r="D205" s="31"/>
    </row>
    <row r="206" spans="1:4" ht="13.2">
      <c r="A206" s="17"/>
      <c r="B206" s="30"/>
      <c r="C206" s="31"/>
      <c r="D206" s="31"/>
    </row>
    <row r="207" spans="1:4" ht="13.2">
      <c r="A207" s="17"/>
      <c r="B207" s="30"/>
      <c r="C207" s="31"/>
      <c r="D207" s="31"/>
    </row>
    <row r="208" spans="1:4" ht="13.2">
      <c r="A208" s="17"/>
      <c r="B208" s="30"/>
      <c r="C208" s="31"/>
      <c r="D208" s="31"/>
    </row>
    <row r="209" spans="1:4" ht="13.2">
      <c r="A209" s="17"/>
      <c r="B209" s="30"/>
      <c r="C209" s="31"/>
      <c r="D209" s="31"/>
    </row>
    <row r="210" spans="1:4" ht="13.2">
      <c r="A210" s="17"/>
      <c r="B210" s="30"/>
      <c r="C210" s="31"/>
      <c r="D210" s="31"/>
    </row>
    <row r="211" spans="1:4" ht="13.2">
      <c r="A211" s="17"/>
      <c r="B211" s="30"/>
      <c r="C211" s="31"/>
      <c r="D211" s="31"/>
    </row>
    <row r="212" spans="1:4" ht="13.2">
      <c r="A212" s="17"/>
      <c r="B212" s="30"/>
      <c r="C212" s="31"/>
      <c r="D212" s="31"/>
    </row>
    <row r="213" spans="1:4" ht="13.2">
      <c r="A213" s="17"/>
      <c r="B213" s="30"/>
      <c r="C213" s="31"/>
      <c r="D213" s="31"/>
    </row>
    <row r="214" spans="1:4" ht="13.2">
      <c r="A214" s="17"/>
      <c r="B214" s="30"/>
      <c r="C214" s="31"/>
      <c r="D214" s="31"/>
    </row>
    <row r="215" spans="1:4" ht="13.2">
      <c r="A215" s="17"/>
      <c r="B215" s="30"/>
      <c r="C215" s="31"/>
      <c r="D215" s="31"/>
    </row>
    <row r="216" spans="1:4" ht="13.2">
      <c r="A216" s="17"/>
      <c r="B216" s="30"/>
      <c r="C216" s="31"/>
      <c r="D216" s="31"/>
    </row>
    <row r="217" spans="1:4" ht="13.2">
      <c r="A217" s="17"/>
      <c r="B217" s="30"/>
      <c r="C217" s="31"/>
      <c r="D217" s="31"/>
    </row>
    <row r="218" spans="1:4" ht="13.2">
      <c r="A218" s="17"/>
      <c r="B218" s="30"/>
      <c r="C218" s="31"/>
      <c r="D218" s="31"/>
    </row>
    <row r="219" spans="1:4" ht="13.2">
      <c r="A219" s="17"/>
      <c r="B219" s="30"/>
      <c r="C219" s="31"/>
      <c r="D219" s="31"/>
    </row>
    <row r="220" spans="1:4" ht="13.2">
      <c r="A220" s="17"/>
      <c r="B220" s="30"/>
      <c r="C220" s="31"/>
      <c r="D220" s="31"/>
    </row>
    <row r="221" spans="1:4" ht="13.2">
      <c r="A221" s="17"/>
      <c r="B221" s="30"/>
      <c r="C221" s="31"/>
      <c r="D221" s="31"/>
    </row>
    <row r="222" spans="1:4" ht="13.2">
      <c r="A222" s="17"/>
      <c r="B222" s="30"/>
      <c r="C222" s="31"/>
      <c r="D222" s="31"/>
    </row>
    <row r="223" spans="1:4" ht="13.2">
      <c r="A223" s="17"/>
      <c r="B223" s="30"/>
      <c r="C223" s="31"/>
      <c r="D223" s="31"/>
    </row>
    <row r="224" spans="1:4" ht="13.2">
      <c r="A224" s="17"/>
      <c r="B224" s="30"/>
      <c r="C224" s="31"/>
      <c r="D224" s="31"/>
    </row>
    <row r="225" spans="1:4" ht="13.2">
      <c r="A225" s="17"/>
      <c r="B225" s="30"/>
      <c r="C225" s="31"/>
      <c r="D225" s="31"/>
    </row>
    <row r="226" spans="1:4" ht="13.2">
      <c r="A226" s="17"/>
      <c r="B226" s="30"/>
      <c r="C226" s="31"/>
      <c r="D226" s="31"/>
    </row>
    <row r="227" spans="1:4" ht="13.2">
      <c r="A227" s="17"/>
      <c r="B227" s="30"/>
      <c r="C227" s="31"/>
      <c r="D227" s="31"/>
    </row>
    <row r="228" spans="1:4" ht="13.2">
      <c r="A228" s="17"/>
      <c r="B228" s="30"/>
      <c r="C228" s="31"/>
      <c r="D228" s="31"/>
    </row>
    <row r="229" spans="1:4" ht="13.2">
      <c r="A229" s="17"/>
      <c r="B229" s="30"/>
      <c r="C229" s="31"/>
      <c r="D229" s="31"/>
    </row>
    <row r="230" spans="1:4" ht="13.2">
      <c r="A230" s="17"/>
      <c r="B230" s="30"/>
      <c r="C230" s="31"/>
      <c r="D230" s="31"/>
    </row>
    <row r="231" spans="1:4" ht="13.2">
      <c r="A231" s="17"/>
      <c r="B231" s="30"/>
      <c r="C231" s="31"/>
      <c r="D231" s="31"/>
    </row>
    <row r="232" spans="1:4" ht="13.2">
      <c r="A232" s="17"/>
      <c r="B232" s="30"/>
      <c r="C232" s="31"/>
      <c r="D232" s="31"/>
    </row>
    <row r="233" spans="1:4" ht="13.2">
      <c r="A233" s="17"/>
      <c r="B233" s="30"/>
      <c r="C233" s="31"/>
      <c r="D233" s="31"/>
    </row>
    <row r="234" spans="1:4" ht="13.2">
      <c r="A234" s="17"/>
      <c r="B234" s="30"/>
      <c r="C234" s="31"/>
      <c r="D234" s="31"/>
    </row>
    <row r="235" spans="1:4" ht="13.2">
      <c r="A235" s="17"/>
      <c r="B235" s="30"/>
      <c r="C235" s="31"/>
      <c r="D235" s="31"/>
    </row>
    <row r="236" spans="1:4" ht="13.2">
      <c r="A236" s="17"/>
      <c r="B236" s="30"/>
      <c r="C236" s="31"/>
      <c r="D236" s="31"/>
    </row>
    <row r="237" spans="1:4" ht="13.2">
      <c r="A237" s="17"/>
      <c r="B237" s="30"/>
      <c r="C237" s="31"/>
      <c r="D237" s="31"/>
    </row>
    <row r="238" spans="1:4" ht="13.2">
      <c r="A238" s="17"/>
      <c r="B238" s="30"/>
      <c r="C238" s="31"/>
      <c r="D238" s="31"/>
    </row>
    <row r="239" spans="1:4" ht="13.2">
      <c r="A239" s="17"/>
      <c r="B239" s="30"/>
      <c r="C239" s="31"/>
      <c r="D239" s="31"/>
    </row>
    <row r="240" spans="1:4" ht="13.2">
      <c r="A240" s="17"/>
      <c r="B240" s="30"/>
      <c r="C240" s="31"/>
      <c r="D240" s="31"/>
    </row>
    <row r="241" spans="1:4" ht="13.2">
      <c r="A241" s="17"/>
      <c r="B241" s="30"/>
      <c r="C241" s="31"/>
      <c r="D241" s="31"/>
    </row>
    <row r="242" spans="1:4" ht="13.2">
      <c r="A242" s="17"/>
      <c r="B242" s="30"/>
      <c r="C242" s="31"/>
      <c r="D242" s="31"/>
    </row>
    <row r="243" spans="1:4" ht="13.2">
      <c r="A243" s="17"/>
      <c r="B243" s="30"/>
      <c r="C243" s="31"/>
      <c r="D243" s="31"/>
    </row>
    <row r="244" spans="1:4" ht="13.2">
      <c r="A244" s="17"/>
      <c r="B244" s="30"/>
      <c r="C244" s="31"/>
      <c r="D244" s="31"/>
    </row>
    <row r="245" spans="1:4" ht="13.2">
      <c r="A245" s="17"/>
      <c r="B245" s="30"/>
      <c r="C245" s="31"/>
      <c r="D245" s="31"/>
    </row>
    <row r="246" spans="1:4" ht="13.2">
      <c r="A246" s="17"/>
      <c r="B246" s="30"/>
      <c r="C246" s="31"/>
      <c r="D246" s="31"/>
    </row>
    <row r="247" spans="1:4" ht="13.2">
      <c r="A247" s="17"/>
      <c r="B247" s="30"/>
      <c r="C247" s="31"/>
      <c r="D247" s="31"/>
    </row>
    <row r="248" spans="1:4" ht="13.2">
      <c r="A248" s="17"/>
      <c r="B248" s="30"/>
      <c r="C248" s="31"/>
      <c r="D248" s="31"/>
    </row>
    <row r="249" spans="1:4" ht="13.2">
      <c r="A249" s="17"/>
      <c r="B249" s="30"/>
      <c r="C249" s="31"/>
      <c r="D249" s="31"/>
    </row>
    <row r="250" spans="1:4" ht="13.2">
      <c r="A250" s="17"/>
      <c r="B250" s="30"/>
      <c r="C250" s="31"/>
      <c r="D250" s="31"/>
    </row>
    <row r="251" spans="1:4" ht="13.2">
      <c r="A251" s="17"/>
      <c r="B251" s="30"/>
      <c r="C251" s="31"/>
      <c r="D251" s="31"/>
    </row>
    <row r="252" spans="1:4" ht="13.2">
      <c r="A252" s="17"/>
      <c r="B252" s="30"/>
      <c r="C252" s="31"/>
      <c r="D252" s="31"/>
    </row>
    <row r="253" spans="1:4" ht="13.2">
      <c r="A253" s="17"/>
      <c r="B253" s="30"/>
      <c r="C253" s="31"/>
      <c r="D253" s="31"/>
    </row>
    <row r="254" spans="1:4" ht="13.2">
      <c r="A254" s="17"/>
      <c r="B254" s="30"/>
      <c r="C254" s="31"/>
      <c r="D254" s="31"/>
    </row>
    <row r="255" spans="1:4" ht="13.2">
      <c r="A255" s="17"/>
      <c r="B255" s="30"/>
      <c r="C255" s="31"/>
      <c r="D255" s="31"/>
    </row>
    <row r="256" spans="1:4" ht="13.2">
      <c r="A256" s="17"/>
      <c r="B256" s="30"/>
      <c r="C256" s="31"/>
      <c r="D256" s="31"/>
    </row>
    <row r="257" spans="1:4" ht="13.2">
      <c r="A257" s="17"/>
      <c r="B257" s="30"/>
      <c r="C257" s="31"/>
      <c r="D257" s="31"/>
    </row>
    <row r="258" spans="1:4" ht="13.2">
      <c r="A258" s="17"/>
      <c r="B258" s="30"/>
      <c r="C258" s="31"/>
      <c r="D258" s="31"/>
    </row>
    <row r="259" spans="1:4" ht="13.2">
      <c r="A259" s="17"/>
      <c r="B259" s="30"/>
      <c r="C259" s="31"/>
      <c r="D259" s="31"/>
    </row>
    <row r="260" spans="1:4" ht="13.2">
      <c r="A260" s="17"/>
      <c r="B260" s="30"/>
      <c r="C260" s="31"/>
      <c r="D260" s="31"/>
    </row>
    <row r="261" spans="1:4" ht="13.2">
      <c r="A261" s="17"/>
      <c r="B261" s="30"/>
      <c r="C261" s="31"/>
      <c r="D261" s="31"/>
    </row>
    <row r="262" spans="1:4" ht="13.2">
      <c r="A262" s="17"/>
      <c r="B262" s="30"/>
      <c r="C262" s="31"/>
      <c r="D262" s="31"/>
    </row>
    <row r="263" spans="1:4" ht="13.2">
      <c r="A263" s="17"/>
      <c r="B263" s="30"/>
      <c r="C263" s="31"/>
      <c r="D263" s="31"/>
    </row>
    <row r="264" spans="1:4" ht="13.2">
      <c r="A264" s="17"/>
      <c r="B264" s="30"/>
      <c r="C264" s="31"/>
      <c r="D264" s="31"/>
    </row>
    <row r="265" spans="1:4" ht="13.2">
      <c r="A265" s="17"/>
      <c r="B265" s="30"/>
      <c r="C265" s="31"/>
      <c r="D265" s="31"/>
    </row>
    <row r="266" spans="1:4" ht="13.2">
      <c r="A266" s="17"/>
      <c r="B266" s="30"/>
      <c r="C266" s="31"/>
      <c r="D266" s="31"/>
    </row>
    <row r="267" spans="1:4" ht="13.2">
      <c r="A267" s="17"/>
      <c r="B267" s="30"/>
      <c r="C267" s="31"/>
      <c r="D267" s="31"/>
    </row>
    <row r="268" spans="1:4" ht="13.2">
      <c r="A268" s="17"/>
      <c r="B268" s="30"/>
      <c r="C268" s="31"/>
      <c r="D268" s="31"/>
    </row>
    <row r="269" spans="1:4" ht="13.2">
      <c r="A269" s="17"/>
      <c r="B269" s="30"/>
      <c r="C269" s="31"/>
      <c r="D269" s="31"/>
    </row>
    <row r="270" spans="1:4" ht="13.2">
      <c r="A270" s="17"/>
      <c r="B270" s="30"/>
      <c r="C270" s="31"/>
      <c r="D270" s="31"/>
    </row>
    <row r="271" spans="1:4" ht="13.2">
      <c r="A271" s="17"/>
      <c r="B271" s="30"/>
      <c r="C271" s="31"/>
      <c r="D271" s="31"/>
    </row>
    <row r="272" spans="1:4" ht="13.2">
      <c r="A272" s="17"/>
      <c r="B272" s="30"/>
      <c r="C272" s="31"/>
      <c r="D272" s="31"/>
    </row>
    <row r="273" spans="1:4" ht="13.2">
      <c r="A273" s="17"/>
      <c r="B273" s="30"/>
      <c r="C273" s="31"/>
      <c r="D273" s="31"/>
    </row>
    <row r="274" spans="1:4" ht="13.2">
      <c r="A274" s="17"/>
      <c r="B274" s="30"/>
      <c r="C274" s="31"/>
      <c r="D274" s="31"/>
    </row>
    <row r="275" spans="1:4" ht="13.2">
      <c r="A275" s="17"/>
      <c r="B275" s="30"/>
      <c r="C275" s="31"/>
      <c r="D275" s="31"/>
    </row>
    <row r="276" spans="1:4" ht="13.2">
      <c r="A276" s="17"/>
      <c r="B276" s="30"/>
      <c r="C276" s="31"/>
      <c r="D276" s="31"/>
    </row>
    <row r="277" spans="1:4" ht="13.2">
      <c r="A277" s="17"/>
      <c r="B277" s="30"/>
      <c r="C277" s="31"/>
      <c r="D277" s="31"/>
    </row>
    <row r="278" spans="1:4" ht="13.2">
      <c r="A278" s="17"/>
      <c r="B278" s="30"/>
      <c r="C278" s="31"/>
      <c r="D278" s="31"/>
    </row>
    <row r="279" spans="1:4" ht="13.2">
      <c r="A279" s="17"/>
      <c r="B279" s="30"/>
      <c r="C279" s="31"/>
      <c r="D279" s="31"/>
    </row>
    <row r="280" spans="1:4" ht="13.2">
      <c r="A280" s="17"/>
      <c r="B280" s="30"/>
      <c r="C280" s="31"/>
      <c r="D280" s="31"/>
    </row>
    <row r="281" spans="1:4" ht="13.2">
      <c r="A281" s="17"/>
      <c r="B281" s="30"/>
      <c r="C281" s="31"/>
      <c r="D281" s="31"/>
    </row>
    <row r="282" spans="1:4" ht="13.2">
      <c r="A282" s="17"/>
      <c r="B282" s="30"/>
      <c r="C282" s="31"/>
      <c r="D282" s="31"/>
    </row>
    <row r="283" spans="1:4" ht="13.2">
      <c r="A283" s="17"/>
      <c r="B283" s="30"/>
      <c r="C283" s="31"/>
      <c r="D283" s="31"/>
    </row>
    <row r="284" spans="1:4" ht="13.2">
      <c r="A284" s="17"/>
      <c r="B284" s="30"/>
      <c r="C284" s="31"/>
      <c r="D284" s="31"/>
    </row>
    <row r="285" spans="1:4" ht="13.2">
      <c r="A285" s="17"/>
      <c r="B285" s="30"/>
      <c r="C285" s="31"/>
      <c r="D285" s="31"/>
    </row>
    <row r="286" spans="1:4" ht="13.2">
      <c r="A286" s="17"/>
      <c r="B286" s="30"/>
      <c r="C286" s="31"/>
      <c r="D286" s="31"/>
    </row>
    <row r="287" spans="1:4" ht="13.2">
      <c r="A287" s="17"/>
      <c r="B287" s="30"/>
      <c r="C287" s="31"/>
      <c r="D287" s="31"/>
    </row>
    <row r="288" spans="1:4" ht="13.2">
      <c r="A288" s="17"/>
      <c r="B288" s="30"/>
      <c r="C288" s="31"/>
      <c r="D288" s="31"/>
    </row>
    <row r="289" spans="1:4" ht="13.2">
      <c r="A289" s="17"/>
      <c r="B289" s="30"/>
      <c r="C289" s="31"/>
      <c r="D289" s="31"/>
    </row>
    <row r="290" spans="1:4" ht="13.2">
      <c r="A290" s="17"/>
      <c r="B290" s="30"/>
      <c r="C290" s="31"/>
      <c r="D290" s="31"/>
    </row>
    <row r="291" spans="1:4" ht="13.2">
      <c r="A291" s="17"/>
      <c r="B291" s="30"/>
      <c r="C291" s="31"/>
      <c r="D291" s="31"/>
    </row>
    <row r="292" spans="1:4" ht="13.2">
      <c r="A292" s="17"/>
      <c r="B292" s="30"/>
      <c r="C292" s="31"/>
      <c r="D292" s="31"/>
    </row>
    <row r="293" spans="1:4" ht="13.2">
      <c r="A293" s="17"/>
      <c r="B293" s="30"/>
      <c r="C293" s="31"/>
      <c r="D293" s="31"/>
    </row>
    <row r="294" spans="1:4" ht="13.2">
      <c r="A294" s="17"/>
      <c r="B294" s="30"/>
      <c r="C294" s="31"/>
      <c r="D294" s="31"/>
    </row>
    <row r="295" spans="1:4" ht="13.2">
      <c r="A295" s="17"/>
      <c r="B295" s="30"/>
      <c r="C295" s="31"/>
      <c r="D295" s="31"/>
    </row>
    <row r="296" spans="1:4" ht="13.2">
      <c r="A296" s="17"/>
      <c r="B296" s="30"/>
      <c r="C296" s="31"/>
      <c r="D296" s="31"/>
    </row>
    <row r="297" spans="1:4" ht="13.2">
      <c r="A297" s="17"/>
      <c r="B297" s="30"/>
      <c r="C297" s="31"/>
      <c r="D297" s="31"/>
    </row>
    <row r="298" spans="1:4" ht="13.2">
      <c r="A298" s="17"/>
      <c r="B298" s="30"/>
      <c r="C298" s="31"/>
      <c r="D298" s="31"/>
    </row>
    <row r="299" spans="1:4" ht="13.2">
      <c r="A299" s="17"/>
      <c r="B299" s="30"/>
      <c r="C299" s="31"/>
      <c r="D299" s="31"/>
    </row>
    <row r="300" spans="1:4" ht="13.2">
      <c r="A300" s="17"/>
      <c r="B300" s="30"/>
      <c r="C300" s="31"/>
      <c r="D300" s="31"/>
    </row>
    <row r="301" spans="1:4" ht="13.2">
      <c r="A301" s="17"/>
      <c r="B301" s="30"/>
      <c r="C301" s="31"/>
      <c r="D301" s="31"/>
    </row>
    <row r="302" spans="1:4" ht="13.2">
      <c r="A302" s="17"/>
      <c r="B302" s="30"/>
      <c r="C302" s="31"/>
      <c r="D302" s="31"/>
    </row>
    <row r="303" spans="1:4" ht="13.2">
      <c r="A303" s="17"/>
      <c r="B303" s="30"/>
      <c r="C303" s="31"/>
      <c r="D303" s="31"/>
    </row>
    <row r="304" spans="1:4" ht="13.2">
      <c r="A304" s="17"/>
      <c r="B304" s="30"/>
      <c r="C304" s="31"/>
      <c r="D304" s="31"/>
    </row>
    <row r="305" spans="1:4" ht="13.2">
      <c r="A305" s="17"/>
      <c r="B305" s="30"/>
      <c r="C305" s="31"/>
      <c r="D305" s="31"/>
    </row>
    <row r="306" spans="1:4" ht="13.2">
      <c r="A306" s="17"/>
      <c r="B306" s="30"/>
      <c r="C306" s="31"/>
      <c r="D306" s="31"/>
    </row>
    <row r="307" spans="1:4" ht="13.2">
      <c r="A307" s="17"/>
      <c r="B307" s="30"/>
      <c r="C307" s="31"/>
      <c r="D307" s="31"/>
    </row>
    <row r="308" spans="1:4" ht="13.2">
      <c r="A308" s="17"/>
      <c r="B308" s="30"/>
      <c r="C308" s="31"/>
      <c r="D308" s="31"/>
    </row>
    <row r="309" spans="1:4" ht="13.2">
      <c r="A309" s="17"/>
      <c r="B309" s="30"/>
      <c r="C309" s="31"/>
      <c r="D309" s="31"/>
    </row>
    <row r="310" spans="1:4" ht="13.2">
      <c r="A310" s="17"/>
      <c r="B310" s="30"/>
      <c r="C310" s="31"/>
      <c r="D310" s="31"/>
    </row>
    <row r="311" spans="1:4" ht="13.2">
      <c r="A311" s="17"/>
      <c r="B311" s="30"/>
      <c r="C311" s="31"/>
      <c r="D311" s="31"/>
    </row>
    <row r="312" spans="1:4" ht="13.2">
      <c r="A312" s="17"/>
      <c r="B312" s="30"/>
      <c r="C312" s="31"/>
      <c r="D312" s="31"/>
    </row>
    <row r="313" spans="1:4" ht="13.2">
      <c r="A313" s="17"/>
      <c r="B313" s="30"/>
      <c r="C313" s="31"/>
      <c r="D313" s="31"/>
    </row>
    <row r="314" spans="1:4" ht="13.2">
      <c r="A314" s="17"/>
      <c r="B314" s="30"/>
      <c r="C314" s="31"/>
      <c r="D314" s="31"/>
    </row>
    <row r="315" spans="1:4" ht="13.2">
      <c r="A315" s="17"/>
      <c r="B315" s="30"/>
      <c r="C315" s="31"/>
      <c r="D315" s="31"/>
    </row>
    <row r="316" spans="1:4" ht="13.2">
      <c r="A316" s="17"/>
      <c r="B316" s="30"/>
      <c r="C316" s="31"/>
      <c r="D316" s="31"/>
    </row>
    <row r="317" spans="1:4" ht="13.2">
      <c r="A317" s="17"/>
      <c r="B317" s="30"/>
      <c r="C317" s="31"/>
      <c r="D317" s="31"/>
    </row>
    <row r="318" spans="1:4" ht="13.2">
      <c r="A318" s="17"/>
      <c r="B318" s="30"/>
      <c r="C318" s="31"/>
      <c r="D318" s="31"/>
    </row>
    <row r="319" spans="1:4" ht="13.2">
      <c r="A319" s="17"/>
      <c r="B319" s="30"/>
      <c r="C319" s="31"/>
      <c r="D319" s="31"/>
    </row>
    <row r="320" spans="1:4" ht="13.2">
      <c r="A320" s="17"/>
      <c r="B320" s="30"/>
      <c r="C320" s="31"/>
      <c r="D320" s="31"/>
    </row>
    <row r="321" spans="1:4" ht="13.2">
      <c r="A321" s="17"/>
      <c r="B321" s="30"/>
      <c r="C321" s="31"/>
      <c r="D321" s="31"/>
    </row>
    <row r="322" spans="1:4" ht="13.2">
      <c r="A322" s="17"/>
      <c r="B322" s="30"/>
      <c r="C322" s="31"/>
      <c r="D322" s="31"/>
    </row>
    <row r="323" spans="1:4" ht="13.2">
      <c r="A323" s="17"/>
      <c r="B323" s="30"/>
      <c r="C323" s="31"/>
      <c r="D323" s="31"/>
    </row>
    <row r="324" spans="1:4" ht="13.2">
      <c r="A324" s="17"/>
      <c r="B324" s="30"/>
      <c r="C324" s="31"/>
      <c r="D324" s="31"/>
    </row>
    <row r="325" spans="1:4" ht="13.2">
      <c r="A325" s="17"/>
      <c r="B325" s="30"/>
      <c r="C325" s="31"/>
      <c r="D325" s="31"/>
    </row>
    <row r="326" spans="1:4" ht="13.2">
      <c r="A326" s="17"/>
      <c r="B326" s="30"/>
      <c r="C326" s="31"/>
      <c r="D326" s="31"/>
    </row>
    <row r="327" spans="1:4" ht="13.2">
      <c r="A327" s="17"/>
      <c r="B327" s="30"/>
      <c r="C327" s="31"/>
      <c r="D327" s="31"/>
    </row>
    <row r="328" spans="1:4" ht="13.2">
      <c r="A328" s="17"/>
      <c r="B328" s="30"/>
      <c r="C328" s="31"/>
      <c r="D328" s="31"/>
    </row>
    <row r="329" spans="1:4" ht="13.2">
      <c r="A329" s="17"/>
      <c r="B329" s="30"/>
      <c r="C329" s="31"/>
      <c r="D329" s="31"/>
    </row>
    <row r="330" spans="1:4" ht="13.2">
      <c r="A330" s="17"/>
      <c r="B330" s="30"/>
      <c r="C330" s="31"/>
      <c r="D330" s="31"/>
    </row>
    <row r="331" spans="1:4" ht="13.2">
      <c r="A331" s="17"/>
      <c r="B331" s="30"/>
      <c r="C331" s="31"/>
      <c r="D331" s="31"/>
    </row>
    <row r="332" spans="1:4" ht="13.2">
      <c r="A332" s="17"/>
      <c r="B332" s="30"/>
      <c r="C332" s="31"/>
      <c r="D332" s="31"/>
    </row>
    <row r="333" spans="1:4" ht="13.2">
      <c r="A333" s="17"/>
      <c r="B333" s="30"/>
      <c r="C333" s="31"/>
      <c r="D333" s="31"/>
    </row>
    <row r="334" spans="1:4" ht="13.2">
      <c r="A334" s="17"/>
      <c r="B334" s="30"/>
      <c r="C334" s="31"/>
      <c r="D334" s="31"/>
    </row>
    <row r="335" spans="1:4" ht="13.2">
      <c r="A335" s="17"/>
      <c r="B335" s="30"/>
      <c r="C335" s="31"/>
      <c r="D335" s="31"/>
    </row>
    <row r="336" spans="1:4" ht="13.2">
      <c r="A336" s="17"/>
      <c r="B336" s="30"/>
      <c r="C336" s="31"/>
      <c r="D336" s="31"/>
    </row>
    <row r="337" spans="1:4" ht="13.2">
      <c r="A337" s="17"/>
      <c r="B337" s="30"/>
      <c r="C337" s="31"/>
      <c r="D337" s="31"/>
    </row>
    <row r="338" spans="1:4" ht="13.2">
      <c r="A338" s="17"/>
      <c r="B338" s="30"/>
      <c r="C338" s="31"/>
      <c r="D338" s="31"/>
    </row>
    <row r="339" spans="1:4" ht="13.2">
      <c r="A339" s="17"/>
      <c r="B339" s="30"/>
      <c r="C339" s="31"/>
      <c r="D339" s="31"/>
    </row>
    <row r="340" spans="1:4" ht="13.2">
      <c r="A340" s="17"/>
      <c r="B340" s="30"/>
      <c r="C340" s="31"/>
      <c r="D340" s="31"/>
    </row>
    <row r="341" spans="1:4" ht="13.2">
      <c r="A341" s="17"/>
      <c r="B341" s="30"/>
      <c r="C341" s="31"/>
      <c r="D341" s="31"/>
    </row>
    <row r="342" spans="1:4" ht="13.2">
      <c r="A342" s="17"/>
      <c r="B342" s="30"/>
      <c r="C342" s="31"/>
      <c r="D342" s="31"/>
    </row>
    <row r="343" spans="1:4" ht="13.2">
      <c r="A343" s="17"/>
      <c r="B343" s="30"/>
      <c r="C343" s="31"/>
      <c r="D343" s="31"/>
    </row>
    <row r="344" spans="1:4" ht="13.2">
      <c r="A344" s="17"/>
      <c r="B344" s="30"/>
      <c r="C344" s="31"/>
      <c r="D344" s="31"/>
    </row>
    <row r="345" spans="1:4" ht="13.2">
      <c r="A345" s="17"/>
      <c r="B345" s="30"/>
      <c r="C345" s="31"/>
      <c r="D345" s="31"/>
    </row>
    <row r="346" spans="1:4" ht="13.2">
      <c r="A346" s="17"/>
      <c r="B346" s="30"/>
      <c r="C346" s="31"/>
      <c r="D346" s="31"/>
    </row>
    <row r="347" spans="1:4" ht="13.2">
      <c r="A347" s="17"/>
      <c r="B347" s="30"/>
      <c r="C347" s="31"/>
      <c r="D347" s="31"/>
    </row>
    <row r="348" spans="1:4" ht="13.2">
      <c r="A348" s="17"/>
      <c r="B348" s="30"/>
      <c r="C348" s="31"/>
      <c r="D348" s="31"/>
    </row>
    <row r="349" spans="1:4" ht="13.2">
      <c r="A349" s="17"/>
      <c r="B349" s="30"/>
      <c r="C349" s="31"/>
      <c r="D349" s="31"/>
    </row>
    <row r="350" spans="1:4" ht="13.2">
      <c r="A350" s="17"/>
      <c r="B350" s="30"/>
      <c r="C350" s="31"/>
      <c r="D350" s="31"/>
    </row>
    <row r="351" spans="1:4" ht="13.2">
      <c r="A351" s="17"/>
      <c r="B351" s="30"/>
      <c r="C351" s="31"/>
      <c r="D351" s="31"/>
    </row>
    <row r="352" spans="1:4" ht="13.2">
      <c r="A352" s="17"/>
      <c r="B352" s="30"/>
      <c r="C352" s="31"/>
      <c r="D352" s="31"/>
    </row>
    <row r="353" spans="1:4" ht="13.2">
      <c r="A353" s="17"/>
      <c r="B353" s="30"/>
      <c r="C353" s="31"/>
      <c r="D353" s="31"/>
    </row>
    <row r="354" spans="1:4" ht="13.2">
      <c r="A354" s="17"/>
      <c r="B354" s="30"/>
      <c r="C354" s="31"/>
      <c r="D354" s="31"/>
    </row>
    <row r="355" spans="1:4" ht="13.2">
      <c r="A355" s="17"/>
      <c r="B355" s="30"/>
      <c r="C355" s="31"/>
      <c r="D355" s="31"/>
    </row>
    <row r="356" spans="1:4" ht="13.2">
      <c r="A356" s="17"/>
      <c r="B356" s="30"/>
      <c r="C356" s="31"/>
      <c r="D356" s="31"/>
    </row>
    <row r="357" spans="1:4" ht="13.2">
      <c r="A357" s="17"/>
      <c r="B357" s="30"/>
      <c r="C357" s="31"/>
      <c r="D357" s="31"/>
    </row>
    <row r="358" spans="1:4" ht="13.2">
      <c r="A358" s="17"/>
      <c r="B358" s="30"/>
      <c r="C358" s="31"/>
      <c r="D358" s="31"/>
    </row>
    <row r="359" spans="1:4" ht="13.2">
      <c r="A359" s="17"/>
      <c r="B359" s="30"/>
      <c r="C359" s="31"/>
      <c r="D359" s="31"/>
    </row>
    <row r="360" spans="1:4" ht="13.2">
      <c r="A360" s="17"/>
      <c r="B360" s="30"/>
      <c r="C360" s="31"/>
      <c r="D360" s="31"/>
    </row>
    <row r="361" spans="1:4" ht="13.2">
      <c r="A361" s="17"/>
      <c r="B361" s="30"/>
      <c r="C361" s="31"/>
      <c r="D361" s="31"/>
    </row>
    <row r="362" spans="1:4" ht="13.2">
      <c r="A362" s="17"/>
      <c r="B362" s="30"/>
      <c r="C362" s="31"/>
      <c r="D362" s="31"/>
    </row>
    <row r="363" spans="1:4" ht="13.2">
      <c r="A363" s="17"/>
      <c r="B363" s="30"/>
      <c r="C363" s="31"/>
      <c r="D363" s="31"/>
    </row>
    <row r="364" spans="1:4" ht="13.2">
      <c r="A364" s="17"/>
      <c r="B364" s="30"/>
      <c r="C364" s="31"/>
      <c r="D364" s="31"/>
    </row>
    <row r="365" spans="1:4" ht="13.2">
      <c r="A365" s="17"/>
      <c r="B365" s="30"/>
      <c r="C365" s="31"/>
      <c r="D365" s="31"/>
    </row>
    <row r="366" spans="1:4" ht="13.2">
      <c r="A366" s="17"/>
      <c r="B366" s="30"/>
      <c r="C366" s="31"/>
      <c r="D366" s="31"/>
    </row>
    <row r="367" spans="1:4" ht="13.2">
      <c r="A367" s="17"/>
      <c r="B367" s="30"/>
      <c r="C367" s="31"/>
      <c r="D367" s="31"/>
    </row>
    <row r="368" spans="1:4" ht="13.2">
      <c r="A368" s="17"/>
      <c r="B368" s="30"/>
      <c r="C368" s="31"/>
      <c r="D368" s="31"/>
    </row>
    <row r="369" spans="1:4" ht="13.2">
      <c r="A369" s="17"/>
      <c r="B369" s="30"/>
      <c r="C369" s="31"/>
      <c r="D369" s="31"/>
    </row>
    <row r="370" spans="1:4" ht="13.2">
      <c r="A370" s="17"/>
      <c r="B370" s="30"/>
      <c r="C370" s="31"/>
      <c r="D370" s="31"/>
    </row>
    <row r="371" spans="1:4" ht="13.2">
      <c r="A371" s="17"/>
      <c r="B371" s="30"/>
      <c r="C371" s="31"/>
      <c r="D371" s="31"/>
    </row>
    <row r="372" spans="1:4" ht="13.2">
      <c r="A372" s="17"/>
      <c r="B372" s="30"/>
      <c r="C372" s="31"/>
      <c r="D372" s="31"/>
    </row>
    <row r="373" spans="1:4" ht="13.2">
      <c r="A373" s="17"/>
      <c r="B373" s="30"/>
      <c r="C373" s="31"/>
      <c r="D373" s="31"/>
    </row>
    <row r="374" spans="1:4" ht="13.2">
      <c r="A374" s="17"/>
      <c r="B374" s="30"/>
      <c r="C374" s="31"/>
      <c r="D374" s="31"/>
    </row>
    <row r="375" spans="1:4" ht="13.2">
      <c r="A375" s="17"/>
      <c r="B375" s="30"/>
      <c r="C375" s="31"/>
      <c r="D375" s="31"/>
    </row>
    <row r="376" spans="1:4" ht="13.2">
      <c r="A376" s="17"/>
      <c r="B376" s="30"/>
      <c r="C376" s="31"/>
      <c r="D376" s="31"/>
    </row>
    <row r="377" spans="1:4" ht="13.2">
      <c r="A377" s="17"/>
      <c r="B377" s="30"/>
      <c r="C377" s="31"/>
      <c r="D377" s="31"/>
    </row>
    <row r="378" spans="1:4" ht="13.2">
      <c r="A378" s="17"/>
      <c r="B378" s="30"/>
      <c r="C378" s="31"/>
      <c r="D378" s="31"/>
    </row>
    <row r="379" spans="1:4" ht="13.2">
      <c r="A379" s="17"/>
      <c r="B379" s="30"/>
      <c r="C379" s="31"/>
      <c r="D379" s="31"/>
    </row>
    <row r="380" spans="1:4" ht="13.2">
      <c r="A380" s="17"/>
      <c r="B380" s="30"/>
      <c r="C380" s="31"/>
      <c r="D380" s="31"/>
    </row>
    <row r="381" spans="1:4" ht="13.2">
      <c r="A381" s="17"/>
      <c r="B381" s="30"/>
      <c r="C381" s="31"/>
      <c r="D381" s="31"/>
    </row>
    <row r="382" spans="1:4" ht="13.2">
      <c r="A382" s="17"/>
      <c r="B382" s="30"/>
      <c r="C382" s="31"/>
      <c r="D382" s="31"/>
    </row>
    <row r="383" spans="1:4" ht="13.2">
      <c r="A383" s="17"/>
      <c r="B383" s="30"/>
      <c r="C383" s="31"/>
      <c r="D383" s="31"/>
    </row>
    <row r="384" spans="1:4" ht="13.2">
      <c r="A384" s="17"/>
      <c r="B384" s="30"/>
      <c r="C384" s="31"/>
      <c r="D384" s="31"/>
    </row>
    <row r="385" spans="1:4" ht="13.2">
      <c r="A385" s="17"/>
      <c r="B385" s="30"/>
      <c r="C385" s="31"/>
      <c r="D385" s="31"/>
    </row>
    <row r="386" spans="1:4" ht="13.2">
      <c r="A386" s="17"/>
      <c r="B386" s="30"/>
      <c r="C386" s="31"/>
      <c r="D386" s="31"/>
    </row>
    <row r="387" spans="1:4" ht="13.2">
      <c r="A387" s="17"/>
      <c r="B387" s="30"/>
      <c r="C387" s="31"/>
      <c r="D387" s="31"/>
    </row>
    <row r="388" spans="1:4" ht="13.2">
      <c r="A388" s="17"/>
      <c r="B388" s="30"/>
      <c r="C388" s="31"/>
      <c r="D388" s="31"/>
    </row>
    <row r="389" spans="1:4" ht="13.2">
      <c r="A389" s="17"/>
      <c r="B389" s="30"/>
      <c r="C389" s="31"/>
      <c r="D389" s="31"/>
    </row>
    <row r="390" spans="1:4" ht="13.2">
      <c r="A390" s="17"/>
      <c r="B390" s="30"/>
      <c r="C390" s="31"/>
      <c r="D390" s="31"/>
    </row>
    <row r="391" spans="1:4" ht="13.2">
      <c r="A391" s="17"/>
      <c r="B391" s="30"/>
      <c r="C391" s="31"/>
      <c r="D391" s="31"/>
    </row>
    <row r="392" spans="1:4" ht="13.2">
      <c r="A392" s="17"/>
      <c r="B392" s="30"/>
      <c r="C392" s="31"/>
      <c r="D392" s="31"/>
    </row>
    <row r="393" spans="1:4" ht="13.2">
      <c r="A393" s="17"/>
      <c r="B393" s="30"/>
      <c r="C393" s="31"/>
      <c r="D393" s="31"/>
    </row>
    <row r="394" spans="1:4" ht="13.2">
      <c r="A394" s="17"/>
      <c r="B394" s="30"/>
      <c r="C394" s="31"/>
      <c r="D394" s="31"/>
    </row>
    <row r="395" spans="1:4" ht="13.2">
      <c r="A395" s="17"/>
      <c r="B395" s="30"/>
      <c r="C395" s="31"/>
      <c r="D395" s="31"/>
    </row>
    <row r="396" spans="1:4" ht="13.2">
      <c r="A396" s="17"/>
      <c r="B396" s="30"/>
      <c r="C396" s="31"/>
      <c r="D396" s="31"/>
    </row>
    <row r="397" spans="1:4" ht="13.2">
      <c r="A397" s="17"/>
      <c r="B397" s="30"/>
      <c r="C397" s="31"/>
      <c r="D397" s="31"/>
    </row>
    <row r="398" spans="1:4" ht="13.2">
      <c r="A398" s="17"/>
      <c r="B398" s="30"/>
      <c r="C398" s="31"/>
      <c r="D398" s="31"/>
    </row>
    <row r="399" spans="1:4" ht="13.2">
      <c r="A399" s="17"/>
      <c r="B399" s="30"/>
      <c r="C399" s="31"/>
      <c r="D399" s="31"/>
    </row>
    <row r="400" spans="1:4" ht="13.2">
      <c r="A400" s="17"/>
      <c r="B400" s="30"/>
      <c r="C400" s="31"/>
      <c r="D400" s="31"/>
    </row>
    <row r="401" spans="1:4" ht="13.2">
      <c r="A401" s="17"/>
      <c r="B401" s="30"/>
      <c r="C401" s="31"/>
      <c r="D401" s="31"/>
    </row>
    <row r="402" spans="1:4" ht="13.2">
      <c r="A402" s="17"/>
      <c r="B402" s="30"/>
      <c r="C402" s="31"/>
      <c r="D402" s="31"/>
    </row>
    <row r="403" spans="1:4" ht="13.2">
      <c r="A403" s="17"/>
      <c r="B403" s="30"/>
      <c r="C403" s="31"/>
      <c r="D403" s="31"/>
    </row>
    <row r="404" spans="1:4" ht="13.2">
      <c r="A404" s="17"/>
      <c r="B404" s="30"/>
      <c r="C404" s="31"/>
      <c r="D404" s="31"/>
    </row>
    <row r="405" spans="1:4" ht="13.2">
      <c r="A405" s="17"/>
      <c r="B405" s="30"/>
      <c r="C405" s="31"/>
      <c r="D405" s="31"/>
    </row>
    <row r="406" spans="1:4" ht="13.2">
      <c r="A406" s="17"/>
      <c r="B406" s="30"/>
      <c r="C406" s="31"/>
      <c r="D406" s="31"/>
    </row>
    <row r="407" spans="1:4" ht="13.2">
      <c r="A407" s="17"/>
      <c r="B407" s="30"/>
      <c r="C407" s="31"/>
      <c r="D407" s="31"/>
    </row>
    <row r="408" spans="1:4" ht="13.2">
      <c r="A408" s="17"/>
      <c r="B408" s="30"/>
      <c r="C408" s="31"/>
      <c r="D408" s="31"/>
    </row>
    <row r="409" spans="1:4" ht="13.2">
      <c r="A409" s="17"/>
      <c r="B409" s="30"/>
      <c r="C409" s="31"/>
      <c r="D409" s="31"/>
    </row>
    <row r="410" spans="1:4" ht="13.2">
      <c r="A410" s="17"/>
      <c r="B410" s="30"/>
      <c r="C410" s="31"/>
      <c r="D410" s="31"/>
    </row>
    <row r="411" spans="1:4" ht="13.2">
      <c r="A411" s="17"/>
      <c r="B411" s="30"/>
      <c r="C411" s="31"/>
      <c r="D411" s="31"/>
    </row>
    <row r="412" spans="1:4" ht="13.2">
      <c r="A412" s="17"/>
      <c r="B412" s="30"/>
      <c r="C412" s="31"/>
      <c r="D412" s="31"/>
    </row>
    <row r="413" spans="1:4" ht="13.2">
      <c r="A413" s="17"/>
      <c r="B413" s="30"/>
      <c r="C413" s="31"/>
      <c r="D413" s="31"/>
    </row>
    <row r="414" spans="1:4" ht="13.2">
      <c r="A414" s="17"/>
      <c r="B414" s="30"/>
      <c r="C414" s="31"/>
      <c r="D414" s="31"/>
    </row>
    <row r="415" spans="1:4" ht="13.2">
      <c r="A415" s="17"/>
      <c r="B415" s="30"/>
      <c r="C415" s="31"/>
      <c r="D415" s="31"/>
    </row>
    <row r="416" spans="1:4" ht="13.2">
      <c r="A416" s="17"/>
      <c r="B416" s="30"/>
      <c r="C416" s="31"/>
      <c r="D416" s="31"/>
    </row>
    <row r="417" spans="1:4" ht="13.2">
      <c r="A417" s="17"/>
      <c r="B417" s="30"/>
      <c r="C417" s="31"/>
      <c r="D417" s="31"/>
    </row>
    <row r="418" spans="1:4" ht="13.2">
      <c r="A418" s="17"/>
      <c r="B418" s="30"/>
      <c r="C418" s="31"/>
      <c r="D418" s="31"/>
    </row>
    <row r="419" spans="1:4" ht="13.2">
      <c r="A419" s="17"/>
      <c r="B419" s="30"/>
      <c r="C419" s="31"/>
      <c r="D419" s="31"/>
    </row>
    <row r="420" spans="1:4" ht="13.2">
      <c r="A420" s="17"/>
      <c r="B420" s="30"/>
      <c r="C420" s="31"/>
      <c r="D420" s="31"/>
    </row>
    <row r="421" spans="1:4" ht="13.2">
      <c r="A421" s="17"/>
      <c r="B421" s="30"/>
      <c r="C421" s="31"/>
      <c r="D421" s="31"/>
    </row>
    <row r="422" spans="1:4" ht="13.2">
      <c r="A422" s="17"/>
      <c r="B422" s="30"/>
      <c r="C422" s="31"/>
      <c r="D422" s="31"/>
    </row>
    <row r="423" spans="1:4" ht="13.2">
      <c r="A423" s="17"/>
      <c r="B423" s="30"/>
      <c r="C423" s="31"/>
      <c r="D423" s="31"/>
    </row>
    <row r="424" spans="1:4" ht="13.2">
      <c r="A424" s="17"/>
      <c r="B424" s="30"/>
      <c r="C424" s="31"/>
      <c r="D424" s="31"/>
    </row>
    <row r="425" spans="1:4" ht="13.2">
      <c r="A425" s="17"/>
      <c r="B425" s="30"/>
      <c r="C425" s="31"/>
      <c r="D425" s="31"/>
    </row>
    <row r="426" spans="1:4" ht="13.2">
      <c r="A426" s="17"/>
      <c r="B426" s="30"/>
      <c r="C426" s="31"/>
      <c r="D426" s="31"/>
    </row>
    <row r="427" spans="1:4" ht="13.2">
      <c r="A427" s="17"/>
      <c r="B427" s="30"/>
      <c r="C427" s="31"/>
      <c r="D427" s="31"/>
    </row>
    <row r="428" spans="1:4" ht="13.2">
      <c r="A428" s="17"/>
      <c r="B428" s="30"/>
      <c r="C428" s="31"/>
      <c r="D428" s="31"/>
    </row>
    <row r="429" spans="1:4" ht="13.2">
      <c r="A429" s="17"/>
      <c r="B429" s="30"/>
      <c r="C429" s="31"/>
      <c r="D429" s="31"/>
    </row>
    <row r="430" spans="1:4" ht="13.2">
      <c r="A430" s="17"/>
      <c r="B430" s="30"/>
      <c r="C430" s="31"/>
      <c r="D430" s="31"/>
    </row>
    <row r="431" spans="1:4" ht="13.2">
      <c r="A431" s="17"/>
      <c r="B431" s="30"/>
      <c r="C431" s="31"/>
      <c r="D431" s="31"/>
    </row>
    <row r="432" spans="1:4" ht="13.2">
      <c r="A432" s="17"/>
      <c r="B432" s="30"/>
      <c r="C432" s="31"/>
      <c r="D432" s="31"/>
    </row>
    <row r="433" spans="1:4" ht="13.2">
      <c r="A433" s="17"/>
      <c r="B433" s="30"/>
      <c r="C433" s="31"/>
      <c r="D433" s="31"/>
    </row>
    <row r="434" spans="1:4" ht="13.2">
      <c r="A434" s="17"/>
      <c r="B434" s="30"/>
      <c r="C434" s="31"/>
      <c r="D434" s="31"/>
    </row>
    <row r="435" spans="1:4" ht="13.2">
      <c r="A435" s="17"/>
      <c r="B435" s="30"/>
      <c r="C435" s="31"/>
      <c r="D435" s="31"/>
    </row>
    <row r="436" spans="1:4" ht="13.2">
      <c r="A436" s="17"/>
      <c r="B436" s="30"/>
      <c r="C436" s="31"/>
      <c r="D436" s="31"/>
    </row>
    <row r="437" spans="1:4" ht="13.2">
      <c r="A437" s="17"/>
      <c r="B437" s="30"/>
      <c r="C437" s="31"/>
      <c r="D437" s="31"/>
    </row>
    <row r="438" spans="1:4" ht="13.2">
      <c r="A438" s="17"/>
      <c r="B438" s="30"/>
      <c r="C438" s="31"/>
      <c r="D438" s="31"/>
    </row>
    <row r="439" spans="1:4" ht="13.2">
      <c r="A439" s="17"/>
      <c r="B439" s="30"/>
      <c r="C439" s="31"/>
      <c r="D439" s="31"/>
    </row>
    <row r="440" spans="1:4" ht="13.2">
      <c r="A440" s="17"/>
      <c r="B440" s="30"/>
      <c r="C440" s="31"/>
      <c r="D440" s="31"/>
    </row>
    <row r="441" spans="1:4" ht="13.2">
      <c r="A441" s="17"/>
      <c r="B441" s="30"/>
      <c r="C441" s="31"/>
      <c r="D441" s="31"/>
    </row>
    <row r="442" spans="1:4" ht="13.2">
      <c r="A442" s="17"/>
      <c r="B442" s="30"/>
      <c r="C442" s="31"/>
      <c r="D442" s="31"/>
    </row>
    <row r="443" spans="1:4" ht="13.2">
      <c r="A443" s="17"/>
      <c r="B443" s="30"/>
      <c r="C443" s="31"/>
      <c r="D443" s="31"/>
    </row>
    <row r="444" spans="1:4" ht="13.2">
      <c r="A444" s="17"/>
      <c r="B444" s="30"/>
      <c r="C444" s="31"/>
      <c r="D444" s="31"/>
    </row>
    <row r="445" spans="1:4" ht="13.2">
      <c r="A445" s="17"/>
      <c r="B445" s="30"/>
      <c r="C445" s="31"/>
      <c r="D445" s="31"/>
    </row>
    <row r="446" spans="1:4" ht="13.2">
      <c r="A446" s="17"/>
      <c r="B446" s="30"/>
      <c r="C446" s="31"/>
      <c r="D446" s="31"/>
    </row>
    <row r="447" spans="1:4" ht="13.2">
      <c r="A447" s="17"/>
      <c r="B447" s="30"/>
      <c r="C447" s="31"/>
      <c r="D447" s="31"/>
    </row>
    <row r="448" spans="1:4" ht="13.2">
      <c r="A448" s="17"/>
      <c r="B448" s="30"/>
      <c r="C448" s="31"/>
      <c r="D448" s="31"/>
    </row>
    <row r="449" spans="1:4" ht="13.2">
      <c r="A449" s="17"/>
      <c r="B449" s="30"/>
      <c r="C449" s="31"/>
      <c r="D449" s="31"/>
    </row>
    <row r="450" spans="1:4" ht="13.2">
      <c r="A450" s="17"/>
      <c r="B450" s="30"/>
      <c r="C450" s="31"/>
      <c r="D450" s="31"/>
    </row>
    <row r="451" spans="1:4" ht="13.2">
      <c r="A451" s="17"/>
      <c r="B451" s="30"/>
      <c r="C451" s="31"/>
      <c r="D451" s="31"/>
    </row>
    <row r="452" spans="1:4" ht="13.2">
      <c r="A452" s="17"/>
      <c r="B452" s="30"/>
      <c r="C452" s="31"/>
      <c r="D452" s="31"/>
    </row>
    <row r="453" spans="1:4" ht="13.2">
      <c r="A453" s="17"/>
      <c r="B453" s="30"/>
      <c r="C453" s="31"/>
      <c r="D453" s="31"/>
    </row>
    <row r="454" spans="1:4" ht="13.2">
      <c r="A454" s="17"/>
      <c r="B454" s="30"/>
      <c r="C454" s="31"/>
      <c r="D454" s="31"/>
    </row>
    <row r="455" spans="1:4" ht="13.2">
      <c r="A455" s="17"/>
      <c r="B455" s="30"/>
      <c r="C455" s="31"/>
      <c r="D455" s="31"/>
    </row>
    <row r="456" spans="1:4" ht="13.2">
      <c r="A456" s="17"/>
      <c r="B456" s="30"/>
      <c r="C456" s="31"/>
      <c r="D456" s="31"/>
    </row>
    <row r="457" spans="1:4" ht="13.2">
      <c r="A457" s="17"/>
      <c r="B457" s="30"/>
      <c r="C457" s="31"/>
      <c r="D457" s="31"/>
    </row>
    <row r="458" spans="1:4" ht="13.2">
      <c r="A458" s="17"/>
      <c r="B458" s="30"/>
      <c r="C458" s="31"/>
      <c r="D458" s="31"/>
    </row>
    <row r="459" spans="1:4" ht="13.2">
      <c r="A459" s="17"/>
      <c r="B459" s="30"/>
      <c r="C459" s="31"/>
      <c r="D459" s="31"/>
    </row>
    <row r="460" spans="1:4" ht="13.2">
      <c r="A460" s="17"/>
      <c r="B460" s="30"/>
      <c r="C460" s="31"/>
      <c r="D460" s="31"/>
    </row>
    <row r="461" spans="1:4" ht="13.2">
      <c r="A461" s="17"/>
      <c r="B461" s="30"/>
      <c r="C461" s="31"/>
      <c r="D461" s="31"/>
    </row>
    <row r="462" spans="1:4" ht="13.2">
      <c r="A462" s="17"/>
      <c r="B462" s="30"/>
      <c r="C462" s="31"/>
      <c r="D462" s="31"/>
    </row>
    <row r="463" spans="1:4" ht="13.2">
      <c r="A463" s="17"/>
      <c r="B463" s="30"/>
      <c r="C463" s="31"/>
      <c r="D463" s="31"/>
    </row>
    <row r="464" spans="1:4" ht="13.2">
      <c r="A464" s="17"/>
      <c r="B464" s="30"/>
      <c r="C464" s="31"/>
      <c r="D464" s="31"/>
    </row>
    <row r="465" spans="1:4" ht="13.2">
      <c r="A465" s="17"/>
      <c r="B465" s="30"/>
      <c r="C465" s="31"/>
      <c r="D465" s="31"/>
    </row>
    <row r="466" spans="1:4" ht="13.2">
      <c r="A466" s="17"/>
      <c r="B466" s="30"/>
      <c r="C466" s="31"/>
      <c r="D466" s="31"/>
    </row>
    <row r="467" spans="1:4" ht="13.2">
      <c r="A467" s="17"/>
      <c r="B467" s="30"/>
      <c r="C467" s="31"/>
      <c r="D467" s="31"/>
    </row>
    <row r="468" spans="1:4" ht="13.2">
      <c r="A468" s="17"/>
      <c r="B468" s="30"/>
      <c r="C468" s="31"/>
      <c r="D468" s="31"/>
    </row>
    <row r="469" spans="1:4" ht="13.2">
      <c r="A469" s="17"/>
      <c r="B469" s="30"/>
      <c r="C469" s="31"/>
      <c r="D469" s="31"/>
    </row>
    <row r="470" spans="1:4" ht="13.2">
      <c r="A470" s="17"/>
      <c r="B470" s="30"/>
      <c r="C470" s="31"/>
      <c r="D470" s="31"/>
    </row>
    <row r="471" spans="1:4" ht="13.2">
      <c r="A471" s="17"/>
      <c r="B471" s="30"/>
      <c r="C471" s="31"/>
      <c r="D471" s="31"/>
    </row>
    <row r="472" spans="1:4" ht="13.2">
      <c r="A472" s="17"/>
      <c r="B472" s="30"/>
      <c r="C472" s="31"/>
      <c r="D472" s="31"/>
    </row>
    <row r="473" spans="1:4" ht="13.2">
      <c r="A473" s="17"/>
      <c r="B473" s="30"/>
      <c r="C473" s="31"/>
      <c r="D473" s="31"/>
    </row>
    <row r="474" spans="1:4" ht="13.2">
      <c r="A474" s="17"/>
      <c r="B474" s="30"/>
      <c r="C474" s="31"/>
      <c r="D474" s="31"/>
    </row>
    <row r="475" spans="1:4" ht="13.2">
      <c r="A475" s="17"/>
      <c r="B475" s="30"/>
      <c r="C475" s="31"/>
      <c r="D475" s="31"/>
    </row>
    <row r="476" spans="1:4" ht="13.2">
      <c r="A476" s="17"/>
      <c r="B476" s="30"/>
      <c r="C476" s="31"/>
      <c r="D476" s="31"/>
    </row>
    <row r="477" spans="1:4" ht="13.2">
      <c r="A477" s="17"/>
      <c r="B477" s="30"/>
      <c r="C477" s="31"/>
      <c r="D477" s="31"/>
    </row>
    <row r="478" spans="1:4" ht="13.2">
      <c r="A478" s="17"/>
      <c r="B478" s="30"/>
      <c r="C478" s="31"/>
      <c r="D478" s="31"/>
    </row>
    <row r="479" spans="1:4" ht="13.2">
      <c r="A479" s="17"/>
      <c r="B479" s="30"/>
      <c r="C479" s="31"/>
      <c r="D479" s="31"/>
    </row>
    <row r="480" spans="1:4" ht="13.2">
      <c r="A480" s="17"/>
      <c r="B480" s="30"/>
      <c r="C480" s="31"/>
      <c r="D480" s="31"/>
    </row>
    <row r="481" spans="1:4" ht="13.2">
      <c r="A481" s="17"/>
      <c r="B481" s="30"/>
      <c r="C481" s="31"/>
      <c r="D481" s="31"/>
    </row>
    <row r="482" spans="1:4" ht="13.2">
      <c r="A482" s="17"/>
      <c r="B482" s="30"/>
      <c r="C482" s="31"/>
      <c r="D482" s="31"/>
    </row>
    <row r="483" spans="1:4" ht="13.2">
      <c r="A483" s="17"/>
      <c r="B483" s="30"/>
      <c r="C483" s="31"/>
      <c r="D483" s="31"/>
    </row>
    <row r="484" spans="1:4" ht="13.2">
      <c r="A484" s="17"/>
      <c r="B484" s="30"/>
      <c r="C484" s="31"/>
      <c r="D484" s="31"/>
    </row>
    <row r="485" spans="1:4" ht="13.2">
      <c r="A485" s="17"/>
      <c r="B485" s="30"/>
      <c r="C485" s="31"/>
      <c r="D485" s="31"/>
    </row>
    <row r="486" spans="1:4" ht="13.2">
      <c r="A486" s="17"/>
      <c r="B486" s="30"/>
      <c r="C486" s="31"/>
      <c r="D486" s="31"/>
    </row>
    <row r="487" spans="1:4" ht="13.2">
      <c r="A487" s="17"/>
      <c r="B487" s="30"/>
      <c r="C487" s="31"/>
      <c r="D487" s="31"/>
    </row>
    <row r="488" spans="1:4" ht="13.2">
      <c r="A488" s="17"/>
      <c r="B488" s="30"/>
      <c r="C488" s="31"/>
      <c r="D488" s="31"/>
    </row>
    <row r="489" spans="1:4" ht="13.2">
      <c r="A489" s="17"/>
      <c r="B489" s="30"/>
      <c r="C489" s="31"/>
      <c r="D489" s="31"/>
    </row>
    <row r="490" spans="1:4" ht="13.2">
      <c r="A490" s="17"/>
      <c r="B490" s="30"/>
      <c r="C490" s="31"/>
      <c r="D490" s="31"/>
    </row>
    <row r="491" spans="1:4" ht="13.2">
      <c r="A491" s="17"/>
      <c r="B491" s="30"/>
      <c r="C491" s="31"/>
      <c r="D491" s="31"/>
    </row>
    <row r="492" spans="1:4" ht="13.2">
      <c r="A492" s="17"/>
      <c r="B492" s="30"/>
      <c r="C492" s="31"/>
      <c r="D492" s="31"/>
    </row>
    <row r="493" spans="1:4" ht="13.2">
      <c r="A493" s="17"/>
      <c r="B493" s="30"/>
      <c r="C493" s="31"/>
      <c r="D493" s="31"/>
    </row>
    <row r="494" spans="1:4" ht="13.2">
      <c r="A494" s="17"/>
      <c r="B494" s="30"/>
      <c r="C494" s="31"/>
      <c r="D494" s="31"/>
    </row>
    <row r="495" spans="1:4" ht="13.2">
      <c r="A495" s="17"/>
      <c r="B495" s="30"/>
      <c r="C495" s="31"/>
      <c r="D495" s="31"/>
    </row>
    <row r="496" spans="1:4" ht="13.2">
      <c r="A496" s="17"/>
      <c r="B496" s="30"/>
      <c r="C496" s="31"/>
      <c r="D496" s="31"/>
    </row>
    <row r="497" spans="1:4" ht="13.2">
      <c r="A497" s="17"/>
      <c r="B497" s="30"/>
      <c r="C497" s="31"/>
      <c r="D497" s="31"/>
    </row>
    <row r="498" spans="1:4" ht="13.2">
      <c r="A498" s="17"/>
      <c r="B498" s="30"/>
      <c r="C498" s="31"/>
      <c r="D498" s="31"/>
    </row>
    <row r="499" spans="1:4" ht="13.2">
      <c r="A499" s="17"/>
      <c r="B499" s="30"/>
      <c r="C499" s="31"/>
      <c r="D499" s="31"/>
    </row>
    <row r="500" spans="1:4" ht="13.2">
      <c r="A500" s="17"/>
      <c r="B500" s="30"/>
      <c r="C500" s="31"/>
      <c r="D500" s="31"/>
    </row>
    <row r="501" spans="1:4" ht="13.2">
      <c r="A501" s="17"/>
      <c r="B501" s="30"/>
      <c r="C501" s="31"/>
      <c r="D501" s="31"/>
    </row>
    <row r="502" spans="1:4" ht="13.2">
      <c r="A502" s="17"/>
      <c r="B502" s="30"/>
      <c r="C502" s="31"/>
      <c r="D502" s="31"/>
    </row>
    <row r="503" spans="1:4" ht="13.2">
      <c r="A503" s="17"/>
      <c r="B503" s="30"/>
      <c r="C503" s="31"/>
      <c r="D503" s="31"/>
    </row>
    <row r="504" spans="1:4" ht="13.2">
      <c r="A504" s="17"/>
      <c r="B504" s="30"/>
      <c r="C504" s="31"/>
      <c r="D504" s="31"/>
    </row>
    <row r="505" spans="1:4" ht="13.2">
      <c r="A505" s="17"/>
      <c r="B505" s="30"/>
      <c r="C505" s="31"/>
      <c r="D505" s="31"/>
    </row>
    <row r="506" spans="1:4" ht="13.2">
      <c r="A506" s="17"/>
      <c r="B506" s="30"/>
      <c r="C506" s="31"/>
      <c r="D506" s="31"/>
    </row>
    <row r="507" spans="1:4" ht="13.2">
      <c r="A507" s="17"/>
      <c r="B507" s="30"/>
      <c r="C507" s="31"/>
      <c r="D507" s="31"/>
    </row>
    <row r="508" spans="1:4" ht="13.2">
      <c r="A508" s="17"/>
      <c r="B508" s="30"/>
      <c r="C508" s="31"/>
      <c r="D508" s="31"/>
    </row>
    <row r="509" spans="1:4" ht="13.2">
      <c r="A509" s="17"/>
      <c r="B509" s="30"/>
      <c r="C509" s="31"/>
      <c r="D509" s="31"/>
    </row>
    <row r="510" spans="1:4" ht="13.2">
      <c r="A510" s="17"/>
      <c r="B510" s="30"/>
      <c r="C510" s="31"/>
      <c r="D510" s="31"/>
    </row>
    <row r="511" spans="1:4" ht="13.2">
      <c r="A511" s="17"/>
      <c r="B511" s="30"/>
      <c r="C511" s="31"/>
      <c r="D511" s="31"/>
    </row>
    <row r="512" spans="1:4" ht="13.2">
      <c r="A512" s="17"/>
      <c r="B512" s="30"/>
      <c r="C512" s="31"/>
      <c r="D512" s="31"/>
    </row>
    <row r="513" spans="1:4" ht="13.2">
      <c r="A513" s="17"/>
      <c r="B513" s="30"/>
      <c r="C513" s="31"/>
      <c r="D513" s="31"/>
    </row>
    <row r="514" spans="1:4" ht="13.2">
      <c r="A514" s="17"/>
      <c r="B514" s="30"/>
      <c r="C514" s="31"/>
      <c r="D514" s="31"/>
    </row>
    <row r="515" spans="1:4" ht="13.2">
      <c r="A515" s="17"/>
      <c r="B515" s="30"/>
      <c r="C515" s="31"/>
      <c r="D515" s="31"/>
    </row>
    <row r="516" spans="1:4" ht="13.2">
      <c r="A516" s="17"/>
      <c r="B516" s="30"/>
      <c r="C516" s="31"/>
      <c r="D516" s="31"/>
    </row>
    <row r="517" spans="1:4" ht="13.2">
      <c r="A517" s="17"/>
      <c r="B517" s="30"/>
      <c r="C517" s="31"/>
      <c r="D517" s="31"/>
    </row>
    <row r="518" spans="1:4" ht="13.2">
      <c r="A518" s="17"/>
      <c r="B518" s="30"/>
      <c r="C518" s="31"/>
      <c r="D518" s="31"/>
    </row>
    <row r="519" spans="1:4" ht="13.2">
      <c r="A519" s="17"/>
      <c r="B519" s="30"/>
      <c r="C519" s="31"/>
      <c r="D519" s="31"/>
    </row>
    <row r="520" spans="1:4" ht="13.2">
      <c r="A520" s="17"/>
      <c r="B520" s="30"/>
      <c r="C520" s="31"/>
      <c r="D520" s="31"/>
    </row>
    <row r="521" spans="1:4" ht="13.2">
      <c r="A521" s="17"/>
      <c r="B521" s="30"/>
      <c r="C521" s="31"/>
      <c r="D521" s="31"/>
    </row>
    <row r="522" spans="1:4" ht="13.2">
      <c r="A522" s="17"/>
      <c r="B522" s="30"/>
      <c r="C522" s="31"/>
      <c r="D522" s="31"/>
    </row>
    <row r="523" spans="1:4" ht="13.2">
      <c r="A523" s="17"/>
      <c r="B523" s="30"/>
      <c r="C523" s="31"/>
      <c r="D523" s="31"/>
    </row>
    <row r="524" spans="1:4" ht="13.2">
      <c r="A524" s="17"/>
      <c r="B524" s="30"/>
      <c r="C524" s="31"/>
      <c r="D524" s="31"/>
    </row>
    <row r="525" spans="1:4" ht="13.2">
      <c r="A525" s="17"/>
      <c r="B525" s="30"/>
      <c r="C525" s="31"/>
      <c r="D525" s="31"/>
    </row>
    <row r="526" spans="1:4" ht="13.2">
      <c r="A526" s="17"/>
      <c r="B526" s="30"/>
      <c r="C526" s="31"/>
      <c r="D526" s="31"/>
    </row>
    <row r="527" spans="1:4" ht="13.2">
      <c r="A527" s="17"/>
      <c r="B527" s="30"/>
      <c r="C527" s="31"/>
      <c r="D527" s="31"/>
    </row>
    <row r="528" spans="1:4" ht="13.2">
      <c r="A528" s="17"/>
      <c r="B528" s="30"/>
      <c r="C528" s="31"/>
      <c r="D528" s="31"/>
    </row>
    <row r="529" spans="1:4" ht="13.2">
      <c r="A529" s="17"/>
      <c r="B529" s="30"/>
      <c r="C529" s="31"/>
      <c r="D529" s="31"/>
    </row>
    <row r="530" spans="1:4" ht="13.2">
      <c r="A530" s="17"/>
      <c r="B530" s="30"/>
      <c r="C530" s="31"/>
      <c r="D530" s="31"/>
    </row>
    <row r="531" spans="1:4" ht="13.2">
      <c r="A531" s="17"/>
      <c r="B531" s="30"/>
      <c r="C531" s="31"/>
      <c r="D531" s="31"/>
    </row>
    <row r="532" spans="1:4" ht="13.2">
      <c r="A532" s="17"/>
      <c r="B532" s="30"/>
      <c r="C532" s="31"/>
      <c r="D532" s="31"/>
    </row>
    <row r="533" spans="1:4" ht="13.2">
      <c r="A533" s="17"/>
      <c r="B533" s="30"/>
      <c r="C533" s="31"/>
      <c r="D533" s="31"/>
    </row>
    <row r="534" spans="1:4" ht="13.2">
      <c r="A534" s="17"/>
      <c r="B534" s="30"/>
      <c r="C534" s="31"/>
      <c r="D534" s="31"/>
    </row>
    <row r="535" spans="1:4" ht="13.2">
      <c r="A535" s="17"/>
      <c r="B535" s="30"/>
      <c r="C535" s="31"/>
      <c r="D535" s="31"/>
    </row>
    <row r="536" spans="1:4" ht="13.2">
      <c r="A536" s="17"/>
      <c r="B536" s="30"/>
      <c r="C536" s="31"/>
      <c r="D536" s="31"/>
    </row>
    <row r="537" spans="1:4" ht="13.2">
      <c r="A537" s="17"/>
      <c r="B537" s="30"/>
      <c r="C537" s="31"/>
      <c r="D537" s="31"/>
    </row>
    <row r="538" spans="1:4" ht="13.2">
      <c r="A538" s="17"/>
      <c r="B538" s="30"/>
      <c r="C538" s="31"/>
      <c r="D538" s="31"/>
    </row>
    <row r="539" spans="1:4" ht="13.2">
      <c r="A539" s="17"/>
      <c r="B539" s="30"/>
      <c r="C539" s="31"/>
      <c r="D539" s="31"/>
    </row>
    <row r="540" spans="1:4" ht="13.2">
      <c r="A540" s="17"/>
      <c r="B540" s="30"/>
      <c r="C540" s="31"/>
      <c r="D540" s="31"/>
    </row>
    <row r="541" spans="1:4" ht="13.2">
      <c r="A541" s="17"/>
      <c r="B541" s="30"/>
      <c r="C541" s="31"/>
      <c r="D541" s="31"/>
    </row>
    <row r="542" spans="1:4" ht="13.2">
      <c r="A542" s="17"/>
      <c r="B542" s="30"/>
      <c r="C542" s="31"/>
      <c r="D542" s="31"/>
    </row>
    <row r="543" spans="1:4" ht="13.2">
      <c r="A543" s="17"/>
      <c r="B543" s="30"/>
      <c r="C543" s="31"/>
      <c r="D543" s="31"/>
    </row>
    <row r="544" spans="1:4" ht="13.2">
      <c r="A544" s="17"/>
      <c r="B544" s="30"/>
      <c r="C544" s="31"/>
      <c r="D544" s="31"/>
    </row>
    <row r="545" spans="1:4" ht="13.2">
      <c r="A545" s="17"/>
      <c r="B545" s="30"/>
      <c r="C545" s="31"/>
      <c r="D545" s="31"/>
    </row>
    <row r="546" spans="1:4" ht="13.2">
      <c r="A546" s="17"/>
      <c r="B546" s="30"/>
      <c r="C546" s="31"/>
      <c r="D546" s="31"/>
    </row>
    <row r="547" spans="1:4" ht="13.2">
      <c r="A547" s="17"/>
      <c r="B547" s="30"/>
      <c r="C547" s="31"/>
      <c r="D547" s="31"/>
    </row>
    <row r="548" spans="1:4" ht="13.2">
      <c r="A548" s="17"/>
      <c r="B548" s="30"/>
      <c r="C548" s="31"/>
      <c r="D548" s="31"/>
    </row>
    <row r="549" spans="1:4" ht="13.2">
      <c r="A549" s="17"/>
      <c r="B549" s="30"/>
      <c r="C549" s="31"/>
      <c r="D549" s="31"/>
    </row>
    <row r="550" spans="1:4" ht="13.2">
      <c r="A550" s="17"/>
      <c r="B550" s="30"/>
      <c r="C550" s="31"/>
      <c r="D550" s="31"/>
    </row>
    <row r="551" spans="1:4" ht="13.2">
      <c r="A551" s="17"/>
      <c r="B551" s="30"/>
      <c r="C551" s="31"/>
      <c r="D551" s="31"/>
    </row>
    <row r="552" spans="1:4" ht="13.2">
      <c r="A552" s="17"/>
      <c r="B552" s="30"/>
      <c r="C552" s="31"/>
      <c r="D552" s="31"/>
    </row>
    <row r="553" spans="1:4" ht="13.2">
      <c r="A553" s="17"/>
      <c r="B553" s="30"/>
      <c r="C553" s="31"/>
      <c r="D553" s="31"/>
    </row>
    <row r="554" spans="1:4" ht="13.2">
      <c r="A554" s="17"/>
      <c r="B554" s="30"/>
      <c r="C554" s="31"/>
      <c r="D554" s="31"/>
    </row>
    <row r="555" spans="1:4" ht="13.2">
      <c r="A555" s="17"/>
      <c r="B555" s="30"/>
      <c r="C555" s="31"/>
      <c r="D555" s="31"/>
    </row>
    <row r="556" spans="1:4" ht="13.2">
      <c r="A556" s="17"/>
      <c r="B556" s="30"/>
      <c r="C556" s="31"/>
      <c r="D556" s="31"/>
    </row>
    <row r="557" spans="1:4" ht="13.2">
      <c r="A557" s="17"/>
      <c r="B557" s="30"/>
      <c r="C557" s="31"/>
      <c r="D557" s="31"/>
    </row>
    <row r="558" spans="1:4" ht="13.2">
      <c r="A558" s="17"/>
      <c r="B558" s="30"/>
      <c r="C558" s="31"/>
      <c r="D558" s="31"/>
    </row>
    <row r="559" spans="1:4" ht="13.2">
      <c r="A559" s="17"/>
      <c r="B559" s="30"/>
      <c r="C559" s="31"/>
      <c r="D559" s="31"/>
    </row>
    <row r="560" spans="1:4" ht="13.2">
      <c r="A560" s="17"/>
      <c r="B560" s="30"/>
      <c r="C560" s="31"/>
      <c r="D560" s="31"/>
    </row>
    <row r="561" spans="1:4" ht="13.2">
      <c r="A561" s="17"/>
      <c r="B561" s="30"/>
      <c r="C561" s="31"/>
      <c r="D561" s="31"/>
    </row>
    <row r="562" spans="1:4" ht="13.2">
      <c r="A562" s="17"/>
      <c r="B562" s="30"/>
      <c r="C562" s="31"/>
      <c r="D562" s="31"/>
    </row>
    <row r="563" spans="1:4" ht="13.2">
      <c r="A563" s="17"/>
      <c r="B563" s="30"/>
      <c r="C563" s="31"/>
      <c r="D563" s="31"/>
    </row>
    <row r="564" spans="1:4" ht="13.2">
      <c r="A564" s="17"/>
      <c r="B564" s="30"/>
      <c r="C564" s="31"/>
      <c r="D564" s="31"/>
    </row>
    <row r="565" spans="1:4" ht="13.2">
      <c r="A565" s="17"/>
      <c r="B565" s="30"/>
      <c r="C565" s="31"/>
      <c r="D565" s="31"/>
    </row>
    <row r="566" spans="1:4" ht="13.2">
      <c r="A566" s="17"/>
      <c r="B566" s="30"/>
      <c r="C566" s="31"/>
      <c r="D566" s="31"/>
    </row>
    <row r="567" spans="1:4" ht="13.2">
      <c r="A567" s="17"/>
      <c r="B567" s="30"/>
      <c r="C567" s="31"/>
      <c r="D567" s="31"/>
    </row>
    <row r="568" spans="1:4" ht="13.2">
      <c r="A568" s="17"/>
      <c r="B568" s="30"/>
      <c r="C568" s="31"/>
      <c r="D568" s="31"/>
    </row>
    <row r="569" spans="1:4" ht="13.2">
      <c r="A569" s="17"/>
      <c r="B569" s="30"/>
      <c r="C569" s="31"/>
      <c r="D569" s="31"/>
    </row>
    <row r="570" spans="1:4" ht="13.2">
      <c r="A570" s="17"/>
      <c r="B570" s="30"/>
      <c r="C570" s="31"/>
      <c r="D570" s="31"/>
    </row>
    <row r="571" spans="1:4" ht="13.2">
      <c r="A571" s="17"/>
      <c r="B571" s="30"/>
      <c r="C571" s="31"/>
      <c r="D571" s="31"/>
    </row>
    <row r="572" spans="1:4" ht="13.2">
      <c r="A572" s="17"/>
      <c r="B572" s="30"/>
      <c r="C572" s="31"/>
      <c r="D572" s="31"/>
    </row>
    <row r="573" spans="1:4" ht="13.2">
      <c r="A573" s="17"/>
      <c r="B573" s="30"/>
      <c r="C573" s="31"/>
      <c r="D573" s="31"/>
    </row>
    <row r="574" spans="1:4" ht="13.2">
      <c r="A574" s="17"/>
      <c r="B574" s="30"/>
      <c r="C574" s="31"/>
      <c r="D574" s="31"/>
    </row>
    <row r="575" spans="1:4" ht="13.2">
      <c r="A575" s="17"/>
      <c r="B575" s="30"/>
      <c r="C575" s="31"/>
      <c r="D575" s="31"/>
    </row>
    <row r="576" spans="1:4" ht="13.2">
      <c r="A576" s="17"/>
      <c r="B576" s="30"/>
      <c r="C576" s="31"/>
      <c r="D576" s="31"/>
    </row>
    <row r="577" spans="1:4" ht="13.2">
      <c r="A577" s="17"/>
      <c r="B577" s="30"/>
      <c r="C577" s="31"/>
      <c r="D577" s="31"/>
    </row>
    <row r="578" spans="1:4" ht="13.2">
      <c r="A578" s="17"/>
      <c r="B578" s="30"/>
      <c r="C578" s="31"/>
      <c r="D578" s="31"/>
    </row>
    <row r="579" spans="1:4" ht="13.2">
      <c r="A579" s="17"/>
      <c r="B579" s="30"/>
      <c r="C579" s="31"/>
      <c r="D579" s="31"/>
    </row>
    <row r="580" spans="1:4" ht="13.2">
      <c r="A580" s="17"/>
      <c r="B580" s="30"/>
      <c r="C580" s="31"/>
      <c r="D580" s="31"/>
    </row>
    <row r="581" spans="1:4" ht="13.2">
      <c r="A581" s="17"/>
      <c r="B581" s="30"/>
      <c r="C581" s="31"/>
      <c r="D581" s="31"/>
    </row>
    <row r="582" spans="1:4" ht="13.2">
      <c r="A582" s="17"/>
      <c r="B582" s="30"/>
      <c r="C582" s="31"/>
      <c r="D582" s="31"/>
    </row>
    <row r="583" spans="1:4" ht="13.2">
      <c r="A583" s="17"/>
      <c r="B583" s="30"/>
      <c r="C583" s="31"/>
      <c r="D583" s="31"/>
    </row>
    <row r="584" spans="1:4" ht="13.2">
      <c r="A584" s="17"/>
      <c r="B584" s="30"/>
      <c r="C584" s="31"/>
      <c r="D584" s="31"/>
    </row>
    <row r="585" spans="1:4" ht="13.2">
      <c r="A585" s="17"/>
      <c r="B585" s="30"/>
      <c r="C585" s="31"/>
      <c r="D585" s="31"/>
    </row>
    <row r="586" spans="1:4" ht="13.2">
      <c r="A586" s="17"/>
      <c r="B586" s="30"/>
      <c r="C586" s="31"/>
      <c r="D586" s="31"/>
    </row>
    <row r="587" spans="1:4" ht="13.2">
      <c r="A587" s="17"/>
      <c r="B587" s="30"/>
      <c r="C587" s="31"/>
      <c r="D587" s="31"/>
    </row>
    <row r="588" spans="1:4" ht="13.2">
      <c r="A588" s="17"/>
      <c r="B588" s="30"/>
      <c r="C588" s="31"/>
      <c r="D588" s="31"/>
    </row>
    <row r="589" spans="1:4" ht="13.2">
      <c r="A589" s="17"/>
      <c r="B589" s="30"/>
      <c r="C589" s="31"/>
      <c r="D589" s="31"/>
    </row>
    <row r="590" spans="1:4" ht="13.2">
      <c r="A590" s="17"/>
      <c r="B590" s="30"/>
      <c r="C590" s="31"/>
      <c r="D590" s="31"/>
    </row>
    <row r="591" spans="1:4" ht="13.2">
      <c r="A591" s="17"/>
      <c r="B591" s="30"/>
      <c r="C591" s="31"/>
      <c r="D591" s="31"/>
    </row>
    <row r="592" spans="1:4" ht="13.2">
      <c r="A592" s="17"/>
      <c r="B592" s="30"/>
      <c r="C592" s="31"/>
      <c r="D592" s="31"/>
    </row>
    <row r="593" spans="1:4" ht="13.2">
      <c r="A593" s="17"/>
      <c r="B593" s="30"/>
      <c r="C593" s="31"/>
      <c r="D593" s="31"/>
    </row>
    <row r="594" spans="1:4" ht="13.2">
      <c r="A594" s="17"/>
      <c r="B594" s="30"/>
      <c r="C594" s="31"/>
      <c r="D594" s="31"/>
    </row>
    <row r="595" spans="1:4" ht="13.2">
      <c r="A595" s="17"/>
      <c r="B595" s="30"/>
      <c r="C595" s="31"/>
      <c r="D595" s="31"/>
    </row>
    <row r="596" spans="1:4" ht="13.2">
      <c r="A596" s="17"/>
      <c r="B596" s="30"/>
      <c r="C596" s="31"/>
      <c r="D596" s="31"/>
    </row>
    <row r="597" spans="1:4" ht="13.2">
      <c r="A597" s="17"/>
      <c r="B597" s="30"/>
      <c r="C597" s="31"/>
      <c r="D597" s="31"/>
    </row>
    <row r="598" spans="1:4" ht="13.2">
      <c r="A598" s="17"/>
      <c r="B598" s="30"/>
      <c r="C598" s="31"/>
      <c r="D598" s="31"/>
    </row>
    <row r="599" spans="1:4" ht="13.2">
      <c r="A599" s="17"/>
      <c r="B599" s="30"/>
      <c r="C599" s="31"/>
      <c r="D599" s="31"/>
    </row>
    <row r="600" spans="1:4" ht="13.2">
      <c r="A600" s="17"/>
      <c r="B600" s="30"/>
      <c r="C600" s="31"/>
      <c r="D600" s="31"/>
    </row>
    <row r="601" spans="1:4" ht="13.2">
      <c r="A601" s="17"/>
      <c r="B601" s="30"/>
      <c r="C601" s="31"/>
      <c r="D601" s="31"/>
    </row>
    <row r="602" spans="1:4" ht="13.2">
      <c r="A602" s="17"/>
      <c r="B602" s="30"/>
      <c r="C602" s="31"/>
      <c r="D602" s="31"/>
    </row>
    <row r="603" spans="1:4" ht="13.2">
      <c r="A603" s="17"/>
      <c r="B603" s="30"/>
      <c r="C603" s="31"/>
      <c r="D603" s="31"/>
    </row>
    <row r="604" spans="1:4" ht="13.2">
      <c r="A604" s="17"/>
      <c r="B604" s="30"/>
      <c r="C604" s="31"/>
      <c r="D604" s="31"/>
    </row>
    <row r="605" spans="1:4" ht="13.2">
      <c r="A605" s="17"/>
      <c r="B605" s="30"/>
      <c r="C605" s="31"/>
      <c r="D605" s="31"/>
    </row>
    <row r="606" spans="1:4" ht="13.2">
      <c r="A606" s="17"/>
      <c r="B606" s="30"/>
      <c r="C606" s="31"/>
      <c r="D606" s="31"/>
    </row>
    <row r="607" spans="1:4" ht="13.2">
      <c r="A607" s="17"/>
      <c r="B607" s="30"/>
      <c r="C607" s="31"/>
      <c r="D607" s="31"/>
    </row>
    <row r="608" spans="1:4" ht="13.2">
      <c r="A608" s="17"/>
      <c r="B608" s="30"/>
      <c r="C608" s="31"/>
      <c r="D608" s="31"/>
    </row>
    <row r="609" spans="1:4" ht="13.2">
      <c r="A609" s="17"/>
      <c r="B609" s="30"/>
      <c r="C609" s="31"/>
      <c r="D609" s="31"/>
    </row>
    <row r="610" spans="1:4" ht="13.2">
      <c r="A610" s="17"/>
      <c r="B610" s="30"/>
      <c r="C610" s="31"/>
      <c r="D610" s="31"/>
    </row>
    <row r="611" spans="1:4" ht="13.2">
      <c r="A611" s="17"/>
      <c r="B611" s="30"/>
      <c r="C611" s="31"/>
      <c r="D611" s="31"/>
    </row>
    <row r="612" spans="1:4" ht="13.2">
      <c r="A612" s="17"/>
      <c r="B612" s="30"/>
      <c r="C612" s="31"/>
      <c r="D612" s="31"/>
    </row>
    <row r="613" spans="1:4" ht="13.2">
      <c r="A613" s="17"/>
      <c r="B613" s="30"/>
      <c r="C613" s="31"/>
      <c r="D613" s="31"/>
    </row>
    <row r="614" spans="1:4" ht="13.2">
      <c r="A614" s="17"/>
      <c r="B614" s="30"/>
      <c r="C614" s="31"/>
      <c r="D614" s="31"/>
    </row>
    <row r="615" spans="1:4" ht="13.2">
      <c r="A615" s="17"/>
      <c r="B615" s="30"/>
      <c r="C615" s="31"/>
      <c r="D615" s="31"/>
    </row>
    <row r="616" spans="1:4" ht="13.2">
      <c r="A616" s="17"/>
      <c r="B616" s="30"/>
      <c r="C616" s="31"/>
      <c r="D616" s="31"/>
    </row>
    <row r="617" spans="1:4" ht="13.2">
      <c r="A617" s="17"/>
      <c r="B617" s="30"/>
      <c r="C617" s="31"/>
      <c r="D617" s="31"/>
    </row>
    <row r="618" spans="1:4" ht="13.2">
      <c r="A618" s="17"/>
      <c r="B618" s="30"/>
      <c r="C618" s="31"/>
      <c r="D618" s="31"/>
    </row>
    <row r="619" spans="1:4" ht="13.2">
      <c r="A619" s="17"/>
      <c r="B619" s="30"/>
      <c r="C619" s="31"/>
      <c r="D619" s="31"/>
    </row>
    <row r="620" spans="1:4" ht="13.2">
      <c r="A620" s="17"/>
      <c r="B620" s="30"/>
      <c r="C620" s="31"/>
      <c r="D620" s="31"/>
    </row>
    <row r="621" spans="1:4" ht="13.2">
      <c r="A621" s="17"/>
      <c r="B621" s="30"/>
      <c r="C621" s="31"/>
      <c r="D621" s="31"/>
    </row>
    <row r="622" spans="1:4" ht="13.2">
      <c r="A622" s="17"/>
      <c r="B622" s="30"/>
      <c r="C622" s="31"/>
      <c r="D622" s="31"/>
    </row>
    <row r="623" spans="1:4" ht="13.2">
      <c r="A623" s="17"/>
      <c r="B623" s="30"/>
      <c r="C623" s="31"/>
      <c r="D623" s="31"/>
    </row>
    <row r="624" spans="1:4" ht="13.2">
      <c r="A624" s="17"/>
      <c r="B624" s="30"/>
      <c r="C624" s="31"/>
      <c r="D624" s="31"/>
    </row>
    <row r="625" spans="1:4" ht="13.2">
      <c r="A625" s="17"/>
      <c r="B625" s="30"/>
      <c r="C625" s="31"/>
      <c r="D625" s="31"/>
    </row>
    <row r="626" spans="1:4" ht="13.2">
      <c r="A626" s="17"/>
      <c r="B626" s="30"/>
      <c r="C626" s="31"/>
      <c r="D626" s="31"/>
    </row>
    <row r="627" spans="1:4" ht="13.2">
      <c r="A627" s="17"/>
      <c r="B627" s="30"/>
      <c r="C627" s="31"/>
      <c r="D627" s="31"/>
    </row>
    <row r="628" spans="1:4" ht="13.2">
      <c r="A628" s="17"/>
      <c r="B628" s="30"/>
      <c r="C628" s="31"/>
      <c r="D628" s="31"/>
    </row>
    <row r="629" spans="1:4" ht="13.2">
      <c r="A629" s="17"/>
      <c r="B629" s="30"/>
      <c r="C629" s="31"/>
      <c r="D629" s="31"/>
    </row>
    <row r="630" spans="1:4" ht="13.2">
      <c r="A630" s="17"/>
      <c r="B630" s="30"/>
      <c r="C630" s="31"/>
      <c r="D630" s="31"/>
    </row>
    <row r="631" spans="1:4" ht="13.2">
      <c r="A631" s="17"/>
      <c r="B631" s="30"/>
      <c r="C631" s="31"/>
      <c r="D631" s="31"/>
    </row>
    <row r="632" spans="1:4" ht="13.2">
      <c r="A632" s="17"/>
      <c r="B632" s="30"/>
      <c r="C632" s="31"/>
      <c r="D632" s="31"/>
    </row>
    <row r="633" spans="1:4" ht="13.2">
      <c r="A633" s="17"/>
      <c r="B633" s="30"/>
      <c r="C633" s="31"/>
      <c r="D633" s="31"/>
    </row>
    <row r="634" spans="1:4" ht="13.2">
      <c r="A634" s="17"/>
      <c r="B634" s="30"/>
      <c r="C634" s="31"/>
      <c r="D634" s="31"/>
    </row>
    <row r="635" spans="1:4" ht="13.2">
      <c r="A635" s="17"/>
      <c r="B635" s="30"/>
      <c r="C635" s="31"/>
      <c r="D635" s="31"/>
    </row>
    <row r="636" spans="1:4" ht="13.2">
      <c r="A636" s="17"/>
      <c r="B636" s="30"/>
      <c r="C636" s="31"/>
      <c r="D636" s="31"/>
    </row>
    <row r="637" spans="1:4" ht="13.2">
      <c r="A637" s="17"/>
      <c r="B637" s="30"/>
      <c r="C637" s="31"/>
      <c r="D637" s="31"/>
    </row>
    <row r="638" spans="1:4" ht="13.2">
      <c r="A638" s="17"/>
      <c r="B638" s="30"/>
      <c r="C638" s="31"/>
      <c r="D638" s="31"/>
    </row>
    <row r="639" spans="1:4" ht="13.2">
      <c r="A639" s="17"/>
      <c r="B639" s="30"/>
      <c r="C639" s="31"/>
      <c r="D639" s="31"/>
    </row>
    <row r="640" spans="1:4" ht="13.2">
      <c r="A640" s="17"/>
      <c r="B640" s="30"/>
      <c r="C640" s="31"/>
      <c r="D640" s="31"/>
    </row>
    <row r="641" spans="1:4" ht="13.2">
      <c r="A641" s="17"/>
      <c r="B641" s="30"/>
      <c r="C641" s="31"/>
      <c r="D641" s="31"/>
    </row>
    <row r="642" spans="1:4" ht="13.2">
      <c r="A642" s="17"/>
      <c r="B642" s="30"/>
      <c r="C642" s="31"/>
      <c r="D642" s="31"/>
    </row>
    <row r="643" spans="1:4" ht="13.2">
      <c r="A643" s="17"/>
      <c r="B643" s="30"/>
      <c r="C643" s="31"/>
      <c r="D643" s="31"/>
    </row>
    <row r="644" spans="1:4" ht="13.2">
      <c r="A644" s="17"/>
      <c r="B644" s="30"/>
      <c r="C644" s="31"/>
      <c r="D644" s="31"/>
    </row>
    <row r="645" spans="1:4" ht="13.2">
      <c r="A645" s="17"/>
      <c r="B645" s="30"/>
      <c r="C645" s="31"/>
      <c r="D645" s="31"/>
    </row>
    <row r="646" spans="1:4" ht="13.2">
      <c r="A646" s="17"/>
      <c r="B646" s="30"/>
      <c r="C646" s="31"/>
      <c r="D646" s="31"/>
    </row>
    <row r="647" spans="1:4" ht="13.2">
      <c r="A647" s="17"/>
      <c r="B647" s="30"/>
      <c r="C647" s="31"/>
      <c r="D647" s="31"/>
    </row>
    <row r="648" spans="1:4" ht="13.2">
      <c r="A648" s="17"/>
      <c r="B648" s="30"/>
      <c r="C648" s="31"/>
      <c r="D648" s="31"/>
    </row>
    <row r="649" spans="1:4" ht="13.2">
      <c r="A649" s="17"/>
      <c r="B649" s="30"/>
      <c r="C649" s="31"/>
      <c r="D649" s="31"/>
    </row>
    <row r="650" spans="1:4" ht="13.2">
      <c r="A650" s="17"/>
      <c r="B650" s="30"/>
      <c r="C650" s="31"/>
      <c r="D650" s="31"/>
    </row>
    <row r="651" spans="1:4" ht="13.2">
      <c r="A651" s="17"/>
      <c r="B651" s="30"/>
      <c r="C651" s="31"/>
      <c r="D651" s="31"/>
    </row>
    <row r="652" spans="1:4" ht="13.2">
      <c r="A652" s="17"/>
      <c r="B652" s="30"/>
      <c r="C652" s="31"/>
      <c r="D652" s="31"/>
    </row>
    <row r="653" spans="1:4" ht="13.2">
      <c r="A653" s="17"/>
      <c r="B653" s="30"/>
      <c r="C653" s="31"/>
      <c r="D653" s="31"/>
    </row>
    <row r="654" spans="1:4" ht="13.2">
      <c r="A654" s="17"/>
      <c r="B654" s="30"/>
      <c r="C654" s="31"/>
      <c r="D654" s="31"/>
    </row>
    <row r="655" spans="1:4" ht="13.2">
      <c r="A655" s="17"/>
      <c r="B655" s="30"/>
      <c r="C655" s="31"/>
      <c r="D655" s="31"/>
    </row>
    <row r="656" spans="1:4" ht="13.2">
      <c r="A656" s="17"/>
      <c r="B656" s="30"/>
      <c r="C656" s="31"/>
      <c r="D656" s="31"/>
    </row>
    <row r="657" spans="1:4" ht="13.2">
      <c r="A657" s="17"/>
      <c r="B657" s="30"/>
      <c r="C657" s="31"/>
      <c r="D657" s="31"/>
    </row>
    <row r="658" spans="1:4" ht="13.2">
      <c r="A658" s="17"/>
      <c r="B658" s="30"/>
      <c r="C658" s="31"/>
      <c r="D658" s="31"/>
    </row>
    <row r="659" spans="1:4" ht="13.2">
      <c r="A659" s="17"/>
      <c r="B659" s="30"/>
      <c r="C659" s="31"/>
      <c r="D659" s="31"/>
    </row>
    <row r="660" spans="1:4" ht="13.2">
      <c r="A660" s="17"/>
      <c r="B660" s="30"/>
      <c r="C660" s="31"/>
      <c r="D660" s="31"/>
    </row>
    <row r="661" spans="1:4" ht="13.2">
      <c r="A661" s="17"/>
      <c r="B661" s="30"/>
      <c r="C661" s="31"/>
      <c r="D661" s="31"/>
    </row>
    <row r="662" spans="1:4" ht="13.2">
      <c r="A662" s="17"/>
      <c r="B662" s="30"/>
      <c r="C662" s="31"/>
      <c r="D662" s="31"/>
    </row>
    <row r="663" spans="1:4" ht="13.2">
      <c r="A663" s="17"/>
      <c r="B663" s="30"/>
      <c r="C663" s="31"/>
      <c r="D663" s="31"/>
    </row>
    <row r="664" spans="1:4" ht="13.2">
      <c r="A664" s="17"/>
      <c r="B664" s="30"/>
      <c r="C664" s="31"/>
      <c r="D664" s="31"/>
    </row>
    <row r="665" spans="1:4" ht="13.2">
      <c r="A665" s="17"/>
      <c r="B665" s="30"/>
      <c r="C665" s="31"/>
      <c r="D665" s="31"/>
    </row>
    <row r="666" spans="1:4" ht="13.2">
      <c r="A666" s="17"/>
      <c r="B666" s="30"/>
      <c r="C666" s="31"/>
      <c r="D666" s="31"/>
    </row>
    <row r="667" spans="1:4" ht="13.2">
      <c r="A667" s="17"/>
      <c r="B667" s="30"/>
      <c r="C667" s="31"/>
      <c r="D667" s="31"/>
    </row>
    <row r="668" spans="1:4" ht="13.2">
      <c r="A668" s="17"/>
      <c r="B668" s="30"/>
      <c r="C668" s="31"/>
      <c r="D668" s="31"/>
    </row>
    <row r="669" spans="1:4" ht="13.2">
      <c r="A669" s="17"/>
      <c r="B669" s="30"/>
      <c r="C669" s="31"/>
      <c r="D669" s="31"/>
    </row>
    <row r="670" spans="1:4" ht="13.2">
      <c r="A670" s="17"/>
      <c r="B670" s="30"/>
      <c r="C670" s="31"/>
      <c r="D670" s="31"/>
    </row>
    <row r="671" spans="1:4" ht="13.2">
      <c r="A671" s="17"/>
      <c r="B671" s="30"/>
      <c r="C671" s="31"/>
      <c r="D671" s="31"/>
    </row>
    <row r="672" spans="1:4" ht="13.2">
      <c r="A672" s="17"/>
      <c r="B672" s="30"/>
      <c r="C672" s="31"/>
      <c r="D672" s="31"/>
    </row>
    <row r="673" spans="1:4" ht="13.2">
      <c r="A673" s="17"/>
      <c r="B673" s="30"/>
      <c r="C673" s="31"/>
      <c r="D673" s="31"/>
    </row>
    <row r="674" spans="1:4" ht="13.2">
      <c r="A674" s="17"/>
      <c r="B674" s="30"/>
      <c r="C674" s="31"/>
      <c r="D674" s="31"/>
    </row>
    <row r="675" spans="1:4" ht="13.2">
      <c r="A675" s="17"/>
      <c r="B675" s="30"/>
      <c r="C675" s="31"/>
      <c r="D675" s="31"/>
    </row>
    <row r="676" spans="1:4" ht="13.2">
      <c r="A676" s="17"/>
      <c r="B676" s="30"/>
      <c r="C676" s="31"/>
      <c r="D676" s="31"/>
    </row>
    <row r="677" spans="1:4" ht="13.2">
      <c r="A677" s="17"/>
      <c r="B677" s="30"/>
      <c r="C677" s="31"/>
      <c r="D677" s="31"/>
    </row>
    <row r="678" spans="1:4" ht="13.2">
      <c r="A678" s="17"/>
      <c r="B678" s="30"/>
      <c r="C678" s="31"/>
      <c r="D678" s="31"/>
    </row>
    <row r="679" spans="1:4" ht="13.2">
      <c r="A679" s="17"/>
      <c r="B679" s="30"/>
      <c r="C679" s="31"/>
      <c r="D679" s="31"/>
    </row>
    <row r="680" spans="1:4" ht="13.2">
      <c r="A680" s="17"/>
      <c r="B680" s="30"/>
      <c r="C680" s="31"/>
      <c r="D680" s="31"/>
    </row>
    <row r="681" spans="1:4" ht="13.2">
      <c r="A681" s="17"/>
      <c r="B681" s="30"/>
      <c r="C681" s="31"/>
      <c r="D681" s="31"/>
    </row>
    <row r="682" spans="1:4" ht="13.2">
      <c r="A682" s="17"/>
      <c r="B682" s="30"/>
      <c r="C682" s="31"/>
      <c r="D682" s="31"/>
    </row>
    <row r="683" spans="1:4" ht="13.2">
      <c r="A683" s="17"/>
      <c r="B683" s="30"/>
      <c r="C683" s="31"/>
      <c r="D683" s="31"/>
    </row>
    <row r="684" spans="1:4" ht="13.2">
      <c r="A684" s="17"/>
      <c r="B684" s="30"/>
      <c r="C684" s="31"/>
      <c r="D684" s="31"/>
    </row>
    <row r="685" spans="1:4" ht="13.2">
      <c r="A685" s="17"/>
      <c r="B685" s="30"/>
      <c r="C685" s="31"/>
      <c r="D685" s="31"/>
    </row>
    <row r="686" spans="1:4" ht="13.2">
      <c r="A686" s="17"/>
      <c r="B686" s="30"/>
      <c r="C686" s="31"/>
      <c r="D686" s="31"/>
    </row>
    <row r="687" spans="1:4" ht="13.2">
      <c r="A687" s="17"/>
      <c r="B687" s="30"/>
      <c r="C687" s="31"/>
      <c r="D687" s="31"/>
    </row>
    <row r="688" spans="1:4" ht="13.2">
      <c r="A688" s="17"/>
      <c r="B688" s="30"/>
      <c r="C688" s="31"/>
      <c r="D688" s="31"/>
    </row>
    <row r="689" spans="1:4" ht="13.2">
      <c r="A689" s="17"/>
      <c r="B689" s="30"/>
      <c r="C689" s="31"/>
      <c r="D689" s="31"/>
    </row>
    <row r="690" spans="1:4" ht="13.2">
      <c r="A690" s="17"/>
      <c r="B690" s="30"/>
      <c r="C690" s="31"/>
      <c r="D690" s="31"/>
    </row>
    <row r="691" spans="1:4" ht="13.2">
      <c r="A691" s="17"/>
      <c r="B691" s="30"/>
      <c r="C691" s="31"/>
      <c r="D691" s="31"/>
    </row>
    <row r="692" spans="1:4" ht="13.2">
      <c r="A692" s="17"/>
      <c r="B692" s="30"/>
      <c r="C692" s="31"/>
      <c r="D692" s="31"/>
    </row>
    <row r="693" spans="1:4" ht="13.2">
      <c r="A693" s="17"/>
      <c r="B693" s="30"/>
      <c r="C693" s="31"/>
      <c r="D693" s="31"/>
    </row>
    <row r="694" spans="1:4" ht="13.2">
      <c r="A694" s="17"/>
      <c r="B694" s="30"/>
      <c r="C694" s="31"/>
      <c r="D694" s="31"/>
    </row>
    <row r="695" spans="1:4" ht="13.2">
      <c r="A695" s="17"/>
      <c r="B695" s="30"/>
      <c r="C695" s="31"/>
      <c r="D695" s="31"/>
    </row>
    <row r="696" spans="1:4" ht="13.2">
      <c r="A696" s="17"/>
      <c r="B696" s="30"/>
      <c r="C696" s="31"/>
      <c r="D696" s="31"/>
    </row>
    <row r="697" spans="1:4" ht="13.2">
      <c r="A697" s="17"/>
      <c r="B697" s="30"/>
      <c r="C697" s="31"/>
      <c r="D697" s="31"/>
    </row>
    <row r="698" spans="1:4" ht="13.2">
      <c r="A698" s="17"/>
      <c r="B698" s="30"/>
      <c r="C698" s="31"/>
      <c r="D698" s="31"/>
    </row>
    <row r="699" spans="1:4" ht="13.2">
      <c r="A699" s="17"/>
      <c r="B699" s="30"/>
      <c r="C699" s="31"/>
      <c r="D699" s="31"/>
    </row>
    <row r="700" spans="1:4" ht="13.2">
      <c r="A700" s="17"/>
      <c r="B700" s="30"/>
      <c r="C700" s="31"/>
      <c r="D700" s="31"/>
    </row>
    <row r="701" spans="1:4" ht="13.2">
      <c r="A701" s="17"/>
      <c r="B701" s="30"/>
      <c r="C701" s="31"/>
      <c r="D701" s="31"/>
    </row>
    <row r="702" spans="1:4" ht="13.2">
      <c r="A702" s="17"/>
      <c r="B702" s="30"/>
      <c r="C702" s="31"/>
      <c r="D702" s="31"/>
    </row>
    <row r="703" spans="1:4" ht="13.2">
      <c r="A703" s="17"/>
      <c r="B703" s="30"/>
      <c r="C703" s="31"/>
      <c r="D703" s="31"/>
    </row>
    <row r="704" spans="1:4" ht="13.2">
      <c r="A704" s="17"/>
      <c r="B704" s="30"/>
      <c r="C704" s="31"/>
      <c r="D704" s="31"/>
    </row>
    <row r="705" spans="1:4" ht="13.2">
      <c r="A705" s="17"/>
      <c r="B705" s="30"/>
      <c r="C705" s="31"/>
      <c r="D705" s="31"/>
    </row>
    <row r="706" spans="1:4" ht="13.2">
      <c r="A706" s="17"/>
      <c r="B706" s="30"/>
      <c r="C706" s="31"/>
      <c r="D706" s="31"/>
    </row>
    <row r="707" spans="1:4" ht="13.2">
      <c r="A707" s="17"/>
      <c r="B707" s="30"/>
      <c r="C707" s="31"/>
      <c r="D707" s="31"/>
    </row>
    <row r="708" spans="1:4" ht="13.2">
      <c r="A708" s="17"/>
      <c r="B708" s="30"/>
      <c r="C708" s="31"/>
      <c r="D708" s="31"/>
    </row>
    <row r="709" spans="1:4" ht="13.2">
      <c r="A709" s="17"/>
      <c r="B709" s="30"/>
      <c r="C709" s="31"/>
      <c r="D709" s="31"/>
    </row>
    <row r="710" spans="1:4" ht="13.2">
      <c r="A710" s="17"/>
      <c r="B710" s="30"/>
      <c r="C710" s="31"/>
      <c r="D710" s="31"/>
    </row>
    <row r="711" spans="1:4" ht="13.2">
      <c r="A711" s="17"/>
      <c r="B711" s="30"/>
      <c r="C711" s="31"/>
      <c r="D711" s="31"/>
    </row>
    <row r="712" spans="1:4" ht="13.2">
      <c r="A712" s="17"/>
      <c r="B712" s="30"/>
      <c r="C712" s="31"/>
      <c r="D712" s="31"/>
    </row>
    <row r="713" spans="1:4" ht="13.2">
      <c r="A713" s="17"/>
      <c r="B713" s="30"/>
      <c r="C713" s="31"/>
      <c r="D713" s="31"/>
    </row>
    <row r="714" spans="1:4" ht="13.2">
      <c r="A714" s="17"/>
      <c r="B714" s="30"/>
      <c r="C714" s="31"/>
      <c r="D714" s="31"/>
    </row>
    <row r="715" spans="1:4" ht="13.2">
      <c r="A715" s="17"/>
      <c r="B715" s="30"/>
      <c r="C715" s="31"/>
      <c r="D715" s="31"/>
    </row>
    <row r="716" spans="1:4" ht="13.2">
      <c r="A716" s="17"/>
      <c r="B716" s="30"/>
      <c r="C716" s="31"/>
      <c r="D716" s="31"/>
    </row>
    <row r="717" spans="1:4" ht="13.2">
      <c r="A717" s="17"/>
      <c r="B717" s="30"/>
      <c r="C717" s="31"/>
      <c r="D717" s="31"/>
    </row>
    <row r="718" spans="1:4" ht="13.2">
      <c r="A718" s="17"/>
      <c r="B718" s="30"/>
      <c r="C718" s="31"/>
      <c r="D718" s="31"/>
    </row>
    <row r="719" spans="1:4" ht="13.2">
      <c r="A719" s="17"/>
      <c r="B719" s="30"/>
      <c r="C719" s="31"/>
      <c r="D719" s="31"/>
    </row>
    <row r="720" spans="1:4" ht="13.2">
      <c r="A720" s="17"/>
      <c r="B720" s="30"/>
      <c r="C720" s="31"/>
      <c r="D720" s="31"/>
    </row>
    <row r="721" spans="1:4" ht="13.2">
      <c r="A721" s="17"/>
      <c r="B721" s="30"/>
      <c r="C721" s="31"/>
      <c r="D721" s="31"/>
    </row>
    <row r="722" spans="1:4" ht="13.2">
      <c r="A722" s="17"/>
      <c r="B722" s="30"/>
      <c r="C722" s="31"/>
      <c r="D722" s="31"/>
    </row>
    <row r="723" spans="1:4" ht="13.2">
      <c r="A723" s="17"/>
      <c r="B723" s="30"/>
      <c r="C723" s="31"/>
      <c r="D723" s="31"/>
    </row>
    <row r="724" spans="1:4" ht="13.2">
      <c r="A724" s="17"/>
      <c r="B724" s="30"/>
      <c r="C724" s="31"/>
      <c r="D724" s="31"/>
    </row>
    <row r="725" spans="1:4" ht="13.2">
      <c r="A725" s="17"/>
      <c r="B725" s="30"/>
      <c r="C725" s="31"/>
      <c r="D725" s="31"/>
    </row>
    <row r="726" spans="1:4" ht="13.2">
      <c r="A726" s="17"/>
      <c r="B726" s="30"/>
      <c r="C726" s="31"/>
      <c r="D726" s="31"/>
    </row>
    <row r="727" spans="1:4" ht="13.2">
      <c r="A727" s="17"/>
      <c r="B727" s="30"/>
      <c r="C727" s="31"/>
      <c r="D727" s="31"/>
    </row>
    <row r="728" spans="1:4" ht="13.2">
      <c r="A728" s="17"/>
      <c r="B728" s="30"/>
      <c r="C728" s="31"/>
      <c r="D728" s="31"/>
    </row>
    <row r="729" spans="1:4" ht="13.2">
      <c r="A729" s="17"/>
      <c r="B729" s="30"/>
      <c r="C729" s="31"/>
      <c r="D729" s="31"/>
    </row>
    <row r="730" spans="1:4" ht="13.2">
      <c r="A730" s="17"/>
      <c r="B730" s="30"/>
      <c r="C730" s="31"/>
      <c r="D730" s="31"/>
    </row>
    <row r="731" spans="1:4" ht="13.2">
      <c r="A731" s="17"/>
      <c r="B731" s="30"/>
      <c r="C731" s="31"/>
      <c r="D731" s="31"/>
    </row>
    <row r="732" spans="1:4" ht="13.2">
      <c r="A732" s="17"/>
      <c r="B732" s="30"/>
      <c r="C732" s="31"/>
      <c r="D732" s="31"/>
    </row>
    <row r="733" spans="1:4" ht="13.2">
      <c r="A733" s="17"/>
      <c r="B733" s="30"/>
      <c r="C733" s="31"/>
      <c r="D733" s="31"/>
    </row>
    <row r="734" spans="1:4" ht="13.2">
      <c r="A734" s="17"/>
      <c r="B734" s="30"/>
      <c r="C734" s="31"/>
      <c r="D734" s="31"/>
    </row>
    <row r="735" spans="1:4" ht="13.2">
      <c r="A735" s="17"/>
      <c r="B735" s="30"/>
      <c r="C735" s="31"/>
      <c r="D735" s="31"/>
    </row>
    <row r="736" spans="1:4" ht="13.2">
      <c r="A736" s="17"/>
      <c r="B736" s="30"/>
      <c r="C736" s="31"/>
      <c r="D736" s="31"/>
    </row>
    <row r="737" spans="1:4" ht="13.2">
      <c r="A737" s="17"/>
      <c r="B737" s="30"/>
      <c r="C737" s="31"/>
      <c r="D737" s="31"/>
    </row>
    <row r="738" spans="1:4" ht="13.2">
      <c r="A738" s="17"/>
      <c r="B738" s="30"/>
      <c r="C738" s="31"/>
      <c r="D738" s="31"/>
    </row>
    <row r="739" spans="1:4" ht="13.2">
      <c r="A739" s="17"/>
      <c r="B739" s="30"/>
      <c r="C739" s="31"/>
      <c r="D739" s="31"/>
    </row>
    <row r="740" spans="1:4" ht="13.2">
      <c r="A740" s="17"/>
      <c r="B740" s="30"/>
      <c r="C740" s="31"/>
      <c r="D740" s="31"/>
    </row>
    <row r="741" spans="1:4" ht="13.2">
      <c r="A741" s="17"/>
      <c r="B741" s="30"/>
      <c r="C741" s="31"/>
      <c r="D741" s="31"/>
    </row>
    <row r="742" spans="1:4" ht="13.2">
      <c r="A742" s="17"/>
      <c r="B742" s="30"/>
      <c r="C742" s="31"/>
      <c r="D742" s="31"/>
    </row>
    <row r="743" spans="1:4" ht="13.2">
      <c r="A743" s="17"/>
      <c r="B743" s="30"/>
      <c r="C743" s="31"/>
      <c r="D743" s="31"/>
    </row>
    <row r="744" spans="1:4" ht="13.2">
      <c r="A744" s="17"/>
      <c r="B744" s="30"/>
      <c r="C744" s="31"/>
      <c r="D744" s="31"/>
    </row>
    <row r="745" spans="1:4" ht="13.2">
      <c r="A745" s="17"/>
      <c r="B745" s="30"/>
      <c r="C745" s="31"/>
      <c r="D745" s="31"/>
    </row>
    <row r="746" spans="1:4" ht="13.2">
      <c r="A746" s="17"/>
      <c r="B746" s="30"/>
      <c r="C746" s="31"/>
      <c r="D746" s="31"/>
    </row>
    <row r="747" spans="1:4" ht="13.2">
      <c r="A747" s="17"/>
      <c r="B747" s="30"/>
      <c r="C747" s="31"/>
      <c r="D747" s="31"/>
    </row>
    <row r="748" spans="1:4" ht="13.2">
      <c r="A748" s="17"/>
      <c r="B748" s="30"/>
      <c r="C748" s="31"/>
      <c r="D748" s="31"/>
    </row>
    <row r="749" spans="1:4" ht="13.2">
      <c r="A749" s="17"/>
      <c r="B749" s="30"/>
      <c r="C749" s="31"/>
      <c r="D749" s="31"/>
    </row>
    <row r="750" spans="1:4" ht="13.2">
      <c r="A750" s="17"/>
      <c r="B750" s="30"/>
      <c r="C750" s="31"/>
      <c r="D750" s="31"/>
    </row>
    <row r="751" spans="1:4" ht="13.2">
      <c r="A751" s="17"/>
      <c r="B751" s="30"/>
      <c r="C751" s="31"/>
      <c r="D751" s="31"/>
    </row>
    <row r="752" spans="1:4" ht="13.2">
      <c r="A752" s="17"/>
      <c r="B752" s="30"/>
      <c r="C752" s="31"/>
      <c r="D752" s="31"/>
    </row>
    <row r="753" spans="1:4" ht="13.2">
      <c r="A753" s="17"/>
      <c r="B753" s="30"/>
      <c r="C753" s="31"/>
      <c r="D753" s="31"/>
    </row>
    <row r="754" spans="1:4" ht="13.2">
      <c r="A754" s="17"/>
      <c r="B754" s="30"/>
      <c r="C754" s="31"/>
      <c r="D754" s="31"/>
    </row>
    <row r="755" spans="1:4" ht="13.2">
      <c r="A755" s="17"/>
      <c r="B755" s="30"/>
      <c r="C755" s="31"/>
      <c r="D755" s="31"/>
    </row>
    <row r="756" spans="1:4" ht="13.2">
      <c r="A756" s="17"/>
      <c r="B756" s="30"/>
      <c r="C756" s="31"/>
      <c r="D756" s="31"/>
    </row>
    <row r="757" spans="1:4" ht="13.2">
      <c r="A757" s="17"/>
      <c r="B757" s="30"/>
      <c r="C757" s="31"/>
      <c r="D757" s="31"/>
    </row>
    <row r="758" spans="1:4" ht="13.2">
      <c r="A758" s="17"/>
      <c r="B758" s="30"/>
      <c r="C758" s="31"/>
      <c r="D758" s="31"/>
    </row>
    <row r="759" spans="1:4" ht="13.2">
      <c r="A759" s="17"/>
      <c r="B759" s="30"/>
      <c r="C759" s="31"/>
      <c r="D759" s="31"/>
    </row>
    <row r="760" spans="1:4" ht="13.2">
      <c r="A760" s="17"/>
      <c r="B760" s="30"/>
      <c r="C760" s="31"/>
      <c r="D760" s="31"/>
    </row>
    <row r="761" spans="1:4" ht="13.2">
      <c r="A761" s="17"/>
      <c r="B761" s="30"/>
      <c r="C761" s="31"/>
      <c r="D761" s="31"/>
    </row>
    <row r="762" spans="1:4" ht="13.2">
      <c r="A762" s="17"/>
      <c r="B762" s="30"/>
      <c r="C762" s="31"/>
      <c r="D762" s="31"/>
    </row>
    <row r="763" spans="1:4" ht="13.2">
      <c r="A763" s="17"/>
      <c r="B763" s="30"/>
      <c r="C763" s="31"/>
      <c r="D763" s="31"/>
    </row>
    <row r="764" spans="1:4" ht="13.2">
      <c r="A764" s="17"/>
      <c r="B764" s="30"/>
      <c r="C764" s="31"/>
      <c r="D764" s="31"/>
    </row>
    <row r="765" spans="1:4" ht="13.2">
      <c r="A765" s="17"/>
      <c r="B765" s="30"/>
      <c r="C765" s="31"/>
      <c r="D765" s="31"/>
    </row>
    <row r="766" spans="1:4" ht="13.2">
      <c r="A766" s="17"/>
      <c r="B766" s="30"/>
      <c r="C766" s="31"/>
      <c r="D766" s="31"/>
    </row>
    <row r="767" spans="1:4" ht="13.2">
      <c r="A767" s="17"/>
      <c r="B767" s="30"/>
      <c r="C767" s="31"/>
      <c r="D767" s="31"/>
    </row>
    <row r="768" spans="1:4" ht="13.2">
      <c r="A768" s="17"/>
      <c r="B768" s="30"/>
      <c r="C768" s="31"/>
      <c r="D768" s="31"/>
    </row>
    <row r="769" spans="1:4" ht="13.2">
      <c r="A769" s="17"/>
      <c r="B769" s="30"/>
      <c r="C769" s="31"/>
      <c r="D769" s="31"/>
    </row>
    <row r="770" spans="1:4" ht="13.2">
      <c r="A770" s="17"/>
      <c r="B770" s="30"/>
      <c r="C770" s="31"/>
      <c r="D770" s="31"/>
    </row>
    <row r="771" spans="1:4" ht="13.2">
      <c r="A771" s="17"/>
      <c r="B771" s="30"/>
      <c r="C771" s="31"/>
      <c r="D771" s="31"/>
    </row>
    <row r="772" spans="1:4" ht="13.2">
      <c r="A772" s="17"/>
      <c r="B772" s="30"/>
      <c r="C772" s="31"/>
      <c r="D772" s="31"/>
    </row>
    <row r="773" spans="1:4" ht="13.2">
      <c r="A773" s="17"/>
      <c r="B773" s="30"/>
      <c r="C773" s="31"/>
      <c r="D773" s="31"/>
    </row>
    <row r="774" spans="1:4" ht="13.2">
      <c r="A774" s="17"/>
      <c r="B774" s="30"/>
      <c r="C774" s="31"/>
      <c r="D774" s="31"/>
    </row>
    <row r="775" spans="1:4" ht="13.2">
      <c r="A775" s="17"/>
      <c r="B775" s="30"/>
      <c r="C775" s="31"/>
      <c r="D775" s="31"/>
    </row>
    <row r="776" spans="1:4" ht="13.2">
      <c r="A776" s="17"/>
      <c r="B776" s="30"/>
      <c r="C776" s="31"/>
      <c r="D776" s="31"/>
    </row>
    <row r="777" spans="1:4" ht="13.2">
      <c r="A777" s="17"/>
      <c r="B777" s="30"/>
      <c r="C777" s="31"/>
      <c r="D777" s="31"/>
    </row>
    <row r="778" spans="1:4" ht="13.2">
      <c r="A778" s="17"/>
      <c r="B778" s="30"/>
      <c r="C778" s="31"/>
      <c r="D778" s="31"/>
    </row>
    <row r="779" spans="1:4" ht="13.2">
      <c r="A779" s="17"/>
      <c r="B779" s="30"/>
      <c r="C779" s="31"/>
      <c r="D779" s="31"/>
    </row>
    <row r="780" spans="1:4" ht="13.2">
      <c r="A780" s="17"/>
      <c r="B780" s="30"/>
      <c r="C780" s="31"/>
      <c r="D780" s="31"/>
    </row>
    <row r="781" spans="1:4" ht="13.2">
      <c r="A781" s="17"/>
      <c r="B781" s="30"/>
      <c r="C781" s="31"/>
      <c r="D781" s="31"/>
    </row>
    <row r="782" spans="1:4" ht="13.2">
      <c r="A782" s="17"/>
      <c r="B782" s="30"/>
      <c r="C782" s="31"/>
      <c r="D782" s="31"/>
    </row>
    <row r="783" spans="1:4" ht="13.2">
      <c r="A783" s="17"/>
      <c r="B783" s="30"/>
      <c r="C783" s="31"/>
      <c r="D783" s="31"/>
    </row>
    <row r="784" spans="1:4" ht="13.2">
      <c r="A784" s="17"/>
      <c r="B784" s="30"/>
      <c r="C784" s="31"/>
      <c r="D784" s="31"/>
    </row>
    <row r="785" spans="1:4" ht="13.2">
      <c r="A785" s="17"/>
      <c r="B785" s="30"/>
      <c r="C785" s="31"/>
      <c r="D785" s="31"/>
    </row>
    <row r="786" spans="1:4" ht="13.2">
      <c r="A786" s="17"/>
      <c r="B786" s="30"/>
      <c r="C786" s="31"/>
      <c r="D786" s="31"/>
    </row>
    <row r="787" spans="1:4" ht="13.2">
      <c r="A787" s="17"/>
      <c r="B787" s="30"/>
      <c r="C787" s="31"/>
      <c r="D787" s="31"/>
    </row>
    <row r="788" spans="1:4" ht="13.2">
      <c r="A788" s="17"/>
      <c r="B788" s="30"/>
      <c r="C788" s="31"/>
      <c r="D788" s="31"/>
    </row>
    <row r="789" spans="1:4" ht="13.2">
      <c r="A789" s="17"/>
      <c r="B789" s="30"/>
      <c r="C789" s="31"/>
      <c r="D789" s="31"/>
    </row>
    <row r="790" spans="1:4" ht="13.2">
      <c r="A790" s="17"/>
      <c r="B790" s="30"/>
      <c r="C790" s="31"/>
      <c r="D790" s="31"/>
    </row>
    <row r="791" spans="1:4" ht="13.2">
      <c r="A791" s="17"/>
      <c r="B791" s="30"/>
      <c r="C791" s="31"/>
      <c r="D791" s="31"/>
    </row>
    <row r="792" spans="1:4" ht="13.2">
      <c r="A792" s="17"/>
      <c r="B792" s="30"/>
      <c r="C792" s="31"/>
      <c r="D792" s="31"/>
    </row>
    <row r="793" spans="1:4" ht="13.2">
      <c r="A793" s="17"/>
      <c r="B793" s="30"/>
      <c r="C793" s="31"/>
      <c r="D793" s="31"/>
    </row>
    <row r="794" spans="1:4" ht="13.2">
      <c r="A794" s="17"/>
      <c r="B794" s="30"/>
      <c r="C794" s="31"/>
      <c r="D794" s="31"/>
    </row>
    <row r="795" spans="1:4" ht="13.2">
      <c r="A795" s="17"/>
      <c r="B795" s="30"/>
      <c r="C795" s="31"/>
      <c r="D795" s="31"/>
    </row>
    <row r="796" spans="1:4" ht="13.2">
      <c r="A796" s="17"/>
      <c r="B796" s="30"/>
      <c r="C796" s="31"/>
      <c r="D796" s="31"/>
    </row>
    <row r="797" spans="1:4" ht="13.2">
      <c r="A797" s="17"/>
      <c r="B797" s="30"/>
      <c r="C797" s="31"/>
      <c r="D797" s="31"/>
    </row>
    <row r="798" spans="1:4" ht="13.2">
      <c r="A798" s="17"/>
      <c r="B798" s="30"/>
      <c r="C798" s="31"/>
      <c r="D798" s="31"/>
    </row>
    <row r="799" spans="1:4" ht="13.2">
      <c r="A799" s="17"/>
      <c r="B799" s="30"/>
      <c r="C799" s="31"/>
      <c r="D799" s="31"/>
    </row>
    <row r="800" spans="1:4" ht="13.2">
      <c r="A800" s="17"/>
      <c r="B800" s="30"/>
      <c r="C800" s="31"/>
      <c r="D800" s="31"/>
    </row>
    <row r="801" spans="1:4" ht="13.2">
      <c r="A801" s="17"/>
      <c r="B801" s="30"/>
      <c r="C801" s="31"/>
      <c r="D801" s="31"/>
    </row>
    <row r="802" spans="1:4" ht="13.2">
      <c r="A802" s="17"/>
      <c r="B802" s="30"/>
      <c r="C802" s="31"/>
      <c r="D802" s="31"/>
    </row>
    <row r="803" spans="1:4" ht="13.2">
      <c r="A803" s="17"/>
      <c r="B803" s="30"/>
      <c r="C803" s="31"/>
      <c r="D803" s="31"/>
    </row>
    <row r="804" spans="1:4" ht="13.2">
      <c r="A804" s="17"/>
      <c r="B804" s="30"/>
      <c r="C804" s="31"/>
      <c r="D804" s="31"/>
    </row>
    <row r="805" spans="1:4" ht="13.2">
      <c r="A805" s="17"/>
      <c r="B805" s="30"/>
      <c r="C805" s="31"/>
      <c r="D805" s="31"/>
    </row>
    <row r="806" spans="1:4" ht="13.2">
      <c r="A806" s="17"/>
      <c r="B806" s="30"/>
      <c r="C806" s="31"/>
      <c r="D806" s="31"/>
    </row>
    <row r="807" spans="1:4" ht="13.2">
      <c r="A807" s="17"/>
      <c r="B807" s="30"/>
      <c r="C807" s="31"/>
      <c r="D807" s="31"/>
    </row>
    <row r="808" spans="1:4" ht="13.2">
      <c r="A808" s="17"/>
      <c r="B808" s="30"/>
      <c r="C808" s="31"/>
      <c r="D808" s="31"/>
    </row>
    <row r="809" spans="1:4" ht="13.2">
      <c r="A809" s="17"/>
      <c r="B809" s="30"/>
      <c r="C809" s="31"/>
      <c r="D809" s="31"/>
    </row>
    <row r="810" spans="1:4" ht="13.2">
      <c r="A810" s="17"/>
      <c r="B810" s="30"/>
      <c r="C810" s="31"/>
      <c r="D810" s="31"/>
    </row>
    <row r="811" spans="1:4" ht="13.2">
      <c r="A811" s="17"/>
      <c r="B811" s="30"/>
      <c r="C811" s="31"/>
      <c r="D811" s="31"/>
    </row>
    <row r="812" spans="1:4" ht="13.2">
      <c r="A812" s="17"/>
      <c r="B812" s="30"/>
      <c r="C812" s="31"/>
      <c r="D812" s="31"/>
    </row>
    <row r="813" spans="1:4" ht="13.2">
      <c r="A813" s="17"/>
      <c r="B813" s="30"/>
      <c r="C813" s="31"/>
      <c r="D813" s="31"/>
    </row>
    <row r="814" spans="1:4" ht="13.2">
      <c r="A814" s="17"/>
      <c r="B814" s="30"/>
      <c r="C814" s="31"/>
      <c r="D814" s="31"/>
    </row>
    <row r="815" spans="1:4" ht="13.2">
      <c r="A815" s="17"/>
      <c r="B815" s="30"/>
      <c r="C815" s="31"/>
      <c r="D815" s="31"/>
    </row>
    <row r="816" spans="1:4" ht="13.2">
      <c r="A816" s="17"/>
      <c r="B816" s="30"/>
      <c r="C816" s="31"/>
      <c r="D816" s="31"/>
    </row>
    <row r="817" spans="1:4" ht="13.2">
      <c r="A817" s="17"/>
      <c r="B817" s="30"/>
      <c r="C817" s="31"/>
      <c r="D817" s="31"/>
    </row>
    <row r="818" spans="1:4" ht="13.2">
      <c r="A818" s="17"/>
      <c r="B818" s="30"/>
      <c r="C818" s="31"/>
      <c r="D818" s="31"/>
    </row>
    <row r="819" spans="1:4" ht="13.2">
      <c r="A819" s="17"/>
      <c r="B819" s="30"/>
      <c r="C819" s="31"/>
      <c r="D819" s="31"/>
    </row>
    <row r="820" spans="1:4" ht="13.2">
      <c r="A820" s="17"/>
      <c r="B820" s="30"/>
      <c r="C820" s="31"/>
      <c r="D820" s="31"/>
    </row>
    <row r="821" spans="1:4" ht="13.2">
      <c r="A821" s="17"/>
      <c r="B821" s="30"/>
      <c r="C821" s="31"/>
      <c r="D821" s="31"/>
    </row>
    <row r="822" spans="1:4" ht="13.2">
      <c r="A822" s="17"/>
      <c r="B822" s="30"/>
      <c r="C822" s="31"/>
      <c r="D822" s="31"/>
    </row>
    <row r="823" spans="1:4" ht="13.2">
      <c r="A823" s="17"/>
      <c r="B823" s="30"/>
      <c r="C823" s="31"/>
      <c r="D823" s="31"/>
    </row>
    <row r="824" spans="1:4" ht="13.2">
      <c r="A824" s="17"/>
      <c r="B824" s="30"/>
      <c r="C824" s="31"/>
      <c r="D824" s="31"/>
    </row>
    <row r="825" spans="1:4" ht="13.2">
      <c r="A825" s="17"/>
      <c r="B825" s="30"/>
      <c r="C825" s="31"/>
      <c r="D825" s="31"/>
    </row>
    <row r="826" spans="1:4" ht="13.2">
      <c r="A826" s="17"/>
      <c r="B826" s="30"/>
      <c r="C826" s="31"/>
      <c r="D826" s="31"/>
    </row>
    <row r="827" spans="1:4" ht="13.2">
      <c r="A827" s="17"/>
      <c r="B827" s="30"/>
      <c r="C827" s="31"/>
      <c r="D827" s="31"/>
    </row>
    <row r="828" spans="1:4" ht="13.2">
      <c r="A828" s="17"/>
      <c r="B828" s="30"/>
      <c r="C828" s="31"/>
      <c r="D828" s="31"/>
    </row>
    <row r="829" spans="1:4" ht="13.2">
      <c r="A829" s="17"/>
      <c r="B829" s="30"/>
      <c r="C829" s="31"/>
      <c r="D829" s="31"/>
    </row>
    <row r="830" spans="1:4" ht="13.2">
      <c r="A830" s="17"/>
      <c r="B830" s="30"/>
      <c r="C830" s="31"/>
      <c r="D830" s="31"/>
    </row>
    <row r="831" spans="1:4" ht="13.2">
      <c r="A831" s="17"/>
      <c r="B831" s="30"/>
      <c r="C831" s="31"/>
      <c r="D831" s="31"/>
    </row>
    <row r="832" spans="1:4" ht="13.2">
      <c r="A832" s="17"/>
      <c r="B832" s="30"/>
      <c r="C832" s="31"/>
      <c r="D832" s="31"/>
    </row>
    <row r="833" spans="1:4" ht="13.2">
      <c r="A833" s="17"/>
      <c r="B833" s="30"/>
      <c r="C833" s="31"/>
      <c r="D833" s="31"/>
    </row>
    <row r="834" spans="1:4" ht="13.2">
      <c r="A834" s="17"/>
      <c r="B834" s="30"/>
      <c r="C834" s="31"/>
      <c r="D834" s="31"/>
    </row>
    <row r="835" spans="1:4" ht="13.2">
      <c r="A835" s="17"/>
      <c r="B835" s="30"/>
      <c r="C835" s="31"/>
      <c r="D835" s="31"/>
    </row>
    <row r="836" spans="1:4" ht="13.2">
      <c r="A836" s="17"/>
      <c r="B836" s="30"/>
      <c r="C836" s="31"/>
      <c r="D836" s="31"/>
    </row>
    <row r="837" spans="1:4" ht="13.2">
      <c r="A837" s="17"/>
      <c r="B837" s="30"/>
      <c r="C837" s="31"/>
      <c r="D837" s="31"/>
    </row>
    <row r="838" spans="1:4" ht="13.2">
      <c r="A838" s="17"/>
      <c r="B838" s="30"/>
      <c r="C838" s="31"/>
      <c r="D838" s="31"/>
    </row>
    <row r="839" spans="1:4" ht="13.2">
      <c r="A839" s="17"/>
      <c r="B839" s="30"/>
      <c r="C839" s="31"/>
      <c r="D839" s="31"/>
    </row>
    <row r="840" spans="1:4" ht="13.2">
      <c r="A840" s="17"/>
      <c r="B840" s="30"/>
      <c r="C840" s="31"/>
      <c r="D840" s="31"/>
    </row>
    <row r="841" spans="1:4" ht="13.2">
      <c r="A841" s="17"/>
      <c r="B841" s="30"/>
      <c r="C841" s="31"/>
      <c r="D841" s="31"/>
    </row>
    <row r="842" spans="1:4" ht="13.2">
      <c r="A842" s="17"/>
      <c r="B842" s="30"/>
      <c r="C842" s="31"/>
      <c r="D842" s="31"/>
    </row>
    <row r="843" spans="1:4" ht="13.2">
      <c r="A843" s="17"/>
      <c r="B843" s="30"/>
      <c r="C843" s="31"/>
      <c r="D843" s="31"/>
    </row>
    <row r="844" spans="1:4" ht="13.2">
      <c r="A844" s="17"/>
      <c r="B844" s="30"/>
      <c r="C844" s="31"/>
      <c r="D844" s="31"/>
    </row>
    <row r="845" spans="1:4" ht="13.2">
      <c r="A845" s="17"/>
      <c r="B845" s="30"/>
      <c r="C845" s="31"/>
      <c r="D845" s="31"/>
    </row>
    <row r="846" spans="1:4" ht="13.2">
      <c r="A846" s="17"/>
      <c r="B846" s="30"/>
      <c r="C846" s="31"/>
      <c r="D846" s="31"/>
    </row>
    <row r="847" spans="1:4" ht="13.2">
      <c r="A847" s="17"/>
      <c r="B847" s="30"/>
      <c r="C847" s="31"/>
      <c r="D847" s="31"/>
    </row>
    <row r="848" spans="1:4" ht="13.2">
      <c r="A848" s="17"/>
      <c r="B848" s="30"/>
      <c r="C848" s="31"/>
      <c r="D848" s="31"/>
    </row>
    <row r="849" spans="1:4" ht="13.2">
      <c r="A849" s="17"/>
      <c r="B849" s="30"/>
      <c r="C849" s="31"/>
      <c r="D849" s="31"/>
    </row>
    <row r="850" spans="1:4" ht="13.2">
      <c r="A850" s="17"/>
      <c r="B850" s="30"/>
      <c r="C850" s="31"/>
      <c r="D850" s="31"/>
    </row>
    <row r="851" spans="1:4" ht="13.2">
      <c r="A851" s="17"/>
      <c r="B851" s="30"/>
      <c r="C851" s="31"/>
      <c r="D851" s="31"/>
    </row>
    <row r="852" spans="1:4" ht="13.2">
      <c r="A852" s="17"/>
      <c r="B852" s="30"/>
      <c r="C852" s="31"/>
      <c r="D852" s="31"/>
    </row>
    <row r="853" spans="1:4" ht="13.2">
      <c r="A853" s="17"/>
      <c r="B853" s="30"/>
      <c r="C853" s="31"/>
      <c r="D853" s="31"/>
    </row>
    <row r="854" spans="1:4" ht="13.2">
      <c r="A854" s="17"/>
      <c r="B854" s="30"/>
      <c r="C854" s="31"/>
      <c r="D854" s="31"/>
    </row>
    <row r="855" spans="1:4" ht="13.2">
      <c r="A855" s="17"/>
      <c r="B855" s="30"/>
      <c r="C855" s="31"/>
      <c r="D855" s="31"/>
    </row>
    <row r="856" spans="1:4" ht="13.2">
      <c r="A856" s="17"/>
      <c r="B856" s="30"/>
      <c r="C856" s="31"/>
      <c r="D856" s="31"/>
    </row>
    <row r="857" spans="1:4" ht="13.2">
      <c r="A857" s="17"/>
      <c r="B857" s="30"/>
      <c r="C857" s="31"/>
      <c r="D857" s="31"/>
    </row>
    <row r="858" spans="1:4" ht="13.2">
      <c r="A858" s="17"/>
      <c r="B858" s="30"/>
      <c r="C858" s="31"/>
      <c r="D858" s="31"/>
    </row>
    <row r="859" spans="1:4" ht="13.2">
      <c r="A859" s="17"/>
      <c r="B859" s="30"/>
      <c r="C859" s="31"/>
      <c r="D859" s="31"/>
    </row>
    <row r="860" spans="1:4" ht="13.2">
      <c r="A860" s="17"/>
      <c r="B860" s="30"/>
      <c r="C860" s="31"/>
      <c r="D860" s="31"/>
    </row>
    <row r="861" spans="1:4" ht="13.2">
      <c r="A861" s="17"/>
      <c r="B861" s="30"/>
      <c r="C861" s="31"/>
      <c r="D861" s="31"/>
    </row>
    <row r="862" spans="1:4" ht="13.2">
      <c r="A862" s="17"/>
      <c r="B862" s="30"/>
      <c r="C862" s="31"/>
      <c r="D862" s="31"/>
    </row>
    <row r="863" spans="1:4" ht="13.2">
      <c r="A863" s="17"/>
      <c r="B863" s="30"/>
      <c r="C863" s="31"/>
      <c r="D863" s="31"/>
    </row>
    <row r="864" spans="1:4" ht="13.2">
      <c r="A864" s="17"/>
      <c r="B864" s="30"/>
      <c r="C864" s="31"/>
      <c r="D864" s="31"/>
    </row>
    <row r="865" spans="1:4" ht="13.2">
      <c r="A865" s="17"/>
      <c r="B865" s="30"/>
      <c r="C865" s="31"/>
      <c r="D865" s="31"/>
    </row>
    <row r="866" spans="1:4" ht="13.2">
      <c r="A866" s="17"/>
      <c r="B866" s="30"/>
      <c r="C866" s="31"/>
      <c r="D866" s="31"/>
    </row>
    <row r="867" spans="1:4" ht="13.2">
      <c r="A867" s="17"/>
      <c r="B867" s="30"/>
      <c r="C867" s="31"/>
      <c r="D867" s="31"/>
    </row>
    <row r="868" spans="1:4" ht="13.2">
      <c r="A868" s="17"/>
      <c r="B868" s="30"/>
      <c r="C868" s="31"/>
      <c r="D868" s="31"/>
    </row>
    <row r="869" spans="1:4" ht="13.2">
      <c r="A869" s="17"/>
      <c r="B869" s="30"/>
      <c r="C869" s="31"/>
      <c r="D869" s="31"/>
    </row>
    <row r="870" spans="1:4" ht="13.2">
      <c r="A870" s="17"/>
      <c r="B870" s="30"/>
      <c r="C870" s="31"/>
      <c r="D870" s="31"/>
    </row>
    <row r="871" spans="1:4" ht="13.2">
      <c r="A871" s="17"/>
      <c r="B871" s="30"/>
      <c r="C871" s="31"/>
      <c r="D871" s="31"/>
    </row>
    <row r="872" spans="1:4" ht="13.2">
      <c r="A872" s="17"/>
      <c r="B872" s="30"/>
      <c r="C872" s="31"/>
      <c r="D872" s="31"/>
    </row>
    <row r="873" spans="1:4" ht="13.2">
      <c r="A873" s="17"/>
      <c r="B873" s="30"/>
      <c r="C873" s="31"/>
      <c r="D873" s="31"/>
    </row>
    <row r="874" spans="1:4" ht="13.2">
      <c r="A874" s="17"/>
      <c r="B874" s="30"/>
      <c r="C874" s="31"/>
      <c r="D874" s="31"/>
    </row>
    <row r="875" spans="1:4" ht="13.2">
      <c r="A875" s="17"/>
      <c r="B875" s="30"/>
      <c r="C875" s="31"/>
      <c r="D875" s="31"/>
    </row>
    <row r="876" spans="1:4" ht="13.2">
      <c r="A876" s="17"/>
      <c r="B876" s="30"/>
      <c r="C876" s="31"/>
      <c r="D876" s="31"/>
    </row>
    <row r="877" spans="1:4" ht="13.2">
      <c r="A877" s="17"/>
      <c r="B877" s="30"/>
      <c r="C877" s="31"/>
      <c r="D877" s="31"/>
    </row>
    <row r="878" spans="1:4" ht="13.2">
      <c r="A878" s="17"/>
      <c r="B878" s="30"/>
      <c r="C878" s="31"/>
      <c r="D878" s="31"/>
    </row>
    <row r="879" spans="1:4" ht="13.2">
      <c r="A879" s="17"/>
      <c r="B879" s="30"/>
      <c r="C879" s="31"/>
      <c r="D879" s="31"/>
    </row>
    <row r="880" spans="1:4" ht="13.2">
      <c r="A880" s="17"/>
      <c r="B880" s="30"/>
      <c r="C880" s="31"/>
      <c r="D880" s="31"/>
    </row>
    <row r="881" spans="1:4" ht="13.2">
      <c r="A881" s="17"/>
      <c r="B881" s="30"/>
      <c r="C881" s="31"/>
      <c r="D881" s="31"/>
    </row>
    <row r="882" spans="1:4" ht="13.2">
      <c r="A882" s="17"/>
      <c r="B882" s="30"/>
      <c r="C882" s="31"/>
      <c r="D882" s="31"/>
    </row>
    <row r="883" spans="1:4" ht="13.2">
      <c r="A883" s="17"/>
      <c r="B883" s="30"/>
      <c r="C883" s="31"/>
      <c r="D883" s="31"/>
    </row>
    <row r="884" spans="1:4" ht="13.2">
      <c r="A884" s="17"/>
      <c r="B884" s="30"/>
      <c r="C884" s="31"/>
      <c r="D884" s="31"/>
    </row>
    <row r="885" spans="1:4" ht="13.2">
      <c r="A885" s="17"/>
      <c r="B885" s="30"/>
      <c r="C885" s="31"/>
      <c r="D885" s="31"/>
    </row>
    <row r="886" spans="1:4" ht="13.2">
      <c r="A886" s="17"/>
      <c r="B886" s="30"/>
      <c r="C886" s="31"/>
      <c r="D886" s="31"/>
    </row>
    <row r="887" spans="1:4" ht="13.2">
      <c r="A887" s="17"/>
      <c r="B887" s="30"/>
      <c r="C887" s="31"/>
      <c r="D887" s="31"/>
    </row>
    <row r="888" spans="1:4" ht="13.2">
      <c r="A888" s="17"/>
      <c r="B888" s="30"/>
      <c r="C888" s="31"/>
      <c r="D888" s="31"/>
    </row>
    <row r="889" spans="1:4" ht="13.2">
      <c r="A889" s="17"/>
      <c r="B889" s="30"/>
      <c r="C889" s="31"/>
      <c r="D889" s="31"/>
    </row>
    <row r="890" spans="1:4" ht="13.2">
      <c r="A890" s="17"/>
      <c r="B890" s="30"/>
      <c r="C890" s="31"/>
      <c r="D890" s="31"/>
    </row>
    <row r="891" spans="1:4" ht="13.2">
      <c r="A891" s="17"/>
      <c r="B891" s="30"/>
      <c r="C891" s="31"/>
      <c r="D891" s="31"/>
    </row>
    <row r="892" spans="1:4" ht="13.2">
      <c r="A892" s="17"/>
      <c r="B892" s="30"/>
      <c r="C892" s="31"/>
      <c r="D892" s="31"/>
    </row>
    <row r="893" spans="1:4" ht="13.2">
      <c r="A893" s="17"/>
      <c r="B893" s="30"/>
      <c r="C893" s="31"/>
      <c r="D893" s="31"/>
    </row>
    <row r="894" spans="1:4" ht="13.2">
      <c r="A894" s="17"/>
      <c r="B894" s="30"/>
      <c r="C894" s="31"/>
      <c r="D894" s="31"/>
    </row>
    <row r="895" spans="1:4" ht="13.2">
      <c r="A895" s="17"/>
      <c r="B895" s="30"/>
      <c r="C895" s="31"/>
      <c r="D895" s="31"/>
    </row>
    <row r="896" spans="1:4" ht="13.2">
      <c r="A896" s="17"/>
      <c r="B896" s="30"/>
      <c r="C896" s="31"/>
      <c r="D896" s="31"/>
    </row>
    <row r="897" spans="1:4" ht="13.2">
      <c r="A897" s="17"/>
      <c r="B897" s="30"/>
      <c r="C897" s="31"/>
      <c r="D897" s="31"/>
    </row>
    <row r="898" spans="1:4" ht="13.2">
      <c r="A898" s="17"/>
      <c r="B898" s="30"/>
      <c r="C898" s="31"/>
      <c r="D898" s="31"/>
    </row>
    <row r="899" spans="1:4" ht="13.2">
      <c r="A899" s="17"/>
      <c r="B899" s="30"/>
      <c r="C899" s="31"/>
      <c r="D899" s="31"/>
    </row>
    <row r="900" spans="1:4" ht="13.2">
      <c r="A900" s="17"/>
      <c r="B900" s="30"/>
      <c r="C900" s="31"/>
      <c r="D900" s="31"/>
    </row>
    <row r="901" spans="1:4" ht="13.2">
      <c r="A901" s="17"/>
      <c r="B901" s="30"/>
      <c r="C901" s="31"/>
      <c r="D901" s="31"/>
    </row>
    <row r="902" spans="1:4" ht="13.2">
      <c r="A902" s="17"/>
      <c r="B902" s="30"/>
      <c r="C902" s="31"/>
      <c r="D902" s="31"/>
    </row>
    <row r="903" spans="1:4" ht="13.2">
      <c r="A903" s="17"/>
      <c r="B903" s="30"/>
      <c r="C903" s="31"/>
      <c r="D903" s="31"/>
    </row>
    <row r="904" spans="1:4" ht="13.2">
      <c r="A904" s="17"/>
      <c r="B904" s="30"/>
      <c r="C904" s="31"/>
      <c r="D904" s="31"/>
    </row>
    <row r="905" spans="1:4" ht="13.2">
      <c r="A905" s="17"/>
      <c r="B905" s="30"/>
      <c r="C905" s="31"/>
      <c r="D905" s="31"/>
    </row>
    <row r="906" spans="1:4" ht="13.2">
      <c r="A906" s="17"/>
      <c r="B906" s="30"/>
      <c r="C906" s="31"/>
      <c r="D906" s="31"/>
    </row>
    <row r="907" spans="1:4" ht="13.2">
      <c r="A907" s="17"/>
      <c r="B907" s="30"/>
      <c r="C907" s="31"/>
      <c r="D907" s="31"/>
    </row>
    <row r="908" spans="1:4" ht="13.2">
      <c r="A908" s="17"/>
      <c r="B908" s="30"/>
      <c r="C908" s="31"/>
      <c r="D908" s="31"/>
    </row>
    <row r="909" spans="1:4" ht="13.2">
      <c r="A909" s="17"/>
      <c r="B909" s="30"/>
      <c r="C909" s="31"/>
      <c r="D909" s="31"/>
    </row>
    <row r="910" spans="1:4" ht="13.2">
      <c r="A910" s="17"/>
      <c r="B910" s="30"/>
      <c r="C910" s="31"/>
      <c r="D910" s="31"/>
    </row>
    <row r="911" spans="1:4" ht="13.2">
      <c r="A911" s="17"/>
      <c r="B911" s="30"/>
      <c r="C911" s="31"/>
      <c r="D911" s="31"/>
    </row>
    <row r="912" spans="1:4" ht="13.2">
      <c r="A912" s="17"/>
      <c r="B912" s="30"/>
      <c r="C912" s="31"/>
      <c r="D912" s="31"/>
    </row>
    <row r="913" spans="1:4" ht="13.2">
      <c r="A913" s="17"/>
      <c r="B913" s="30"/>
      <c r="C913" s="31"/>
      <c r="D913" s="31"/>
    </row>
    <row r="914" spans="1:4" ht="13.2">
      <c r="A914" s="17"/>
      <c r="B914" s="30"/>
      <c r="C914" s="31"/>
      <c r="D914" s="31"/>
    </row>
    <row r="915" spans="1:4" ht="13.2">
      <c r="A915" s="17"/>
      <c r="B915" s="30"/>
      <c r="C915" s="31"/>
      <c r="D915" s="31"/>
    </row>
    <row r="916" spans="1:4" ht="13.2">
      <c r="A916" s="17"/>
      <c r="B916" s="30"/>
      <c r="C916" s="31"/>
      <c r="D916" s="31"/>
    </row>
    <row r="917" spans="1:4" ht="13.2">
      <c r="A917" s="17"/>
      <c r="B917" s="30"/>
      <c r="C917" s="31"/>
      <c r="D917" s="31"/>
    </row>
    <row r="918" spans="1:4" ht="13.2">
      <c r="A918" s="17"/>
      <c r="B918" s="30"/>
      <c r="C918" s="31"/>
      <c r="D918" s="31"/>
    </row>
    <row r="919" spans="1:4" ht="13.2">
      <c r="A919" s="17"/>
      <c r="B919" s="30"/>
      <c r="C919" s="31"/>
      <c r="D919" s="31"/>
    </row>
    <row r="920" spans="1:4" ht="13.2">
      <c r="A920" s="17"/>
      <c r="B920" s="30"/>
      <c r="C920" s="31"/>
      <c r="D920" s="31"/>
    </row>
    <row r="921" spans="1:4" ht="13.2">
      <c r="A921" s="17"/>
      <c r="B921" s="30"/>
      <c r="C921" s="31"/>
      <c r="D921" s="31"/>
    </row>
    <row r="922" spans="1:4" ht="13.2">
      <c r="A922" s="17"/>
      <c r="B922" s="30"/>
      <c r="C922" s="31"/>
      <c r="D922" s="31"/>
    </row>
    <row r="923" spans="1:4" ht="13.2">
      <c r="A923" s="17"/>
      <c r="B923" s="30"/>
      <c r="C923" s="31"/>
      <c r="D923" s="31"/>
    </row>
    <row r="924" spans="1:4" ht="13.2">
      <c r="A924" s="17"/>
      <c r="B924" s="30"/>
      <c r="C924" s="31"/>
      <c r="D924" s="31"/>
    </row>
    <row r="925" spans="1:4" ht="13.2">
      <c r="A925" s="17"/>
      <c r="B925" s="30"/>
      <c r="C925" s="31"/>
      <c r="D925" s="31"/>
    </row>
    <row r="926" spans="1:4" ht="13.2">
      <c r="A926" s="17"/>
      <c r="B926" s="30"/>
      <c r="C926" s="31"/>
      <c r="D926" s="31"/>
    </row>
    <row r="927" spans="1:4" ht="13.2">
      <c r="A927" s="17"/>
      <c r="B927" s="30"/>
      <c r="C927" s="31"/>
      <c r="D927" s="31"/>
    </row>
    <row r="928" spans="1:4" ht="13.2">
      <c r="A928" s="17"/>
      <c r="B928" s="30"/>
      <c r="C928" s="31"/>
      <c r="D928" s="31"/>
    </row>
    <row r="929" spans="1:4" ht="13.2">
      <c r="A929" s="17"/>
      <c r="B929" s="30"/>
      <c r="C929" s="31"/>
      <c r="D929" s="31"/>
    </row>
    <row r="930" spans="1:4" ht="13.2">
      <c r="A930" s="17"/>
      <c r="B930" s="30"/>
      <c r="C930" s="31"/>
      <c r="D930" s="31"/>
    </row>
    <row r="931" spans="1:4" ht="13.2">
      <c r="A931" s="17"/>
      <c r="B931" s="30"/>
      <c r="C931" s="31"/>
      <c r="D931" s="31"/>
    </row>
    <row r="932" spans="1:4" ht="13.2">
      <c r="A932" s="17"/>
      <c r="B932" s="30"/>
      <c r="C932" s="31"/>
      <c r="D932" s="31"/>
    </row>
    <row r="933" spans="1:4" ht="13.2">
      <c r="A933" s="17"/>
      <c r="B933" s="30"/>
      <c r="C933" s="31"/>
      <c r="D933" s="31"/>
    </row>
    <row r="934" spans="1:4" ht="13.2">
      <c r="A934" s="17"/>
      <c r="B934" s="30"/>
      <c r="C934" s="31"/>
      <c r="D934" s="31"/>
    </row>
    <row r="935" spans="1:4" ht="13.2">
      <c r="A935" s="17"/>
      <c r="B935" s="30"/>
      <c r="C935" s="31"/>
      <c r="D935" s="31"/>
    </row>
    <row r="936" spans="1:4" ht="13.2">
      <c r="A936" s="17"/>
      <c r="B936" s="30"/>
      <c r="C936" s="31"/>
      <c r="D936" s="31"/>
    </row>
    <row r="937" spans="1:4" ht="13.2">
      <c r="A937" s="17"/>
      <c r="B937" s="30"/>
      <c r="C937" s="31"/>
      <c r="D937" s="31"/>
    </row>
    <row r="938" spans="1:4" ht="13.2">
      <c r="A938" s="17"/>
      <c r="B938" s="30"/>
      <c r="C938" s="31"/>
      <c r="D938" s="31"/>
    </row>
    <row r="939" spans="1:4" ht="13.2">
      <c r="A939" s="17"/>
      <c r="B939" s="30"/>
      <c r="C939" s="31"/>
      <c r="D939" s="31"/>
    </row>
    <row r="940" spans="1:4" ht="13.2">
      <c r="A940" s="17"/>
      <c r="B940" s="30"/>
      <c r="C940" s="31"/>
      <c r="D940" s="31"/>
    </row>
    <row r="941" spans="1:4" ht="13.2">
      <c r="A941" s="17"/>
      <c r="B941" s="30"/>
      <c r="C941" s="31"/>
      <c r="D941" s="31"/>
    </row>
    <row r="942" spans="1:4" ht="13.2">
      <c r="A942" s="17"/>
      <c r="B942" s="30"/>
      <c r="C942" s="31"/>
      <c r="D942" s="31"/>
    </row>
    <row r="943" spans="1:4" ht="13.2">
      <c r="A943" s="17"/>
      <c r="B943" s="30"/>
      <c r="C943" s="31"/>
      <c r="D943" s="31"/>
    </row>
    <row r="944" spans="1:4" ht="13.2">
      <c r="A944" s="17"/>
      <c r="B944" s="30"/>
      <c r="C944" s="31"/>
      <c r="D944" s="31"/>
    </row>
    <row r="945" spans="1:4" ht="13.2">
      <c r="A945" s="17"/>
      <c r="B945" s="30"/>
      <c r="C945" s="31"/>
      <c r="D945" s="31"/>
    </row>
    <row r="946" spans="1:4" ht="13.2">
      <c r="A946" s="17"/>
      <c r="B946" s="30"/>
      <c r="C946" s="31"/>
      <c r="D946" s="31"/>
    </row>
    <row r="947" spans="1:4" ht="13.2">
      <c r="A947" s="17"/>
      <c r="B947" s="30"/>
      <c r="C947" s="31"/>
      <c r="D947" s="31"/>
    </row>
    <row r="948" spans="1:4" ht="13.2">
      <c r="A948" s="17"/>
      <c r="B948" s="30"/>
      <c r="C948" s="31"/>
      <c r="D948" s="31"/>
    </row>
    <row r="949" spans="1:4" ht="13.2">
      <c r="A949" s="17"/>
      <c r="B949" s="30"/>
      <c r="C949" s="31"/>
      <c r="D949" s="31"/>
    </row>
    <row r="950" spans="1:4" ht="13.2">
      <c r="A950" s="17"/>
      <c r="B950" s="30"/>
      <c r="C950" s="31"/>
      <c r="D950" s="31"/>
    </row>
    <row r="951" spans="1:4" ht="13.2">
      <c r="A951" s="17"/>
      <c r="B951" s="30"/>
      <c r="C951" s="31"/>
      <c r="D951" s="31"/>
    </row>
    <row r="952" spans="1:4" ht="13.2">
      <c r="A952" s="17"/>
      <c r="B952" s="30"/>
      <c r="C952" s="31"/>
      <c r="D952" s="31"/>
    </row>
    <row r="953" spans="1:4" ht="13.2">
      <c r="A953" s="17"/>
      <c r="B953" s="30"/>
      <c r="C953" s="31"/>
      <c r="D953" s="31"/>
    </row>
    <row r="954" spans="1:4" ht="13.2">
      <c r="A954" s="17"/>
      <c r="B954" s="30"/>
      <c r="C954" s="31"/>
      <c r="D954" s="31"/>
    </row>
    <row r="955" spans="1:4" ht="13.2">
      <c r="A955" s="17"/>
      <c r="B955" s="30"/>
      <c r="C955" s="31"/>
      <c r="D955" s="31"/>
    </row>
    <row r="956" spans="1:4" ht="13.2">
      <c r="A956" s="17"/>
      <c r="B956" s="30"/>
      <c r="C956" s="31"/>
      <c r="D956" s="31"/>
    </row>
    <row r="957" spans="1:4" ht="13.2">
      <c r="A957" s="17"/>
      <c r="B957" s="30"/>
      <c r="C957" s="31"/>
      <c r="D957" s="31"/>
    </row>
    <row r="958" spans="1:4" ht="13.2">
      <c r="A958" s="17"/>
      <c r="B958" s="30"/>
      <c r="C958" s="31"/>
      <c r="D958" s="31"/>
    </row>
    <row r="959" spans="1:4" ht="13.2">
      <c r="A959" s="17"/>
      <c r="B959" s="30"/>
      <c r="C959" s="31"/>
      <c r="D959" s="31"/>
    </row>
    <row r="960" spans="1:4" ht="13.2">
      <c r="A960" s="17"/>
      <c r="B960" s="30"/>
      <c r="C960" s="31"/>
      <c r="D960" s="31"/>
    </row>
    <row r="961" spans="1:4" ht="13.2">
      <c r="A961" s="17"/>
      <c r="B961" s="30"/>
      <c r="C961" s="31"/>
      <c r="D961" s="31"/>
    </row>
    <row r="962" spans="1:4" ht="13.2">
      <c r="A962" s="17"/>
      <c r="B962" s="30"/>
      <c r="C962" s="31"/>
      <c r="D962" s="31"/>
    </row>
    <row r="963" spans="1:4" ht="13.2">
      <c r="A963" s="17"/>
      <c r="B963" s="30"/>
      <c r="C963" s="31"/>
      <c r="D963" s="31"/>
    </row>
    <row r="964" spans="1:4" ht="13.2">
      <c r="A964" s="17"/>
      <c r="B964" s="30"/>
      <c r="C964" s="31"/>
      <c r="D964" s="31"/>
    </row>
    <row r="965" spans="1:4" ht="13.2">
      <c r="A965" s="17"/>
      <c r="B965" s="30"/>
      <c r="C965" s="31"/>
      <c r="D965" s="31"/>
    </row>
    <row r="966" spans="1:4" ht="13.2">
      <c r="A966" s="17"/>
      <c r="B966" s="30"/>
      <c r="C966" s="31"/>
      <c r="D966" s="31"/>
    </row>
    <row r="967" spans="1:4" ht="13.2">
      <c r="A967" s="17"/>
      <c r="B967" s="30"/>
      <c r="C967" s="31"/>
      <c r="D967" s="31"/>
    </row>
    <row r="968" spans="1:4" ht="13.2">
      <c r="A968" s="17"/>
      <c r="B968" s="30"/>
      <c r="C968" s="31"/>
      <c r="D968" s="31"/>
    </row>
    <row r="969" spans="1:4" ht="13.2">
      <c r="A969" s="17"/>
      <c r="B969" s="30"/>
      <c r="C969" s="31"/>
      <c r="D969" s="31"/>
    </row>
    <row r="970" spans="1:4" ht="13.2">
      <c r="A970" s="17"/>
      <c r="B970" s="30"/>
      <c r="C970" s="31"/>
      <c r="D970" s="31"/>
    </row>
    <row r="971" spans="1:4" ht="13.2">
      <c r="A971" s="17"/>
      <c r="B971" s="30"/>
      <c r="C971" s="31"/>
      <c r="D971" s="31"/>
    </row>
    <row r="972" spans="1:4" ht="13.2">
      <c r="A972" s="17"/>
      <c r="B972" s="30"/>
      <c r="C972" s="31"/>
      <c r="D972" s="31"/>
    </row>
    <row r="973" spans="1:4" ht="13.2">
      <c r="A973" s="17"/>
      <c r="B973" s="30"/>
      <c r="C973" s="31"/>
      <c r="D973" s="31"/>
    </row>
    <row r="974" spans="1:4" ht="13.2">
      <c r="A974" s="17"/>
      <c r="B974" s="30"/>
      <c r="C974" s="31"/>
      <c r="D974" s="31"/>
    </row>
    <row r="975" spans="1:4" ht="13.2">
      <c r="A975" s="17"/>
      <c r="B975" s="30"/>
      <c r="C975" s="31"/>
      <c r="D975" s="31"/>
    </row>
    <row r="976" spans="1:4" ht="13.2">
      <c r="A976" s="17"/>
      <c r="B976" s="30"/>
      <c r="C976" s="31"/>
      <c r="D976" s="31"/>
    </row>
    <row r="977" spans="1:4" ht="13.2">
      <c r="A977" s="17"/>
      <c r="B977" s="30"/>
      <c r="C977" s="31"/>
      <c r="D977" s="31"/>
    </row>
    <row r="978" spans="1:4" ht="13.2">
      <c r="A978" s="17"/>
      <c r="B978" s="30"/>
      <c r="C978" s="31"/>
      <c r="D978" s="31"/>
    </row>
    <row r="979" spans="1:4" ht="13.2">
      <c r="A979" s="17"/>
      <c r="B979" s="30"/>
      <c r="C979" s="31"/>
      <c r="D979" s="31"/>
    </row>
    <row r="980" spans="1:4" ht="13.2">
      <c r="A980" s="17"/>
      <c r="B980" s="30"/>
      <c r="C980" s="31"/>
      <c r="D980" s="31"/>
    </row>
    <row r="981" spans="1:4" ht="13.2">
      <c r="A981" s="17"/>
      <c r="B981" s="30"/>
      <c r="C981" s="31"/>
      <c r="D981" s="31"/>
    </row>
    <row r="982" spans="1:4" ht="13.2">
      <c r="A982" s="17"/>
      <c r="B982" s="30"/>
      <c r="C982" s="31"/>
      <c r="D982" s="31"/>
    </row>
    <row r="983" spans="1:4" ht="13.2">
      <c r="A983" s="17"/>
      <c r="B983" s="30"/>
      <c r="C983" s="31"/>
      <c r="D983" s="31"/>
    </row>
    <row r="984" spans="1:4" ht="13.2">
      <c r="A984" s="17"/>
      <c r="B984" s="30"/>
      <c r="C984" s="31"/>
      <c r="D984" s="31"/>
    </row>
    <row r="985" spans="1:4" ht="13.2">
      <c r="A985" s="17"/>
      <c r="B985" s="30"/>
      <c r="C985" s="31"/>
      <c r="D985" s="31"/>
    </row>
    <row r="986" spans="1:4" ht="13.2">
      <c r="A986" s="17"/>
      <c r="B986" s="30"/>
      <c r="C986" s="31"/>
      <c r="D986" s="31"/>
    </row>
    <row r="987" spans="1:4" ht="13.2">
      <c r="A987" s="17"/>
      <c r="B987" s="30"/>
      <c r="C987" s="31"/>
      <c r="D987" s="31"/>
    </row>
    <row r="988" spans="1:4" ht="13.2">
      <c r="A988" s="17"/>
      <c r="B988" s="30"/>
      <c r="C988" s="31"/>
      <c r="D988" s="31"/>
    </row>
    <row r="989" spans="1:4" ht="13.2">
      <c r="A989" s="17"/>
      <c r="B989" s="30"/>
      <c r="C989" s="31"/>
      <c r="D989" s="31"/>
    </row>
    <row r="990" spans="1:4" ht="13.2">
      <c r="A990" s="17"/>
      <c r="B990" s="30"/>
      <c r="C990" s="31"/>
      <c r="D990" s="31"/>
    </row>
    <row r="991" spans="1:4" ht="13.2">
      <c r="A991" s="17"/>
      <c r="B991" s="30"/>
      <c r="C991" s="31"/>
      <c r="D991" s="31"/>
    </row>
    <row r="992" spans="1:4" ht="13.2">
      <c r="A992" s="17"/>
      <c r="B992" s="30"/>
      <c r="C992" s="31"/>
      <c r="D992" s="31"/>
    </row>
    <row r="993" spans="1:4" ht="13.2">
      <c r="A993" s="17"/>
      <c r="B993" s="30"/>
      <c r="C993" s="31"/>
      <c r="D993" s="31"/>
    </row>
    <row r="994" spans="1:4" ht="13.2">
      <c r="A994" s="17"/>
      <c r="B994" s="30"/>
      <c r="C994" s="31"/>
      <c r="D994" s="31"/>
    </row>
    <row r="995" spans="1:4" ht="13.2">
      <c r="A995" s="17"/>
      <c r="B995" s="30"/>
      <c r="C995" s="31"/>
      <c r="D995" s="31"/>
    </row>
    <row r="996" spans="1:4" ht="13.2">
      <c r="A996" s="17"/>
      <c r="B996" s="30"/>
      <c r="C996" s="31"/>
      <c r="D996" s="31"/>
    </row>
    <row r="997" spans="1:4" ht="13.2">
      <c r="A997" s="17"/>
      <c r="B997" s="30"/>
      <c r="C997" s="31"/>
      <c r="D997" s="31"/>
    </row>
    <row r="998" spans="1:4" ht="13.2">
      <c r="A998" s="17"/>
      <c r="B998" s="30"/>
      <c r="C998" s="31"/>
      <c r="D998" s="31"/>
    </row>
    <row r="999" spans="1:4" ht="13.2">
      <c r="A999" s="17"/>
      <c r="B999" s="30"/>
      <c r="C999" s="31"/>
      <c r="D999" s="31"/>
    </row>
    <row r="1000" spans="1:4" ht="13.2">
      <c r="A1000" s="17"/>
      <c r="B1000" s="30"/>
      <c r="C1000" s="31"/>
      <c r="D10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1000"/>
  <sheetViews>
    <sheetView workbookViewId="0"/>
  </sheetViews>
  <sheetFormatPr baseColWidth="10" defaultColWidth="12.6640625" defaultRowHeight="15.75" customHeight="1"/>
  <sheetData>
    <row r="1" spans="1:26" ht="15.75" customHeight="1">
      <c r="A1" s="39" t="s">
        <v>31</v>
      </c>
      <c r="B1" s="24" t="s">
        <v>437</v>
      </c>
      <c r="C1" s="25" t="s">
        <v>35</v>
      </c>
      <c r="D1" s="25" t="s">
        <v>36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5.75" customHeight="1">
      <c r="A2" s="40">
        <v>1</v>
      </c>
      <c r="B2" s="27" t="s">
        <v>438</v>
      </c>
      <c r="C2" s="28"/>
      <c r="D2" s="28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5.75" customHeight="1">
      <c r="A3" s="40">
        <v>2</v>
      </c>
      <c r="B3" s="27" t="s">
        <v>66</v>
      </c>
      <c r="C3" s="28"/>
      <c r="D3" s="2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ht="15.75" customHeight="1">
      <c r="A4" s="40">
        <v>3</v>
      </c>
      <c r="B4" s="27" t="s">
        <v>390</v>
      </c>
      <c r="C4" s="28"/>
      <c r="D4" s="28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ht="15.75" customHeight="1">
      <c r="A5" s="40">
        <v>4</v>
      </c>
      <c r="B5" s="27" t="s">
        <v>201</v>
      </c>
      <c r="C5" s="28"/>
      <c r="D5" s="28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ht="15.75" customHeight="1">
      <c r="A6" s="40">
        <v>5</v>
      </c>
      <c r="B6" s="27" t="s">
        <v>236</v>
      </c>
      <c r="C6" s="28"/>
      <c r="D6" s="28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ht="15.75" customHeight="1">
      <c r="A7" s="40">
        <v>6</v>
      </c>
      <c r="B7" s="27" t="s">
        <v>278</v>
      </c>
      <c r="C7" s="28"/>
      <c r="D7" s="28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5.75" customHeight="1">
      <c r="A8" s="40">
        <v>7</v>
      </c>
      <c r="B8" s="27" t="s">
        <v>439</v>
      </c>
      <c r="C8" s="28"/>
      <c r="D8" s="28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ht="15.75" customHeight="1">
      <c r="A9" s="40">
        <v>8</v>
      </c>
      <c r="B9" s="27" t="s">
        <v>440</v>
      </c>
      <c r="C9" s="28"/>
      <c r="D9" s="2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5.75" customHeight="1">
      <c r="A10" s="40">
        <v>9</v>
      </c>
      <c r="B10" s="27" t="s">
        <v>441</v>
      </c>
      <c r="C10" s="28"/>
      <c r="D10" s="2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3.2">
      <c r="A11" s="41">
        <v>10</v>
      </c>
      <c r="B11" s="33" t="s">
        <v>442</v>
      </c>
      <c r="C11" s="28"/>
      <c r="D11" s="2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13.2">
      <c r="A12" s="41">
        <v>11</v>
      </c>
      <c r="B12" s="33" t="s">
        <v>443</v>
      </c>
      <c r="C12" s="28"/>
      <c r="D12" s="2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13.2">
      <c r="A13" s="42"/>
      <c r="B13" s="30"/>
      <c r="C13" s="31"/>
      <c r="D13" s="31"/>
    </row>
    <row r="14" spans="1:26" ht="13.2">
      <c r="A14" s="42"/>
      <c r="B14" s="30"/>
      <c r="C14" s="31"/>
      <c r="D14" s="31"/>
    </row>
    <row r="15" spans="1:26" ht="13.2">
      <c r="A15" s="42"/>
      <c r="B15" s="30"/>
      <c r="C15" s="31"/>
      <c r="D15" s="31"/>
    </row>
    <row r="16" spans="1:26" ht="13.2">
      <c r="A16" s="42"/>
      <c r="B16" s="30"/>
      <c r="C16" s="31"/>
      <c r="D16" s="31"/>
    </row>
    <row r="17" spans="1:4" ht="13.2">
      <c r="A17" s="42"/>
      <c r="B17" s="30"/>
      <c r="C17" s="31"/>
      <c r="D17" s="31"/>
    </row>
    <row r="18" spans="1:4" ht="13.2">
      <c r="A18" s="42"/>
      <c r="B18" s="30"/>
      <c r="C18" s="31"/>
      <c r="D18" s="31"/>
    </row>
    <row r="19" spans="1:4" ht="13.2">
      <c r="A19" s="42"/>
      <c r="B19" s="30"/>
      <c r="C19" s="31"/>
      <c r="D19" s="31"/>
    </row>
    <row r="20" spans="1:4" ht="13.2">
      <c r="A20" s="42"/>
      <c r="B20" s="30"/>
      <c r="C20" s="31"/>
      <c r="D20" s="31"/>
    </row>
    <row r="21" spans="1:4" ht="13.2">
      <c r="A21" s="42"/>
      <c r="B21" s="30"/>
      <c r="C21" s="31"/>
      <c r="D21" s="31"/>
    </row>
    <row r="22" spans="1:4" ht="13.2">
      <c r="A22" s="42"/>
      <c r="B22" s="30"/>
      <c r="C22" s="31"/>
      <c r="D22" s="31"/>
    </row>
    <row r="23" spans="1:4" ht="13.2">
      <c r="A23" s="42"/>
      <c r="B23" s="30"/>
      <c r="C23" s="31"/>
      <c r="D23" s="31"/>
    </row>
    <row r="24" spans="1:4" ht="13.2">
      <c r="A24" s="42"/>
      <c r="B24" s="30"/>
      <c r="C24" s="31"/>
      <c r="D24" s="31"/>
    </row>
    <row r="25" spans="1:4" ht="13.2">
      <c r="A25" s="42"/>
      <c r="B25" s="30"/>
      <c r="C25" s="31"/>
      <c r="D25" s="31"/>
    </row>
    <row r="26" spans="1:4" ht="13.2">
      <c r="A26" s="42"/>
      <c r="B26" s="30"/>
      <c r="C26" s="31"/>
      <c r="D26" s="31"/>
    </row>
    <row r="27" spans="1:4" ht="13.2">
      <c r="A27" s="42"/>
      <c r="B27" s="30"/>
      <c r="C27" s="31"/>
      <c r="D27" s="31"/>
    </row>
    <row r="28" spans="1:4" ht="13.2">
      <c r="A28" s="42"/>
      <c r="B28" s="30"/>
      <c r="C28" s="31"/>
      <c r="D28" s="31"/>
    </row>
    <row r="29" spans="1:4" ht="13.2">
      <c r="A29" s="42"/>
      <c r="B29" s="30"/>
      <c r="C29" s="31"/>
      <c r="D29" s="31"/>
    </row>
    <row r="30" spans="1:4" ht="13.2">
      <c r="A30" s="42"/>
      <c r="B30" s="30"/>
      <c r="C30" s="31"/>
      <c r="D30" s="31"/>
    </row>
    <row r="31" spans="1:4" ht="13.2">
      <c r="A31" s="42"/>
      <c r="B31" s="30"/>
      <c r="C31" s="31"/>
      <c r="D31" s="31"/>
    </row>
    <row r="32" spans="1:4" ht="13.2">
      <c r="A32" s="42"/>
      <c r="B32" s="30"/>
      <c r="C32" s="31"/>
      <c r="D32" s="31"/>
    </row>
    <row r="33" spans="1:4" ht="13.2">
      <c r="A33" s="42"/>
      <c r="B33" s="30"/>
      <c r="C33" s="31"/>
      <c r="D33" s="31"/>
    </row>
    <row r="34" spans="1:4" ht="13.2">
      <c r="A34" s="42"/>
      <c r="B34" s="30"/>
      <c r="C34" s="31"/>
      <c r="D34" s="31"/>
    </row>
    <row r="35" spans="1:4" ht="13.2">
      <c r="A35" s="42"/>
      <c r="B35" s="30"/>
      <c r="C35" s="31"/>
      <c r="D35" s="31"/>
    </row>
    <row r="36" spans="1:4" ht="13.2">
      <c r="A36" s="42"/>
      <c r="B36" s="30"/>
      <c r="C36" s="31"/>
      <c r="D36" s="31"/>
    </row>
    <row r="37" spans="1:4" ht="13.2">
      <c r="A37" s="42"/>
      <c r="B37" s="30"/>
      <c r="C37" s="31"/>
      <c r="D37" s="31"/>
    </row>
    <row r="38" spans="1:4" ht="13.2">
      <c r="A38" s="42"/>
      <c r="B38" s="30"/>
      <c r="C38" s="31"/>
      <c r="D38" s="31"/>
    </row>
    <row r="39" spans="1:4" ht="13.2">
      <c r="A39" s="42"/>
      <c r="B39" s="30"/>
      <c r="C39" s="31"/>
      <c r="D39" s="31"/>
    </row>
    <row r="40" spans="1:4" ht="13.2">
      <c r="A40" s="42"/>
      <c r="B40" s="30"/>
      <c r="C40" s="31"/>
      <c r="D40" s="31"/>
    </row>
    <row r="41" spans="1:4" ht="13.2">
      <c r="A41" s="42"/>
      <c r="B41" s="30"/>
      <c r="C41" s="31"/>
      <c r="D41" s="31"/>
    </row>
    <row r="42" spans="1:4" ht="13.2">
      <c r="A42" s="42"/>
      <c r="B42" s="30"/>
      <c r="C42" s="31"/>
      <c r="D42" s="31"/>
    </row>
    <row r="43" spans="1:4" ht="13.2">
      <c r="A43" s="42"/>
      <c r="B43" s="30"/>
      <c r="C43" s="31"/>
      <c r="D43" s="31"/>
    </row>
    <row r="44" spans="1:4" ht="13.2">
      <c r="A44" s="42"/>
      <c r="B44" s="30"/>
      <c r="C44" s="31"/>
      <c r="D44" s="31"/>
    </row>
    <row r="45" spans="1:4" ht="13.2">
      <c r="A45" s="42"/>
      <c r="B45" s="30"/>
      <c r="C45" s="31"/>
      <c r="D45" s="31"/>
    </row>
    <row r="46" spans="1:4" ht="13.2">
      <c r="A46" s="42"/>
      <c r="B46" s="30"/>
      <c r="C46" s="31"/>
      <c r="D46" s="31"/>
    </row>
    <row r="47" spans="1:4" ht="13.2">
      <c r="A47" s="42"/>
      <c r="B47" s="30"/>
      <c r="C47" s="31"/>
      <c r="D47" s="31"/>
    </row>
    <row r="48" spans="1:4" ht="13.2">
      <c r="A48" s="42"/>
      <c r="B48" s="30"/>
      <c r="C48" s="31"/>
      <c r="D48" s="31"/>
    </row>
    <row r="49" spans="1:4" ht="13.2">
      <c r="A49" s="42"/>
      <c r="B49" s="30"/>
      <c r="C49" s="31"/>
      <c r="D49" s="31"/>
    </row>
    <row r="50" spans="1:4" ht="13.2">
      <c r="A50" s="42"/>
      <c r="B50" s="30"/>
      <c r="C50" s="31"/>
      <c r="D50" s="31"/>
    </row>
    <row r="51" spans="1:4" ht="13.2">
      <c r="A51" s="42"/>
      <c r="B51" s="30"/>
      <c r="C51" s="31"/>
      <c r="D51" s="31"/>
    </row>
    <row r="52" spans="1:4" ht="13.2">
      <c r="A52" s="42"/>
      <c r="B52" s="30"/>
      <c r="C52" s="31"/>
      <c r="D52" s="31"/>
    </row>
    <row r="53" spans="1:4" ht="13.2">
      <c r="A53" s="42"/>
      <c r="B53" s="30"/>
      <c r="C53" s="31"/>
      <c r="D53" s="31"/>
    </row>
    <row r="54" spans="1:4" ht="13.2">
      <c r="A54" s="42"/>
      <c r="B54" s="30"/>
      <c r="C54" s="31"/>
      <c r="D54" s="31"/>
    </row>
    <row r="55" spans="1:4" ht="13.2">
      <c r="A55" s="42"/>
      <c r="B55" s="30"/>
      <c r="C55" s="31"/>
      <c r="D55" s="31"/>
    </row>
    <row r="56" spans="1:4" ht="13.2">
      <c r="A56" s="42"/>
      <c r="B56" s="30"/>
      <c r="C56" s="31"/>
      <c r="D56" s="31"/>
    </row>
    <row r="57" spans="1:4" ht="13.2">
      <c r="A57" s="42"/>
      <c r="B57" s="30"/>
      <c r="C57" s="31"/>
      <c r="D57" s="31"/>
    </row>
    <row r="58" spans="1:4" ht="13.2">
      <c r="A58" s="42"/>
      <c r="B58" s="30"/>
      <c r="C58" s="31"/>
      <c r="D58" s="31"/>
    </row>
    <row r="59" spans="1:4" ht="13.2">
      <c r="A59" s="42"/>
      <c r="B59" s="30"/>
      <c r="C59" s="31"/>
      <c r="D59" s="31"/>
    </row>
    <row r="60" spans="1:4" ht="13.2">
      <c r="A60" s="42"/>
      <c r="B60" s="30"/>
      <c r="C60" s="31"/>
      <c r="D60" s="31"/>
    </row>
    <row r="61" spans="1:4" ht="13.2">
      <c r="A61" s="42"/>
      <c r="B61" s="30"/>
      <c r="C61" s="31"/>
      <c r="D61" s="31"/>
    </row>
    <row r="62" spans="1:4" ht="13.2">
      <c r="A62" s="42"/>
      <c r="B62" s="30"/>
      <c r="C62" s="31"/>
      <c r="D62" s="31"/>
    </row>
    <row r="63" spans="1:4" ht="13.2">
      <c r="A63" s="42"/>
      <c r="B63" s="30"/>
      <c r="C63" s="31"/>
      <c r="D63" s="31"/>
    </row>
    <row r="64" spans="1:4" ht="13.2">
      <c r="A64" s="42"/>
      <c r="B64" s="30"/>
      <c r="C64" s="31"/>
      <c r="D64" s="31"/>
    </row>
    <row r="65" spans="1:4" ht="13.2">
      <c r="A65" s="42"/>
      <c r="B65" s="30"/>
      <c r="C65" s="31"/>
      <c r="D65" s="31"/>
    </row>
    <row r="66" spans="1:4" ht="13.2">
      <c r="A66" s="42"/>
      <c r="B66" s="30"/>
      <c r="C66" s="31"/>
      <c r="D66" s="31"/>
    </row>
    <row r="67" spans="1:4" ht="13.2">
      <c r="A67" s="42"/>
      <c r="B67" s="30"/>
      <c r="C67" s="31"/>
      <c r="D67" s="31"/>
    </row>
    <row r="68" spans="1:4" ht="13.2">
      <c r="A68" s="42"/>
      <c r="B68" s="30"/>
      <c r="C68" s="31"/>
      <c r="D68" s="31"/>
    </row>
    <row r="69" spans="1:4" ht="13.2">
      <c r="A69" s="42"/>
      <c r="B69" s="30"/>
      <c r="C69" s="31"/>
      <c r="D69" s="31"/>
    </row>
    <row r="70" spans="1:4" ht="13.2">
      <c r="A70" s="42"/>
      <c r="B70" s="30"/>
      <c r="C70" s="31"/>
      <c r="D70" s="31"/>
    </row>
    <row r="71" spans="1:4" ht="13.2">
      <c r="A71" s="42"/>
      <c r="B71" s="30"/>
      <c r="C71" s="31"/>
      <c r="D71" s="31"/>
    </row>
    <row r="72" spans="1:4" ht="13.2">
      <c r="A72" s="42"/>
      <c r="B72" s="30"/>
      <c r="C72" s="31"/>
      <c r="D72" s="31"/>
    </row>
    <row r="73" spans="1:4" ht="13.2">
      <c r="A73" s="42"/>
      <c r="B73" s="30"/>
      <c r="C73" s="31"/>
      <c r="D73" s="31"/>
    </row>
    <row r="74" spans="1:4" ht="13.2">
      <c r="A74" s="42"/>
      <c r="B74" s="30"/>
      <c r="C74" s="31"/>
      <c r="D74" s="31"/>
    </row>
    <row r="75" spans="1:4" ht="13.2">
      <c r="A75" s="42"/>
      <c r="B75" s="30"/>
      <c r="C75" s="31"/>
      <c r="D75" s="31"/>
    </row>
    <row r="76" spans="1:4" ht="13.2">
      <c r="A76" s="42"/>
      <c r="B76" s="30"/>
      <c r="C76" s="31"/>
      <c r="D76" s="31"/>
    </row>
    <row r="77" spans="1:4" ht="13.2">
      <c r="A77" s="42"/>
      <c r="B77" s="30"/>
      <c r="C77" s="31"/>
      <c r="D77" s="31"/>
    </row>
    <row r="78" spans="1:4" ht="13.2">
      <c r="A78" s="42"/>
      <c r="B78" s="30"/>
      <c r="C78" s="31"/>
      <c r="D78" s="31"/>
    </row>
    <row r="79" spans="1:4" ht="13.2">
      <c r="A79" s="42"/>
      <c r="B79" s="30"/>
      <c r="C79" s="31"/>
      <c r="D79" s="31"/>
    </row>
    <row r="80" spans="1:4" ht="13.2">
      <c r="A80" s="42"/>
      <c r="B80" s="30"/>
      <c r="C80" s="31"/>
      <c r="D80" s="31"/>
    </row>
    <row r="81" spans="1:4" ht="13.2">
      <c r="A81" s="42"/>
      <c r="B81" s="30"/>
      <c r="C81" s="31"/>
      <c r="D81" s="31"/>
    </row>
    <row r="82" spans="1:4" ht="13.2">
      <c r="A82" s="42"/>
      <c r="B82" s="30"/>
      <c r="C82" s="31"/>
      <c r="D82" s="31"/>
    </row>
    <row r="83" spans="1:4" ht="13.2">
      <c r="A83" s="42"/>
      <c r="B83" s="30"/>
      <c r="C83" s="31"/>
      <c r="D83" s="31"/>
    </row>
    <row r="84" spans="1:4" ht="13.2">
      <c r="A84" s="42"/>
      <c r="B84" s="30"/>
      <c r="C84" s="31"/>
      <c r="D84" s="31"/>
    </row>
    <row r="85" spans="1:4" ht="13.2">
      <c r="A85" s="42"/>
      <c r="B85" s="30"/>
      <c r="C85" s="31"/>
      <c r="D85" s="31"/>
    </row>
    <row r="86" spans="1:4" ht="13.2">
      <c r="A86" s="42"/>
      <c r="B86" s="30"/>
      <c r="C86" s="31"/>
      <c r="D86" s="31"/>
    </row>
    <row r="87" spans="1:4" ht="13.2">
      <c r="A87" s="42"/>
      <c r="B87" s="30"/>
      <c r="C87" s="31"/>
      <c r="D87" s="31"/>
    </row>
    <row r="88" spans="1:4" ht="13.2">
      <c r="A88" s="42"/>
      <c r="B88" s="30"/>
      <c r="C88" s="31"/>
      <c r="D88" s="31"/>
    </row>
    <row r="89" spans="1:4" ht="13.2">
      <c r="A89" s="42"/>
      <c r="B89" s="30"/>
      <c r="C89" s="31"/>
      <c r="D89" s="31"/>
    </row>
    <row r="90" spans="1:4" ht="13.2">
      <c r="A90" s="42"/>
      <c r="B90" s="30"/>
      <c r="C90" s="31"/>
      <c r="D90" s="31"/>
    </row>
    <row r="91" spans="1:4" ht="13.2">
      <c r="A91" s="42"/>
      <c r="B91" s="30"/>
      <c r="C91" s="31"/>
      <c r="D91" s="31"/>
    </row>
    <row r="92" spans="1:4" ht="13.2">
      <c r="A92" s="42"/>
      <c r="B92" s="30"/>
      <c r="C92" s="31"/>
      <c r="D92" s="31"/>
    </row>
    <row r="93" spans="1:4" ht="13.2">
      <c r="A93" s="42"/>
      <c r="B93" s="30"/>
      <c r="C93" s="31"/>
      <c r="D93" s="31"/>
    </row>
    <row r="94" spans="1:4" ht="13.2">
      <c r="A94" s="42"/>
      <c r="B94" s="30"/>
      <c r="C94" s="31"/>
      <c r="D94" s="31"/>
    </row>
    <row r="95" spans="1:4" ht="13.2">
      <c r="A95" s="42"/>
      <c r="B95" s="30"/>
      <c r="C95" s="31"/>
      <c r="D95" s="31"/>
    </row>
    <row r="96" spans="1:4" ht="13.2">
      <c r="A96" s="42"/>
      <c r="B96" s="30"/>
      <c r="C96" s="31"/>
      <c r="D96" s="31"/>
    </row>
    <row r="97" spans="1:4" ht="13.2">
      <c r="A97" s="42"/>
      <c r="B97" s="30"/>
      <c r="C97" s="31"/>
      <c r="D97" s="31"/>
    </row>
    <row r="98" spans="1:4" ht="13.2">
      <c r="A98" s="42"/>
      <c r="B98" s="30"/>
      <c r="C98" s="31"/>
      <c r="D98" s="31"/>
    </row>
    <row r="99" spans="1:4" ht="13.2">
      <c r="A99" s="42"/>
      <c r="B99" s="30"/>
      <c r="C99" s="31"/>
      <c r="D99" s="31"/>
    </row>
    <row r="100" spans="1:4" ht="13.2">
      <c r="A100" s="42"/>
      <c r="B100" s="30"/>
      <c r="C100" s="31"/>
      <c r="D100" s="31"/>
    </row>
    <row r="101" spans="1:4" ht="13.2">
      <c r="A101" s="42"/>
      <c r="B101" s="30"/>
      <c r="C101" s="31"/>
      <c r="D101" s="31"/>
    </row>
    <row r="102" spans="1:4" ht="13.2">
      <c r="A102" s="42"/>
      <c r="B102" s="30"/>
      <c r="C102" s="31"/>
      <c r="D102" s="31"/>
    </row>
    <row r="103" spans="1:4" ht="13.2">
      <c r="A103" s="42"/>
      <c r="B103" s="30"/>
      <c r="C103" s="31"/>
      <c r="D103" s="31"/>
    </row>
    <row r="104" spans="1:4" ht="13.2">
      <c r="A104" s="42"/>
      <c r="B104" s="30"/>
      <c r="C104" s="31"/>
      <c r="D104" s="31"/>
    </row>
    <row r="105" spans="1:4" ht="13.2">
      <c r="A105" s="42"/>
      <c r="B105" s="30"/>
      <c r="C105" s="31"/>
      <c r="D105" s="31"/>
    </row>
    <row r="106" spans="1:4" ht="13.2">
      <c r="A106" s="42"/>
      <c r="B106" s="30"/>
      <c r="C106" s="31"/>
      <c r="D106" s="31"/>
    </row>
    <row r="107" spans="1:4" ht="13.2">
      <c r="A107" s="42"/>
      <c r="B107" s="30"/>
      <c r="C107" s="31"/>
      <c r="D107" s="31"/>
    </row>
    <row r="108" spans="1:4" ht="13.2">
      <c r="A108" s="42"/>
      <c r="B108" s="30"/>
      <c r="C108" s="31"/>
      <c r="D108" s="31"/>
    </row>
    <row r="109" spans="1:4" ht="13.2">
      <c r="A109" s="42"/>
      <c r="B109" s="30"/>
      <c r="C109" s="31"/>
      <c r="D109" s="31"/>
    </row>
    <row r="110" spans="1:4" ht="13.2">
      <c r="A110" s="42"/>
      <c r="B110" s="30"/>
      <c r="C110" s="31"/>
      <c r="D110" s="31"/>
    </row>
    <row r="111" spans="1:4" ht="13.2">
      <c r="A111" s="42"/>
      <c r="B111" s="30"/>
      <c r="C111" s="31"/>
      <c r="D111" s="31"/>
    </row>
    <row r="112" spans="1:4" ht="13.2">
      <c r="A112" s="42"/>
      <c r="B112" s="30"/>
      <c r="C112" s="31"/>
      <c r="D112" s="31"/>
    </row>
    <row r="113" spans="1:4" ht="13.2">
      <c r="A113" s="42"/>
      <c r="B113" s="30"/>
      <c r="C113" s="31"/>
      <c r="D113" s="31"/>
    </row>
    <row r="114" spans="1:4" ht="13.2">
      <c r="A114" s="42"/>
      <c r="B114" s="30"/>
      <c r="C114" s="31"/>
      <c r="D114" s="31"/>
    </row>
    <row r="115" spans="1:4" ht="13.2">
      <c r="A115" s="42"/>
      <c r="B115" s="30"/>
      <c r="C115" s="31"/>
      <c r="D115" s="31"/>
    </row>
    <row r="116" spans="1:4" ht="13.2">
      <c r="A116" s="42"/>
      <c r="B116" s="30"/>
      <c r="C116" s="31"/>
      <c r="D116" s="31"/>
    </row>
    <row r="117" spans="1:4" ht="13.2">
      <c r="A117" s="42"/>
      <c r="B117" s="30"/>
      <c r="C117" s="31"/>
      <c r="D117" s="31"/>
    </row>
    <row r="118" spans="1:4" ht="13.2">
      <c r="A118" s="42"/>
      <c r="B118" s="30"/>
      <c r="C118" s="31"/>
      <c r="D118" s="31"/>
    </row>
    <row r="119" spans="1:4" ht="13.2">
      <c r="A119" s="42"/>
      <c r="B119" s="30"/>
      <c r="C119" s="31"/>
      <c r="D119" s="31"/>
    </row>
    <row r="120" spans="1:4" ht="13.2">
      <c r="A120" s="42"/>
      <c r="B120" s="30"/>
      <c r="C120" s="31"/>
      <c r="D120" s="31"/>
    </row>
    <row r="121" spans="1:4" ht="13.2">
      <c r="A121" s="42"/>
      <c r="B121" s="30"/>
      <c r="C121" s="31"/>
      <c r="D121" s="31"/>
    </row>
    <row r="122" spans="1:4" ht="13.2">
      <c r="A122" s="42"/>
      <c r="B122" s="30"/>
      <c r="C122" s="31"/>
      <c r="D122" s="31"/>
    </row>
    <row r="123" spans="1:4" ht="13.2">
      <c r="A123" s="42"/>
      <c r="B123" s="30"/>
      <c r="C123" s="31"/>
      <c r="D123" s="31"/>
    </row>
    <row r="124" spans="1:4" ht="13.2">
      <c r="A124" s="42"/>
      <c r="B124" s="30"/>
      <c r="C124" s="31"/>
      <c r="D124" s="31"/>
    </row>
    <row r="125" spans="1:4" ht="13.2">
      <c r="A125" s="42"/>
      <c r="B125" s="30"/>
      <c r="C125" s="31"/>
      <c r="D125" s="31"/>
    </row>
    <row r="126" spans="1:4" ht="13.2">
      <c r="A126" s="42"/>
      <c r="B126" s="30"/>
      <c r="C126" s="31"/>
      <c r="D126" s="31"/>
    </row>
    <row r="127" spans="1:4" ht="13.2">
      <c r="A127" s="42"/>
      <c r="B127" s="30"/>
      <c r="C127" s="31"/>
      <c r="D127" s="31"/>
    </row>
    <row r="128" spans="1:4" ht="13.2">
      <c r="A128" s="42"/>
      <c r="B128" s="30"/>
      <c r="C128" s="31"/>
      <c r="D128" s="31"/>
    </row>
    <row r="129" spans="1:4" ht="13.2">
      <c r="A129" s="42"/>
      <c r="B129" s="30"/>
      <c r="C129" s="31"/>
      <c r="D129" s="31"/>
    </row>
    <row r="130" spans="1:4" ht="13.2">
      <c r="A130" s="42"/>
      <c r="B130" s="30"/>
      <c r="C130" s="31"/>
      <c r="D130" s="31"/>
    </row>
    <row r="131" spans="1:4" ht="13.2">
      <c r="A131" s="42"/>
      <c r="B131" s="30"/>
      <c r="C131" s="31"/>
      <c r="D131" s="31"/>
    </row>
    <row r="132" spans="1:4" ht="13.2">
      <c r="A132" s="42"/>
      <c r="B132" s="30"/>
      <c r="C132" s="31"/>
      <c r="D132" s="31"/>
    </row>
    <row r="133" spans="1:4" ht="13.2">
      <c r="A133" s="42"/>
      <c r="B133" s="30"/>
      <c r="C133" s="31"/>
      <c r="D133" s="31"/>
    </row>
    <row r="134" spans="1:4" ht="13.2">
      <c r="A134" s="42"/>
      <c r="B134" s="30"/>
      <c r="C134" s="31"/>
      <c r="D134" s="31"/>
    </row>
    <row r="135" spans="1:4" ht="13.2">
      <c r="A135" s="42"/>
      <c r="B135" s="30"/>
      <c r="C135" s="31"/>
      <c r="D135" s="31"/>
    </row>
    <row r="136" spans="1:4" ht="13.2">
      <c r="A136" s="42"/>
      <c r="B136" s="30"/>
      <c r="C136" s="31"/>
      <c r="D136" s="31"/>
    </row>
    <row r="137" spans="1:4" ht="13.2">
      <c r="A137" s="42"/>
      <c r="B137" s="30"/>
      <c r="C137" s="31"/>
      <c r="D137" s="31"/>
    </row>
    <row r="138" spans="1:4" ht="13.2">
      <c r="A138" s="42"/>
      <c r="B138" s="30"/>
      <c r="C138" s="31"/>
      <c r="D138" s="31"/>
    </row>
    <row r="139" spans="1:4" ht="13.2">
      <c r="A139" s="42"/>
      <c r="B139" s="30"/>
      <c r="C139" s="31"/>
      <c r="D139" s="31"/>
    </row>
    <row r="140" spans="1:4" ht="13.2">
      <c r="A140" s="42"/>
      <c r="B140" s="30"/>
      <c r="C140" s="31"/>
      <c r="D140" s="31"/>
    </row>
    <row r="141" spans="1:4" ht="13.2">
      <c r="A141" s="42"/>
      <c r="B141" s="30"/>
      <c r="C141" s="31"/>
      <c r="D141" s="31"/>
    </row>
    <row r="142" spans="1:4" ht="13.2">
      <c r="A142" s="42"/>
      <c r="B142" s="30"/>
      <c r="C142" s="31"/>
      <c r="D142" s="31"/>
    </row>
    <row r="143" spans="1:4" ht="13.2">
      <c r="A143" s="42"/>
      <c r="B143" s="30"/>
      <c r="C143" s="31"/>
      <c r="D143" s="31"/>
    </row>
    <row r="144" spans="1:4" ht="13.2">
      <c r="A144" s="42"/>
      <c r="B144" s="30"/>
      <c r="C144" s="31"/>
      <c r="D144" s="31"/>
    </row>
    <row r="145" spans="1:4" ht="13.2">
      <c r="A145" s="42"/>
      <c r="B145" s="30"/>
      <c r="C145" s="31"/>
      <c r="D145" s="31"/>
    </row>
    <row r="146" spans="1:4" ht="13.2">
      <c r="A146" s="42"/>
      <c r="B146" s="30"/>
      <c r="C146" s="31"/>
      <c r="D146" s="31"/>
    </row>
    <row r="147" spans="1:4" ht="13.2">
      <c r="A147" s="42"/>
      <c r="B147" s="30"/>
      <c r="C147" s="31"/>
      <c r="D147" s="31"/>
    </row>
    <row r="148" spans="1:4" ht="13.2">
      <c r="A148" s="42"/>
      <c r="B148" s="30"/>
      <c r="C148" s="31"/>
      <c r="D148" s="31"/>
    </row>
    <row r="149" spans="1:4" ht="13.2">
      <c r="A149" s="42"/>
      <c r="B149" s="30"/>
      <c r="C149" s="31"/>
      <c r="D149" s="31"/>
    </row>
    <row r="150" spans="1:4" ht="13.2">
      <c r="A150" s="42"/>
      <c r="B150" s="30"/>
      <c r="C150" s="31"/>
      <c r="D150" s="31"/>
    </row>
    <row r="151" spans="1:4" ht="13.2">
      <c r="A151" s="42"/>
      <c r="B151" s="30"/>
      <c r="C151" s="31"/>
      <c r="D151" s="31"/>
    </row>
    <row r="152" spans="1:4" ht="13.2">
      <c r="A152" s="42"/>
      <c r="B152" s="30"/>
      <c r="C152" s="31"/>
      <c r="D152" s="31"/>
    </row>
    <row r="153" spans="1:4" ht="13.2">
      <c r="A153" s="42"/>
      <c r="B153" s="30"/>
      <c r="C153" s="31"/>
      <c r="D153" s="31"/>
    </row>
    <row r="154" spans="1:4" ht="13.2">
      <c r="A154" s="42"/>
      <c r="B154" s="30"/>
      <c r="C154" s="31"/>
      <c r="D154" s="31"/>
    </row>
    <row r="155" spans="1:4" ht="13.2">
      <c r="A155" s="42"/>
      <c r="B155" s="30"/>
      <c r="C155" s="31"/>
      <c r="D155" s="31"/>
    </row>
    <row r="156" spans="1:4" ht="13.2">
      <c r="A156" s="42"/>
      <c r="B156" s="30"/>
      <c r="C156" s="31"/>
      <c r="D156" s="31"/>
    </row>
    <row r="157" spans="1:4" ht="13.2">
      <c r="A157" s="42"/>
      <c r="B157" s="30"/>
      <c r="C157" s="31"/>
      <c r="D157" s="31"/>
    </row>
    <row r="158" spans="1:4" ht="13.2">
      <c r="A158" s="42"/>
      <c r="B158" s="30"/>
      <c r="C158" s="31"/>
      <c r="D158" s="31"/>
    </row>
    <row r="159" spans="1:4" ht="13.2">
      <c r="A159" s="42"/>
      <c r="B159" s="30"/>
      <c r="C159" s="31"/>
      <c r="D159" s="31"/>
    </row>
    <row r="160" spans="1:4" ht="13.2">
      <c r="A160" s="42"/>
      <c r="B160" s="30"/>
      <c r="C160" s="31"/>
      <c r="D160" s="31"/>
    </row>
    <row r="161" spans="1:4" ht="13.2">
      <c r="A161" s="42"/>
      <c r="B161" s="30"/>
      <c r="C161" s="31"/>
      <c r="D161" s="31"/>
    </row>
    <row r="162" spans="1:4" ht="13.2">
      <c r="A162" s="42"/>
      <c r="B162" s="30"/>
      <c r="C162" s="31"/>
      <c r="D162" s="31"/>
    </row>
    <row r="163" spans="1:4" ht="13.2">
      <c r="A163" s="42"/>
      <c r="B163" s="30"/>
      <c r="C163" s="31"/>
      <c r="D163" s="31"/>
    </row>
    <row r="164" spans="1:4" ht="13.2">
      <c r="A164" s="42"/>
      <c r="B164" s="30"/>
      <c r="C164" s="31"/>
      <c r="D164" s="31"/>
    </row>
    <row r="165" spans="1:4" ht="13.2">
      <c r="A165" s="42"/>
      <c r="B165" s="30"/>
      <c r="C165" s="31"/>
      <c r="D165" s="31"/>
    </row>
    <row r="166" spans="1:4" ht="13.2">
      <c r="A166" s="42"/>
      <c r="B166" s="30"/>
      <c r="C166" s="31"/>
      <c r="D166" s="31"/>
    </row>
    <row r="167" spans="1:4" ht="13.2">
      <c r="A167" s="42"/>
      <c r="B167" s="30"/>
      <c r="C167" s="31"/>
      <c r="D167" s="31"/>
    </row>
    <row r="168" spans="1:4" ht="13.2">
      <c r="A168" s="42"/>
      <c r="B168" s="30"/>
      <c r="C168" s="31"/>
      <c r="D168" s="31"/>
    </row>
    <row r="169" spans="1:4" ht="13.2">
      <c r="A169" s="42"/>
      <c r="B169" s="30"/>
      <c r="C169" s="31"/>
      <c r="D169" s="31"/>
    </row>
    <row r="170" spans="1:4" ht="13.2">
      <c r="A170" s="42"/>
      <c r="B170" s="30"/>
      <c r="C170" s="31"/>
      <c r="D170" s="31"/>
    </row>
    <row r="171" spans="1:4" ht="13.2">
      <c r="A171" s="42"/>
      <c r="B171" s="30"/>
      <c r="C171" s="31"/>
      <c r="D171" s="31"/>
    </row>
    <row r="172" spans="1:4" ht="13.2">
      <c r="A172" s="42"/>
      <c r="B172" s="30"/>
      <c r="C172" s="31"/>
      <c r="D172" s="31"/>
    </row>
    <row r="173" spans="1:4" ht="13.2">
      <c r="A173" s="42"/>
      <c r="B173" s="30"/>
      <c r="C173" s="31"/>
      <c r="D173" s="31"/>
    </row>
    <row r="174" spans="1:4" ht="13.2">
      <c r="A174" s="42"/>
      <c r="B174" s="30"/>
      <c r="C174" s="31"/>
      <c r="D174" s="31"/>
    </row>
    <row r="175" spans="1:4" ht="13.2">
      <c r="A175" s="42"/>
      <c r="B175" s="30"/>
      <c r="C175" s="31"/>
      <c r="D175" s="31"/>
    </row>
    <row r="176" spans="1:4" ht="13.2">
      <c r="A176" s="42"/>
      <c r="B176" s="30"/>
      <c r="C176" s="31"/>
      <c r="D176" s="31"/>
    </row>
    <row r="177" spans="1:4" ht="13.2">
      <c r="A177" s="42"/>
      <c r="B177" s="30"/>
      <c r="C177" s="31"/>
      <c r="D177" s="31"/>
    </row>
    <row r="178" spans="1:4" ht="13.2">
      <c r="A178" s="42"/>
      <c r="B178" s="30"/>
      <c r="C178" s="31"/>
      <c r="D178" s="31"/>
    </row>
    <row r="179" spans="1:4" ht="13.2">
      <c r="A179" s="42"/>
      <c r="B179" s="30"/>
      <c r="C179" s="31"/>
      <c r="D179" s="31"/>
    </row>
    <row r="180" spans="1:4" ht="13.2">
      <c r="A180" s="42"/>
      <c r="B180" s="30"/>
      <c r="C180" s="31"/>
      <c r="D180" s="31"/>
    </row>
    <row r="181" spans="1:4" ht="13.2">
      <c r="A181" s="42"/>
      <c r="B181" s="30"/>
      <c r="C181" s="31"/>
      <c r="D181" s="31"/>
    </row>
    <row r="182" spans="1:4" ht="13.2">
      <c r="A182" s="42"/>
      <c r="B182" s="30"/>
      <c r="C182" s="31"/>
      <c r="D182" s="31"/>
    </row>
    <row r="183" spans="1:4" ht="13.2">
      <c r="A183" s="42"/>
      <c r="B183" s="30"/>
      <c r="C183" s="31"/>
      <c r="D183" s="31"/>
    </row>
    <row r="184" spans="1:4" ht="13.2">
      <c r="A184" s="42"/>
      <c r="B184" s="30"/>
      <c r="C184" s="31"/>
      <c r="D184" s="31"/>
    </row>
    <row r="185" spans="1:4" ht="13.2">
      <c r="A185" s="42"/>
      <c r="B185" s="30"/>
      <c r="C185" s="31"/>
      <c r="D185" s="31"/>
    </row>
    <row r="186" spans="1:4" ht="13.2">
      <c r="A186" s="42"/>
      <c r="B186" s="30"/>
      <c r="C186" s="31"/>
      <c r="D186" s="31"/>
    </row>
    <row r="187" spans="1:4" ht="13.2">
      <c r="A187" s="42"/>
      <c r="B187" s="30"/>
      <c r="C187" s="31"/>
      <c r="D187" s="31"/>
    </row>
    <row r="188" spans="1:4" ht="13.2">
      <c r="A188" s="42"/>
      <c r="B188" s="30"/>
      <c r="C188" s="31"/>
      <c r="D188" s="31"/>
    </row>
    <row r="189" spans="1:4" ht="13.2">
      <c r="A189" s="42"/>
      <c r="B189" s="30"/>
      <c r="C189" s="31"/>
      <c r="D189" s="31"/>
    </row>
    <row r="190" spans="1:4" ht="13.2">
      <c r="A190" s="42"/>
      <c r="B190" s="30"/>
      <c r="C190" s="31"/>
      <c r="D190" s="31"/>
    </row>
    <row r="191" spans="1:4" ht="13.2">
      <c r="A191" s="42"/>
      <c r="B191" s="30"/>
      <c r="C191" s="31"/>
      <c r="D191" s="31"/>
    </row>
    <row r="192" spans="1:4" ht="13.2">
      <c r="A192" s="42"/>
      <c r="B192" s="30"/>
      <c r="C192" s="31"/>
      <c r="D192" s="31"/>
    </row>
    <row r="193" spans="1:4" ht="13.2">
      <c r="A193" s="42"/>
      <c r="B193" s="30"/>
      <c r="C193" s="31"/>
      <c r="D193" s="31"/>
    </row>
    <row r="194" spans="1:4" ht="13.2">
      <c r="A194" s="42"/>
      <c r="B194" s="30"/>
      <c r="C194" s="31"/>
      <c r="D194" s="31"/>
    </row>
    <row r="195" spans="1:4" ht="13.2">
      <c r="A195" s="42"/>
      <c r="B195" s="30"/>
      <c r="C195" s="31"/>
      <c r="D195" s="31"/>
    </row>
    <row r="196" spans="1:4" ht="13.2">
      <c r="A196" s="42"/>
      <c r="B196" s="30"/>
      <c r="C196" s="31"/>
      <c r="D196" s="31"/>
    </row>
    <row r="197" spans="1:4" ht="13.2">
      <c r="A197" s="42"/>
      <c r="B197" s="30"/>
      <c r="C197" s="31"/>
      <c r="D197" s="31"/>
    </row>
    <row r="198" spans="1:4" ht="13.2">
      <c r="A198" s="42"/>
      <c r="B198" s="30"/>
      <c r="C198" s="31"/>
      <c r="D198" s="31"/>
    </row>
    <row r="199" spans="1:4" ht="13.2">
      <c r="A199" s="42"/>
      <c r="B199" s="30"/>
      <c r="C199" s="31"/>
      <c r="D199" s="31"/>
    </row>
    <row r="200" spans="1:4" ht="13.2">
      <c r="A200" s="42"/>
      <c r="B200" s="30"/>
      <c r="C200" s="31"/>
      <c r="D200" s="31"/>
    </row>
    <row r="201" spans="1:4" ht="13.2">
      <c r="A201" s="42"/>
      <c r="B201" s="30"/>
      <c r="C201" s="31"/>
      <c r="D201" s="31"/>
    </row>
    <row r="202" spans="1:4" ht="13.2">
      <c r="A202" s="42"/>
      <c r="B202" s="30"/>
      <c r="C202" s="31"/>
      <c r="D202" s="31"/>
    </row>
    <row r="203" spans="1:4" ht="13.2">
      <c r="A203" s="42"/>
      <c r="B203" s="30"/>
      <c r="C203" s="31"/>
      <c r="D203" s="31"/>
    </row>
    <row r="204" spans="1:4" ht="13.2">
      <c r="A204" s="42"/>
      <c r="B204" s="30"/>
      <c r="C204" s="31"/>
      <c r="D204" s="31"/>
    </row>
    <row r="205" spans="1:4" ht="13.2">
      <c r="A205" s="42"/>
      <c r="B205" s="30"/>
      <c r="C205" s="31"/>
      <c r="D205" s="31"/>
    </row>
    <row r="206" spans="1:4" ht="13.2">
      <c r="A206" s="42"/>
      <c r="B206" s="30"/>
      <c r="C206" s="31"/>
      <c r="D206" s="31"/>
    </row>
    <row r="207" spans="1:4" ht="13.2">
      <c r="A207" s="42"/>
      <c r="B207" s="30"/>
      <c r="C207" s="31"/>
      <c r="D207" s="31"/>
    </row>
    <row r="208" spans="1:4" ht="13.2">
      <c r="A208" s="42"/>
      <c r="B208" s="30"/>
      <c r="C208" s="31"/>
      <c r="D208" s="31"/>
    </row>
    <row r="209" spans="1:4" ht="13.2">
      <c r="A209" s="42"/>
      <c r="B209" s="30"/>
      <c r="C209" s="31"/>
      <c r="D209" s="31"/>
    </row>
    <row r="210" spans="1:4" ht="13.2">
      <c r="A210" s="42"/>
      <c r="B210" s="30"/>
      <c r="C210" s="31"/>
      <c r="D210" s="31"/>
    </row>
    <row r="211" spans="1:4" ht="13.2">
      <c r="A211" s="42"/>
      <c r="B211" s="30"/>
      <c r="C211" s="31"/>
      <c r="D211" s="31"/>
    </row>
    <row r="212" spans="1:4" ht="13.2">
      <c r="A212" s="42"/>
      <c r="B212" s="30"/>
      <c r="C212" s="31"/>
      <c r="D212" s="31"/>
    </row>
    <row r="213" spans="1:4" ht="13.2">
      <c r="A213" s="42"/>
      <c r="B213" s="30"/>
      <c r="C213" s="31"/>
      <c r="D213" s="31"/>
    </row>
    <row r="214" spans="1:4" ht="13.2">
      <c r="A214" s="42"/>
      <c r="B214" s="30"/>
      <c r="C214" s="31"/>
      <c r="D214" s="31"/>
    </row>
    <row r="215" spans="1:4" ht="13.2">
      <c r="A215" s="42"/>
      <c r="B215" s="30"/>
      <c r="C215" s="31"/>
      <c r="D215" s="31"/>
    </row>
    <row r="216" spans="1:4" ht="13.2">
      <c r="A216" s="42"/>
      <c r="B216" s="30"/>
      <c r="C216" s="31"/>
      <c r="D216" s="31"/>
    </row>
    <row r="217" spans="1:4" ht="13.2">
      <c r="A217" s="42"/>
      <c r="B217" s="30"/>
      <c r="C217" s="31"/>
      <c r="D217" s="31"/>
    </row>
    <row r="218" spans="1:4" ht="13.2">
      <c r="A218" s="42"/>
      <c r="B218" s="30"/>
      <c r="C218" s="31"/>
      <c r="D218" s="31"/>
    </row>
    <row r="219" spans="1:4" ht="13.2">
      <c r="A219" s="42"/>
      <c r="B219" s="30"/>
      <c r="C219" s="31"/>
      <c r="D219" s="31"/>
    </row>
    <row r="220" spans="1:4" ht="13.2">
      <c r="A220" s="42"/>
      <c r="B220" s="30"/>
      <c r="C220" s="31"/>
      <c r="D220" s="31"/>
    </row>
    <row r="221" spans="1:4" ht="13.2">
      <c r="A221" s="42"/>
      <c r="B221" s="30"/>
      <c r="C221" s="31"/>
      <c r="D221" s="31"/>
    </row>
    <row r="222" spans="1:4" ht="13.2">
      <c r="A222" s="42"/>
      <c r="B222" s="30"/>
      <c r="C222" s="31"/>
      <c r="D222" s="31"/>
    </row>
    <row r="223" spans="1:4" ht="13.2">
      <c r="A223" s="42"/>
      <c r="B223" s="30"/>
      <c r="C223" s="31"/>
      <c r="D223" s="31"/>
    </row>
    <row r="224" spans="1:4" ht="13.2">
      <c r="A224" s="42"/>
      <c r="B224" s="30"/>
      <c r="C224" s="31"/>
      <c r="D224" s="31"/>
    </row>
    <row r="225" spans="1:4" ht="13.2">
      <c r="A225" s="42"/>
      <c r="B225" s="30"/>
      <c r="C225" s="31"/>
      <c r="D225" s="31"/>
    </row>
    <row r="226" spans="1:4" ht="13.2">
      <c r="A226" s="42"/>
      <c r="B226" s="30"/>
      <c r="C226" s="31"/>
      <c r="D226" s="31"/>
    </row>
    <row r="227" spans="1:4" ht="13.2">
      <c r="A227" s="42"/>
      <c r="B227" s="30"/>
      <c r="C227" s="31"/>
      <c r="D227" s="31"/>
    </row>
    <row r="228" spans="1:4" ht="13.2">
      <c r="A228" s="42"/>
      <c r="B228" s="30"/>
      <c r="C228" s="31"/>
      <c r="D228" s="31"/>
    </row>
    <row r="229" spans="1:4" ht="13.2">
      <c r="A229" s="42"/>
      <c r="B229" s="30"/>
      <c r="C229" s="31"/>
      <c r="D229" s="31"/>
    </row>
    <row r="230" spans="1:4" ht="13.2">
      <c r="A230" s="42"/>
      <c r="B230" s="30"/>
      <c r="C230" s="31"/>
      <c r="D230" s="31"/>
    </row>
    <row r="231" spans="1:4" ht="13.2">
      <c r="A231" s="42"/>
      <c r="B231" s="30"/>
      <c r="C231" s="31"/>
      <c r="D231" s="31"/>
    </row>
    <row r="232" spans="1:4" ht="13.2">
      <c r="A232" s="42"/>
      <c r="B232" s="30"/>
      <c r="C232" s="31"/>
      <c r="D232" s="31"/>
    </row>
    <row r="233" spans="1:4" ht="13.2">
      <c r="A233" s="42"/>
      <c r="B233" s="30"/>
      <c r="C233" s="31"/>
      <c r="D233" s="31"/>
    </row>
    <row r="234" spans="1:4" ht="13.2">
      <c r="A234" s="42"/>
      <c r="B234" s="30"/>
      <c r="C234" s="31"/>
      <c r="D234" s="31"/>
    </row>
    <row r="235" spans="1:4" ht="13.2">
      <c r="A235" s="42"/>
      <c r="B235" s="30"/>
      <c r="C235" s="31"/>
      <c r="D235" s="31"/>
    </row>
    <row r="236" spans="1:4" ht="13.2">
      <c r="A236" s="42"/>
      <c r="B236" s="30"/>
      <c r="C236" s="31"/>
      <c r="D236" s="31"/>
    </row>
    <row r="237" spans="1:4" ht="13.2">
      <c r="A237" s="42"/>
      <c r="B237" s="30"/>
      <c r="C237" s="31"/>
      <c r="D237" s="31"/>
    </row>
    <row r="238" spans="1:4" ht="13.2">
      <c r="A238" s="42"/>
      <c r="B238" s="30"/>
      <c r="C238" s="31"/>
      <c r="D238" s="31"/>
    </row>
    <row r="239" spans="1:4" ht="13.2">
      <c r="A239" s="42"/>
      <c r="B239" s="30"/>
      <c r="C239" s="31"/>
      <c r="D239" s="31"/>
    </row>
    <row r="240" spans="1:4" ht="13.2">
      <c r="A240" s="42"/>
      <c r="B240" s="30"/>
      <c r="C240" s="31"/>
      <c r="D240" s="31"/>
    </row>
    <row r="241" spans="1:4" ht="13.2">
      <c r="A241" s="42"/>
      <c r="B241" s="30"/>
      <c r="C241" s="31"/>
      <c r="D241" s="31"/>
    </row>
    <row r="242" spans="1:4" ht="13.2">
      <c r="A242" s="42"/>
      <c r="B242" s="30"/>
      <c r="C242" s="31"/>
      <c r="D242" s="31"/>
    </row>
    <row r="243" spans="1:4" ht="13.2">
      <c r="A243" s="42"/>
      <c r="B243" s="30"/>
      <c r="C243" s="31"/>
      <c r="D243" s="31"/>
    </row>
    <row r="244" spans="1:4" ht="13.2">
      <c r="A244" s="42"/>
      <c r="B244" s="30"/>
      <c r="C244" s="31"/>
      <c r="D244" s="31"/>
    </row>
    <row r="245" spans="1:4" ht="13.2">
      <c r="A245" s="42"/>
      <c r="B245" s="30"/>
      <c r="C245" s="31"/>
      <c r="D245" s="31"/>
    </row>
    <row r="246" spans="1:4" ht="13.2">
      <c r="A246" s="42"/>
      <c r="B246" s="30"/>
      <c r="C246" s="31"/>
      <c r="D246" s="31"/>
    </row>
    <row r="247" spans="1:4" ht="13.2">
      <c r="A247" s="42"/>
      <c r="B247" s="30"/>
      <c r="C247" s="31"/>
      <c r="D247" s="31"/>
    </row>
    <row r="248" spans="1:4" ht="13.2">
      <c r="A248" s="42"/>
      <c r="B248" s="30"/>
      <c r="C248" s="31"/>
      <c r="D248" s="31"/>
    </row>
    <row r="249" spans="1:4" ht="13.2">
      <c r="A249" s="42"/>
      <c r="B249" s="30"/>
      <c r="C249" s="31"/>
      <c r="D249" s="31"/>
    </row>
    <row r="250" spans="1:4" ht="13.2">
      <c r="A250" s="42"/>
      <c r="B250" s="30"/>
      <c r="C250" s="31"/>
      <c r="D250" s="31"/>
    </row>
    <row r="251" spans="1:4" ht="13.2">
      <c r="A251" s="42"/>
      <c r="B251" s="30"/>
      <c r="C251" s="31"/>
      <c r="D251" s="31"/>
    </row>
    <row r="252" spans="1:4" ht="13.2">
      <c r="A252" s="42"/>
      <c r="B252" s="30"/>
      <c r="C252" s="31"/>
      <c r="D252" s="31"/>
    </row>
    <row r="253" spans="1:4" ht="13.2">
      <c r="A253" s="42"/>
      <c r="B253" s="30"/>
      <c r="C253" s="31"/>
      <c r="D253" s="31"/>
    </row>
    <row r="254" spans="1:4" ht="13.2">
      <c r="A254" s="42"/>
      <c r="B254" s="30"/>
      <c r="C254" s="31"/>
      <c r="D254" s="31"/>
    </row>
    <row r="255" spans="1:4" ht="13.2">
      <c r="A255" s="42"/>
      <c r="B255" s="30"/>
      <c r="C255" s="31"/>
      <c r="D255" s="31"/>
    </row>
    <row r="256" spans="1:4" ht="13.2">
      <c r="A256" s="42"/>
      <c r="B256" s="30"/>
      <c r="C256" s="31"/>
      <c r="D256" s="31"/>
    </row>
    <row r="257" spans="1:4" ht="13.2">
      <c r="A257" s="42"/>
      <c r="B257" s="30"/>
      <c r="C257" s="31"/>
      <c r="D257" s="31"/>
    </row>
    <row r="258" spans="1:4" ht="13.2">
      <c r="A258" s="42"/>
      <c r="B258" s="30"/>
      <c r="C258" s="31"/>
      <c r="D258" s="31"/>
    </row>
    <row r="259" spans="1:4" ht="13.2">
      <c r="A259" s="42"/>
      <c r="B259" s="30"/>
      <c r="C259" s="31"/>
      <c r="D259" s="31"/>
    </row>
    <row r="260" spans="1:4" ht="13.2">
      <c r="A260" s="42"/>
      <c r="B260" s="30"/>
      <c r="C260" s="31"/>
      <c r="D260" s="31"/>
    </row>
    <row r="261" spans="1:4" ht="13.2">
      <c r="A261" s="42"/>
      <c r="B261" s="30"/>
      <c r="C261" s="31"/>
      <c r="D261" s="31"/>
    </row>
    <row r="262" spans="1:4" ht="13.2">
      <c r="A262" s="42"/>
      <c r="B262" s="30"/>
      <c r="C262" s="31"/>
      <c r="D262" s="31"/>
    </row>
    <row r="263" spans="1:4" ht="13.2">
      <c r="A263" s="42"/>
      <c r="B263" s="30"/>
      <c r="C263" s="31"/>
      <c r="D263" s="31"/>
    </row>
    <row r="264" spans="1:4" ht="13.2">
      <c r="A264" s="42"/>
      <c r="B264" s="30"/>
      <c r="C264" s="31"/>
      <c r="D264" s="31"/>
    </row>
    <row r="265" spans="1:4" ht="13.2">
      <c r="A265" s="42"/>
      <c r="B265" s="30"/>
      <c r="C265" s="31"/>
      <c r="D265" s="31"/>
    </row>
    <row r="266" spans="1:4" ht="13.2">
      <c r="A266" s="42"/>
      <c r="B266" s="30"/>
      <c r="C266" s="31"/>
      <c r="D266" s="31"/>
    </row>
    <row r="267" spans="1:4" ht="13.2">
      <c r="A267" s="42"/>
      <c r="B267" s="30"/>
      <c r="C267" s="31"/>
      <c r="D267" s="31"/>
    </row>
    <row r="268" spans="1:4" ht="13.2">
      <c r="A268" s="42"/>
      <c r="B268" s="30"/>
      <c r="C268" s="31"/>
      <c r="D268" s="31"/>
    </row>
    <row r="269" spans="1:4" ht="13.2">
      <c r="A269" s="42"/>
      <c r="B269" s="30"/>
      <c r="C269" s="31"/>
      <c r="D269" s="31"/>
    </row>
    <row r="270" spans="1:4" ht="13.2">
      <c r="A270" s="42"/>
      <c r="B270" s="30"/>
      <c r="C270" s="31"/>
      <c r="D270" s="31"/>
    </row>
    <row r="271" spans="1:4" ht="13.2">
      <c r="A271" s="42"/>
      <c r="B271" s="30"/>
      <c r="C271" s="31"/>
      <c r="D271" s="31"/>
    </row>
    <row r="272" spans="1:4" ht="13.2">
      <c r="A272" s="42"/>
      <c r="B272" s="30"/>
      <c r="C272" s="31"/>
      <c r="D272" s="31"/>
    </row>
    <row r="273" spans="1:4" ht="13.2">
      <c r="A273" s="42"/>
      <c r="B273" s="30"/>
      <c r="C273" s="31"/>
      <c r="D273" s="31"/>
    </row>
    <row r="274" spans="1:4" ht="13.2">
      <c r="A274" s="42"/>
      <c r="B274" s="30"/>
      <c r="C274" s="31"/>
      <c r="D274" s="31"/>
    </row>
    <row r="275" spans="1:4" ht="13.2">
      <c r="A275" s="42"/>
      <c r="B275" s="30"/>
      <c r="C275" s="31"/>
      <c r="D275" s="31"/>
    </row>
    <row r="276" spans="1:4" ht="13.2">
      <c r="A276" s="42"/>
      <c r="B276" s="30"/>
      <c r="C276" s="31"/>
      <c r="D276" s="31"/>
    </row>
    <row r="277" spans="1:4" ht="13.2">
      <c r="A277" s="42"/>
      <c r="B277" s="30"/>
      <c r="C277" s="31"/>
      <c r="D277" s="31"/>
    </row>
    <row r="278" spans="1:4" ht="13.2">
      <c r="A278" s="42"/>
      <c r="B278" s="30"/>
      <c r="C278" s="31"/>
      <c r="D278" s="31"/>
    </row>
    <row r="279" spans="1:4" ht="13.2">
      <c r="A279" s="42"/>
      <c r="B279" s="30"/>
      <c r="C279" s="31"/>
      <c r="D279" s="31"/>
    </row>
    <row r="280" spans="1:4" ht="13.2">
      <c r="A280" s="42"/>
      <c r="B280" s="30"/>
      <c r="C280" s="31"/>
      <c r="D280" s="31"/>
    </row>
    <row r="281" spans="1:4" ht="13.2">
      <c r="A281" s="42"/>
      <c r="B281" s="30"/>
      <c r="C281" s="31"/>
      <c r="D281" s="31"/>
    </row>
    <row r="282" spans="1:4" ht="13.2">
      <c r="A282" s="42"/>
      <c r="B282" s="30"/>
      <c r="C282" s="31"/>
      <c r="D282" s="31"/>
    </row>
    <row r="283" spans="1:4" ht="13.2">
      <c r="A283" s="42"/>
      <c r="B283" s="30"/>
      <c r="C283" s="31"/>
      <c r="D283" s="31"/>
    </row>
    <row r="284" spans="1:4" ht="13.2">
      <c r="A284" s="42"/>
      <c r="B284" s="30"/>
      <c r="C284" s="31"/>
      <c r="D284" s="31"/>
    </row>
    <row r="285" spans="1:4" ht="13.2">
      <c r="A285" s="42"/>
      <c r="B285" s="30"/>
      <c r="C285" s="31"/>
      <c r="D285" s="31"/>
    </row>
    <row r="286" spans="1:4" ht="13.2">
      <c r="A286" s="42"/>
      <c r="B286" s="30"/>
      <c r="C286" s="31"/>
      <c r="D286" s="31"/>
    </row>
    <row r="287" spans="1:4" ht="13.2">
      <c r="A287" s="42"/>
      <c r="B287" s="30"/>
      <c r="C287" s="31"/>
      <c r="D287" s="31"/>
    </row>
    <row r="288" spans="1:4" ht="13.2">
      <c r="A288" s="42"/>
      <c r="B288" s="30"/>
      <c r="C288" s="31"/>
      <c r="D288" s="31"/>
    </row>
    <row r="289" spans="1:4" ht="13.2">
      <c r="A289" s="42"/>
      <c r="B289" s="30"/>
      <c r="C289" s="31"/>
      <c r="D289" s="31"/>
    </row>
    <row r="290" spans="1:4" ht="13.2">
      <c r="A290" s="42"/>
      <c r="B290" s="30"/>
      <c r="C290" s="31"/>
      <c r="D290" s="31"/>
    </row>
    <row r="291" spans="1:4" ht="13.2">
      <c r="A291" s="42"/>
      <c r="B291" s="30"/>
      <c r="C291" s="31"/>
      <c r="D291" s="31"/>
    </row>
    <row r="292" spans="1:4" ht="13.2">
      <c r="A292" s="42"/>
      <c r="B292" s="30"/>
      <c r="C292" s="31"/>
      <c r="D292" s="31"/>
    </row>
    <row r="293" spans="1:4" ht="13.2">
      <c r="A293" s="42"/>
      <c r="B293" s="30"/>
      <c r="C293" s="31"/>
      <c r="D293" s="31"/>
    </row>
    <row r="294" spans="1:4" ht="13.2">
      <c r="A294" s="42"/>
      <c r="B294" s="30"/>
      <c r="C294" s="31"/>
      <c r="D294" s="31"/>
    </row>
    <row r="295" spans="1:4" ht="13.2">
      <c r="A295" s="42"/>
      <c r="B295" s="30"/>
      <c r="C295" s="31"/>
      <c r="D295" s="31"/>
    </row>
    <row r="296" spans="1:4" ht="13.2">
      <c r="A296" s="42"/>
      <c r="B296" s="30"/>
      <c r="C296" s="31"/>
      <c r="D296" s="31"/>
    </row>
    <row r="297" spans="1:4" ht="13.2">
      <c r="A297" s="42"/>
      <c r="B297" s="30"/>
      <c r="C297" s="31"/>
      <c r="D297" s="31"/>
    </row>
    <row r="298" spans="1:4" ht="13.2">
      <c r="A298" s="42"/>
      <c r="B298" s="30"/>
      <c r="C298" s="31"/>
      <c r="D298" s="31"/>
    </row>
    <row r="299" spans="1:4" ht="13.2">
      <c r="A299" s="42"/>
      <c r="B299" s="30"/>
      <c r="C299" s="31"/>
      <c r="D299" s="31"/>
    </row>
    <row r="300" spans="1:4" ht="13.2">
      <c r="A300" s="42"/>
      <c r="B300" s="30"/>
      <c r="C300" s="31"/>
      <c r="D300" s="31"/>
    </row>
    <row r="301" spans="1:4" ht="13.2">
      <c r="A301" s="42"/>
      <c r="B301" s="30"/>
      <c r="C301" s="31"/>
      <c r="D301" s="31"/>
    </row>
    <row r="302" spans="1:4" ht="13.2">
      <c r="A302" s="42"/>
      <c r="B302" s="30"/>
      <c r="C302" s="31"/>
      <c r="D302" s="31"/>
    </row>
    <row r="303" spans="1:4" ht="13.2">
      <c r="A303" s="42"/>
      <c r="B303" s="30"/>
      <c r="C303" s="31"/>
      <c r="D303" s="31"/>
    </row>
    <row r="304" spans="1:4" ht="13.2">
      <c r="A304" s="42"/>
      <c r="B304" s="30"/>
      <c r="C304" s="31"/>
      <c r="D304" s="31"/>
    </row>
    <row r="305" spans="1:4" ht="13.2">
      <c r="A305" s="42"/>
      <c r="B305" s="30"/>
      <c r="C305" s="31"/>
      <c r="D305" s="31"/>
    </row>
    <row r="306" spans="1:4" ht="13.2">
      <c r="A306" s="42"/>
      <c r="B306" s="30"/>
      <c r="C306" s="31"/>
      <c r="D306" s="31"/>
    </row>
    <row r="307" spans="1:4" ht="13.2">
      <c r="A307" s="42"/>
      <c r="B307" s="30"/>
      <c r="C307" s="31"/>
      <c r="D307" s="31"/>
    </row>
    <row r="308" spans="1:4" ht="13.2">
      <c r="A308" s="42"/>
      <c r="B308" s="30"/>
      <c r="C308" s="31"/>
      <c r="D308" s="31"/>
    </row>
    <row r="309" spans="1:4" ht="13.2">
      <c r="A309" s="42"/>
      <c r="B309" s="30"/>
      <c r="C309" s="31"/>
      <c r="D309" s="31"/>
    </row>
    <row r="310" spans="1:4" ht="13.2">
      <c r="A310" s="42"/>
      <c r="B310" s="30"/>
      <c r="C310" s="31"/>
      <c r="D310" s="31"/>
    </row>
    <row r="311" spans="1:4" ht="13.2">
      <c r="A311" s="42"/>
      <c r="B311" s="30"/>
      <c r="C311" s="31"/>
      <c r="D311" s="31"/>
    </row>
    <row r="312" spans="1:4" ht="13.2">
      <c r="A312" s="42"/>
      <c r="B312" s="30"/>
      <c r="C312" s="31"/>
      <c r="D312" s="31"/>
    </row>
    <row r="313" spans="1:4" ht="13.2">
      <c r="A313" s="42"/>
      <c r="B313" s="30"/>
      <c r="C313" s="31"/>
      <c r="D313" s="31"/>
    </row>
    <row r="314" spans="1:4" ht="13.2">
      <c r="A314" s="42"/>
      <c r="B314" s="30"/>
      <c r="C314" s="31"/>
      <c r="D314" s="31"/>
    </row>
    <row r="315" spans="1:4" ht="13.2">
      <c r="A315" s="42"/>
      <c r="B315" s="30"/>
      <c r="C315" s="31"/>
      <c r="D315" s="31"/>
    </row>
    <row r="316" spans="1:4" ht="13.2">
      <c r="A316" s="42"/>
      <c r="B316" s="30"/>
      <c r="C316" s="31"/>
      <c r="D316" s="31"/>
    </row>
    <row r="317" spans="1:4" ht="13.2">
      <c r="A317" s="42"/>
      <c r="B317" s="30"/>
      <c r="C317" s="31"/>
      <c r="D317" s="31"/>
    </row>
    <row r="318" spans="1:4" ht="13.2">
      <c r="A318" s="42"/>
      <c r="B318" s="30"/>
      <c r="C318" s="31"/>
      <c r="D318" s="31"/>
    </row>
    <row r="319" spans="1:4" ht="13.2">
      <c r="A319" s="42"/>
      <c r="B319" s="30"/>
      <c r="C319" s="31"/>
      <c r="D319" s="31"/>
    </row>
    <row r="320" spans="1:4" ht="13.2">
      <c r="A320" s="42"/>
      <c r="B320" s="30"/>
      <c r="C320" s="31"/>
      <c r="D320" s="31"/>
    </row>
    <row r="321" spans="1:4" ht="13.2">
      <c r="A321" s="42"/>
      <c r="B321" s="30"/>
      <c r="C321" s="31"/>
      <c r="D321" s="31"/>
    </row>
    <row r="322" spans="1:4" ht="13.2">
      <c r="A322" s="42"/>
      <c r="B322" s="30"/>
      <c r="C322" s="31"/>
      <c r="D322" s="31"/>
    </row>
    <row r="323" spans="1:4" ht="13.2">
      <c r="A323" s="42"/>
      <c r="B323" s="30"/>
      <c r="C323" s="31"/>
      <c r="D323" s="31"/>
    </row>
    <row r="324" spans="1:4" ht="13.2">
      <c r="A324" s="42"/>
      <c r="B324" s="30"/>
      <c r="C324" s="31"/>
      <c r="D324" s="31"/>
    </row>
    <row r="325" spans="1:4" ht="13.2">
      <c r="A325" s="42"/>
      <c r="B325" s="30"/>
      <c r="C325" s="31"/>
      <c r="D325" s="31"/>
    </row>
    <row r="326" spans="1:4" ht="13.2">
      <c r="A326" s="42"/>
      <c r="B326" s="30"/>
      <c r="C326" s="31"/>
      <c r="D326" s="31"/>
    </row>
    <row r="327" spans="1:4" ht="13.2">
      <c r="A327" s="42"/>
      <c r="B327" s="30"/>
      <c r="C327" s="31"/>
      <c r="D327" s="31"/>
    </row>
    <row r="328" spans="1:4" ht="13.2">
      <c r="A328" s="42"/>
      <c r="B328" s="30"/>
      <c r="C328" s="31"/>
      <c r="D328" s="31"/>
    </row>
    <row r="329" spans="1:4" ht="13.2">
      <c r="A329" s="42"/>
      <c r="B329" s="30"/>
      <c r="C329" s="31"/>
      <c r="D329" s="31"/>
    </row>
    <row r="330" spans="1:4" ht="13.2">
      <c r="A330" s="42"/>
      <c r="B330" s="30"/>
      <c r="C330" s="31"/>
      <c r="D330" s="31"/>
    </row>
    <row r="331" spans="1:4" ht="13.2">
      <c r="A331" s="42"/>
      <c r="B331" s="30"/>
      <c r="C331" s="31"/>
      <c r="D331" s="31"/>
    </row>
    <row r="332" spans="1:4" ht="13.2">
      <c r="A332" s="42"/>
      <c r="B332" s="30"/>
      <c r="C332" s="31"/>
      <c r="D332" s="31"/>
    </row>
    <row r="333" spans="1:4" ht="13.2">
      <c r="A333" s="42"/>
      <c r="B333" s="30"/>
      <c r="C333" s="31"/>
      <c r="D333" s="31"/>
    </row>
    <row r="334" spans="1:4" ht="13.2">
      <c r="A334" s="42"/>
      <c r="B334" s="30"/>
      <c r="C334" s="31"/>
      <c r="D334" s="31"/>
    </row>
    <row r="335" spans="1:4" ht="13.2">
      <c r="A335" s="42"/>
      <c r="B335" s="30"/>
      <c r="C335" s="31"/>
      <c r="D335" s="31"/>
    </row>
    <row r="336" spans="1:4" ht="13.2">
      <c r="A336" s="42"/>
      <c r="B336" s="30"/>
      <c r="C336" s="31"/>
      <c r="D336" s="31"/>
    </row>
    <row r="337" spans="1:4" ht="13.2">
      <c r="A337" s="42"/>
      <c r="B337" s="30"/>
      <c r="C337" s="31"/>
      <c r="D337" s="31"/>
    </row>
    <row r="338" spans="1:4" ht="13.2">
      <c r="A338" s="42"/>
      <c r="B338" s="30"/>
      <c r="C338" s="31"/>
      <c r="D338" s="31"/>
    </row>
    <row r="339" spans="1:4" ht="13.2">
      <c r="A339" s="42"/>
      <c r="B339" s="30"/>
      <c r="C339" s="31"/>
      <c r="D339" s="31"/>
    </row>
    <row r="340" spans="1:4" ht="13.2">
      <c r="A340" s="42"/>
      <c r="B340" s="30"/>
      <c r="C340" s="31"/>
      <c r="D340" s="31"/>
    </row>
    <row r="341" spans="1:4" ht="13.2">
      <c r="A341" s="42"/>
      <c r="B341" s="30"/>
      <c r="C341" s="31"/>
      <c r="D341" s="31"/>
    </row>
    <row r="342" spans="1:4" ht="13.2">
      <c r="A342" s="42"/>
      <c r="B342" s="30"/>
      <c r="C342" s="31"/>
      <c r="D342" s="31"/>
    </row>
    <row r="343" spans="1:4" ht="13.2">
      <c r="A343" s="42"/>
      <c r="B343" s="30"/>
      <c r="C343" s="31"/>
      <c r="D343" s="31"/>
    </row>
    <row r="344" spans="1:4" ht="13.2">
      <c r="A344" s="42"/>
      <c r="B344" s="30"/>
      <c r="C344" s="31"/>
      <c r="D344" s="31"/>
    </row>
    <row r="345" spans="1:4" ht="13.2">
      <c r="A345" s="42"/>
      <c r="B345" s="30"/>
      <c r="C345" s="31"/>
      <c r="D345" s="31"/>
    </row>
    <row r="346" spans="1:4" ht="13.2">
      <c r="A346" s="42"/>
      <c r="B346" s="30"/>
      <c r="C346" s="31"/>
      <c r="D346" s="31"/>
    </row>
    <row r="347" spans="1:4" ht="13.2">
      <c r="A347" s="42"/>
      <c r="B347" s="30"/>
      <c r="C347" s="31"/>
      <c r="D347" s="31"/>
    </row>
    <row r="348" spans="1:4" ht="13.2">
      <c r="A348" s="42"/>
      <c r="B348" s="30"/>
      <c r="C348" s="31"/>
      <c r="D348" s="31"/>
    </row>
    <row r="349" spans="1:4" ht="13.2">
      <c r="A349" s="42"/>
      <c r="B349" s="30"/>
      <c r="C349" s="31"/>
      <c r="D349" s="31"/>
    </row>
    <row r="350" spans="1:4" ht="13.2">
      <c r="A350" s="42"/>
      <c r="B350" s="30"/>
      <c r="C350" s="31"/>
      <c r="D350" s="31"/>
    </row>
    <row r="351" spans="1:4" ht="13.2">
      <c r="A351" s="42"/>
      <c r="B351" s="30"/>
      <c r="C351" s="31"/>
      <c r="D351" s="31"/>
    </row>
    <row r="352" spans="1:4" ht="13.2">
      <c r="A352" s="42"/>
      <c r="B352" s="30"/>
      <c r="C352" s="31"/>
      <c r="D352" s="31"/>
    </row>
    <row r="353" spans="1:4" ht="13.2">
      <c r="A353" s="42"/>
      <c r="B353" s="30"/>
      <c r="C353" s="31"/>
      <c r="D353" s="31"/>
    </row>
    <row r="354" spans="1:4" ht="13.2">
      <c r="A354" s="42"/>
      <c r="B354" s="30"/>
      <c r="C354" s="31"/>
      <c r="D354" s="31"/>
    </row>
    <row r="355" spans="1:4" ht="13.2">
      <c r="A355" s="42"/>
      <c r="B355" s="30"/>
      <c r="C355" s="31"/>
      <c r="D355" s="31"/>
    </row>
    <row r="356" spans="1:4" ht="13.2">
      <c r="A356" s="42"/>
      <c r="B356" s="30"/>
      <c r="C356" s="31"/>
      <c r="D356" s="31"/>
    </row>
    <row r="357" spans="1:4" ht="13.2">
      <c r="A357" s="42"/>
      <c r="B357" s="30"/>
      <c r="C357" s="31"/>
      <c r="D357" s="31"/>
    </row>
    <row r="358" spans="1:4" ht="13.2">
      <c r="A358" s="42"/>
      <c r="B358" s="30"/>
      <c r="C358" s="31"/>
      <c r="D358" s="31"/>
    </row>
    <row r="359" spans="1:4" ht="13.2">
      <c r="A359" s="42"/>
      <c r="B359" s="30"/>
      <c r="C359" s="31"/>
      <c r="D359" s="31"/>
    </row>
    <row r="360" spans="1:4" ht="13.2">
      <c r="A360" s="42"/>
      <c r="B360" s="30"/>
      <c r="C360" s="31"/>
      <c r="D360" s="31"/>
    </row>
    <row r="361" spans="1:4" ht="13.2">
      <c r="A361" s="42"/>
      <c r="B361" s="30"/>
      <c r="C361" s="31"/>
      <c r="D361" s="31"/>
    </row>
    <row r="362" spans="1:4" ht="13.2">
      <c r="A362" s="42"/>
      <c r="B362" s="30"/>
      <c r="C362" s="31"/>
      <c r="D362" s="31"/>
    </row>
    <row r="363" spans="1:4" ht="13.2">
      <c r="A363" s="42"/>
      <c r="B363" s="30"/>
      <c r="C363" s="31"/>
      <c r="D363" s="31"/>
    </row>
    <row r="364" spans="1:4" ht="13.2">
      <c r="A364" s="42"/>
      <c r="B364" s="30"/>
      <c r="C364" s="31"/>
      <c r="D364" s="31"/>
    </row>
    <row r="365" spans="1:4" ht="13.2">
      <c r="A365" s="42"/>
      <c r="B365" s="30"/>
      <c r="C365" s="31"/>
      <c r="D365" s="31"/>
    </row>
    <row r="366" spans="1:4" ht="13.2">
      <c r="A366" s="42"/>
      <c r="B366" s="30"/>
      <c r="C366" s="31"/>
      <c r="D366" s="31"/>
    </row>
    <row r="367" spans="1:4" ht="13.2">
      <c r="A367" s="42"/>
      <c r="B367" s="30"/>
      <c r="C367" s="31"/>
      <c r="D367" s="31"/>
    </row>
    <row r="368" spans="1:4" ht="13.2">
      <c r="A368" s="42"/>
      <c r="B368" s="30"/>
      <c r="C368" s="31"/>
      <c r="D368" s="31"/>
    </row>
    <row r="369" spans="1:4" ht="13.2">
      <c r="A369" s="42"/>
      <c r="B369" s="30"/>
      <c r="C369" s="31"/>
      <c r="D369" s="31"/>
    </row>
    <row r="370" spans="1:4" ht="13.2">
      <c r="A370" s="42"/>
      <c r="B370" s="30"/>
      <c r="C370" s="31"/>
      <c r="D370" s="31"/>
    </row>
    <row r="371" spans="1:4" ht="13.2">
      <c r="A371" s="42"/>
      <c r="B371" s="30"/>
      <c r="C371" s="31"/>
      <c r="D371" s="31"/>
    </row>
    <row r="372" spans="1:4" ht="13.2">
      <c r="A372" s="42"/>
      <c r="B372" s="30"/>
      <c r="C372" s="31"/>
      <c r="D372" s="31"/>
    </row>
    <row r="373" spans="1:4" ht="13.2">
      <c r="A373" s="42"/>
      <c r="B373" s="30"/>
      <c r="C373" s="31"/>
      <c r="D373" s="31"/>
    </row>
    <row r="374" spans="1:4" ht="13.2">
      <c r="A374" s="42"/>
      <c r="B374" s="30"/>
      <c r="C374" s="31"/>
      <c r="D374" s="31"/>
    </row>
    <row r="375" spans="1:4" ht="13.2">
      <c r="A375" s="42"/>
      <c r="B375" s="30"/>
      <c r="C375" s="31"/>
      <c r="D375" s="31"/>
    </row>
    <row r="376" spans="1:4" ht="13.2">
      <c r="A376" s="42"/>
      <c r="B376" s="30"/>
      <c r="C376" s="31"/>
      <c r="D376" s="31"/>
    </row>
    <row r="377" spans="1:4" ht="13.2">
      <c r="A377" s="42"/>
      <c r="B377" s="30"/>
      <c r="C377" s="31"/>
      <c r="D377" s="31"/>
    </row>
    <row r="378" spans="1:4" ht="13.2">
      <c r="A378" s="42"/>
      <c r="B378" s="30"/>
      <c r="C378" s="31"/>
      <c r="D378" s="31"/>
    </row>
    <row r="379" spans="1:4" ht="13.2">
      <c r="A379" s="42"/>
      <c r="B379" s="30"/>
      <c r="C379" s="31"/>
      <c r="D379" s="31"/>
    </row>
    <row r="380" spans="1:4" ht="13.2">
      <c r="A380" s="42"/>
      <c r="B380" s="30"/>
      <c r="C380" s="31"/>
      <c r="D380" s="31"/>
    </row>
    <row r="381" spans="1:4" ht="13.2">
      <c r="A381" s="42"/>
      <c r="B381" s="30"/>
      <c r="C381" s="31"/>
      <c r="D381" s="31"/>
    </row>
    <row r="382" spans="1:4" ht="13.2">
      <c r="A382" s="42"/>
      <c r="B382" s="30"/>
      <c r="C382" s="31"/>
      <c r="D382" s="31"/>
    </row>
    <row r="383" spans="1:4" ht="13.2">
      <c r="A383" s="42"/>
      <c r="B383" s="30"/>
      <c r="C383" s="31"/>
      <c r="D383" s="31"/>
    </row>
    <row r="384" spans="1:4" ht="13.2">
      <c r="A384" s="42"/>
      <c r="B384" s="30"/>
      <c r="C384" s="31"/>
      <c r="D384" s="31"/>
    </row>
    <row r="385" spans="1:4" ht="13.2">
      <c r="A385" s="42"/>
      <c r="B385" s="30"/>
      <c r="C385" s="31"/>
      <c r="D385" s="31"/>
    </row>
    <row r="386" spans="1:4" ht="13.2">
      <c r="A386" s="42"/>
      <c r="B386" s="30"/>
      <c r="C386" s="31"/>
      <c r="D386" s="31"/>
    </row>
    <row r="387" spans="1:4" ht="13.2">
      <c r="A387" s="42"/>
      <c r="B387" s="30"/>
      <c r="C387" s="31"/>
      <c r="D387" s="31"/>
    </row>
    <row r="388" spans="1:4" ht="13.2">
      <c r="A388" s="42"/>
      <c r="B388" s="30"/>
      <c r="C388" s="31"/>
      <c r="D388" s="31"/>
    </row>
    <row r="389" spans="1:4" ht="13.2">
      <c r="A389" s="42"/>
      <c r="B389" s="30"/>
      <c r="C389" s="31"/>
      <c r="D389" s="31"/>
    </row>
    <row r="390" spans="1:4" ht="13.2">
      <c r="A390" s="42"/>
      <c r="B390" s="30"/>
      <c r="C390" s="31"/>
      <c r="D390" s="31"/>
    </row>
    <row r="391" spans="1:4" ht="13.2">
      <c r="A391" s="42"/>
      <c r="B391" s="30"/>
      <c r="C391" s="31"/>
      <c r="D391" s="31"/>
    </row>
    <row r="392" spans="1:4" ht="13.2">
      <c r="A392" s="42"/>
      <c r="B392" s="30"/>
      <c r="C392" s="31"/>
      <c r="D392" s="31"/>
    </row>
    <row r="393" spans="1:4" ht="13.2">
      <c r="A393" s="42"/>
      <c r="B393" s="30"/>
      <c r="C393" s="31"/>
      <c r="D393" s="31"/>
    </row>
    <row r="394" spans="1:4" ht="13.2">
      <c r="A394" s="42"/>
      <c r="B394" s="30"/>
      <c r="C394" s="31"/>
      <c r="D394" s="31"/>
    </row>
    <row r="395" spans="1:4" ht="13.2">
      <c r="A395" s="42"/>
      <c r="B395" s="30"/>
      <c r="C395" s="31"/>
      <c r="D395" s="31"/>
    </row>
    <row r="396" spans="1:4" ht="13.2">
      <c r="A396" s="42"/>
      <c r="B396" s="30"/>
      <c r="C396" s="31"/>
      <c r="D396" s="31"/>
    </row>
    <row r="397" spans="1:4" ht="13.2">
      <c r="A397" s="42"/>
      <c r="B397" s="30"/>
      <c r="C397" s="31"/>
      <c r="D397" s="31"/>
    </row>
    <row r="398" spans="1:4" ht="13.2">
      <c r="A398" s="42"/>
      <c r="B398" s="30"/>
      <c r="C398" s="31"/>
      <c r="D398" s="31"/>
    </row>
    <row r="399" spans="1:4" ht="13.2">
      <c r="A399" s="42"/>
      <c r="B399" s="30"/>
      <c r="C399" s="31"/>
      <c r="D399" s="31"/>
    </row>
    <row r="400" spans="1:4" ht="13.2">
      <c r="A400" s="42"/>
      <c r="B400" s="30"/>
      <c r="C400" s="31"/>
      <c r="D400" s="31"/>
    </row>
    <row r="401" spans="1:4" ht="13.2">
      <c r="A401" s="42"/>
      <c r="B401" s="30"/>
      <c r="C401" s="31"/>
      <c r="D401" s="31"/>
    </row>
    <row r="402" spans="1:4" ht="13.2">
      <c r="A402" s="42"/>
      <c r="B402" s="30"/>
      <c r="C402" s="31"/>
      <c r="D402" s="31"/>
    </row>
    <row r="403" spans="1:4" ht="13.2">
      <c r="A403" s="42"/>
      <c r="B403" s="30"/>
      <c r="C403" s="31"/>
      <c r="D403" s="31"/>
    </row>
    <row r="404" spans="1:4" ht="13.2">
      <c r="A404" s="42"/>
      <c r="B404" s="30"/>
      <c r="C404" s="31"/>
      <c r="D404" s="31"/>
    </row>
    <row r="405" spans="1:4" ht="13.2">
      <c r="A405" s="42"/>
      <c r="B405" s="30"/>
      <c r="C405" s="31"/>
      <c r="D405" s="31"/>
    </row>
    <row r="406" spans="1:4" ht="13.2">
      <c r="A406" s="42"/>
      <c r="B406" s="30"/>
      <c r="C406" s="31"/>
      <c r="D406" s="31"/>
    </row>
    <row r="407" spans="1:4" ht="13.2">
      <c r="A407" s="42"/>
      <c r="B407" s="30"/>
      <c r="C407" s="31"/>
      <c r="D407" s="31"/>
    </row>
    <row r="408" spans="1:4" ht="13.2">
      <c r="A408" s="42"/>
      <c r="B408" s="30"/>
      <c r="C408" s="31"/>
      <c r="D408" s="31"/>
    </row>
    <row r="409" spans="1:4" ht="13.2">
      <c r="A409" s="42"/>
      <c r="B409" s="30"/>
      <c r="C409" s="31"/>
      <c r="D409" s="31"/>
    </row>
    <row r="410" spans="1:4" ht="13.2">
      <c r="A410" s="42"/>
      <c r="B410" s="30"/>
      <c r="C410" s="31"/>
      <c r="D410" s="31"/>
    </row>
    <row r="411" spans="1:4" ht="13.2">
      <c r="A411" s="42"/>
      <c r="B411" s="30"/>
      <c r="C411" s="31"/>
      <c r="D411" s="31"/>
    </row>
    <row r="412" spans="1:4" ht="13.2">
      <c r="A412" s="42"/>
      <c r="B412" s="30"/>
      <c r="C412" s="31"/>
      <c r="D412" s="31"/>
    </row>
    <row r="413" spans="1:4" ht="13.2">
      <c r="A413" s="42"/>
      <c r="B413" s="30"/>
      <c r="C413" s="31"/>
      <c r="D413" s="31"/>
    </row>
    <row r="414" spans="1:4" ht="13.2">
      <c r="A414" s="42"/>
      <c r="B414" s="30"/>
      <c r="C414" s="31"/>
      <c r="D414" s="31"/>
    </row>
    <row r="415" spans="1:4" ht="13.2">
      <c r="A415" s="42"/>
      <c r="B415" s="30"/>
      <c r="C415" s="31"/>
      <c r="D415" s="31"/>
    </row>
    <row r="416" spans="1:4" ht="13.2">
      <c r="A416" s="42"/>
      <c r="B416" s="30"/>
      <c r="C416" s="31"/>
      <c r="D416" s="31"/>
    </row>
    <row r="417" spans="1:4" ht="13.2">
      <c r="A417" s="42"/>
      <c r="B417" s="30"/>
      <c r="C417" s="31"/>
      <c r="D417" s="31"/>
    </row>
    <row r="418" spans="1:4" ht="13.2">
      <c r="A418" s="42"/>
      <c r="B418" s="30"/>
      <c r="C418" s="31"/>
      <c r="D418" s="31"/>
    </row>
    <row r="419" spans="1:4" ht="13.2">
      <c r="A419" s="42"/>
      <c r="B419" s="30"/>
      <c r="C419" s="31"/>
      <c r="D419" s="31"/>
    </row>
    <row r="420" spans="1:4" ht="13.2">
      <c r="A420" s="42"/>
      <c r="B420" s="30"/>
      <c r="C420" s="31"/>
      <c r="D420" s="31"/>
    </row>
    <row r="421" spans="1:4" ht="13.2">
      <c r="A421" s="42"/>
      <c r="B421" s="30"/>
      <c r="C421" s="31"/>
      <c r="D421" s="31"/>
    </row>
    <row r="422" spans="1:4" ht="13.2">
      <c r="A422" s="42"/>
      <c r="B422" s="30"/>
      <c r="C422" s="31"/>
      <c r="D422" s="31"/>
    </row>
    <row r="423" spans="1:4" ht="13.2">
      <c r="A423" s="42"/>
      <c r="B423" s="30"/>
      <c r="C423" s="31"/>
      <c r="D423" s="31"/>
    </row>
    <row r="424" spans="1:4" ht="13.2">
      <c r="A424" s="42"/>
      <c r="B424" s="30"/>
      <c r="C424" s="31"/>
      <c r="D424" s="31"/>
    </row>
    <row r="425" spans="1:4" ht="13.2">
      <c r="A425" s="42"/>
      <c r="B425" s="30"/>
      <c r="C425" s="31"/>
      <c r="D425" s="31"/>
    </row>
    <row r="426" spans="1:4" ht="13.2">
      <c r="A426" s="42"/>
      <c r="B426" s="30"/>
      <c r="C426" s="31"/>
      <c r="D426" s="31"/>
    </row>
    <row r="427" spans="1:4" ht="13.2">
      <c r="A427" s="42"/>
      <c r="B427" s="30"/>
      <c r="C427" s="31"/>
      <c r="D427" s="31"/>
    </row>
    <row r="428" spans="1:4" ht="13.2">
      <c r="A428" s="42"/>
      <c r="B428" s="30"/>
      <c r="C428" s="31"/>
      <c r="D428" s="31"/>
    </row>
    <row r="429" spans="1:4" ht="13.2">
      <c r="A429" s="42"/>
      <c r="B429" s="30"/>
      <c r="C429" s="31"/>
      <c r="D429" s="31"/>
    </row>
    <row r="430" spans="1:4" ht="13.2">
      <c r="A430" s="42"/>
      <c r="B430" s="30"/>
      <c r="C430" s="31"/>
      <c r="D430" s="31"/>
    </row>
    <row r="431" spans="1:4" ht="13.2">
      <c r="A431" s="42"/>
      <c r="B431" s="30"/>
      <c r="C431" s="31"/>
      <c r="D431" s="31"/>
    </row>
    <row r="432" spans="1:4" ht="13.2">
      <c r="A432" s="42"/>
      <c r="B432" s="30"/>
      <c r="C432" s="31"/>
      <c r="D432" s="31"/>
    </row>
    <row r="433" spans="1:4" ht="13.2">
      <c r="A433" s="42"/>
      <c r="B433" s="30"/>
      <c r="C433" s="31"/>
      <c r="D433" s="31"/>
    </row>
    <row r="434" spans="1:4" ht="13.2">
      <c r="A434" s="42"/>
      <c r="B434" s="30"/>
      <c r="C434" s="31"/>
      <c r="D434" s="31"/>
    </row>
    <row r="435" spans="1:4" ht="13.2">
      <c r="A435" s="42"/>
      <c r="B435" s="30"/>
      <c r="C435" s="31"/>
      <c r="D435" s="31"/>
    </row>
    <row r="436" spans="1:4" ht="13.2">
      <c r="A436" s="42"/>
      <c r="B436" s="30"/>
      <c r="C436" s="31"/>
      <c r="D436" s="31"/>
    </row>
    <row r="437" spans="1:4" ht="13.2">
      <c r="A437" s="42"/>
      <c r="B437" s="30"/>
      <c r="C437" s="31"/>
      <c r="D437" s="31"/>
    </row>
    <row r="438" spans="1:4" ht="13.2">
      <c r="A438" s="42"/>
      <c r="B438" s="30"/>
      <c r="C438" s="31"/>
      <c r="D438" s="31"/>
    </row>
    <row r="439" spans="1:4" ht="13.2">
      <c r="A439" s="42"/>
      <c r="B439" s="30"/>
      <c r="C439" s="31"/>
      <c r="D439" s="31"/>
    </row>
    <row r="440" spans="1:4" ht="13.2">
      <c r="A440" s="42"/>
      <c r="B440" s="30"/>
      <c r="C440" s="31"/>
      <c r="D440" s="31"/>
    </row>
    <row r="441" spans="1:4" ht="13.2">
      <c r="A441" s="42"/>
      <c r="B441" s="30"/>
      <c r="C441" s="31"/>
      <c r="D441" s="31"/>
    </row>
    <row r="442" spans="1:4" ht="13.2">
      <c r="A442" s="42"/>
      <c r="B442" s="30"/>
      <c r="C442" s="31"/>
      <c r="D442" s="31"/>
    </row>
    <row r="443" spans="1:4" ht="13.2">
      <c r="A443" s="42"/>
      <c r="B443" s="30"/>
      <c r="C443" s="31"/>
      <c r="D443" s="31"/>
    </row>
    <row r="444" spans="1:4" ht="13.2">
      <c r="A444" s="42"/>
      <c r="B444" s="30"/>
      <c r="C444" s="31"/>
      <c r="D444" s="31"/>
    </row>
    <row r="445" spans="1:4" ht="13.2">
      <c r="A445" s="42"/>
      <c r="B445" s="30"/>
      <c r="C445" s="31"/>
      <c r="D445" s="31"/>
    </row>
    <row r="446" spans="1:4" ht="13.2">
      <c r="A446" s="42"/>
      <c r="B446" s="30"/>
      <c r="C446" s="31"/>
      <c r="D446" s="31"/>
    </row>
    <row r="447" spans="1:4" ht="13.2">
      <c r="A447" s="42"/>
      <c r="B447" s="30"/>
      <c r="C447" s="31"/>
      <c r="D447" s="31"/>
    </row>
    <row r="448" spans="1:4" ht="13.2">
      <c r="A448" s="42"/>
      <c r="B448" s="30"/>
      <c r="C448" s="31"/>
      <c r="D448" s="31"/>
    </row>
    <row r="449" spans="1:4" ht="13.2">
      <c r="A449" s="42"/>
      <c r="B449" s="30"/>
      <c r="C449" s="31"/>
      <c r="D449" s="31"/>
    </row>
    <row r="450" spans="1:4" ht="13.2">
      <c r="A450" s="42"/>
      <c r="B450" s="30"/>
      <c r="C450" s="31"/>
      <c r="D450" s="31"/>
    </row>
    <row r="451" spans="1:4" ht="13.2">
      <c r="A451" s="42"/>
      <c r="B451" s="30"/>
      <c r="C451" s="31"/>
      <c r="D451" s="31"/>
    </row>
    <row r="452" spans="1:4" ht="13.2">
      <c r="A452" s="42"/>
      <c r="B452" s="30"/>
      <c r="C452" s="31"/>
      <c r="D452" s="31"/>
    </row>
    <row r="453" spans="1:4" ht="13.2">
      <c r="A453" s="42"/>
      <c r="B453" s="30"/>
      <c r="C453" s="31"/>
      <c r="D453" s="31"/>
    </row>
    <row r="454" spans="1:4" ht="13.2">
      <c r="A454" s="42"/>
      <c r="B454" s="30"/>
      <c r="C454" s="31"/>
      <c r="D454" s="31"/>
    </row>
    <row r="455" spans="1:4" ht="13.2">
      <c r="A455" s="42"/>
      <c r="B455" s="30"/>
      <c r="C455" s="31"/>
      <c r="D455" s="31"/>
    </row>
    <row r="456" spans="1:4" ht="13.2">
      <c r="A456" s="42"/>
      <c r="B456" s="30"/>
      <c r="C456" s="31"/>
      <c r="D456" s="31"/>
    </row>
    <row r="457" spans="1:4" ht="13.2">
      <c r="A457" s="42"/>
      <c r="B457" s="30"/>
      <c r="C457" s="31"/>
      <c r="D457" s="31"/>
    </row>
    <row r="458" spans="1:4" ht="13.2">
      <c r="A458" s="42"/>
      <c r="B458" s="30"/>
      <c r="C458" s="31"/>
      <c r="D458" s="31"/>
    </row>
    <row r="459" spans="1:4" ht="13.2">
      <c r="A459" s="42"/>
      <c r="B459" s="30"/>
      <c r="C459" s="31"/>
      <c r="D459" s="31"/>
    </row>
    <row r="460" spans="1:4" ht="13.2">
      <c r="A460" s="42"/>
      <c r="B460" s="30"/>
      <c r="C460" s="31"/>
      <c r="D460" s="31"/>
    </row>
    <row r="461" spans="1:4" ht="13.2">
      <c r="A461" s="42"/>
      <c r="B461" s="30"/>
      <c r="C461" s="31"/>
      <c r="D461" s="31"/>
    </row>
    <row r="462" spans="1:4" ht="13.2">
      <c r="A462" s="42"/>
      <c r="B462" s="30"/>
      <c r="C462" s="31"/>
      <c r="D462" s="31"/>
    </row>
    <row r="463" spans="1:4" ht="13.2">
      <c r="A463" s="42"/>
      <c r="B463" s="30"/>
      <c r="C463" s="31"/>
      <c r="D463" s="31"/>
    </row>
    <row r="464" spans="1:4" ht="13.2">
      <c r="A464" s="42"/>
      <c r="B464" s="30"/>
      <c r="C464" s="31"/>
      <c r="D464" s="31"/>
    </row>
    <row r="465" spans="1:4" ht="13.2">
      <c r="A465" s="42"/>
      <c r="B465" s="30"/>
      <c r="C465" s="31"/>
      <c r="D465" s="31"/>
    </row>
    <row r="466" spans="1:4" ht="13.2">
      <c r="A466" s="42"/>
      <c r="B466" s="30"/>
      <c r="C466" s="31"/>
      <c r="D466" s="31"/>
    </row>
    <row r="467" spans="1:4" ht="13.2">
      <c r="A467" s="42"/>
      <c r="B467" s="30"/>
      <c r="C467" s="31"/>
      <c r="D467" s="31"/>
    </row>
    <row r="468" spans="1:4" ht="13.2">
      <c r="A468" s="42"/>
      <c r="B468" s="30"/>
      <c r="C468" s="31"/>
      <c r="D468" s="31"/>
    </row>
    <row r="469" spans="1:4" ht="13.2">
      <c r="A469" s="42"/>
      <c r="B469" s="30"/>
      <c r="C469" s="31"/>
      <c r="D469" s="31"/>
    </row>
    <row r="470" spans="1:4" ht="13.2">
      <c r="A470" s="42"/>
      <c r="B470" s="30"/>
      <c r="C470" s="31"/>
      <c r="D470" s="31"/>
    </row>
    <row r="471" spans="1:4" ht="13.2">
      <c r="A471" s="42"/>
      <c r="B471" s="30"/>
      <c r="C471" s="31"/>
      <c r="D471" s="31"/>
    </row>
    <row r="472" spans="1:4" ht="13.2">
      <c r="A472" s="42"/>
      <c r="B472" s="30"/>
      <c r="C472" s="31"/>
      <c r="D472" s="31"/>
    </row>
    <row r="473" spans="1:4" ht="13.2">
      <c r="A473" s="42"/>
      <c r="B473" s="30"/>
      <c r="C473" s="31"/>
      <c r="D473" s="31"/>
    </row>
    <row r="474" spans="1:4" ht="13.2">
      <c r="A474" s="42"/>
      <c r="B474" s="30"/>
      <c r="C474" s="31"/>
      <c r="D474" s="31"/>
    </row>
    <row r="475" spans="1:4" ht="13.2">
      <c r="A475" s="42"/>
      <c r="B475" s="30"/>
      <c r="C475" s="31"/>
      <c r="D475" s="31"/>
    </row>
    <row r="476" spans="1:4" ht="13.2">
      <c r="A476" s="42"/>
      <c r="B476" s="30"/>
      <c r="C476" s="31"/>
      <c r="D476" s="31"/>
    </row>
    <row r="477" spans="1:4" ht="13.2">
      <c r="A477" s="42"/>
      <c r="B477" s="30"/>
      <c r="C477" s="31"/>
      <c r="D477" s="31"/>
    </row>
    <row r="478" spans="1:4" ht="13.2">
      <c r="A478" s="42"/>
      <c r="B478" s="30"/>
      <c r="C478" s="31"/>
      <c r="D478" s="31"/>
    </row>
    <row r="479" spans="1:4" ht="13.2">
      <c r="A479" s="42"/>
      <c r="B479" s="30"/>
      <c r="C479" s="31"/>
      <c r="D479" s="31"/>
    </row>
    <row r="480" spans="1:4" ht="13.2">
      <c r="A480" s="42"/>
      <c r="B480" s="30"/>
      <c r="C480" s="31"/>
      <c r="D480" s="31"/>
    </row>
    <row r="481" spans="1:4" ht="13.2">
      <c r="A481" s="42"/>
      <c r="B481" s="30"/>
      <c r="C481" s="31"/>
      <c r="D481" s="31"/>
    </row>
    <row r="482" spans="1:4" ht="13.2">
      <c r="A482" s="42"/>
      <c r="B482" s="30"/>
      <c r="C482" s="31"/>
      <c r="D482" s="31"/>
    </row>
    <row r="483" spans="1:4" ht="13.2">
      <c r="A483" s="42"/>
      <c r="B483" s="30"/>
      <c r="C483" s="31"/>
      <c r="D483" s="31"/>
    </row>
    <row r="484" spans="1:4" ht="13.2">
      <c r="A484" s="42"/>
      <c r="B484" s="30"/>
      <c r="C484" s="31"/>
      <c r="D484" s="31"/>
    </row>
    <row r="485" spans="1:4" ht="13.2">
      <c r="A485" s="42"/>
      <c r="B485" s="30"/>
      <c r="C485" s="31"/>
      <c r="D485" s="31"/>
    </row>
    <row r="486" spans="1:4" ht="13.2">
      <c r="A486" s="42"/>
      <c r="B486" s="30"/>
      <c r="C486" s="31"/>
      <c r="D486" s="31"/>
    </row>
    <row r="487" spans="1:4" ht="13.2">
      <c r="A487" s="42"/>
      <c r="B487" s="30"/>
      <c r="C487" s="31"/>
      <c r="D487" s="31"/>
    </row>
    <row r="488" spans="1:4" ht="13.2">
      <c r="A488" s="42"/>
      <c r="B488" s="30"/>
      <c r="C488" s="31"/>
      <c r="D488" s="31"/>
    </row>
    <row r="489" spans="1:4" ht="13.2">
      <c r="A489" s="42"/>
      <c r="B489" s="30"/>
      <c r="C489" s="31"/>
      <c r="D489" s="31"/>
    </row>
    <row r="490" spans="1:4" ht="13.2">
      <c r="A490" s="42"/>
      <c r="B490" s="30"/>
      <c r="C490" s="31"/>
      <c r="D490" s="31"/>
    </row>
    <row r="491" spans="1:4" ht="13.2">
      <c r="A491" s="42"/>
      <c r="B491" s="30"/>
      <c r="C491" s="31"/>
      <c r="D491" s="31"/>
    </row>
    <row r="492" spans="1:4" ht="13.2">
      <c r="A492" s="42"/>
      <c r="B492" s="30"/>
      <c r="C492" s="31"/>
      <c r="D492" s="31"/>
    </row>
    <row r="493" spans="1:4" ht="13.2">
      <c r="A493" s="42"/>
      <c r="B493" s="30"/>
      <c r="C493" s="31"/>
      <c r="D493" s="31"/>
    </row>
    <row r="494" spans="1:4" ht="13.2">
      <c r="A494" s="42"/>
      <c r="B494" s="30"/>
      <c r="C494" s="31"/>
      <c r="D494" s="31"/>
    </row>
    <row r="495" spans="1:4" ht="13.2">
      <c r="A495" s="42"/>
      <c r="B495" s="30"/>
      <c r="C495" s="31"/>
      <c r="D495" s="31"/>
    </row>
    <row r="496" spans="1:4" ht="13.2">
      <c r="A496" s="42"/>
      <c r="B496" s="30"/>
      <c r="C496" s="31"/>
      <c r="D496" s="31"/>
    </row>
    <row r="497" spans="1:4" ht="13.2">
      <c r="A497" s="42"/>
      <c r="B497" s="30"/>
      <c r="C497" s="31"/>
      <c r="D497" s="31"/>
    </row>
    <row r="498" spans="1:4" ht="13.2">
      <c r="A498" s="42"/>
      <c r="B498" s="30"/>
      <c r="C498" s="31"/>
      <c r="D498" s="31"/>
    </row>
    <row r="499" spans="1:4" ht="13.2">
      <c r="A499" s="42"/>
      <c r="B499" s="30"/>
      <c r="C499" s="31"/>
      <c r="D499" s="31"/>
    </row>
    <row r="500" spans="1:4" ht="13.2">
      <c r="A500" s="42"/>
      <c r="B500" s="30"/>
      <c r="C500" s="31"/>
      <c r="D500" s="31"/>
    </row>
    <row r="501" spans="1:4" ht="13.2">
      <c r="A501" s="42"/>
      <c r="B501" s="30"/>
      <c r="C501" s="31"/>
      <c r="D501" s="31"/>
    </row>
    <row r="502" spans="1:4" ht="13.2">
      <c r="A502" s="42"/>
      <c r="B502" s="30"/>
      <c r="C502" s="31"/>
      <c r="D502" s="31"/>
    </row>
    <row r="503" spans="1:4" ht="13.2">
      <c r="A503" s="42"/>
      <c r="B503" s="30"/>
      <c r="C503" s="31"/>
      <c r="D503" s="31"/>
    </row>
    <row r="504" spans="1:4" ht="13.2">
      <c r="A504" s="42"/>
      <c r="B504" s="30"/>
      <c r="C504" s="31"/>
      <c r="D504" s="31"/>
    </row>
    <row r="505" spans="1:4" ht="13.2">
      <c r="A505" s="42"/>
      <c r="B505" s="30"/>
      <c r="C505" s="31"/>
      <c r="D505" s="31"/>
    </row>
    <row r="506" spans="1:4" ht="13.2">
      <c r="A506" s="42"/>
      <c r="B506" s="30"/>
      <c r="C506" s="31"/>
      <c r="D506" s="31"/>
    </row>
    <row r="507" spans="1:4" ht="13.2">
      <c r="A507" s="42"/>
      <c r="B507" s="30"/>
      <c r="C507" s="31"/>
      <c r="D507" s="31"/>
    </row>
    <row r="508" spans="1:4" ht="13.2">
      <c r="A508" s="42"/>
      <c r="B508" s="30"/>
      <c r="C508" s="31"/>
      <c r="D508" s="31"/>
    </row>
    <row r="509" spans="1:4" ht="13.2">
      <c r="A509" s="42"/>
      <c r="B509" s="30"/>
      <c r="C509" s="31"/>
      <c r="D509" s="31"/>
    </row>
    <row r="510" spans="1:4" ht="13.2">
      <c r="A510" s="42"/>
      <c r="B510" s="30"/>
      <c r="C510" s="31"/>
      <c r="D510" s="31"/>
    </row>
    <row r="511" spans="1:4" ht="13.2">
      <c r="A511" s="42"/>
      <c r="B511" s="30"/>
      <c r="C511" s="31"/>
      <c r="D511" s="31"/>
    </row>
    <row r="512" spans="1:4" ht="13.2">
      <c r="A512" s="42"/>
      <c r="B512" s="30"/>
      <c r="C512" s="31"/>
      <c r="D512" s="31"/>
    </row>
    <row r="513" spans="1:4" ht="13.2">
      <c r="A513" s="42"/>
      <c r="B513" s="30"/>
      <c r="C513" s="31"/>
      <c r="D513" s="31"/>
    </row>
    <row r="514" spans="1:4" ht="13.2">
      <c r="A514" s="42"/>
      <c r="B514" s="30"/>
      <c r="C514" s="31"/>
      <c r="D514" s="31"/>
    </row>
    <row r="515" spans="1:4" ht="13.2">
      <c r="A515" s="42"/>
      <c r="B515" s="30"/>
      <c r="C515" s="31"/>
      <c r="D515" s="31"/>
    </row>
    <row r="516" spans="1:4" ht="13.2">
      <c r="A516" s="42"/>
      <c r="B516" s="30"/>
      <c r="C516" s="31"/>
      <c r="D516" s="31"/>
    </row>
    <row r="517" spans="1:4" ht="13.2">
      <c r="A517" s="42"/>
      <c r="B517" s="30"/>
      <c r="C517" s="31"/>
      <c r="D517" s="31"/>
    </row>
    <row r="518" spans="1:4" ht="13.2">
      <c r="A518" s="42"/>
      <c r="B518" s="30"/>
      <c r="C518" s="31"/>
      <c r="D518" s="31"/>
    </row>
    <row r="519" spans="1:4" ht="13.2">
      <c r="A519" s="42"/>
      <c r="B519" s="30"/>
      <c r="C519" s="31"/>
      <c r="D519" s="31"/>
    </row>
    <row r="520" spans="1:4" ht="13.2">
      <c r="A520" s="42"/>
      <c r="B520" s="30"/>
      <c r="C520" s="31"/>
      <c r="D520" s="31"/>
    </row>
    <row r="521" spans="1:4" ht="13.2">
      <c r="A521" s="42"/>
      <c r="B521" s="30"/>
      <c r="C521" s="31"/>
      <c r="D521" s="31"/>
    </row>
    <row r="522" spans="1:4" ht="13.2">
      <c r="A522" s="42"/>
      <c r="B522" s="30"/>
      <c r="C522" s="31"/>
      <c r="D522" s="31"/>
    </row>
    <row r="523" spans="1:4" ht="13.2">
      <c r="A523" s="42"/>
      <c r="B523" s="30"/>
      <c r="C523" s="31"/>
      <c r="D523" s="31"/>
    </row>
    <row r="524" spans="1:4" ht="13.2">
      <c r="A524" s="42"/>
      <c r="B524" s="30"/>
      <c r="C524" s="31"/>
      <c r="D524" s="31"/>
    </row>
    <row r="525" spans="1:4" ht="13.2">
      <c r="A525" s="42"/>
      <c r="B525" s="30"/>
      <c r="C525" s="31"/>
      <c r="D525" s="31"/>
    </row>
    <row r="526" spans="1:4" ht="13.2">
      <c r="A526" s="42"/>
      <c r="B526" s="30"/>
      <c r="C526" s="31"/>
      <c r="D526" s="31"/>
    </row>
    <row r="527" spans="1:4" ht="13.2">
      <c r="A527" s="42"/>
      <c r="B527" s="30"/>
      <c r="C527" s="31"/>
      <c r="D527" s="31"/>
    </row>
    <row r="528" spans="1:4" ht="13.2">
      <c r="A528" s="42"/>
      <c r="B528" s="30"/>
      <c r="C528" s="31"/>
      <c r="D528" s="31"/>
    </row>
    <row r="529" spans="1:4" ht="13.2">
      <c r="A529" s="42"/>
      <c r="B529" s="30"/>
      <c r="C529" s="31"/>
      <c r="D529" s="31"/>
    </row>
    <row r="530" spans="1:4" ht="13.2">
      <c r="A530" s="42"/>
      <c r="B530" s="30"/>
      <c r="C530" s="31"/>
      <c r="D530" s="31"/>
    </row>
    <row r="531" spans="1:4" ht="13.2">
      <c r="A531" s="42"/>
      <c r="B531" s="30"/>
      <c r="C531" s="31"/>
      <c r="D531" s="31"/>
    </row>
    <row r="532" spans="1:4" ht="13.2">
      <c r="A532" s="42"/>
      <c r="B532" s="30"/>
      <c r="C532" s="31"/>
      <c r="D532" s="31"/>
    </row>
    <row r="533" spans="1:4" ht="13.2">
      <c r="A533" s="42"/>
      <c r="B533" s="30"/>
      <c r="C533" s="31"/>
      <c r="D533" s="31"/>
    </row>
    <row r="534" spans="1:4" ht="13.2">
      <c r="A534" s="42"/>
      <c r="B534" s="30"/>
      <c r="C534" s="31"/>
      <c r="D534" s="31"/>
    </row>
    <row r="535" spans="1:4" ht="13.2">
      <c r="A535" s="42"/>
      <c r="B535" s="30"/>
      <c r="C535" s="31"/>
      <c r="D535" s="31"/>
    </row>
    <row r="536" spans="1:4" ht="13.2">
      <c r="A536" s="42"/>
      <c r="B536" s="30"/>
      <c r="C536" s="31"/>
      <c r="D536" s="31"/>
    </row>
    <row r="537" spans="1:4" ht="13.2">
      <c r="A537" s="42"/>
      <c r="B537" s="30"/>
      <c r="C537" s="31"/>
      <c r="D537" s="31"/>
    </row>
    <row r="538" spans="1:4" ht="13.2">
      <c r="A538" s="42"/>
      <c r="B538" s="30"/>
      <c r="C538" s="31"/>
      <c r="D538" s="31"/>
    </row>
    <row r="539" spans="1:4" ht="13.2">
      <c r="A539" s="42"/>
      <c r="B539" s="30"/>
      <c r="C539" s="31"/>
      <c r="D539" s="31"/>
    </row>
    <row r="540" spans="1:4" ht="13.2">
      <c r="A540" s="42"/>
      <c r="B540" s="30"/>
      <c r="C540" s="31"/>
      <c r="D540" s="31"/>
    </row>
    <row r="541" spans="1:4" ht="13.2">
      <c r="A541" s="42"/>
      <c r="B541" s="30"/>
      <c r="C541" s="31"/>
      <c r="D541" s="31"/>
    </row>
    <row r="542" spans="1:4" ht="13.2">
      <c r="A542" s="42"/>
      <c r="B542" s="30"/>
      <c r="C542" s="31"/>
      <c r="D542" s="31"/>
    </row>
    <row r="543" spans="1:4" ht="13.2">
      <c r="A543" s="42"/>
      <c r="B543" s="30"/>
      <c r="C543" s="31"/>
      <c r="D543" s="31"/>
    </row>
    <row r="544" spans="1:4" ht="13.2">
      <c r="A544" s="42"/>
      <c r="B544" s="30"/>
      <c r="C544" s="31"/>
      <c r="D544" s="31"/>
    </row>
    <row r="545" spans="1:4" ht="13.2">
      <c r="A545" s="42"/>
      <c r="B545" s="30"/>
      <c r="C545" s="31"/>
      <c r="D545" s="31"/>
    </row>
    <row r="546" spans="1:4" ht="13.2">
      <c r="A546" s="42"/>
      <c r="B546" s="30"/>
      <c r="C546" s="31"/>
      <c r="D546" s="31"/>
    </row>
    <row r="547" spans="1:4" ht="13.2">
      <c r="A547" s="42"/>
      <c r="B547" s="30"/>
      <c r="C547" s="31"/>
      <c r="D547" s="31"/>
    </row>
    <row r="548" spans="1:4" ht="13.2">
      <c r="A548" s="42"/>
      <c r="B548" s="30"/>
      <c r="C548" s="31"/>
      <c r="D548" s="31"/>
    </row>
    <row r="549" spans="1:4" ht="13.2">
      <c r="A549" s="42"/>
      <c r="B549" s="30"/>
      <c r="C549" s="31"/>
      <c r="D549" s="31"/>
    </row>
    <row r="550" spans="1:4" ht="13.2">
      <c r="A550" s="42"/>
      <c r="B550" s="30"/>
      <c r="C550" s="31"/>
      <c r="D550" s="31"/>
    </row>
    <row r="551" spans="1:4" ht="13.2">
      <c r="A551" s="42"/>
      <c r="B551" s="30"/>
      <c r="C551" s="31"/>
      <c r="D551" s="31"/>
    </row>
    <row r="552" spans="1:4" ht="13.2">
      <c r="A552" s="42"/>
      <c r="B552" s="30"/>
      <c r="C552" s="31"/>
      <c r="D552" s="31"/>
    </row>
    <row r="553" spans="1:4" ht="13.2">
      <c r="A553" s="42"/>
      <c r="B553" s="30"/>
      <c r="C553" s="31"/>
      <c r="D553" s="31"/>
    </row>
    <row r="554" spans="1:4" ht="13.2">
      <c r="A554" s="42"/>
      <c r="B554" s="30"/>
      <c r="C554" s="31"/>
      <c r="D554" s="31"/>
    </row>
    <row r="555" spans="1:4" ht="13.2">
      <c r="A555" s="42"/>
      <c r="B555" s="30"/>
      <c r="C555" s="31"/>
      <c r="D555" s="31"/>
    </row>
    <row r="556" spans="1:4" ht="13.2">
      <c r="A556" s="42"/>
      <c r="B556" s="30"/>
      <c r="C556" s="31"/>
      <c r="D556" s="31"/>
    </row>
    <row r="557" spans="1:4" ht="13.2">
      <c r="A557" s="42"/>
      <c r="B557" s="30"/>
      <c r="C557" s="31"/>
      <c r="D557" s="31"/>
    </row>
    <row r="558" spans="1:4" ht="13.2">
      <c r="A558" s="42"/>
      <c r="B558" s="30"/>
      <c r="C558" s="31"/>
      <c r="D558" s="31"/>
    </row>
    <row r="559" spans="1:4" ht="13.2">
      <c r="A559" s="42"/>
      <c r="B559" s="30"/>
      <c r="C559" s="31"/>
      <c r="D559" s="31"/>
    </row>
    <row r="560" spans="1:4" ht="13.2">
      <c r="A560" s="42"/>
      <c r="B560" s="30"/>
      <c r="C560" s="31"/>
      <c r="D560" s="31"/>
    </row>
    <row r="561" spans="1:4" ht="13.2">
      <c r="A561" s="42"/>
      <c r="B561" s="30"/>
      <c r="C561" s="31"/>
      <c r="D561" s="31"/>
    </row>
    <row r="562" spans="1:4" ht="13.2">
      <c r="A562" s="42"/>
      <c r="B562" s="30"/>
      <c r="C562" s="31"/>
      <c r="D562" s="31"/>
    </row>
    <row r="563" spans="1:4" ht="13.2">
      <c r="A563" s="42"/>
      <c r="B563" s="30"/>
      <c r="C563" s="31"/>
      <c r="D563" s="31"/>
    </row>
    <row r="564" spans="1:4" ht="13.2">
      <c r="A564" s="42"/>
      <c r="B564" s="30"/>
      <c r="C564" s="31"/>
      <c r="D564" s="31"/>
    </row>
    <row r="565" spans="1:4" ht="13.2">
      <c r="A565" s="42"/>
      <c r="B565" s="30"/>
      <c r="C565" s="31"/>
      <c r="D565" s="31"/>
    </row>
    <row r="566" spans="1:4" ht="13.2">
      <c r="A566" s="42"/>
      <c r="B566" s="30"/>
      <c r="C566" s="31"/>
      <c r="D566" s="31"/>
    </row>
    <row r="567" spans="1:4" ht="13.2">
      <c r="A567" s="42"/>
      <c r="B567" s="30"/>
      <c r="C567" s="31"/>
      <c r="D567" s="31"/>
    </row>
    <row r="568" spans="1:4" ht="13.2">
      <c r="A568" s="42"/>
      <c r="B568" s="30"/>
      <c r="C568" s="31"/>
      <c r="D568" s="31"/>
    </row>
    <row r="569" spans="1:4" ht="13.2">
      <c r="A569" s="42"/>
      <c r="B569" s="30"/>
      <c r="C569" s="31"/>
      <c r="D569" s="31"/>
    </row>
    <row r="570" spans="1:4" ht="13.2">
      <c r="A570" s="42"/>
      <c r="B570" s="30"/>
      <c r="C570" s="31"/>
      <c r="D570" s="31"/>
    </row>
    <row r="571" spans="1:4" ht="13.2">
      <c r="A571" s="42"/>
      <c r="B571" s="30"/>
      <c r="C571" s="31"/>
      <c r="D571" s="31"/>
    </row>
    <row r="572" spans="1:4" ht="13.2">
      <c r="A572" s="42"/>
      <c r="B572" s="30"/>
      <c r="C572" s="31"/>
      <c r="D572" s="31"/>
    </row>
    <row r="573" spans="1:4" ht="13.2">
      <c r="A573" s="42"/>
      <c r="B573" s="30"/>
      <c r="C573" s="31"/>
      <c r="D573" s="31"/>
    </row>
    <row r="574" spans="1:4" ht="13.2">
      <c r="A574" s="42"/>
      <c r="B574" s="30"/>
      <c r="C574" s="31"/>
      <c r="D574" s="31"/>
    </row>
    <row r="575" spans="1:4" ht="13.2">
      <c r="A575" s="42"/>
      <c r="B575" s="30"/>
      <c r="C575" s="31"/>
      <c r="D575" s="31"/>
    </row>
    <row r="576" spans="1:4" ht="13.2">
      <c r="A576" s="42"/>
      <c r="B576" s="30"/>
      <c r="C576" s="31"/>
      <c r="D576" s="31"/>
    </row>
    <row r="577" spans="1:4" ht="13.2">
      <c r="A577" s="42"/>
      <c r="B577" s="30"/>
      <c r="C577" s="31"/>
      <c r="D577" s="31"/>
    </row>
    <row r="578" spans="1:4" ht="13.2">
      <c r="A578" s="42"/>
      <c r="B578" s="30"/>
      <c r="C578" s="31"/>
      <c r="D578" s="31"/>
    </row>
    <row r="579" spans="1:4" ht="13.2">
      <c r="A579" s="42"/>
      <c r="B579" s="30"/>
      <c r="C579" s="31"/>
      <c r="D579" s="31"/>
    </row>
    <row r="580" spans="1:4" ht="13.2">
      <c r="A580" s="42"/>
      <c r="B580" s="30"/>
      <c r="C580" s="31"/>
      <c r="D580" s="31"/>
    </row>
    <row r="581" spans="1:4" ht="13.2">
      <c r="A581" s="42"/>
      <c r="B581" s="30"/>
      <c r="C581" s="31"/>
      <c r="D581" s="31"/>
    </row>
    <row r="582" spans="1:4" ht="13.2">
      <c r="A582" s="42"/>
      <c r="B582" s="30"/>
      <c r="C582" s="31"/>
      <c r="D582" s="31"/>
    </row>
    <row r="583" spans="1:4" ht="13.2">
      <c r="A583" s="42"/>
      <c r="B583" s="30"/>
      <c r="C583" s="31"/>
      <c r="D583" s="31"/>
    </row>
    <row r="584" spans="1:4" ht="13.2">
      <c r="A584" s="42"/>
      <c r="B584" s="30"/>
      <c r="C584" s="31"/>
      <c r="D584" s="31"/>
    </row>
    <row r="585" spans="1:4" ht="13.2">
      <c r="A585" s="42"/>
      <c r="B585" s="30"/>
      <c r="C585" s="31"/>
      <c r="D585" s="31"/>
    </row>
    <row r="586" spans="1:4" ht="13.2">
      <c r="A586" s="42"/>
      <c r="B586" s="30"/>
      <c r="C586" s="31"/>
      <c r="D586" s="31"/>
    </row>
    <row r="587" spans="1:4" ht="13.2">
      <c r="A587" s="42"/>
      <c r="B587" s="30"/>
      <c r="C587" s="31"/>
      <c r="D587" s="31"/>
    </row>
    <row r="588" spans="1:4" ht="13.2">
      <c r="A588" s="42"/>
      <c r="B588" s="30"/>
      <c r="C588" s="31"/>
      <c r="D588" s="31"/>
    </row>
    <row r="589" spans="1:4" ht="13.2">
      <c r="A589" s="42"/>
      <c r="B589" s="30"/>
      <c r="C589" s="31"/>
      <c r="D589" s="31"/>
    </row>
    <row r="590" spans="1:4" ht="13.2">
      <c r="A590" s="42"/>
      <c r="B590" s="30"/>
      <c r="C590" s="31"/>
      <c r="D590" s="31"/>
    </row>
    <row r="591" spans="1:4" ht="13.2">
      <c r="A591" s="42"/>
      <c r="B591" s="30"/>
      <c r="C591" s="31"/>
      <c r="D591" s="31"/>
    </row>
    <row r="592" spans="1:4" ht="13.2">
      <c r="A592" s="42"/>
      <c r="B592" s="30"/>
      <c r="C592" s="31"/>
      <c r="D592" s="31"/>
    </row>
    <row r="593" spans="1:4" ht="13.2">
      <c r="A593" s="42"/>
      <c r="B593" s="30"/>
      <c r="C593" s="31"/>
      <c r="D593" s="31"/>
    </row>
    <row r="594" spans="1:4" ht="13.2">
      <c r="A594" s="42"/>
      <c r="B594" s="30"/>
      <c r="C594" s="31"/>
      <c r="D594" s="31"/>
    </row>
    <row r="595" spans="1:4" ht="13.2">
      <c r="A595" s="42"/>
      <c r="B595" s="30"/>
      <c r="C595" s="31"/>
      <c r="D595" s="31"/>
    </row>
    <row r="596" spans="1:4" ht="13.2">
      <c r="A596" s="42"/>
      <c r="B596" s="30"/>
      <c r="C596" s="31"/>
      <c r="D596" s="31"/>
    </row>
    <row r="597" spans="1:4" ht="13.2">
      <c r="A597" s="42"/>
      <c r="B597" s="30"/>
      <c r="C597" s="31"/>
      <c r="D597" s="31"/>
    </row>
    <row r="598" spans="1:4" ht="13.2">
      <c r="A598" s="42"/>
      <c r="B598" s="30"/>
      <c r="C598" s="31"/>
      <c r="D598" s="31"/>
    </row>
    <row r="599" spans="1:4" ht="13.2">
      <c r="A599" s="42"/>
      <c r="B599" s="30"/>
      <c r="C599" s="31"/>
      <c r="D599" s="31"/>
    </row>
    <row r="600" spans="1:4" ht="13.2">
      <c r="A600" s="42"/>
      <c r="B600" s="30"/>
      <c r="C600" s="31"/>
      <c r="D600" s="31"/>
    </row>
    <row r="601" spans="1:4" ht="13.2">
      <c r="A601" s="42"/>
      <c r="B601" s="30"/>
      <c r="C601" s="31"/>
      <c r="D601" s="31"/>
    </row>
    <row r="602" spans="1:4" ht="13.2">
      <c r="A602" s="42"/>
      <c r="B602" s="30"/>
      <c r="C602" s="31"/>
      <c r="D602" s="31"/>
    </row>
    <row r="603" spans="1:4" ht="13.2">
      <c r="A603" s="42"/>
      <c r="B603" s="30"/>
      <c r="C603" s="31"/>
      <c r="D603" s="31"/>
    </row>
    <row r="604" spans="1:4" ht="13.2">
      <c r="A604" s="42"/>
      <c r="B604" s="30"/>
      <c r="C604" s="31"/>
      <c r="D604" s="31"/>
    </row>
    <row r="605" spans="1:4" ht="13.2">
      <c r="A605" s="42"/>
      <c r="B605" s="30"/>
      <c r="C605" s="31"/>
      <c r="D605" s="31"/>
    </row>
    <row r="606" spans="1:4" ht="13.2">
      <c r="A606" s="42"/>
      <c r="B606" s="30"/>
      <c r="C606" s="31"/>
      <c r="D606" s="31"/>
    </row>
    <row r="607" spans="1:4" ht="13.2">
      <c r="A607" s="42"/>
      <c r="B607" s="30"/>
      <c r="C607" s="31"/>
      <c r="D607" s="31"/>
    </row>
    <row r="608" spans="1:4" ht="13.2">
      <c r="A608" s="42"/>
      <c r="B608" s="30"/>
      <c r="C608" s="31"/>
      <c r="D608" s="31"/>
    </row>
    <row r="609" spans="1:4" ht="13.2">
      <c r="A609" s="42"/>
      <c r="B609" s="30"/>
      <c r="C609" s="31"/>
      <c r="D609" s="31"/>
    </row>
    <row r="610" spans="1:4" ht="13.2">
      <c r="A610" s="42"/>
      <c r="B610" s="30"/>
      <c r="C610" s="31"/>
      <c r="D610" s="31"/>
    </row>
    <row r="611" spans="1:4" ht="13.2">
      <c r="A611" s="42"/>
      <c r="B611" s="30"/>
      <c r="C611" s="31"/>
      <c r="D611" s="31"/>
    </row>
    <row r="612" spans="1:4" ht="13.2">
      <c r="A612" s="42"/>
      <c r="B612" s="30"/>
      <c r="C612" s="31"/>
      <c r="D612" s="31"/>
    </row>
    <row r="613" spans="1:4" ht="13.2">
      <c r="A613" s="42"/>
      <c r="B613" s="30"/>
      <c r="C613" s="31"/>
      <c r="D613" s="31"/>
    </row>
    <row r="614" spans="1:4" ht="13.2">
      <c r="A614" s="42"/>
      <c r="B614" s="30"/>
      <c r="C614" s="31"/>
      <c r="D614" s="31"/>
    </row>
    <row r="615" spans="1:4" ht="13.2">
      <c r="A615" s="42"/>
      <c r="B615" s="30"/>
      <c r="C615" s="31"/>
      <c r="D615" s="31"/>
    </row>
    <row r="616" spans="1:4" ht="13.2">
      <c r="A616" s="42"/>
      <c r="B616" s="30"/>
      <c r="C616" s="31"/>
      <c r="D616" s="31"/>
    </row>
    <row r="617" spans="1:4" ht="13.2">
      <c r="A617" s="42"/>
      <c r="B617" s="30"/>
      <c r="C617" s="31"/>
      <c r="D617" s="31"/>
    </row>
    <row r="618" spans="1:4" ht="13.2">
      <c r="A618" s="42"/>
      <c r="B618" s="30"/>
      <c r="C618" s="31"/>
      <c r="D618" s="31"/>
    </row>
    <row r="619" spans="1:4" ht="13.2">
      <c r="A619" s="42"/>
      <c r="B619" s="30"/>
      <c r="C619" s="31"/>
      <c r="D619" s="31"/>
    </row>
    <row r="620" spans="1:4" ht="13.2">
      <c r="A620" s="42"/>
      <c r="B620" s="30"/>
      <c r="C620" s="31"/>
      <c r="D620" s="31"/>
    </row>
    <row r="621" spans="1:4" ht="13.2">
      <c r="A621" s="42"/>
      <c r="B621" s="30"/>
      <c r="C621" s="31"/>
      <c r="D621" s="31"/>
    </row>
    <row r="622" spans="1:4" ht="13.2">
      <c r="A622" s="42"/>
      <c r="B622" s="30"/>
      <c r="C622" s="31"/>
      <c r="D622" s="31"/>
    </row>
    <row r="623" spans="1:4" ht="13.2">
      <c r="A623" s="42"/>
      <c r="B623" s="30"/>
      <c r="C623" s="31"/>
      <c r="D623" s="31"/>
    </row>
    <row r="624" spans="1:4" ht="13.2">
      <c r="A624" s="42"/>
      <c r="B624" s="30"/>
      <c r="C624" s="31"/>
      <c r="D624" s="31"/>
    </row>
    <row r="625" spans="1:4" ht="13.2">
      <c r="A625" s="42"/>
      <c r="B625" s="30"/>
      <c r="C625" s="31"/>
      <c r="D625" s="31"/>
    </row>
    <row r="626" spans="1:4" ht="13.2">
      <c r="A626" s="42"/>
      <c r="B626" s="30"/>
      <c r="C626" s="31"/>
      <c r="D626" s="31"/>
    </row>
    <row r="627" spans="1:4" ht="13.2">
      <c r="A627" s="42"/>
      <c r="B627" s="30"/>
      <c r="C627" s="31"/>
      <c r="D627" s="31"/>
    </row>
    <row r="628" spans="1:4" ht="13.2">
      <c r="A628" s="42"/>
      <c r="B628" s="30"/>
      <c r="C628" s="31"/>
      <c r="D628" s="31"/>
    </row>
    <row r="629" spans="1:4" ht="13.2">
      <c r="A629" s="42"/>
      <c r="B629" s="30"/>
      <c r="C629" s="31"/>
      <c r="D629" s="31"/>
    </row>
    <row r="630" spans="1:4" ht="13.2">
      <c r="A630" s="42"/>
      <c r="B630" s="30"/>
      <c r="C630" s="31"/>
      <c r="D630" s="31"/>
    </row>
    <row r="631" spans="1:4" ht="13.2">
      <c r="A631" s="42"/>
      <c r="B631" s="30"/>
      <c r="C631" s="31"/>
      <c r="D631" s="31"/>
    </row>
    <row r="632" spans="1:4" ht="13.2">
      <c r="A632" s="42"/>
      <c r="B632" s="30"/>
      <c r="C632" s="31"/>
      <c r="D632" s="31"/>
    </row>
    <row r="633" spans="1:4" ht="13.2">
      <c r="A633" s="42"/>
      <c r="B633" s="30"/>
      <c r="C633" s="31"/>
      <c r="D633" s="31"/>
    </row>
    <row r="634" spans="1:4" ht="13.2">
      <c r="A634" s="42"/>
      <c r="B634" s="30"/>
      <c r="C634" s="31"/>
      <c r="D634" s="31"/>
    </row>
    <row r="635" spans="1:4" ht="13.2">
      <c r="A635" s="42"/>
      <c r="B635" s="30"/>
      <c r="C635" s="31"/>
      <c r="D635" s="31"/>
    </row>
    <row r="636" spans="1:4" ht="13.2">
      <c r="A636" s="42"/>
      <c r="B636" s="30"/>
      <c r="C636" s="31"/>
      <c r="D636" s="31"/>
    </row>
    <row r="637" spans="1:4" ht="13.2">
      <c r="A637" s="42"/>
      <c r="B637" s="30"/>
      <c r="C637" s="31"/>
      <c r="D637" s="31"/>
    </row>
    <row r="638" spans="1:4" ht="13.2">
      <c r="A638" s="42"/>
      <c r="B638" s="30"/>
      <c r="C638" s="31"/>
      <c r="D638" s="31"/>
    </row>
    <row r="639" spans="1:4" ht="13.2">
      <c r="A639" s="42"/>
      <c r="B639" s="30"/>
      <c r="C639" s="31"/>
      <c r="D639" s="31"/>
    </row>
    <row r="640" spans="1:4" ht="13.2">
      <c r="A640" s="42"/>
      <c r="B640" s="30"/>
      <c r="C640" s="31"/>
      <c r="D640" s="31"/>
    </row>
    <row r="641" spans="1:4" ht="13.2">
      <c r="A641" s="42"/>
      <c r="B641" s="30"/>
      <c r="C641" s="31"/>
      <c r="D641" s="31"/>
    </row>
    <row r="642" spans="1:4" ht="13.2">
      <c r="A642" s="42"/>
      <c r="B642" s="30"/>
      <c r="C642" s="31"/>
      <c r="D642" s="31"/>
    </row>
    <row r="643" spans="1:4" ht="13.2">
      <c r="A643" s="42"/>
      <c r="B643" s="30"/>
      <c r="C643" s="31"/>
      <c r="D643" s="31"/>
    </row>
    <row r="644" spans="1:4" ht="13.2">
      <c r="A644" s="42"/>
      <c r="B644" s="30"/>
      <c r="C644" s="31"/>
      <c r="D644" s="31"/>
    </row>
    <row r="645" spans="1:4" ht="13.2">
      <c r="A645" s="42"/>
      <c r="B645" s="30"/>
      <c r="C645" s="31"/>
      <c r="D645" s="31"/>
    </row>
    <row r="646" spans="1:4" ht="13.2">
      <c r="A646" s="42"/>
      <c r="B646" s="30"/>
      <c r="C646" s="31"/>
      <c r="D646" s="31"/>
    </row>
    <row r="647" spans="1:4" ht="13.2">
      <c r="A647" s="42"/>
      <c r="B647" s="30"/>
      <c r="C647" s="31"/>
      <c r="D647" s="31"/>
    </row>
    <row r="648" spans="1:4" ht="13.2">
      <c r="A648" s="42"/>
      <c r="B648" s="30"/>
      <c r="C648" s="31"/>
      <c r="D648" s="31"/>
    </row>
    <row r="649" spans="1:4" ht="13.2">
      <c r="A649" s="42"/>
      <c r="B649" s="30"/>
      <c r="C649" s="31"/>
      <c r="D649" s="31"/>
    </row>
    <row r="650" spans="1:4" ht="13.2">
      <c r="A650" s="42"/>
      <c r="B650" s="30"/>
      <c r="C650" s="31"/>
      <c r="D650" s="31"/>
    </row>
    <row r="651" spans="1:4" ht="13.2">
      <c r="A651" s="42"/>
      <c r="B651" s="30"/>
      <c r="C651" s="31"/>
      <c r="D651" s="31"/>
    </row>
    <row r="652" spans="1:4" ht="13.2">
      <c r="A652" s="42"/>
      <c r="B652" s="30"/>
      <c r="C652" s="31"/>
      <c r="D652" s="31"/>
    </row>
    <row r="653" spans="1:4" ht="13.2">
      <c r="A653" s="42"/>
      <c r="B653" s="30"/>
      <c r="C653" s="31"/>
      <c r="D653" s="31"/>
    </row>
    <row r="654" spans="1:4" ht="13.2">
      <c r="A654" s="42"/>
      <c r="B654" s="30"/>
      <c r="C654" s="31"/>
      <c r="D654" s="31"/>
    </row>
    <row r="655" spans="1:4" ht="13.2">
      <c r="A655" s="42"/>
      <c r="B655" s="30"/>
      <c r="C655" s="31"/>
      <c r="D655" s="31"/>
    </row>
    <row r="656" spans="1:4" ht="13.2">
      <c r="A656" s="42"/>
      <c r="B656" s="30"/>
      <c r="C656" s="31"/>
      <c r="D656" s="31"/>
    </row>
    <row r="657" spans="1:4" ht="13.2">
      <c r="A657" s="42"/>
      <c r="B657" s="30"/>
      <c r="C657" s="31"/>
      <c r="D657" s="31"/>
    </row>
    <row r="658" spans="1:4" ht="13.2">
      <c r="A658" s="42"/>
      <c r="B658" s="30"/>
      <c r="C658" s="31"/>
      <c r="D658" s="31"/>
    </row>
    <row r="659" spans="1:4" ht="13.2">
      <c r="A659" s="42"/>
      <c r="B659" s="30"/>
      <c r="C659" s="31"/>
      <c r="D659" s="31"/>
    </row>
    <row r="660" spans="1:4" ht="13.2">
      <c r="A660" s="42"/>
      <c r="B660" s="30"/>
      <c r="C660" s="31"/>
      <c r="D660" s="31"/>
    </row>
    <row r="661" spans="1:4" ht="13.2">
      <c r="A661" s="42"/>
      <c r="B661" s="30"/>
      <c r="C661" s="31"/>
      <c r="D661" s="31"/>
    </row>
    <row r="662" spans="1:4" ht="13.2">
      <c r="A662" s="42"/>
      <c r="B662" s="30"/>
      <c r="C662" s="31"/>
      <c r="D662" s="31"/>
    </row>
    <row r="663" spans="1:4" ht="13.2">
      <c r="A663" s="42"/>
      <c r="B663" s="30"/>
      <c r="C663" s="31"/>
      <c r="D663" s="31"/>
    </row>
    <row r="664" spans="1:4" ht="13.2">
      <c r="A664" s="42"/>
      <c r="B664" s="30"/>
      <c r="C664" s="31"/>
      <c r="D664" s="31"/>
    </row>
    <row r="665" spans="1:4" ht="13.2">
      <c r="A665" s="42"/>
      <c r="B665" s="30"/>
      <c r="C665" s="31"/>
      <c r="D665" s="31"/>
    </row>
    <row r="666" spans="1:4" ht="13.2">
      <c r="A666" s="42"/>
      <c r="B666" s="30"/>
      <c r="C666" s="31"/>
      <c r="D666" s="31"/>
    </row>
    <row r="667" spans="1:4" ht="13.2">
      <c r="A667" s="42"/>
      <c r="B667" s="30"/>
      <c r="C667" s="31"/>
      <c r="D667" s="31"/>
    </row>
    <row r="668" spans="1:4" ht="13.2">
      <c r="A668" s="42"/>
      <c r="B668" s="30"/>
      <c r="C668" s="31"/>
      <c r="D668" s="31"/>
    </row>
    <row r="669" spans="1:4" ht="13.2">
      <c r="A669" s="42"/>
      <c r="B669" s="30"/>
      <c r="C669" s="31"/>
      <c r="D669" s="31"/>
    </row>
    <row r="670" spans="1:4" ht="13.2">
      <c r="A670" s="42"/>
      <c r="B670" s="30"/>
      <c r="C670" s="31"/>
      <c r="D670" s="31"/>
    </row>
    <row r="671" spans="1:4" ht="13.2">
      <c r="A671" s="42"/>
      <c r="B671" s="30"/>
      <c r="C671" s="31"/>
      <c r="D671" s="31"/>
    </row>
    <row r="672" spans="1:4" ht="13.2">
      <c r="A672" s="42"/>
      <c r="B672" s="30"/>
      <c r="C672" s="31"/>
      <c r="D672" s="31"/>
    </row>
    <row r="673" spans="1:4" ht="13.2">
      <c r="A673" s="42"/>
      <c r="B673" s="30"/>
      <c r="C673" s="31"/>
      <c r="D673" s="31"/>
    </row>
    <row r="674" spans="1:4" ht="13.2">
      <c r="A674" s="42"/>
      <c r="B674" s="30"/>
      <c r="C674" s="31"/>
      <c r="D674" s="31"/>
    </row>
    <row r="675" spans="1:4" ht="13.2">
      <c r="A675" s="42"/>
      <c r="B675" s="30"/>
      <c r="C675" s="31"/>
      <c r="D675" s="31"/>
    </row>
    <row r="676" spans="1:4" ht="13.2">
      <c r="A676" s="42"/>
      <c r="B676" s="30"/>
      <c r="C676" s="31"/>
      <c r="D676" s="31"/>
    </row>
    <row r="677" spans="1:4" ht="13.2">
      <c r="A677" s="42"/>
      <c r="B677" s="30"/>
      <c r="C677" s="31"/>
      <c r="D677" s="31"/>
    </row>
    <row r="678" spans="1:4" ht="13.2">
      <c r="A678" s="42"/>
      <c r="B678" s="30"/>
      <c r="C678" s="31"/>
      <c r="D678" s="31"/>
    </row>
    <row r="679" spans="1:4" ht="13.2">
      <c r="A679" s="42"/>
      <c r="B679" s="30"/>
      <c r="C679" s="31"/>
      <c r="D679" s="31"/>
    </row>
    <row r="680" spans="1:4" ht="13.2">
      <c r="A680" s="42"/>
      <c r="B680" s="30"/>
      <c r="C680" s="31"/>
      <c r="D680" s="31"/>
    </row>
    <row r="681" spans="1:4" ht="13.2">
      <c r="A681" s="42"/>
      <c r="B681" s="30"/>
      <c r="C681" s="31"/>
      <c r="D681" s="31"/>
    </row>
    <row r="682" spans="1:4" ht="13.2">
      <c r="A682" s="42"/>
      <c r="B682" s="30"/>
      <c r="C682" s="31"/>
      <c r="D682" s="31"/>
    </row>
    <row r="683" spans="1:4" ht="13.2">
      <c r="A683" s="42"/>
      <c r="B683" s="30"/>
      <c r="C683" s="31"/>
      <c r="D683" s="31"/>
    </row>
    <row r="684" spans="1:4" ht="13.2">
      <c r="A684" s="42"/>
      <c r="B684" s="30"/>
      <c r="C684" s="31"/>
      <c r="D684" s="31"/>
    </row>
    <row r="685" spans="1:4" ht="13.2">
      <c r="A685" s="42"/>
      <c r="B685" s="30"/>
      <c r="C685" s="31"/>
      <c r="D685" s="31"/>
    </row>
    <row r="686" spans="1:4" ht="13.2">
      <c r="A686" s="42"/>
      <c r="B686" s="30"/>
      <c r="C686" s="31"/>
      <c r="D686" s="31"/>
    </row>
    <row r="687" spans="1:4" ht="13.2">
      <c r="A687" s="42"/>
      <c r="B687" s="30"/>
      <c r="C687" s="31"/>
      <c r="D687" s="31"/>
    </row>
    <row r="688" spans="1:4" ht="13.2">
      <c r="A688" s="42"/>
      <c r="B688" s="30"/>
      <c r="C688" s="31"/>
      <c r="D688" s="31"/>
    </row>
    <row r="689" spans="1:4" ht="13.2">
      <c r="A689" s="42"/>
      <c r="B689" s="30"/>
      <c r="C689" s="31"/>
      <c r="D689" s="31"/>
    </row>
    <row r="690" spans="1:4" ht="13.2">
      <c r="A690" s="42"/>
      <c r="B690" s="30"/>
      <c r="C690" s="31"/>
      <c r="D690" s="31"/>
    </row>
    <row r="691" spans="1:4" ht="13.2">
      <c r="A691" s="42"/>
      <c r="B691" s="30"/>
      <c r="C691" s="31"/>
      <c r="D691" s="31"/>
    </row>
    <row r="692" spans="1:4" ht="13.2">
      <c r="A692" s="42"/>
      <c r="B692" s="30"/>
      <c r="C692" s="31"/>
      <c r="D692" s="31"/>
    </row>
    <row r="693" spans="1:4" ht="13.2">
      <c r="A693" s="42"/>
      <c r="B693" s="30"/>
      <c r="C693" s="31"/>
      <c r="D693" s="31"/>
    </row>
    <row r="694" spans="1:4" ht="13.2">
      <c r="A694" s="42"/>
      <c r="B694" s="30"/>
      <c r="C694" s="31"/>
      <c r="D694" s="31"/>
    </row>
    <row r="695" spans="1:4" ht="13.2">
      <c r="A695" s="42"/>
      <c r="B695" s="30"/>
      <c r="C695" s="31"/>
      <c r="D695" s="31"/>
    </row>
    <row r="696" spans="1:4" ht="13.2">
      <c r="A696" s="42"/>
      <c r="B696" s="30"/>
      <c r="C696" s="31"/>
      <c r="D696" s="31"/>
    </row>
    <row r="697" spans="1:4" ht="13.2">
      <c r="A697" s="42"/>
      <c r="B697" s="30"/>
      <c r="C697" s="31"/>
      <c r="D697" s="31"/>
    </row>
    <row r="698" spans="1:4" ht="13.2">
      <c r="A698" s="42"/>
      <c r="B698" s="30"/>
      <c r="C698" s="31"/>
      <c r="D698" s="31"/>
    </row>
    <row r="699" spans="1:4" ht="13.2">
      <c r="A699" s="42"/>
      <c r="B699" s="30"/>
      <c r="C699" s="31"/>
      <c r="D699" s="31"/>
    </row>
    <row r="700" spans="1:4" ht="13.2">
      <c r="A700" s="42"/>
      <c r="B700" s="30"/>
      <c r="C700" s="31"/>
      <c r="D700" s="31"/>
    </row>
    <row r="701" spans="1:4" ht="13.2">
      <c r="A701" s="42"/>
      <c r="B701" s="30"/>
      <c r="C701" s="31"/>
      <c r="D701" s="31"/>
    </row>
    <row r="702" spans="1:4" ht="13.2">
      <c r="A702" s="42"/>
      <c r="B702" s="30"/>
      <c r="C702" s="31"/>
      <c r="D702" s="31"/>
    </row>
    <row r="703" spans="1:4" ht="13.2">
      <c r="A703" s="42"/>
      <c r="B703" s="30"/>
      <c r="C703" s="31"/>
      <c r="D703" s="31"/>
    </row>
    <row r="704" spans="1:4" ht="13.2">
      <c r="A704" s="42"/>
      <c r="B704" s="30"/>
      <c r="C704" s="31"/>
      <c r="D704" s="31"/>
    </row>
    <row r="705" spans="1:4" ht="13.2">
      <c r="A705" s="42"/>
      <c r="B705" s="30"/>
      <c r="C705" s="31"/>
      <c r="D705" s="31"/>
    </row>
    <row r="706" spans="1:4" ht="13.2">
      <c r="A706" s="42"/>
      <c r="B706" s="30"/>
      <c r="C706" s="31"/>
      <c r="D706" s="31"/>
    </row>
    <row r="707" spans="1:4" ht="13.2">
      <c r="A707" s="42"/>
      <c r="B707" s="30"/>
      <c r="C707" s="31"/>
      <c r="D707" s="31"/>
    </row>
    <row r="708" spans="1:4" ht="13.2">
      <c r="A708" s="42"/>
      <c r="B708" s="30"/>
      <c r="C708" s="31"/>
      <c r="D708" s="31"/>
    </row>
    <row r="709" spans="1:4" ht="13.2">
      <c r="A709" s="42"/>
      <c r="B709" s="30"/>
      <c r="C709" s="31"/>
      <c r="D709" s="31"/>
    </row>
    <row r="710" spans="1:4" ht="13.2">
      <c r="A710" s="42"/>
      <c r="B710" s="30"/>
      <c r="C710" s="31"/>
      <c r="D710" s="31"/>
    </row>
    <row r="711" spans="1:4" ht="13.2">
      <c r="A711" s="42"/>
      <c r="B711" s="30"/>
      <c r="C711" s="31"/>
      <c r="D711" s="31"/>
    </row>
    <row r="712" spans="1:4" ht="13.2">
      <c r="A712" s="42"/>
      <c r="B712" s="30"/>
      <c r="C712" s="31"/>
      <c r="D712" s="31"/>
    </row>
    <row r="713" spans="1:4" ht="13.2">
      <c r="A713" s="42"/>
      <c r="B713" s="30"/>
      <c r="C713" s="31"/>
      <c r="D713" s="31"/>
    </row>
    <row r="714" spans="1:4" ht="13.2">
      <c r="A714" s="42"/>
      <c r="B714" s="30"/>
      <c r="C714" s="31"/>
      <c r="D714" s="31"/>
    </row>
    <row r="715" spans="1:4" ht="13.2">
      <c r="A715" s="42"/>
      <c r="B715" s="30"/>
      <c r="C715" s="31"/>
      <c r="D715" s="31"/>
    </row>
    <row r="716" spans="1:4" ht="13.2">
      <c r="A716" s="42"/>
      <c r="B716" s="30"/>
      <c r="C716" s="31"/>
      <c r="D716" s="31"/>
    </row>
    <row r="717" spans="1:4" ht="13.2">
      <c r="A717" s="42"/>
      <c r="B717" s="30"/>
      <c r="C717" s="31"/>
      <c r="D717" s="31"/>
    </row>
    <row r="718" spans="1:4" ht="13.2">
      <c r="A718" s="42"/>
      <c r="B718" s="30"/>
      <c r="C718" s="31"/>
      <c r="D718" s="31"/>
    </row>
    <row r="719" spans="1:4" ht="13.2">
      <c r="A719" s="42"/>
      <c r="B719" s="30"/>
      <c r="C719" s="31"/>
      <c r="D719" s="31"/>
    </row>
    <row r="720" spans="1:4" ht="13.2">
      <c r="A720" s="42"/>
      <c r="B720" s="30"/>
      <c r="C720" s="31"/>
      <c r="D720" s="31"/>
    </row>
    <row r="721" spans="1:4" ht="13.2">
      <c r="A721" s="42"/>
      <c r="B721" s="30"/>
      <c r="C721" s="31"/>
      <c r="D721" s="31"/>
    </row>
    <row r="722" spans="1:4" ht="13.2">
      <c r="A722" s="42"/>
      <c r="B722" s="30"/>
      <c r="C722" s="31"/>
      <c r="D722" s="31"/>
    </row>
    <row r="723" spans="1:4" ht="13.2">
      <c r="A723" s="42"/>
      <c r="B723" s="30"/>
      <c r="C723" s="31"/>
      <c r="D723" s="31"/>
    </row>
    <row r="724" spans="1:4" ht="13.2">
      <c r="A724" s="42"/>
      <c r="B724" s="30"/>
      <c r="C724" s="31"/>
      <c r="D724" s="31"/>
    </row>
    <row r="725" spans="1:4" ht="13.2">
      <c r="A725" s="42"/>
      <c r="B725" s="30"/>
      <c r="C725" s="31"/>
      <c r="D725" s="31"/>
    </row>
    <row r="726" spans="1:4" ht="13.2">
      <c r="A726" s="42"/>
      <c r="B726" s="30"/>
      <c r="C726" s="31"/>
      <c r="D726" s="31"/>
    </row>
    <row r="727" spans="1:4" ht="13.2">
      <c r="A727" s="42"/>
      <c r="B727" s="30"/>
      <c r="C727" s="31"/>
      <c r="D727" s="31"/>
    </row>
    <row r="728" spans="1:4" ht="13.2">
      <c r="A728" s="42"/>
      <c r="B728" s="30"/>
      <c r="C728" s="31"/>
      <c r="D728" s="31"/>
    </row>
    <row r="729" spans="1:4" ht="13.2">
      <c r="A729" s="42"/>
      <c r="B729" s="30"/>
      <c r="C729" s="31"/>
      <c r="D729" s="31"/>
    </row>
    <row r="730" spans="1:4" ht="13.2">
      <c r="A730" s="42"/>
      <c r="B730" s="30"/>
      <c r="C730" s="31"/>
      <c r="D730" s="31"/>
    </row>
    <row r="731" spans="1:4" ht="13.2">
      <c r="A731" s="42"/>
      <c r="B731" s="30"/>
      <c r="C731" s="31"/>
      <c r="D731" s="31"/>
    </row>
    <row r="732" spans="1:4" ht="13.2">
      <c r="A732" s="42"/>
      <c r="B732" s="30"/>
      <c r="C732" s="31"/>
      <c r="D732" s="31"/>
    </row>
    <row r="733" spans="1:4" ht="13.2">
      <c r="A733" s="42"/>
      <c r="B733" s="30"/>
      <c r="C733" s="31"/>
      <c r="D733" s="31"/>
    </row>
    <row r="734" spans="1:4" ht="13.2">
      <c r="A734" s="42"/>
      <c r="B734" s="30"/>
      <c r="C734" s="31"/>
      <c r="D734" s="31"/>
    </row>
    <row r="735" spans="1:4" ht="13.2">
      <c r="A735" s="42"/>
      <c r="B735" s="30"/>
      <c r="C735" s="31"/>
      <c r="D735" s="31"/>
    </row>
    <row r="736" spans="1:4" ht="13.2">
      <c r="A736" s="42"/>
      <c r="B736" s="30"/>
      <c r="C736" s="31"/>
      <c r="D736" s="31"/>
    </row>
    <row r="737" spans="1:4" ht="13.2">
      <c r="A737" s="42"/>
      <c r="B737" s="30"/>
      <c r="C737" s="31"/>
      <c r="D737" s="31"/>
    </row>
    <row r="738" spans="1:4" ht="13.2">
      <c r="A738" s="42"/>
      <c r="B738" s="30"/>
      <c r="C738" s="31"/>
      <c r="D738" s="31"/>
    </row>
    <row r="739" spans="1:4" ht="13.2">
      <c r="A739" s="42"/>
      <c r="B739" s="30"/>
      <c r="C739" s="31"/>
      <c r="D739" s="31"/>
    </row>
    <row r="740" spans="1:4" ht="13.2">
      <c r="A740" s="42"/>
      <c r="B740" s="30"/>
      <c r="C740" s="31"/>
      <c r="D740" s="31"/>
    </row>
    <row r="741" spans="1:4" ht="13.2">
      <c r="A741" s="42"/>
      <c r="B741" s="30"/>
      <c r="C741" s="31"/>
      <c r="D741" s="31"/>
    </row>
    <row r="742" spans="1:4" ht="13.2">
      <c r="A742" s="42"/>
      <c r="B742" s="30"/>
      <c r="C742" s="31"/>
      <c r="D742" s="31"/>
    </row>
    <row r="743" spans="1:4" ht="13.2">
      <c r="A743" s="42"/>
      <c r="B743" s="30"/>
      <c r="C743" s="31"/>
      <c r="D743" s="31"/>
    </row>
    <row r="744" spans="1:4" ht="13.2">
      <c r="A744" s="42"/>
      <c r="B744" s="30"/>
      <c r="C744" s="31"/>
      <c r="D744" s="31"/>
    </row>
    <row r="745" spans="1:4" ht="13.2">
      <c r="A745" s="42"/>
      <c r="B745" s="30"/>
      <c r="C745" s="31"/>
      <c r="D745" s="31"/>
    </row>
    <row r="746" spans="1:4" ht="13.2">
      <c r="A746" s="42"/>
      <c r="B746" s="30"/>
      <c r="C746" s="31"/>
      <c r="D746" s="31"/>
    </row>
    <row r="747" spans="1:4" ht="13.2">
      <c r="A747" s="42"/>
      <c r="B747" s="30"/>
      <c r="C747" s="31"/>
      <c r="D747" s="31"/>
    </row>
    <row r="748" spans="1:4" ht="13.2">
      <c r="A748" s="42"/>
      <c r="B748" s="30"/>
      <c r="C748" s="31"/>
      <c r="D748" s="31"/>
    </row>
    <row r="749" spans="1:4" ht="13.2">
      <c r="A749" s="42"/>
      <c r="B749" s="30"/>
      <c r="C749" s="31"/>
      <c r="D749" s="31"/>
    </row>
    <row r="750" spans="1:4" ht="13.2">
      <c r="A750" s="42"/>
      <c r="B750" s="30"/>
      <c r="C750" s="31"/>
      <c r="D750" s="31"/>
    </row>
    <row r="751" spans="1:4" ht="13.2">
      <c r="A751" s="42"/>
      <c r="B751" s="30"/>
      <c r="C751" s="31"/>
      <c r="D751" s="31"/>
    </row>
    <row r="752" spans="1:4" ht="13.2">
      <c r="A752" s="42"/>
      <c r="B752" s="30"/>
      <c r="C752" s="31"/>
      <c r="D752" s="31"/>
    </row>
    <row r="753" spans="1:4" ht="13.2">
      <c r="A753" s="42"/>
      <c r="B753" s="30"/>
      <c r="C753" s="31"/>
      <c r="D753" s="31"/>
    </row>
    <row r="754" spans="1:4" ht="13.2">
      <c r="A754" s="42"/>
      <c r="B754" s="30"/>
      <c r="C754" s="31"/>
      <c r="D754" s="31"/>
    </row>
    <row r="755" spans="1:4" ht="13.2">
      <c r="A755" s="42"/>
      <c r="B755" s="30"/>
      <c r="C755" s="31"/>
      <c r="D755" s="31"/>
    </row>
    <row r="756" spans="1:4" ht="13.2">
      <c r="A756" s="42"/>
      <c r="B756" s="30"/>
      <c r="C756" s="31"/>
      <c r="D756" s="31"/>
    </row>
    <row r="757" spans="1:4" ht="13.2">
      <c r="A757" s="42"/>
      <c r="B757" s="30"/>
      <c r="C757" s="31"/>
      <c r="D757" s="31"/>
    </row>
    <row r="758" spans="1:4" ht="13.2">
      <c r="A758" s="42"/>
      <c r="B758" s="30"/>
      <c r="C758" s="31"/>
      <c r="D758" s="31"/>
    </row>
    <row r="759" spans="1:4" ht="13.2">
      <c r="A759" s="42"/>
      <c r="B759" s="30"/>
      <c r="C759" s="31"/>
      <c r="D759" s="31"/>
    </row>
    <row r="760" spans="1:4" ht="13.2">
      <c r="A760" s="42"/>
      <c r="B760" s="30"/>
      <c r="C760" s="31"/>
      <c r="D760" s="31"/>
    </row>
    <row r="761" spans="1:4" ht="13.2">
      <c r="A761" s="42"/>
      <c r="B761" s="30"/>
      <c r="C761" s="31"/>
      <c r="D761" s="31"/>
    </row>
    <row r="762" spans="1:4" ht="13.2">
      <c r="A762" s="42"/>
      <c r="B762" s="30"/>
      <c r="C762" s="31"/>
      <c r="D762" s="31"/>
    </row>
    <row r="763" spans="1:4" ht="13.2">
      <c r="A763" s="42"/>
      <c r="B763" s="30"/>
      <c r="C763" s="31"/>
      <c r="D763" s="31"/>
    </row>
    <row r="764" spans="1:4" ht="13.2">
      <c r="A764" s="42"/>
      <c r="B764" s="30"/>
      <c r="C764" s="31"/>
      <c r="D764" s="31"/>
    </row>
    <row r="765" spans="1:4" ht="13.2">
      <c r="A765" s="42"/>
      <c r="B765" s="30"/>
      <c r="C765" s="31"/>
      <c r="D765" s="31"/>
    </row>
    <row r="766" spans="1:4" ht="13.2">
      <c r="A766" s="42"/>
      <c r="B766" s="30"/>
      <c r="C766" s="31"/>
      <c r="D766" s="31"/>
    </row>
    <row r="767" spans="1:4" ht="13.2">
      <c r="A767" s="42"/>
      <c r="B767" s="30"/>
      <c r="C767" s="31"/>
      <c r="D767" s="31"/>
    </row>
    <row r="768" spans="1:4" ht="13.2">
      <c r="A768" s="42"/>
      <c r="B768" s="30"/>
      <c r="C768" s="31"/>
      <c r="D768" s="31"/>
    </row>
    <row r="769" spans="1:4" ht="13.2">
      <c r="A769" s="42"/>
      <c r="B769" s="30"/>
      <c r="C769" s="31"/>
      <c r="D769" s="31"/>
    </row>
    <row r="770" spans="1:4" ht="13.2">
      <c r="A770" s="42"/>
      <c r="B770" s="30"/>
      <c r="C770" s="31"/>
      <c r="D770" s="31"/>
    </row>
    <row r="771" spans="1:4" ht="13.2">
      <c r="A771" s="42"/>
      <c r="B771" s="30"/>
      <c r="C771" s="31"/>
      <c r="D771" s="31"/>
    </row>
    <row r="772" spans="1:4" ht="13.2">
      <c r="A772" s="42"/>
      <c r="B772" s="30"/>
      <c r="C772" s="31"/>
      <c r="D772" s="31"/>
    </row>
    <row r="773" spans="1:4" ht="13.2">
      <c r="A773" s="42"/>
      <c r="B773" s="30"/>
      <c r="C773" s="31"/>
      <c r="D773" s="31"/>
    </row>
    <row r="774" spans="1:4" ht="13.2">
      <c r="A774" s="42"/>
      <c r="B774" s="30"/>
      <c r="C774" s="31"/>
      <c r="D774" s="31"/>
    </row>
    <row r="775" spans="1:4" ht="13.2">
      <c r="A775" s="42"/>
      <c r="B775" s="30"/>
      <c r="C775" s="31"/>
      <c r="D775" s="31"/>
    </row>
    <row r="776" spans="1:4" ht="13.2">
      <c r="A776" s="42"/>
      <c r="B776" s="30"/>
      <c r="C776" s="31"/>
      <c r="D776" s="31"/>
    </row>
    <row r="777" spans="1:4" ht="13.2">
      <c r="A777" s="42"/>
      <c r="B777" s="30"/>
      <c r="C777" s="31"/>
      <c r="D777" s="31"/>
    </row>
    <row r="778" spans="1:4" ht="13.2">
      <c r="A778" s="42"/>
      <c r="B778" s="30"/>
      <c r="C778" s="31"/>
      <c r="D778" s="31"/>
    </row>
    <row r="779" spans="1:4" ht="13.2">
      <c r="A779" s="42"/>
      <c r="B779" s="30"/>
      <c r="C779" s="31"/>
      <c r="D779" s="31"/>
    </row>
    <row r="780" spans="1:4" ht="13.2">
      <c r="A780" s="42"/>
      <c r="B780" s="30"/>
      <c r="C780" s="31"/>
      <c r="D780" s="31"/>
    </row>
    <row r="781" spans="1:4" ht="13.2">
      <c r="A781" s="42"/>
      <c r="B781" s="30"/>
      <c r="C781" s="31"/>
      <c r="D781" s="31"/>
    </row>
    <row r="782" spans="1:4" ht="13.2">
      <c r="A782" s="42"/>
      <c r="B782" s="30"/>
      <c r="C782" s="31"/>
      <c r="D782" s="31"/>
    </row>
    <row r="783" spans="1:4" ht="13.2">
      <c r="A783" s="42"/>
      <c r="B783" s="30"/>
      <c r="C783" s="31"/>
      <c r="D783" s="31"/>
    </row>
    <row r="784" spans="1:4" ht="13.2">
      <c r="A784" s="42"/>
      <c r="B784" s="30"/>
      <c r="C784" s="31"/>
      <c r="D784" s="31"/>
    </row>
    <row r="785" spans="1:4" ht="13.2">
      <c r="A785" s="42"/>
      <c r="B785" s="30"/>
      <c r="C785" s="31"/>
      <c r="D785" s="31"/>
    </row>
    <row r="786" spans="1:4" ht="13.2">
      <c r="A786" s="42"/>
      <c r="B786" s="30"/>
      <c r="C786" s="31"/>
      <c r="D786" s="31"/>
    </row>
    <row r="787" spans="1:4" ht="13.2">
      <c r="A787" s="42"/>
      <c r="B787" s="30"/>
      <c r="C787" s="31"/>
      <c r="D787" s="31"/>
    </row>
    <row r="788" spans="1:4" ht="13.2">
      <c r="A788" s="42"/>
      <c r="B788" s="30"/>
      <c r="C788" s="31"/>
      <c r="D788" s="31"/>
    </row>
    <row r="789" spans="1:4" ht="13.2">
      <c r="A789" s="42"/>
      <c r="B789" s="30"/>
      <c r="C789" s="31"/>
      <c r="D789" s="31"/>
    </row>
    <row r="790" spans="1:4" ht="13.2">
      <c r="A790" s="42"/>
      <c r="B790" s="30"/>
      <c r="C790" s="31"/>
      <c r="D790" s="31"/>
    </row>
    <row r="791" spans="1:4" ht="13.2">
      <c r="A791" s="42"/>
      <c r="B791" s="30"/>
      <c r="C791" s="31"/>
      <c r="D791" s="31"/>
    </row>
    <row r="792" spans="1:4" ht="13.2">
      <c r="A792" s="42"/>
      <c r="B792" s="30"/>
      <c r="C792" s="31"/>
      <c r="D792" s="31"/>
    </row>
    <row r="793" spans="1:4" ht="13.2">
      <c r="A793" s="42"/>
      <c r="B793" s="30"/>
      <c r="C793" s="31"/>
      <c r="D793" s="31"/>
    </row>
    <row r="794" spans="1:4" ht="13.2">
      <c r="A794" s="42"/>
      <c r="B794" s="30"/>
      <c r="C794" s="31"/>
      <c r="D794" s="31"/>
    </row>
    <row r="795" spans="1:4" ht="13.2">
      <c r="A795" s="42"/>
      <c r="B795" s="30"/>
      <c r="C795" s="31"/>
      <c r="D795" s="31"/>
    </row>
    <row r="796" spans="1:4" ht="13.2">
      <c r="A796" s="42"/>
      <c r="B796" s="30"/>
      <c r="C796" s="31"/>
      <c r="D796" s="31"/>
    </row>
    <row r="797" spans="1:4" ht="13.2">
      <c r="A797" s="42"/>
      <c r="B797" s="30"/>
      <c r="C797" s="31"/>
      <c r="D797" s="31"/>
    </row>
    <row r="798" spans="1:4" ht="13.2">
      <c r="A798" s="42"/>
      <c r="B798" s="30"/>
      <c r="C798" s="31"/>
      <c r="D798" s="31"/>
    </row>
    <row r="799" spans="1:4" ht="13.2">
      <c r="A799" s="42"/>
      <c r="B799" s="30"/>
      <c r="C799" s="31"/>
      <c r="D799" s="31"/>
    </row>
    <row r="800" spans="1:4" ht="13.2">
      <c r="A800" s="42"/>
      <c r="B800" s="30"/>
      <c r="C800" s="31"/>
      <c r="D800" s="31"/>
    </row>
    <row r="801" spans="1:4" ht="13.2">
      <c r="A801" s="42"/>
      <c r="B801" s="30"/>
      <c r="C801" s="31"/>
      <c r="D801" s="31"/>
    </row>
    <row r="802" spans="1:4" ht="13.2">
      <c r="A802" s="42"/>
      <c r="B802" s="30"/>
      <c r="C802" s="31"/>
      <c r="D802" s="31"/>
    </row>
    <row r="803" spans="1:4" ht="13.2">
      <c r="A803" s="42"/>
      <c r="B803" s="30"/>
      <c r="C803" s="31"/>
      <c r="D803" s="31"/>
    </row>
    <row r="804" spans="1:4" ht="13.2">
      <c r="A804" s="42"/>
      <c r="B804" s="30"/>
      <c r="C804" s="31"/>
      <c r="D804" s="31"/>
    </row>
    <row r="805" spans="1:4" ht="13.2">
      <c r="A805" s="42"/>
      <c r="B805" s="30"/>
      <c r="C805" s="31"/>
      <c r="D805" s="31"/>
    </row>
    <row r="806" spans="1:4" ht="13.2">
      <c r="A806" s="42"/>
      <c r="B806" s="30"/>
      <c r="C806" s="31"/>
      <c r="D806" s="31"/>
    </row>
    <row r="807" spans="1:4" ht="13.2">
      <c r="A807" s="42"/>
      <c r="B807" s="30"/>
      <c r="C807" s="31"/>
      <c r="D807" s="31"/>
    </row>
    <row r="808" spans="1:4" ht="13.2">
      <c r="A808" s="42"/>
      <c r="B808" s="30"/>
      <c r="C808" s="31"/>
      <c r="D808" s="31"/>
    </row>
    <row r="809" spans="1:4" ht="13.2">
      <c r="A809" s="42"/>
      <c r="B809" s="30"/>
      <c r="C809" s="31"/>
      <c r="D809" s="31"/>
    </row>
    <row r="810" spans="1:4" ht="13.2">
      <c r="A810" s="42"/>
      <c r="B810" s="30"/>
      <c r="C810" s="31"/>
      <c r="D810" s="31"/>
    </row>
    <row r="811" spans="1:4" ht="13.2">
      <c r="A811" s="42"/>
      <c r="B811" s="30"/>
      <c r="C811" s="31"/>
      <c r="D811" s="31"/>
    </row>
    <row r="812" spans="1:4" ht="13.2">
      <c r="A812" s="42"/>
      <c r="B812" s="30"/>
      <c r="C812" s="31"/>
      <c r="D812" s="31"/>
    </row>
    <row r="813" spans="1:4" ht="13.2">
      <c r="A813" s="42"/>
      <c r="B813" s="30"/>
      <c r="C813" s="31"/>
      <c r="D813" s="31"/>
    </row>
    <row r="814" spans="1:4" ht="13.2">
      <c r="A814" s="42"/>
      <c r="B814" s="30"/>
      <c r="C814" s="31"/>
      <c r="D814" s="31"/>
    </row>
    <row r="815" spans="1:4" ht="13.2">
      <c r="A815" s="42"/>
      <c r="B815" s="30"/>
      <c r="C815" s="31"/>
      <c r="D815" s="31"/>
    </row>
    <row r="816" spans="1:4" ht="13.2">
      <c r="A816" s="42"/>
      <c r="B816" s="30"/>
      <c r="C816" s="31"/>
      <c r="D816" s="31"/>
    </row>
    <row r="817" spans="1:4" ht="13.2">
      <c r="A817" s="42"/>
      <c r="B817" s="30"/>
      <c r="C817" s="31"/>
      <c r="D817" s="31"/>
    </row>
    <row r="818" spans="1:4" ht="13.2">
      <c r="A818" s="42"/>
      <c r="B818" s="30"/>
      <c r="C818" s="31"/>
      <c r="D818" s="31"/>
    </row>
    <row r="819" spans="1:4" ht="13.2">
      <c r="A819" s="42"/>
      <c r="B819" s="30"/>
      <c r="C819" s="31"/>
      <c r="D819" s="31"/>
    </row>
    <row r="820" spans="1:4" ht="13.2">
      <c r="A820" s="42"/>
      <c r="B820" s="30"/>
      <c r="C820" s="31"/>
      <c r="D820" s="31"/>
    </row>
    <row r="821" spans="1:4" ht="13.2">
      <c r="A821" s="42"/>
      <c r="B821" s="30"/>
      <c r="C821" s="31"/>
      <c r="D821" s="31"/>
    </row>
    <row r="822" spans="1:4" ht="13.2">
      <c r="A822" s="42"/>
      <c r="B822" s="30"/>
      <c r="C822" s="31"/>
      <c r="D822" s="31"/>
    </row>
    <row r="823" spans="1:4" ht="13.2">
      <c r="A823" s="42"/>
      <c r="B823" s="30"/>
      <c r="C823" s="31"/>
      <c r="D823" s="31"/>
    </row>
    <row r="824" spans="1:4" ht="13.2">
      <c r="A824" s="42"/>
      <c r="B824" s="30"/>
      <c r="C824" s="31"/>
      <c r="D824" s="31"/>
    </row>
    <row r="825" spans="1:4" ht="13.2">
      <c r="A825" s="42"/>
      <c r="B825" s="30"/>
      <c r="C825" s="31"/>
      <c r="D825" s="31"/>
    </row>
    <row r="826" spans="1:4" ht="13.2">
      <c r="A826" s="42"/>
      <c r="B826" s="30"/>
      <c r="C826" s="31"/>
      <c r="D826" s="31"/>
    </row>
    <row r="827" spans="1:4" ht="13.2">
      <c r="A827" s="42"/>
      <c r="B827" s="30"/>
      <c r="C827" s="31"/>
      <c r="D827" s="31"/>
    </row>
    <row r="828" spans="1:4" ht="13.2">
      <c r="A828" s="42"/>
      <c r="B828" s="30"/>
      <c r="C828" s="31"/>
      <c r="D828" s="31"/>
    </row>
    <row r="829" spans="1:4" ht="13.2">
      <c r="A829" s="42"/>
      <c r="B829" s="30"/>
      <c r="C829" s="31"/>
      <c r="D829" s="31"/>
    </row>
    <row r="830" spans="1:4" ht="13.2">
      <c r="A830" s="42"/>
      <c r="B830" s="30"/>
      <c r="C830" s="31"/>
      <c r="D830" s="31"/>
    </row>
    <row r="831" spans="1:4" ht="13.2">
      <c r="A831" s="42"/>
      <c r="B831" s="30"/>
      <c r="C831" s="31"/>
      <c r="D831" s="31"/>
    </row>
    <row r="832" spans="1:4" ht="13.2">
      <c r="A832" s="42"/>
      <c r="B832" s="30"/>
      <c r="C832" s="31"/>
      <c r="D832" s="31"/>
    </row>
    <row r="833" spans="1:4" ht="13.2">
      <c r="A833" s="42"/>
      <c r="B833" s="30"/>
      <c r="C833" s="31"/>
      <c r="D833" s="31"/>
    </row>
    <row r="834" spans="1:4" ht="13.2">
      <c r="A834" s="42"/>
      <c r="B834" s="30"/>
      <c r="C834" s="31"/>
      <c r="D834" s="31"/>
    </row>
    <row r="835" spans="1:4" ht="13.2">
      <c r="A835" s="42"/>
      <c r="B835" s="30"/>
      <c r="C835" s="31"/>
      <c r="D835" s="31"/>
    </row>
    <row r="836" spans="1:4" ht="13.2">
      <c r="A836" s="42"/>
      <c r="B836" s="30"/>
      <c r="C836" s="31"/>
      <c r="D836" s="31"/>
    </row>
    <row r="837" spans="1:4" ht="13.2">
      <c r="A837" s="42"/>
      <c r="B837" s="30"/>
      <c r="C837" s="31"/>
      <c r="D837" s="31"/>
    </row>
    <row r="838" spans="1:4" ht="13.2">
      <c r="A838" s="42"/>
      <c r="B838" s="30"/>
      <c r="C838" s="31"/>
      <c r="D838" s="31"/>
    </row>
    <row r="839" spans="1:4" ht="13.2">
      <c r="A839" s="42"/>
      <c r="B839" s="30"/>
      <c r="C839" s="31"/>
      <c r="D839" s="31"/>
    </row>
    <row r="840" spans="1:4" ht="13.2">
      <c r="A840" s="42"/>
      <c r="B840" s="30"/>
      <c r="C840" s="31"/>
      <c r="D840" s="31"/>
    </row>
    <row r="841" spans="1:4" ht="13.2">
      <c r="A841" s="42"/>
      <c r="B841" s="30"/>
      <c r="C841" s="31"/>
      <c r="D841" s="31"/>
    </row>
    <row r="842" spans="1:4" ht="13.2">
      <c r="A842" s="42"/>
      <c r="B842" s="30"/>
      <c r="C842" s="31"/>
      <c r="D842" s="31"/>
    </row>
    <row r="843" spans="1:4" ht="13.2">
      <c r="A843" s="42"/>
      <c r="B843" s="30"/>
      <c r="C843" s="31"/>
      <c r="D843" s="31"/>
    </row>
    <row r="844" spans="1:4" ht="13.2">
      <c r="A844" s="42"/>
      <c r="B844" s="30"/>
      <c r="C844" s="31"/>
      <c r="D844" s="31"/>
    </row>
    <row r="845" spans="1:4" ht="13.2">
      <c r="A845" s="42"/>
      <c r="B845" s="30"/>
      <c r="C845" s="31"/>
      <c r="D845" s="31"/>
    </row>
    <row r="846" spans="1:4" ht="13.2">
      <c r="A846" s="42"/>
      <c r="B846" s="30"/>
      <c r="C846" s="31"/>
      <c r="D846" s="31"/>
    </row>
    <row r="847" spans="1:4" ht="13.2">
      <c r="A847" s="42"/>
      <c r="B847" s="30"/>
      <c r="C847" s="31"/>
      <c r="D847" s="31"/>
    </row>
    <row r="848" spans="1:4" ht="13.2">
      <c r="A848" s="42"/>
      <c r="B848" s="30"/>
      <c r="C848" s="31"/>
      <c r="D848" s="31"/>
    </row>
    <row r="849" spans="1:4" ht="13.2">
      <c r="A849" s="42"/>
      <c r="B849" s="30"/>
      <c r="C849" s="31"/>
      <c r="D849" s="31"/>
    </row>
    <row r="850" spans="1:4" ht="13.2">
      <c r="A850" s="42"/>
      <c r="B850" s="30"/>
      <c r="C850" s="31"/>
      <c r="D850" s="31"/>
    </row>
    <row r="851" spans="1:4" ht="13.2">
      <c r="A851" s="42"/>
      <c r="B851" s="30"/>
      <c r="C851" s="31"/>
      <c r="D851" s="31"/>
    </row>
    <row r="852" spans="1:4" ht="13.2">
      <c r="A852" s="42"/>
      <c r="B852" s="30"/>
      <c r="C852" s="31"/>
      <c r="D852" s="31"/>
    </row>
    <row r="853" spans="1:4" ht="13.2">
      <c r="A853" s="42"/>
      <c r="B853" s="30"/>
      <c r="C853" s="31"/>
      <c r="D853" s="31"/>
    </row>
    <row r="854" spans="1:4" ht="13.2">
      <c r="A854" s="42"/>
      <c r="B854" s="30"/>
      <c r="C854" s="31"/>
      <c r="D854" s="31"/>
    </row>
    <row r="855" spans="1:4" ht="13.2">
      <c r="A855" s="42"/>
      <c r="B855" s="30"/>
      <c r="C855" s="31"/>
      <c r="D855" s="31"/>
    </row>
    <row r="856" spans="1:4" ht="13.2">
      <c r="A856" s="42"/>
      <c r="B856" s="30"/>
      <c r="C856" s="31"/>
      <c r="D856" s="31"/>
    </row>
    <row r="857" spans="1:4" ht="13.2">
      <c r="A857" s="42"/>
      <c r="B857" s="30"/>
      <c r="C857" s="31"/>
      <c r="D857" s="31"/>
    </row>
    <row r="858" spans="1:4" ht="13.2">
      <c r="A858" s="42"/>
      <c r="B858" s="30"/>
      <c r="C858" s="31"/>
      <c r="D858" s="31"/>
    </row>
    <row r="859" spans="1:4" ht="13.2">
      <c r="A859" s="42"/>
      <c r="B859" s="30"/>
      <c r="C859" s="31"/>
      <c r="D859" s="31"/>
    </row>
    <row r="860" spans="1:4" ht="13.2">
      <c r="A860" s="42"/>
      <c r="B860" s="30"/>
      <c r="C860" s="31"/>
      <c r="D860" s="31"/>
    </row>
    <row r="861" spans="1:4" ht="13.2">
      <c r="A861" s="42"/>
      <c r="B861" s="30"/>
      <c r="C861" s="31"/>
      <c r="D861" s="31"/>
    </row>
    <row r="862" spans="1:4" ht="13.2">
      <c r="A862" s="42"/>
      <c r="B862" s="30"/>
      <c r="C862" s="31"/>
      <c r="D862" s="31"/>
    </row>
    <row r="863" spans="1:4" ht="13.2">
      <c r="A863" s="42"/>
      <c r="B863" s="30"/>
      <c r="C863" s="31"/>
      <c r="D863" s="31"/>
    </row>
    <row r="864" spans="1:4" ht="13.2">
      <c r="A864" s="42"/>
      <c r="B864" s="30"/>
      <c r="C864" s="31"/>
      <c r="D864" s="31"/>
    </row>
    <row r="865" spans="1:4" ht="13.2">
      <c r="A865" s="42"/>
      <c r="B865" s="30"/>
      <c r="C865" s="31"/>
      <c r="D865" s="31"/>
    </row>
    <row r="866" spans="1:4" ht="13.2">
      <c r="A866" s="42"/>
      <c r="B866" s="30"/>
      <c r="C866" s="31"/>
      <c r="D866" s="31"/>
    </row>
    <row r="867" spans="1:4" ht="13.2">
      <c r="A867" s="42"/>
      <c r="B867" s="30"/>
      <c r="C867" s="31"/>
      <c r="D867" s="31"/>
    </row>
    <row r="868" spans="1:4" ht="13.2">
      <c r="A868" s="42"/>
      <c r="B868" s="30"/>
      <c r="C868" s="31"/>
      <c r="D868" s="31"/>
    </row>
    <row r="869" spans="1:4" ht="13.2">
      <c r="A869" s="42"/>
      <c r="B869" s="30"/>
      <c r="C869" s="31"/>
      <c r="D869" s="31"/>
    </row>
    <row r="870" spans="1:4" ht="13.2">
      <c r="A870" s="42"/>
      <c r="B870" s="30"/>
      <c r="C870" s="31"/>
      <c r="D870" s="31"/>
    </row>
    <row r="871" spans="1:4" ht="13.2">
      <c r="A871" s="42"/>
      <c r="B871" s="30"/>
      <c r="C871" s="31"/>
      <c r="D871" s="31"/>
    </row>
    <row r="872" spans="1:4" ht="13.2">
      <c r="A872" s="42"/>
      <c r="B872" s="30"/>
      <c r="C872" s="31"/>
      <c r="D872" s="31"/>
    </row>
    <row r="873" spans="1:4" ht="13.2">
      <c r="A873" s="42"/>
      <c r="B873" s="30"/>
      <c r="C873" s="31"/>
      <c r="D873" s="31"/>
    </row>
    <row r="874" spans="1:4" ht="13.2">
      <c r="A874" s="42"/>
      <c r="B874" s="30"/>
      <c r="C874" s="31"/>
      <c r="D874" s="31"/>
    </row>
    <row r="875" spans="1:4" ht="13.2">
      <c r="A875" s="42"/>
      <c r="B875" s="30"/>
      <c r="C875" s="31"/>
      <c r="D875" s="31"/>
    </row>
    <row r="876" spans="1:4" ht="13.2">
      <c r="A876" s="42"/>
      <c r="B876" s="30"/>
      <c r="C876" s="31"/>
      <c r="D876" s="31"/>
    </row>
    <row r="877" spans="1:4" ht="13.2">
      <c r="A877" s="42"/>
      <c r="B877" s="30"/>
      <c r="C877" s="31"/>
      <c r="D877" s="31"/>
    </row>
    <row r="878" spans="1:4" ht="13.2">
      <c r="A878" s="42"/>
      <c r="B878" s="30"/>
      <c r="C878" s="31"/>
      <c r="D878" s="31"/>
    </row>
    <row r="879" spans="1:4" ht="13.2">
      <c r="A879" s="42"/>
      <c r="B879" s="30"/>
      <c r="C879" s="31"/>
      <c r="D879" s="31"/>
    </row>
    <row r="880" spans="1:4" ht="13.2">
      <c r="A880" s="42"/>
      <c r="B880" s="30"/>
      <c r="C880" s="31"/>
      <c r="D880" s="31"/>
    </row>
    <row r="881" spans="1:4" ht="13.2">
      <c r="A881" s="42"/>
      <c r="B881" s="30"/>
      <c r="C881" s="31"/>
      <c r="D881" s="31"/>
    </row>
    <row r="882" spans="1:4" ht="13.2">
      <c r="A882" s="42"/>
      <c r="B882" s="30"/>
      <c r="C882" s="31"/>
      <c r="D882" s="31"/>
    </row>
    <row r="883" spans="1:4" ht="13.2">
      <c r="A883" s="42"/>
      <c r="B883" s="30"/>
      <c r="C883" s="31"/>
      <c r="D883" s="31"/>
    </row>
    <row r="884" spans="1:4" ht="13.2">
      <c r="A884" s="42"/>
      <c r="B884" s="30"/>
      <c r="C884" s="31"/>
      <c r="D884" s="31"/>
    </row>
    <row r="885" spans="1:4" ht="13.2">
      <c r="A885" s="42"/>
      <c r="B885" s="30"/>
      <c r="C885" s="31"/>
      <c r="D885" s="31"/>
    </row>
    <row r="886" spans="1:4" ht="13.2">
      <c r="A886" s="42"/>
      <c r="B886" s="30"/>
      <c r="C886" s="31"/>
      <c r="D886" s="31"/>
    </row>
    <row r="887" spans="1:4" ht="13.2">
      <c r="A887" s="42"/>
      <c r="B887" s="30"/>
      <c r="C887" s="31"/>
      <c r="D887" s="31"/>
    </row>
    <row r="888" spans="1:4" ht="13.2">
      <c r="A888" s="42"/>
      <c r="B888" s="30"/>
      <c r="C888" s="31"/>
      <c r="D888" s="31"/>
    </row>
    <row r="889" spans="1:4" ht="13.2">
      <c r="A889" s="42"/>
      <c r="B889" s="30"/>
      <c r="C889" s="31"/>
      <c r="D889" s="31"/>
    </row>
    <row r="890" spans="1:4" ht="13.2">
      <c r="A890" s="42"/>
      <c r="B890" s="30"/>
      <c r="C890" s="31"/>
      <c r="D890" s="31"/>
    </row>
    <row r="891" spans="1:4" ht="13.2">
      <c r="A891" s="42"/>
      <c r="B891" s="30"/>
      <c r="C891" s="31"/>
      <c r="D891" s="31"/>
    </row>
    <row r="892" spans="1:4" ht="13.2">
      <c r="A892" s="42"/>
      <c r="B892" s="30"/>
      <c r="C892" s="31"/>
      <c r="D892" s="31"/>
    </row>
    <row r="893" spans="1:4" ht="13.2">
      <c r="A893" s="42"/>
      <c r="B893" s="30"/>
      <c r="C893" s="31"/>
      <c r="D893" s="31"/>
    </row>
    <row r="894" spans="1:4" ht="13.2">
      <c r="A894" s="42"/>
      <c r="B894" s="30"/>
      <c r="C894" s="31"/>
      <c r="D894" s="31"/>
    </row>
    <row r="895" spans="1:4" ht="13.2">
      <c r="A895" s="42"/>
      <c r="B895" s="30"/>
      <c r="C895" s="31"/>
      <c r="D895" s="31"/>
    </row>
    <row r="896" spans="1:4" ht="13.2">
      <c r="A896" s="42"/>
      <c r="B896" s="30"/>
      <c r="C896" s="31"/>
      <c r="D896" s="31"/>
    </row>
    <row r="897" spans="1:4" ht="13.2">
      <c r="A897" s="42"/>
      <c r="B897" s="30"/>
      <c r="C897" s="31"/>
      <c r="D897" s="31"/>
    </row>
    <row r="898" spans="1:4" ht="13.2">
      <c r="A898" s="42"/>
      <c r="B898" s="30"/>
      <c r="C898" s="31"/>
      <c r="D898" s="31"/>
    </row>
    <row r="899" spans="1:4" ht="13.2">
      <c r="A899" s="42"/>
      <c r="B899" s="30"/>
      <c r="C899" s="31"/>
      <c r="D899" s="31"/>
    </row>
    <row r="900" spans="1:4" ht="13.2">
      <c r="A900" s="42"/>
      <c r="B900" s="30"/>
      <c r="C900" s="31"/>
      <c r="D900" s="31"/>
    </row>
    <row r="901" spans="1:4" ht="13.2">
      <c r="A901" s="42"/>
      <c r="B901" s="30"/>
      <c r="C901" s="31"/>
      <c r="D901" s="31"/>
    </row>
    <row r="902" spans="1:4" ht="13.2">
      <c r="A902" s="42"/>
      <c r="B902" s="30"/>
      <c r="C902" s="31"/>
      <c r="D902" s="31"/>
    </row>
    <row r="903" spans="1:4" ht="13.2">
      <c r="A903" s="42"/>
      <c r="B903" s="30"/>
      <c r="C903" s="31"/>
      <c r="D903" s="31"/>
    </row>
    <row r="904" spans="1:4" ht="13.2">
      <c r="A904" s="42"/>
      <c r="B904" s="30"/>
      <c r="C904" s="31"/>
      <c r="D904" s="31"/>
    </row>
    <row r="905" spans="1:4" ht="13.2">
      <c r="A905" s="42"/>
      <c r="B905" s="30"/>
      <c r="C905" s="31"/>
      <c r="D905" s="31"/>
    </row>
    <row r="906" spans="1:4" ht="13.2">
      <c r="A906" s="42"/>
      <c r="B906" s="30"/>
      <c r="C906" s="31"/>
      <c r="D906" s="31"/>
    </row>
    <row r="907" spans="1:4" ht="13.2">
      <c r="A907" s="42"/>
      <c r="B907" s="30"/>
      <c r="C907" s="31"/>
      <c r="D907" s="31"/>
    </row>
    <row r="908" spans="1:4" ht="13.2">
      <c r="A908" s="42"/>
      <c r="B908" s="30"/>
      <c r="C908" s="31"/>
      <c r="D908" s="31"/>
    </row>
    <row r="909" spans="1:4" ht="13.2">
      <c r="A909" s="42"/>
      <c r="B909" s="30"/>
      <c r="C909" s="31"/>
      <c r="D909" s="31"/>
    </row>
    <row r="910" spans="1:4" ht="13.2">
      <c r="A910" s="42"/>
      <c r="B910" s="30"/>
      <c r="C910" s="31"/>
      <c r="D910" s="31"/>
    </row>
    <row r="911" spans="1:4" ht="13.2">
      <c r="A911" s="42"/>
      <c r="B911" s="30"/>
      <c r="C911" s="31"/>
      <c r="D911" s="31"/>
    </row>
    <row r="912" spans="1:4" ht="13.2">
      <c r="A912" s="42"/>
      <c r="B912" s="30"/>
      <c r="C912" s="31"/>
      <c r="D912" s="31"/>
    </row>
    <row r="913" spans="1:4" ht="13.2">
      <c r="A913" s="42"/>
      <c r="B913" s="30"/>
      <c r="C913" s="31"/>
      <c r="D913" s="31"/>
    </row>
    <row r="914" spans="1:4" ht="13.2">
      <c r="A914" s="42"/>
      <c r="B914" s="30"/>
      <c r="C914" s="31"/>
      <c r="D914" s="31"/>
    </row>
    <row r="915" spans="1:4" ht="13.2">
      <c r="A915" s="42"/>
      <c r="B915" s="30"/>
      <c r="C915" s="31"/>
      <c r="D915" s="31"/>
    </row>
    <row r="916" spans="1:4" ht="13.2">
      <c r="A916" s="42"/>
      <c r="B916" s="30"/>
      <c r="C916" s="31"/>
      <c r="D916" s="31"/>
    </row>
    <row r="917" spans="1:4" ht="13.2">
      <c r="A917" s="42"/>
      <c r="B917" s="30"/>
      <c r="C917" s="31"/>
      <c r="D917" s="31"/>
    </row>
    <row r="918" spans="1:4" ht="13.2">
      <c r="A918" s="42"/>
      <c r="B918" s="30"/>
      <c r="C918" s="31"/>
      <c r="D918" s="31"/>
    </row>
    <row r="919" spans="1:4" ht="13.2">
      <c r="A919" s="42"/>
      <c r="B919" s="30"/>
      <c r="C919" s="31"/>
      <c r="D919" s="31"/>
    </row>
    <row r="920" spans="1:4" ht="13.2">
      <c r="A920" s="42"/>
      <c r="B920" s="30"/>
      <c r="C920" s="31"/>
      <c r="D920" s="31"/>
    </row>
    <row r="921" spans="1:4" ht="13.2">
      <c r="A921" s="42"/>
      <c r="B921" s="30"/>
      <c r="C921" s="31"/>
      <c r="D921" s="31"/>
    </row>
    <row r="922" spans="1:4" ht="13.2">
      <c r="A922" s="42"/>
      <c r="B922" s="30"/>
      <c r="C922" s="31"/>
      <c r="D922" s="31"/>
    </row>
    <row r="923" spans="1:4" ht="13.2">
      <c r="A923" s="42"/>
      <c r="B923" s="30"/>
      <c r="C923" s="31"/>
      <c r="D923" s="31"/>
    </row>
    <row r="924" spans="1:4" ht="13.2">
      <c r="A924" s="42"/>
      <c r="B924" s="30"/>
      <c r="C924" s="31"/>
      <c r="D924" s="31"/>
    </row>
    <row r="925" spans="1:4" ht="13.2">
      <c r="A925" s="42"/>
      <c r="B925" s="30"/>
      <c r="C925" s="31"/>
      <c r="D925" s="31"/>
    </row>
    <row r="926" spans="1:4" ht="13.2">
      <c r="A926" s="42"/>
      <c r="B926" s="30"/>
      <c r="C926" s="31"/>
      <c r="D926" s="31"/>
    </row>
    <row r="927" spans="1:4" ht="13.2">
      <c r="A927" s="42"/>
      <c r="B927" s="30"/>
      <c r="C927" s="31"/>
      <c r="D927" s="31"/>
    </row>
    <row r="928" spans="1:4" ht="13.2">
      <c r="A928" s="42"/>
      <c r="B928" s="30"/>
      <c r="C928" s="31"/>
      <c r="D928" s="31"/>
    </row>
    <row r="929" spans="1:4" ht="13.2">
      <c r="A929" s="42"/>
      <c r="B929" s="30"/>
      <c r="C929" s="31"/>
      <c r="D929" s="31"/>
    </row>
    <row r="930" spans="1:4" ht="13.2">
      <c r="A930" s="42"/>
      <c r="B930" s="30"/>
      <c r="C930" s="31"/>
      <c r="D930" s="31"/>
    </row>
    <row r="931" spans="1:4" ht="13.2">
      <c r="A931" s="42"/>
      <c r="B931" s="30"/>
      <c r="C931" s="31"/>
      <c r="D931" s="31"/>
    </row>
    <row r="932" spans="1:4" ht="13.2">
      <c r="A932" s="42"/>
      <c r="B932" s="30"/>
      <c r="C932" s="31"/>
      <c r="D932" s="31"/>
    </row>
    <row r="933" spans="1:4" ht="13.2">
      <c r="A933" s="42"/>
      <c r="B933" s="30"/>
      <c r="C933" s="31"/>
      <c r="D933" s="31"/>
    </row>
    <row r="934" spans="1:4" ht="13.2">
      <c r="A934" s="42"/>
      <c r="B934" s="30"/>
      <c r="C934" s="31"/>
      <c r="D934" s="31"/>
    </row>
    <row r="935" spans="1:4" ht="13.2">
      <c r="A935" s="42"/>
      <c r="B935" s="30"/>
      <c r="C935" s="31"/>
      <c r="D935" s="31"/>
    </row>
    <row r="936" spans="1:4" ht="13.2">
      <c r="A936" s="42"/>
      <c r="B936" s="30"/>
      <c r="C936" s="31"/>
      <c r="D936" s="31"/>
    </row>
    <row r="937" spans="1:4" ht="13.2">
      <c r="A937" s="42"/>
      <c r="B937" s="30"/>
      <c r="C937" s="31"/>
      <c r="D937" s="31"/>
    </row>
    <row r="938" spans="1:4" ht="13.2">
      <c r="A938" s="42"/>
      <c r="B938" s="30"/>
      <c r="C938" s="31"/>
      <c r="D938" s="31"/>
    </row>
    <row r="939" spans="1:4" ht="13.2">
      <c r="A939" s="42"/>
      <c r="B939" s="30"/>
      <c r="C939" s="31"/>
      <c r="D939" s="31"/>
    </row>
    <row r="940" spans="1:4" ht="13.2">
      <c r="A940" s="42"/>
      <c r="B940" s="30"/>
      <c r="C940" s="31"/>
      <c r="D940" s="31"/>
    </row>
    <row r="941" spans="1:4" ht="13.2">
      <c r="A941" s="42"/>
      <c r="B941" s="30"/>
      <c r="C941" s="31"/>
      <c r="D941" s="31"/>
    </row>
    <row r="942" spans="1:4" ht="13.2">
      <c r="A942" s="42"/>
      <c r="B942" s="30"/>
      <c r="C942" s="31"/>
      <c r="D942" s="31"/>
    </row>
    <row r="943" spans="1:4" ht="13.2">
      <c r="A943" s="42"/>
      <c r="B943" s="30"/>
      <c r="C943" s="31"/>
      <c r="D943" s="31"/>
    </row>
    <row r="944" spans="1:4" ht="13.2">
      <c r="A944" s="42"/>
      <c r="B944" s="30"/>
      <c r="C944" s="31"/>
      <c r="D944" s="31"/>
    </row>
    <row r="945" spans="1:4" ht="13.2">
      <c r="A945" s="42"/>
      <c r="B945" s="30"/>
      <c r="C945" s="31"/>
      <c r="D945" s="31"/>
    </row>
    <row r="946" spans="1:4" ht="13.2">
      <c r="A946" s="42"/>
      <c r="B946" s="30"/>
      <c r="C946" s="31"/>
      <c r="D946" s="31"/>
    </row>
    <row r="947" spans="1:4" ht="13.2">
      <c r="A947" s="42"/>
      <c r="B947" s="30"/>
      <c r="C947" s="31"/>
      <c r="D947" s="31"/>
    </row>
    <row r="948" spans="1:4" ht="13.2">
      <c r="A948" s="42"/>
      <c r="B948" s="30"/>
      <c r="C948" s="31"/>
      <c r="D948" s="31"/>
    </row>
    <row r="949" spans="1:4" ht="13.2">
      <c r="A949" s="42"/>
      <c r="B949" s="30"/>
      <c r="C949" s="31"/>
      <c r="D949" s="31"/>
    </row>
    <row r="950" spans="1:4" ht="13.2">
      <c r="A950" s="42"/>
      <c r="B950" s="30"/>
      <c r="C950" s="31"/>
      <c r="D950" s="31"/>
    </row>
    <row r="951" spans="1:4" ht="13.2">
      <c r="A951" s="42"/>
      <c r="B951" s="30"/>
      <c r="C951" s="31"/>
      <c r="D951" s="31"/>
    </row>
    <row r="952" spans="1:4" ht="13.2">
      <c r="A952" s="42"/>
      <c r="B952" s="30"/>
      <c r="C952" s="31"/>
      <c r="D952" s="31"/>
    </row>
    <row r="953" spans="1:4" ht="13.2">
      <c r="A953" s="42"/>
      <c r="B953" s="30"/>
      <c r="C953" s="31"/>
      <c r="D953" s="31"/>
    </row>
    <row r="954" spans="1:4" ht="13.2">
      <c r="A954" s="42"/>
      <c r="B954" s="30"/>
      <c r="C954" s="31"/>
      <c r="D954" s="31"/>
    </row>
    <row r="955" spans="1:4" ht="13.2">
      <c r="A955" s="42"/>
      <c r="B955" s="30"/>
      <c r="C955" s="31"/>
      <c r="D955" s="31"/>
    </row>
    <row r="956" spans="1:4" ht="13.2">
      <c r="A956" s="42"/>
      <c r="B956" s="30"/>
      <c r="C956" s="31"/>
      <c r="D956" s="31"/>
    </row>
    <row r="957" spans="1:4" ht="13.2">
      <c r="A957" s="42"/>
      <c r="B957" s="30"/>
      <c r="C957" s="31"/>
      <c r="D957" s="31"/>
    </row>
    <row r="958" spans="1:4" ht="13.2">
      <c r="A958" s="42"/>
      <c r="B958" s="30"/>
      <c r="C958" s="31"/>
      <c r="D958" s="31"/>
    </row>
    <row r="959" spans="1:4" ht="13.2">
      <c r="A959" s="42"/>
      <c r="B959" s="30"/>
      <c r="C959" s="31"/>
      <c r="D959" s="31"/>
    </row>
    <row r="960" spans="1:4" ht="13.2">
      <c r="A960" s="42"/>
      <c r="B960" s="30"/>
      <c r="C960" s="31"/>
      <c r="D960" s="31"/>
    </row>
    <row r="961" spans="1:4" ht="13.2">
      <c r="A961" s="42"/>
      <c r="B961" s="30"/>
      <c r="C961" s="31"/>
      <c r="D961" s="31"/>
    </row>
    <row r="962" spans="1:4" ht="13.2">
      <c r="A962" s="42"/>
      <c r="B962" s="30"/>
      <c r="C962" s="31"/>
      <c r="D962" s="31"/>
    </row>
    <row r="963" spans="1:4" ht="13.2">
      <c r="A963" s="42"/>
      <c r="B963" s="30"/>
      <c r="C963" s="31"/>
      <c r="D963" s="31"/>
    </row>
    <row r="964" spans="1:4" ht="13.2">
      <c r="A964" s="42"/>
      <c r="B964" s="30"/>
      <c r="C964" s="31"/>
      <c r="D964" s="31"/>
    </row>
    <row r="965" spans="1:4" ht="13.2">
      <c r="A965" s="42"/>
      <c r="B965" s="30"/>
      <c r="C965" s="31"/>
      <c r="D965" s="31"/>
    </row>
    <row r="966" spans="1:4" ht="13.2">
      <c r="A966" s="42"/>
      <c r="B966" s="30"/>
      <c r="C966" s="31"/>
      <c r="D966" s="31"/>
    </row>
    <row r="967" spans="1:4" ht="13.2">
      <c r="A967" s="42"/>
      <c r="B967" s="30"/>
      <c r="C967" s="31"/>
      <c r="D967" s="31"/>
    </row>
    <row r="968" spans="1:4" ht="13.2">
      <c r="A968" s="42"/>
      <c r="B968" s="30"/>
      <c r="C968" s="31"/>
      <c r="D968" s="31"/>
    </row>
    <row r="969" spans="1:4" ht="13.2">
      <c r="A969" s="42"/>
      <c r="B969" s="30"/>
      <c r="C969" s="31"/>
      <c r="D969" s="31"/>
    </row>
    <row r="970" spans="1:4" ht="13.2">
      <c r="A970" s="42"/>
      <c r="B970" s="30"/>
      <c r="C970" s="31"/>
      <c r="D970" s="31"/>
    </row>
    <row r="971" spans="1:4" ht="13.2">
      <c r="A971" s="42"/>
      <c r="B971" s="30"/>
      <c r="C971" s="31"/>
      <c r="D971" s="31"/>
    </row>
    <row r="972" spans="1:4" ht="13.2">
      <c r="A972" s="42"/>
      <c r="B972" s="30"/>
      <c r="C972" s="31"/>
      <c r="D972" s="31"/>
    </row>
    <row r="973" spans="1:4" ht="13.2">
      <c r="A973" s="42"/>
      <c r="B973" s="30"/>
      <c r="C973" s="31"/>
      <c r="D973" s="31"/>
    </row>
    <row r="974" spans="1:4" ht="13.2">
      <c r="A974" s="42"/>
      <c r="B974" s="30"/>
      <c r="C974" s="31"/>
      <c r="D974" s="31"/>
    </row>
    <row r="975" spans="1:4" ht="13.2">
      <c r="A975" s="42"/>
      <c r="B975" s="30"/>
      <c r="C975" s="31"/>
      <c r="D975" s="31"/>
    </row>
    <row r="976" spans="1:4" ht="13.2">
      <c r="A976" s="42"/>
      <c r="B976" s="30"/>
      <c r="C976" s="31"/>
      <c r="D976" s="31"/>
    </row>
    <row r="977" spans="1:4" ht="13.2">
      <c r="A977" s="42"/>
      <c r="B977" s="30"/>
      <c r="C977" s="31"/>
      <c r="D977" s="31"/>
    </row>
    <row r="978" spans="1:4" ht="13.2">
      <c r="A978" s="42"/>
      <c r="B978" s="30"/>
      <c r="C978" s="31"/>
      <c r="D978" s="31"/>
    </row>
    <row r="979" spans="1:4" ht="13.2">
      <c r="A979" s="42"/>
      <c r="B979" s="30"/>
      <c r="C979" s="31"/>
      <c r="D979" s="31"/>
    </row>
    <row r="980" spans="1:4" ht="13.2">
      <c r="A980" s="42"/>
      <c r="B980" s="30"/>
      <c r="C980" s="31"/>
      <c r="D980" s="31"/>
    </row>
    <row r="981" spans="1:4" ht="13.2">
      <c r="A981" s="42"/>
      <c r="B981" s="30"/>
      <c r="C981" s="31"/>
      <c r="D981" s="31"/>
    </row>
    <row r="982" spans="1:4" ht="13.2">
      <c r="A982" s="42"/>
      <c r="B982" s="30"/>
      <c r="C982" s="31"/>
      <c r="D982" s="31"/>
    </row>
    <row r="983" spans="1:4" ht="13.2">
      <c r="A983" s="42"/>
      <c r="B983" s="30"/>
      <c r="C983" s="31"/>
      <c r="D983" s="31"/>
    </row>
    <row r="984" spans="1:4" ht="13.2">
      <c r="A984" s="42"/>
      <c r="B984" s="30"/>
      <c r="C984" s="31"/>
      <c r="D984" s="31"/>
    </row>
    <row r="985" spans="1:4" ht="13.2">
      <c r="A985" s="42"/>
      <c r="B985" s="30"/>
      <c r="C985" s="31"/>
      <c r="D985" s="31"/>
    </row>
    <row r="986" spans="1:4" ht="13.2">
      <c r="A986" s="42"/>
      <c r="B986" s="30"/>
      <c r="C986" s="31"/>
      <c r="D986" s="31"/>
    </row>
    <row r="987" spans="1:4" ht="13.2">
      <c r="A987" s="42"/>
      <c r="B987" s="30"/>
      <c r="C987" s="31"/>
      <c r="D987" s="31"/>
    </row>
    <row r="988" spans="1:4" ht="13.2">
      <c r="A988" s="42"/>
      <c r="B988" s="30"/>
      <c r="C988" s="31"/>
      <c r="D988" s="31"/>
    </row>
    <row r="989" spans="1:4" ht="13.2">
      <c r="A989" s="42"/>
      <c r="B989" s="30"/>
      <c r="C989" s="31"/>
      <c r="D989" s="31"/>
    </row>
    <row r="990" spans="1:4" ht="13.2">
      <c r="A990" s="42"/>
      <c r="B990" s="30"/>
      <c r="C990" s="31"/>
      <c r="D990" s="31"/>
    </row>
    <row r="991" spans="1:4" ht="13.2">
      <c r="A991" s="42"/>
      <c r="B991" s="30"/>
      <c r="C991" s="31"/>
      <c r="D991" s="31"/>
    </row>
    <row r="992" spans="1:4" ht="13.2">
      <c r="A992" s="42"/>
      <c r="B992" s="30"/>
      <c r="C992" s="31"/>
      <c r="D992" s="31"/>
    </row>
    <row r="993" spans="1:4" ht="13.2">
      <c r="A993" s="42"/>
      <c r="B993" s="30"/>
      <c r="C993" s="31"/>
      <c r="D993" s="31"/>
    </row>
    <row r="994" spans="1:4" ht="13.2">
      <c r="A994" s="42"/>
      <c r="B994" s="30"/>
      <c r="C994" s="31"/>
      <c r="D994" s="31"/>
    </row>
    <row r="995" spans="1:4" ht="13.2">
      <c r="A995" s="42"/>
      <c r="B995" s="30"/>
      <c r="C995" s="31"/>
      <c r="D995" s="31"/>
    </row>
    <row r="996" spans="1:4" ht="13.2">
      <c r="A996" s="42"/>
      <c r="B996" s="30"/>
      <c r="C996" s="31"/>
      <c r="D996" s="31"/>
    </row>
    <row r="997" spans="1:4" ht="13.2">
      <c r="A997" s="42"/>
      <c r="B997" s="30"/>
      <c r="C997" s="31"/>
      <c r="D997" s="31"/>
    </row>
    <row r="998" spans="1:4" ht="13.2">
      <c r="A998" s="42"/>
      <c r="B998" s="30"/>
      <c r="C998" s="31"/>
      <c r="D998" s="31"/>
    </row>
    <row r="999" spans="1:4" ht="13.2">
      <c r="A999" s="42"/>
      <c r="B999" s="30"/>
      <c r="C999" s="31"/>
      <c r="D999" s="31"/>
    </row>
    <row r="1000" spans="1:4" ht="13.2">
      <c r="A1000" s="42"/>
      <c r="B1000" s="30"/>
      <c r="C1000" s="31"/>
      <c r="D1000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7"/>
  <sheetViews>
    <sheetView workbookViewId="0">
      <selection activeCell="K16" sqref="K16"/>
    </sheetView>
  </sheetViews>
  <sheetFormatPr baseColWidth="10" defaultColWidth="12.6640625" defaultRowHeight="15.75" customHeight="1"/>
  <sheetData>
    <row r="1" spans="1:26" ht="15.75" customHeight="1">
      <c r="A1" s="43" t="s">
        <v>444</v>
      </c>
      <c r="B1" s="43" t="s">
        <v>445</v>
      </c>
      <c r="C1" s="44" t="s">
        <v>446</v>
      </c>
      <c r="D1" s="44" t="s">
        <v>447</v>
      </c>
      <c r="E1" s="45" t="s">
        <v>448</v>
      </c>
      <c r="F1" s="45" t="s">
        <v>449</v>
      </c>
      <c r="G1" s="46" t="s">
        <v>450</v>
      </c>
      <c r="H1" s="46" t="s">
        <v>451</v>
      </c>
      <c r="I1" s="47" t="s">
        <v>452</v>
      </c>
      <c r="J1" s="47" t="s">
        <v>453</v>
      </c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5.75" customHeight="1">
      <c r="A2" s="48">
        <v>10</v>
      </c>
      <c r="B2" s="49" t="s">
        <v>454</v>
      </c>
      <c r="C2" s="48">
        <v>1</v>
      </c>
      <c r="D2" s="50">
        <v>0.95983940964955705</v>
      </c>
      <c r="E2" s="50">
        <v>0.95983940964955705</v>
      </c>
      <c r="F2" s="50">
        <v>0.65222600201899394</v>
      </c>
      <c r="G2" s="50">
        <v>0.65222600201899394</v>
      </c>
      <c r="H2" s="50">
        <v>0.34461259438843084</v>
      </c>
      <c r="I2" s="50">
        <v>0.34461259438843084</v>
      </c>
      <c r="J2" s="48">
        <v>0</v>
      </c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5" spans="1:26" ht="13.2">
      <c r="C5" s="18"/>
    </row>
    <row r="7" spans="1:26" ht="13.2">
      <c r="C7" s="1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procesados 2012</vt:lpstr>
      <vt:lpstr>Datos procesados 2024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2026-05-28T00:11:44Z</dcterms:modified>
</cp:coreProperties>
</file>