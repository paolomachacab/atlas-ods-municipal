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</sheets>
  <definedNames/>
  <calcPr/>
  <extLst>
    <ext uri="GoogleSheetsCustomDataVersion2">
      <go:sheetsCustomData xmlns:go="http://customooxmlschemas.google.com/" r:id="rId10" roundtripDataChecksum="yRuURikQ5W/ljhIET/Pih0aKTVLoRvHm59jPEYjBw5M="/>
    </ext>
  </extLst>
</workbook>
</file>

<file path=xl/sharedStrings.xml><?xml version="1.0" encoding="utf-8"?>
<sst xmlns="http://schemas.openxmlformats.org/spreadsheetml/2006/main" count="1457" uniqueCount="373">
  <si>
    <t>id</t>
  </si>
  <si>
    <t>Departamento</t>
  </si>
  <si>
    <t>Municipio</t>
  </si>
  <si>
    <t>Número de jóvenes mujeres de 15-24 años que no estudian ni participan en el mercado laboral 2012</t>
  </si>
  <si>
    <t>mujeres_15_24_2012</t>
  </si>
  <si>
    <t>Proporción de mujeres que no estudian, ni participan en el mercado laboral (15-24 años) 2012 (%)</t>
  </si>
  <si>
    <t>Número de jóvenes mujeres de 15-24 años que no estudian ni participan en el mercado laboral 2024</t>
  </si>
  <si>
    <t>mujeres_15_24_2024</t>
  </si>
  <si>
    <t>Proporción de mujeres que no estudian, ni participan en el mercado laboral (15-24 años) 2024 (%)</t>
  </si>
  <si>
    <t>id_departamento</t>
  </si>
  <si>
    <t>Chuquisaca</t>
  </si>
  <si>
    <t>Sucre</t>
  </si>
  <si>
    <t>Yotala</t>
  </si>
  <si>
    <t>La Paz</t>
  </si>
  <si>
    <t>Poroma</t>
  </si>
  <si>
    <t>Cochabamba</t>
  </si>
  <si>
    <t>Villa Azurduy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</si>
  <si>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</si>
  <si>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</si>
  <si>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</si>
  <si>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</si>
  <si>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</si>
  <si>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</si>
  <si>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</si>
  <si>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</si>
  <si>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</si>
  <si>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</si>
  <si>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</si>
  <si>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</si>
  <si>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</si>
  <si>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</si>
  <si>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</si>
  <si>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</si>
  <si>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promedio</t>
  </si>
  <si>
    <t>Villa Alcalá</t>
  </si>
  <si>
    <t>desv</t>
  </si>
  <si>
    <t>El Villar</t>
  </si>
  <si>
    <t>Monteagudo</t>
  </si>
  <si>
    <t>max</t>
  </si>
  <si>
    <t>San Pablo de Huacareta</t>
  </si>
  <si>
    <t>min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</si>
  <si>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</si>
  <si>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</si>
  <si>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</si>
  <si>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</si>
  <si>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</si>
  <si>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</si>
  <si>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</si>
  <si>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</si>
  <si>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</si>
  <si>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</si>
  <si>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</si>
  <si>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</si>
  <si>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</si>
  <si>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</si>
  <si>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</si>
  <si>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</si>
  <si>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</si>
  <si>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</si>
  <si>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</si>
  <si>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</si>
  <si>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</si>
  <si>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</si>
  <si>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</si>
  <si>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</si>
  <si>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</si>
  <si>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</si>
  <si>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</si>
  <si>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</si>
  <si>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</si>
  <si>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</si>
  <si>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</si>
  <si>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</si>
  <si>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</si>
  <si>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</si>
  <si>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</si>
  <si>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</si>
  <si>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</si>
  <si>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</si>
  <si>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</si>
  <si>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</si>
  <si>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</si>
  <si>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</si>
  <si>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</si>
  <si>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</si>
  <si>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</si>
  <si>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</si>
  <si>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</si>
  <si>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</si>
  <si>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</si>
  <si>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</si>
  <si>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</si>
  <si>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</si>
  <si>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</si>
  <si>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</si>
  <si>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</si>
  <si>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</si>
  <si>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</si>
  <si>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</si>
  <si>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</si>
  <si>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</si>
  <si>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</si>
  <si>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</si>
  <si>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</si>
  <si>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</si>
  <si>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</si>
  <si>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</si>
  <si>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</si>
  <si>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</si>
  <si>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</si>
  <si>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</si>
  <si>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</si>
  <si>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</si>
  <si>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</si>
  <si>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</si>
  <si>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</si>
  <si>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</si>
  <si>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</si>
  <si>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</si>
  <si>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</si>
  <si>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</si>
  <si>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</si>
  <si>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</si>
  <si>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</si>
  <si>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</si>
  <si>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</si>
  <si>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</si>
  <si>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</si>
  <si>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</si>
  <si>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</si>
  <si>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</si>
  <si>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</si>
  <si>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</si>
  <si>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</si>
  <si>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</si>
  <si>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</si>
  <si>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</si>
  <si>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</si>
  <si>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</si>
  <si>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</si>
  <si>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</si>
  <si>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</si>
  <si>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</si>
  <si>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</si>
  <si>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</si>
  <si>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</si>
  <si>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</si>
  <si>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</si>
  <si>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</si>
  <si>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</si>
  <si>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</si>
  <si>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</si>
  <si>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</si>
  <si>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</si>
  <si>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</si>
  <si>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</si>
  <si>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</si>
  <si>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</si>
  <si>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</si>
  <si>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</si>
  <si>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</si>
  <si>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</si>
  <si>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</si>
  <si>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</si>
  <si>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</si>
  <si>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</si>
  <si>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</si>
  <si>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</si>
  <si>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</si>
  <si>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</si>
  <si>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</si>
  <si>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</si>
  <si>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</si>
  <si>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</si>
  <si>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</si>
  <si>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</si>
  <si>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</si>
  <si>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</si>
  <si>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</si>
  <si>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</si>
  <si>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</si>
  <si>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</si>
  <si>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</si>
  <si>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</si>
  <si>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</si>
  <si>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</si>
  <si>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</si>
  <si>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</si>
  <si>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</si>
  <si>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</si>
  <si>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</si>
  <si>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</si>
  <si>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</si>
  <si>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</si>
  <si>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</si>
  <si>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</si>
  <si>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</si>
  <si>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</si>
  <si>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</si>
  <si>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</si>
  <si>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</si>
  <si>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</si>
  <si>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</si>
  <si>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</si>
  <si>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</si>
  <si>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</si>
  <si>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</si>
  <si>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</si>
  <si>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</si>
  <si>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</si>
  <si>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</si>
  <si>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</si>
  <si>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</si>
  <si>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</si>
  <si>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</si>
  <si>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</si>
  <si>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</si>
  <si>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</si>
  <si>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</si>
  <si>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</si>
  <si>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</si>
  <si>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</si>
  <si>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</si>
  <si>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</si>
  <si>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</si>
  <si>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</si>
  <si>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</si>
  <si>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</si>
  <si>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</si>
  <si>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</si>
  <si>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</si>
  <si>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</si>
  <si>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</si>
  <si>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</si>
  <si>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</si>
  <si>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</si>
  <si>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</si>
  <si>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</si>
  <si>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</si>
  <si>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</si>
  <si>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</si>
  <si>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</si>
  <si>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</si>
  <si>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</si>
  <si>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</si>
  <si>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</si>
  <si>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</si>
  <si>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</si>
  <si>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</si>
  <si>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</si>
  <si>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</si>
  <si>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</si>
  <si>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</si>
  <si>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</si>
  <si>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</si>
  <si>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</si>
  <si>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</si>
  <si>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</si>
  <si>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</si>
  <si>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</si>
  <si>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</si>
  <si>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</si>
  <si>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</si>
  <si>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</si>
  <si>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</si>
  <si>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</si>
  <si>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</si>
  <si>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</si>
  <si>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</si>
  <si>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</si>
  <si>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</si>
  <si>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</si>
  <si>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</si>
  <si>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</si>
  <si>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</si>
  <si>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</si>
  <si>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</si>
  <si>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</si>
  <si>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</si>
  <si>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</si>
  <si>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</si>
  <si>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</si>
  <si>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</si>
  <si>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</si>
  <si>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</si>
  <si>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</si>
  <si>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</si>
  <si>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</si>
  <si>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</si>
  <si>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</si>
  <si>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</si>
  <si>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</si>
  <si>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</si>
  <si>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</si>
  <si>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</si>
  <si>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</si>
  <si>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</si>
  <si>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</si>
  <si>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</si>
  <si>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</si>
  <si>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</si>
  <si>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</si>
  <si>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</si>
  <si>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</si>
  <si>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</si>
  <si>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</si>
  <si>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</si>
  <si>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</si>
  <si>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</si>
  <si>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</si>
  <si>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</si>
  <si>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</si>
  <si>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</si>
  <si>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</si>
  <si>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</si>
  <si>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</si>
  <si>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</si>
  <si>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</si>
  <si>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</si>
  <si>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</si>
  <si>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</si>
  <si>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</si>
  <si>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</si>
  <si>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</si>
  <si>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</si>
  <si>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</si>
  <si>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</si>
  <si>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</si>
  <si>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</si>
  <si>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</si>
  <si>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</si>
  <si>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</si>
  <si>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</si>
  <si>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</si>
  <si>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</si>
  <si>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</si>
  <si>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</si>
  <si>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</si>
  <si>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</si>
  <si>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</si>
  <si>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</si>
  <si>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</si>
  <si>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</si>
  <si>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</si>
  <si>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</si>
  <si>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</si>
  <si>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</si>
  <si>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</si>
  <si>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</si>
  <si>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</si>
  <si>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 xml:space="preserve"> 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</si>
  <si>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</si>
  <si>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</si>
  <si>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</si>
  <si>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</si>
  <si>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</si>
  <si>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</si>
  <si>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</si>
  <si>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</si>
  <si>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</si>
  <si>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</si>
  <si>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</si>
  <si>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</si>
  <si>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</si>
  <si>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</si>
  <si>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</si>
  <si>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</si>
  <si>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</si>
  <si>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</si>
  <si>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</si>
  <si>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</si>
  <si>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Proporción de mujeres que no estudian, ni participan en el mercado laboral (15-24 años)(%)</t>
  </si>
  <si>
    <t>SDG Index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</si>
</sst>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0.0"/>
      <color rgb="FF000000"/>
      <name val="Arial"/>
    </font>
    <font>
      <sz val="11.0"/>
      <color theme="1"/>
      <name val="Calibri"/>
    </font>
    <font>
      <sz val="10.0"/>
      <color theme="1"/>
      <name val="Arial"/>
    </font>
    <font>
      <sz val="11.0"/>
      <color theme="1"/>
      <name val="Aptos Narrow"/>
    </font>
    <font>
      <b/>
      <sz val="10.0"/>
      <color theme="1"/>
      <name val="Arial"/>
    </font>
    <font>
      <b/>
      <sz val="9.0"/>
      <color theme="1"/>
      <name val="Play"/>
    </font>
  </fonts>
  <fills count="8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2" fillId="0" fontId="3" numFmtId="164" xfId="0" applyAlignment="1" applyBorder="1" applyFont="1" applyNumberFormat="1">
      <alignment horizontal="right"/>
    </xf>
    <xf borderId="2" fillId="0" fontId="3" numFmtId="49" xfId="0" applyBorder="1" applyFont="1" applyNumberFormat="1"/>
    <xf borderId="2" fillId="0" fontId="3" numFmtId="1" xfId="0" applyAlignment="1" applyBorder="1" applyFont="1" applyNumberFormat="1">
      <alignment horizontal="right"/>
    </xf>
    <xf borderId="2" fillId="0" fontId="4" numFmtId="2" xfId="0" applyBorder="1" applyFont="1" applyNumberFormat="1"/>
    <xf borderId="1" fillId="0" fontId="3" numFmtId="0" xfId="0" applyAlignment="1" applyBorder="1" applyFont="1">
      <alignment horizontal="right"/>
    </xf>
    <xf borderId="1" fillId="0" fontId="3" numFmtId="0" xfId="0" applyBorder="1" applyFont="1"/>
    <xf borderId="1" fillId="0" fontId="3" numFmtId="1" xfId="0" applyAlignment="1" applyBorder="1" applyFont="1" applyNumberFormat="1">
      <alignment horizontal="right"/>
    </xf>
    <xf borderId="1" fillId="0" fontId="4" numFmtId="2" xfId="0" applyBorder="1" applyFont="1" applyNumberFormat="1"/>
    <xf borderId="1" fillId="0" fontId="3" numFmtId="164" xfId="0" applyAlignment="1" applyBorder="1" applyFont="1" applyNumberFormat="1">
      <alignment horizontal="right"/>
    </xf>
    <xf borderId="1" fillId="0" fontId="3" numFmtId="49" xfId="0" applyBorder="1" applyFont="1" applyNumberFormat="1"/>
    <xf borderId="0" fillId="0" fontId="4" numFmtId="0" xfId="0" applyFont="1"/>
    <xf borderId="0" fillId="0" fontId="4" numFmtId="2" xfId="0" applyFont="1" applyNumberFormat="1"/>
    <xf borderId="0" fillId="0" fontId="3" numFmtId="0" xfId="0" applyFont="1"/>
    <xf borderId="0" fillId="0" fontId="3" numFmtId="1" xfId="0" applyAlignment="1" applyFont="1" applyNumberFormat="1">
      <alignment horizontal="right"/>
    </xf>
    <xf borderId="1" fillId="0" fontId="3" numFmtId="2" xfId="0" applyAlignment="1" applyBorder="1" applyFont="1" applyNumberFormat="1">
      <alignment horizontal="right"/>
    </xf>
    <xf borderId="0" fillId="0" fontId="5" numFmtId="164" xfId="0" applyFont="1" applyNumberFormat="1"/>
    <xf borderId="0" fillId="0" fontId="5" numFmtId="49" xfId="0" applyFont="1" applyNumberFormat="1"/>
    <xf borderId="0" fillId="0" fontId="5" numFmtId="0" xfId="0" applyFont="1"/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6" numFmtId="2" xfId="0" applyAlignment="1" applyBorder="1" applyFont="1" applyNumberFormat="1">
      <alignment horizontal="center" shrinkToFit="0" vertical="center" wrapText="1"/>
    </xf>
    <xf borderId="1" fillId="0" fontId="4" numFmtId="2" xfId="0" applyAlignment="1" applyBorder="1" applyFont="1" applyNumberFormat="1">
      <alignment horizontal="right"/>
    </xf>
    <xf borderId="0" fillId="0" fontId="4" numFmtId="164" xfId="0" applyFont="1" applyNumberFormat="1"/>
    <xf borderId="0" fillId="0" fontId="4" numFmtId="49" xfId="0" applyFont="1" applyNumberFormat="1"/>
    <xf borderId="1" fillId="0" fontId="1" numFmtId="0" xfId="0" applyAlignment="1" applyBorder="1" applyFont="1">
      <alignment horizontal="center" vertical="center"/>
    </xf>
    <xf borderId="1" fillId="0" fontId="4" numFmtId="1" xfId="0" applyBorder="1" applyFont="1" applyNumberFormat="1"/>
    <xf borderId="1" fillId="0" fontId="4" numFmtId="0" xfId="0" applyBorder="1" applyFont="1"/>
    <xf borderId="1" fillId="2" fontId="1" numFmtId="0" xfId="0" applyBorder="1" applyFill="1" applyFont="1"/>
    <xf borderId="1" fillId="3" fontId="7" numFmtId="0" xfId="0" applyAlignment="1" applyBorder="1" applyFill="1" applyFont="1">
      <alignment horizontal="center" shrinkToFit="0" wrapText="1"/>
    </xf>
    <xf borderId="1" fillId="4" fontId="7" numFmtId="0" xfId="0" applyAlignment="1" applyBorder="1" applyFill="1" applyFont="1">
      <alignment horizontal="center" shrinkToFit="0" wrapText="1"/>
    </xf>
    <xf borderId="1" fillId="5" fontId="7" numFmtId="0" xfId="0" applyAlignment="1" applyBorder="1" applyFill="1" applyFont="1">
      <alignment horizontal="center" shrinkToFit="0" wrapText="1"/>
    </xf>
    <xf borderId="1" fillId="6" fontId="7" numFmtId="0" xfId="0" applyAlignment="1" applyBorder="1" applyFill="1" applyFont="1">
      <alignment horizontal="center" shrinkToFit="0" wrapText="1"/>
    </xf>
    <xf borderId="1" fillId="7" fontId="1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center"/>
    </xf>
    <xf borderId="1" fillId="0" fontId="4" numFmtId="2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63"/>
    <col customWidth="1" min="3" max="3" width="20.38"/>
    <col customWidth="1" min="4" max="4" width="31.88"/>
    <col customWidth="1" min="5" max="5" width="12.63"/>
    <col customWidth="1" min="6" max="6" width="25.88"/>
    <col customWidth="1" min="7" max="7" width="29.75"/>
    <col customWidth="1" min="8" max="8" width="14.25"/>
    <col customWidth="1" min="9" max="9" width="21.25"/>
    <col customWidth="1" min="13" max="13" width="21.38"/>
    <col customWidth="1" min="15" max="15" width="22.13"/>
    <col customWidth="1" min="16" max="16" width="20.88"/>
    <col customWidth="1" min="17" max="17" width="16.25"/>
    <col customWidth="1" min="18" max="18" width="19.13"/>
  </cols>
  <sheetData>
    <row r="1" ht="66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K1" s="5" t="s">
        <v>9</v>
      </c>
      <c r="L1" s="5" t="s">
        <v>1</v>
      </c>
      <c r="M1" s="6" t="s">
        <v>3</v>
      </c>
      <c r="N1" s="5" t="s">
        <v>4</v>
      </c>
      <c r="O1" s="6" t="s">
        <v>5</v>
      </c>
      <c r="P1" s="6" t="s">
        <v>6</v>
      </c>
      <c r="Q1" s="5" t="s">
        <v>7</v>
      </c>
      <c r="R1" s="6" t="s">
        <v>8</v>
      </c>
    </row>
    <row r="2" ht="15.75" customHeight="1">
      <c r="A2" s="7">
        <v>10101.0</v>
      </c>
      <c r="B2" s="8" t="s">
        <v>10</v>
      </c>
      <c r="C2" s="8" t="s">
        <v>11</v>
      </c>
      <c r="D2" s="9">
        <v>10457.0</v>
      </c>
      <c r="E2" s="9">
        <v>32271.0</v>
      </c>
      <c r="F2" s="10">
        <f t="shared" ref="F2:F156" si="3">(D2/E2)*100</f>
        <v>32.40370611</v>
      </c>
      <c r="G2" s="9">
        <v>1889.0</v>
      </c>
      <c r="H2" s="9">
        <v>30843.0</v>
      </c>
      <c r="I2" s="10">
        <f t="shared" ref="I2:I345" si="4">(G2/H2)*100</f>
        <v>6.124566352</v>
      </c>
      <c r="K2" s="11">
        <v>1.0</v>
      </c>
      <c r="L2" s="12" t="s">
        <v>10</v>
      </c>
      <c r="M2" s="13">
        <f t="shared" ref="M2:N2" si="1">SUM(D2:D30)</f>
        <v>18133</v>
      </c>
      <c r="N2" s="13">
        <f t="shared" si="1"/>
        <v>58071</v>
      </c>
      <c r="O2" s="14">
        <f t="shared" ref="O2:O10" si="6">(M2/N2)*100</f>
        <v>31.2255687</v>
      </c>
      <c r="P2" s="13">
        <f t="shared" ref="P2:Q2" si="2">SUM(G2:G30)</f>
        <v>5006</v>
      </c>
      <c r="Q2" s="13">
        <f t="shared" si="2"/>
        <v>57100</v>
      </c>
      <c r="R2" s="14">
        <f t="shared" ref="R2:R10" si="8">(P2/Q2)*100</f>
        <v>8.767075306</v>
      </c>
    </row>
    <row r="3" ht="15.75" customHeight="1">
      <c r="A3" s="15">
        <v>10102.0</v>
      </c>
      <c r="B3" s="16" t="s">
        <v>10</v>
      </c>
      <c r="C3" s="16" t="s">
        <v>12</v>
      </c>
      <c r="D3" s="13">
        <v>212.0</v>
      </c>
      <c r="E3" s="13">
        <v>821.0</v>
      </c>
      <c r="F3" s="14">
        <f t="shared" si="3"/>
        <v>25.82216809</v>
      </c>
      <c r="G3" s="13">
        <v>53.0</v>
      </c>
      <c r="H3" s="13">
        <v>745.0</v>
      </c>
      <c r="I3" s="14">
        <f t="shared" si="4"/>
        <v>7.11409396</v>
      </c>
      <c r="K3" s="11">
        <v>2.0</v>
      </c>
      <c r="L3" s="12" t="s">
        <v>13</v>
      </c>
      <c r="M3" s="13">
        <f t="shared" ref="M3:N3" si="5">+SUM(D31:D117)</f>
        <v>59752</v>
      </c>
      <c r="N3" s="13">
        <f t="shared" si="5"/>
        <v>268620</v>
      </c>
      <c r="O3" s="14">
        <f t="shared" si="6"/>
        <v>22.24406224</v>
      </c>
      <c r="P3" s="13">
        <f t="shared" ref="P3:Q3" si="7">+SUM(G31:G117)</f>
        <v>18993</v>
      </c>
      <c r="Q3" s="13">
        <f t="shared" si="7"/>
        <v>261812</v>
      </c>
      <c r="R3" s="14">
        <f t="shared" si="8"/>
        <v>7.254442119</v>
      </c>
    </row>
    <row r="4" ht="15.75" customHeight="1">
      <c r="A4" s="15">
        <v>10103.0</v>
      </c>
      <c r="B4" s="16" t="s">
        <v>10</v>
      </c>
      <c r="C4" s="16" t="s">
        <v>14</v>
      </c>
      <c r="D4" s="13">
        <v>314.0</v>
      </c>
      <c r="E4" s="13">
        <v>1068.0</v>
      </c>
      <c r="F4" s="14">
        <f t="shared" si="3"/>
        <v>29.40074906</v>
      </c>
      <c r="G4" s="13">
        <v>134.0</v>
      </c>
      <c r="H4" s="13">
        <v>1095.0</v>
      </c>
      <c r="I4" s="14">
        <f t="shared" si="4"/>
        <v>12.23744292</v>
      </c>
      <c r="K4" s="11">
        <v>3.0</v>
      </c>
      <c r="L4" s="12" t="s">
        <v>15</v>
      </c>
      <c r="M4" s="13">
        <f t="shared" ref="M4:N4" si="9">+SUM(D118:D165)</f>
        <v>50037</v>
      </c>
      <c r="N4" s="13">
        <f t="shared" si="9"/>
        <v>187043</v>
      </c>
      <c r="O4" s="14">
        <f t="shared" si="6"/>
        <v>26.75160257</v>
      </c>
      <c r="P4" s="13">
        <f t="shared" ref="P4:Q4" si="10">+SUM(G118:G165)</f>
        <v>16573</v>
      </c>
      <c r="Q4" s="13">
        <f t="shared" si="10"/>
        <v>186002</v>
      </c>
      <c r="R4" s="14">
        <f t="shared" si="8"/>
        <v>8.910119246</v>
      </c>
    </row>
    <row r="5" ht="15.75" customHeight="1">
      <c r="A5" s="15">
        <v>10201.0</v>
      </c>
      <c r="B5" s="16" t="s">
        <v>10</v>
      </c>
      <c r="C5" s="16" t="s">
        <v>16</v>
      </c>
      <c r="D5" s="13">
        <v>284.0</v>
      </c>
      <c r="E5" s="13">
        <v>734.0</v>
      </c>
      <c r="F5" s="14">
        <f t="shared" si="3"/>
        <v>38.69209809</v>
      </c>
      <c r="G5" s="13">
        <v>88.0</v>
      </c>
      <c r="H5" s="13">
        <v>562.0</v>
      </c>
      <c r="I5" s="14">
        <f t="shared" si="4"/>
        <v>15.65836299</v>
      </c>
      <c r="K5" s="11">
        <v>4.0</v>
      </c>
      <c r="L5" s="12" t="s">
        <v>17</v>
      </c>
      <c r="M5" s="13">
        <f t="shared" ref="M5:N5" si="11">+SUM(D166:D200)</f>
        <v>13984</v>
      </c>
      <c r="N5" s="13">
        <f t="shared" si="11"/>
        <v>47964</v>
      </c>
      <c r="O5" s="14">
        <f t="shared" si="6"/>
        <v>29.15519973</v>
      </c>
      <c r="P5" s="13">
        <f t="shared" ref="P5:Q5" si="12">+SUM(G166:G200)</f>
        <v>4268</v>
      </c>
      <c r="Q5" s="13">
        <f t="shared" si="12"/>
        <v>50170</v>
      </c>
      <c r="R5" s="14">
        <f t="shared" si="8"/>
        <v>8.507075942</v>
      </c>
    </row>
    <row r="6" ht="15.75" customHeight="1">
      <c r="A6" s="15">
        <v>10202.0</v>
      </c>
      <c r="B6" s="16" t="s">
        <v>10</v>
      </c>
      <c r="C6" s="16" t="s">
        <v>18</v>
      </c>
      <c r="D6" s="13">
        <v>264.0</v>
      </c>
      <c r="E6" s="13">
        <v>966.0</v>
      </c>
      <c r="F6" s="14">
        <f t="shared" si="3"/>
        <v>27.32919255</v>
      </c>
      <c r="G6" s="13">
        <v>188.0</v>
      </c>
      <c r="H6" s="13">
        <v>1701.0</v>
      </c>
      <c r="I6" s="14">
        <f t="shared" si="4"/>
        <v>11.05232216</v>
      </c>
      <c r="K6" s="11">
        <v>5.0</v>
      </c>
      <c r="L6" s="12" t="s">
        <v>19</v>
      </c>
      <c r="M6" s="13">
        <f t="shared" ref="M6:N6" si="13">+SUM(D201:D242)</f>
        <v>20796</v>
      </c>
      <c r="N6" s="13">
        <f t="shared" si="13"/>
        <v>75474</v>
      </c>
      <c r="O6" s="14">
        <f t="shared" si="6"/>
        <v>27.55385961</v>
      </c>
      <c r="P6" s="13">
        <f t="shared" ref="P6:Q6" si="14">+SUM(G201:G242)</f>
        <v>8262</v>
      </c>
      <c r="Q6" s="13">
        <f t="shared" si="14"/>
        <v>73689</v>
      </c>
      <c r="R6" s="14">
        <f t="shared" si="8"/>
        <v>11.21198551</v>
      </c>
    </row>
    <row r="7" ht="15.75" customHeight="1">
      <c r="A7" s="15">
        <v>10301.0</v>
      </c>
      <c r="B7" s="16" t="s">
        <v>10</v>
      </c>
      <c r="C7" s="16" t="s">
        <v>20</v>
      </c>
      <c r="D7" s="13">
        <v>351.0</v>
      </c>
      <c r="E7" s="13">
        <v>1100.0</v>
      </c>
      <c r="F7" s="14">
        <f t="shared" si="3"/>
        <v>31.90909091</v>
      </c>
      <c r="G7" s="13">
        <v>155.0</v>
      </c>
      <c r="H7" s="13">
        <v>1235.0</v>
      </c>
      <c r="I7" s="14">
        <f t="shared" si="4"/>
        <v>12.55060729</v>
      </c>
      <c r="K7" s="11">
        <v>6.0</v>
      </c>
      <c r="L7" s="12" t="s">
        <v>21</v>
      </c>
      <c r="M7" s="13">
        <f t="shared" ref="M7:N7" si="15">+SUM(D243:D253)</f>
        <v>13573</v>
      </c>
      <c r="N7" s="13">
        <f t="shared" si="15"/>
        <v>49819</v>
      </c>
      <c r="O7" s="14">
        <f t="shared" si="6"/>
        <v>27.24462554</v>
      </c>
      <c r="P7" s="13">
        <f t="shared" ref="P7:Q7" si="16">+SUM(G243:G253)</f>
        <v>4088</v>
      </c>
      <c r="Q7" s="13">
        <f t="shared" si="16"/>
        <v>42640</v>
      </c>
      <c r="R7" s="14">
        <f t="shared" si="8"/>
        <v>9.587242026</v>
      </c>
    </row>
    <row r="8" ht="15.75" customHeight="1">
      <c r="A8" s="15">
        <v>10302.0</v>
      </c>
      <c r="B8" s="16" t="s">
        <v>10</v>
      </c>
      <c r="C8" s="16" t="s">
        <v>22</v>
      </c>
      <c r="D8" s="13">
        <v>377.0</v>
      </c>
      <c r="E8" s="13">
        <v>1093.0</v>
      </c>
      <c r="F8" s="14">
        <f t="shared" si="3"/>
        <v>34.49222324</v>
      </c>
      <c r="G8" s="13">
        <v>156.0</v>
      </c>
      <c r="H8" s="13">
        <v>1159.0</v>
      </c>
      <c r="I8" s="14">
        <f t="shared" si="4"/>
        <v>13.45987921</v>
      </c>
      <c r="K8" s="11">
        <v>7.0</v>
      </c>
      <c r="L8" s="12" t="s">
        <v>23</v>
      </c>
      <c r="M8" s="13">
        <f t="shared" ref="M8:N8" si="17">+SUM(D254:D309)</f>
        <v>83856</v>
      </c>
      <c r="N8" s="13">
        <f t="shared" si="17"/>
        <v>291306</v>
      </c>
      <c r="O8" s="14">
        <f t="shared" si="6"/>
        <v>28.78622479</v>
      </c>
      <c r="P8" s="13">
        <f t="shared" ref="P8:Q8" si="18">+SUM(G254:G309)</f>
        <v>33202</v>
      </c>
      <c r="Q8" s="13">
        <f t="shared" si="18"/>
        <v>275992</v>
      </c>
      <c r="R8" s="14">
        <f t="shared" si="8"/>
        <v>12.03005884</v>
      </c>
    </row>
    <row r="9" ht="15.75" customHeight="1">
      <c r="A9" s="15">
        <v>10303.0</v>
      </c>
      <c r="B9" s="16" t="s">
        <v>10</v>
      </c>
      <c r="C9" s="16" t="s">
        <v>24</v>
      </c>
      <c r="D9" s="13">
        <v>159.0</v>
      </c>
      <c r="E9" s="13">
        <v>667.0</v>
      </c>
      <c r="F9" s="14">
        <f t="shared" si="3"/>
        <v>23.83808096</v>
      </c>
      <c r="G9" s="13">
        <v>86.0</v>
      </c>
      <c r="H9" s="13">
        <v>759.0</v>
      </c>
      <c r="I9" s="14">
        <f t="shared" si="4"/>
        <v>11.33069829</v>
      </c>
      <c r="K9" s="11">
        <v>8.0</v>
      </c>
      <c r="L9" s="12" t="s">
        <v>25</v>
      </c>
      <c r="M9" s="13">
        <f t="shared" ref="M9:N9" si="19">+SUM(D310:D329)</f>
        <v>13196</v>
      </c>
      <c r="N9" s="13">
        <f t="shared" si="19"/>
        <v>43310</v>
      </c>
      <c r="O9" s="14">
        <f t="shared" si="6"/>
        <v>30.46871392</v>
      </c>
      <c r="P9" s="13">
        <f t="shared" ref="P9:Q9" si="20">+SUM(G310:G329)</f>
        <v>5896</v>
      </c>
      <c r="Q9" s="13">
        <f t="shared" si="20"/>
        <v>43480</v>
      </c>
      <c r="R9" s="14">
        <f t="shared" si="8"/>
        <v>13.56025759</v>
      </c>
    </row>
    <row r="10" ht="15.75" customHeight="1">
      <c r="A10" s="15">
        <v>10304.0</v>
      </c>
      <c r="B10" s="16" t="s">
        <v>10</v>
      </c>
      <c r="C10" s="16" t="s">
        <v>26</v>
      </c>
      <c r="D10" s="13">
        <v>166.0</v>
      </c>
      <c r="E10" s="13">
        <v>579.0</v>
      </c>
      <c r="F10" s="14">
        <f t="shared" si="3"/>
        <v>28.6701209</v>
      </c>
      <c r="G10" s="13">
        <v>122.0</v>
      </c>
      <c r="H10" s="13">
        <v>887.0</v>
      </c>
      <c r="I10" s="14">
        <f t="shared" si="4"/>
        <v>13.75422773</v>
      </c>
      <c r="K10" s="11">
        <v>9.0</v>
      </c>
      <c r="L10" s="12" t="s">
        <v>27</v>
      </c>
      <c r="M10" s="13">
        <f t="shared" ref="M10:N10" si="21">+SUM(D330:D344)</f>
        <v>3731</v>
      </c>
      <c r="N10" s="13">
        <f t="shared" si="21"/>
        <v>10980</v>
      </c>
      <c r="O10" s="14">
        <f t="shared" si="6"/>
        <v>33.97996357</v>
      </c>
      <c r="P10" s="13">
        <f t="shared" ref="P10:Q10" si="22">+SUM(G330:G344)</f>
        <v>1771</v>
      </c>
      <c r="Q10" s="13">
        <f t="shared" si="22"/>
        <v>12441</v>
      </c>
      <c r="R10" s="14">
        <f t="shared" si="8"/>
        <v>14.2351901</v>
      </c>
    </row>
    <row r="11" ht="15.75" customHeight="1">
      <c r="A11" s="15">
        <v>10401.0</v>
      </c>
      <c r="B11" s="16" t="s">
        <v>10</v>
      </c>
      <c r="C11" s="16" t="s">
        <v>28</v>
      </c>
      <c r="D11" s="13">
        <v>188.0</v>
      </c>
      <c r="E11" s="13">
        <v>811.0</v>
      </c>
      <c r="F11" s="14">
        <f t="shared" si="3"/>
        <v>23.18125771</v>
      </c>
      <c r="G11" s="13">
        <v>83.0</v>
      </c>
      <c r="H11" s="13">
        <v>707.0</v>
      </c>
      <c r="I11" s="14">
        <f t="shared" si="4"/>
        <v>11.7397454</v>
      </c>
      <c r="K11" s="11">
        <v>10.0</v>
      </c>
      <c r="L11" s="12" t="s">
        <v>29</v>
      </c>
      <c r="M11" s="13">
        <v>3854.0</v>
      </c>
      <c r="N11" s="13">
        <v>14329.0</v>
      </c>
      <c r="O11" s="14">
        <v>26.89650359410985</v>
      </c>
      <c r="P11" s="13">
        <v>1599.0</v>
      </c>
      <c r="Q11" s="13">
        <v>12241.0</v>
      </c>
      <c r="R11" s="14">
        <v>13.062658279552325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ht="15.75" customHeight="1">
      <c r="A12" s="15">
        <v>10402.0</v>
      </c>
      <c r="B12" s="16" t="s">
        <v>10</v>
      </c>
      <c r="C12" s="16" t="s">
        <v>30</v>
      </c>
      <c r="D12" s="13">
        <v>217.0</v>
      </c>
      <c r="E12" s="13">
        <v>711.0</v>
      </c>
      <c r="F12" s="14">
        <f t="shared" si="3"/>
        <v>30.52039381</v>
      </c>
      <c r="G12" s="13">
        <v>100.0</v>
      </c>
      <c r="H12" s="13">
        <v>795.0</v>
      </c>
      <c r="I12" s="14">
        <f t="shared" si="4"/>
        <v>12.57861635</v>
      </c>
      <c r="K12" s="11">
        <v>11.0</v>
      </c>
      <c r="L12" s="12" t="s">
        <v>31</v>
      </c>
      <c r="M12" s="13">
        <f t="shared" ref="M12:N12" si="23">SUM(M1:M10)</f>
        <v>277058</v>
      </c>
      <c r="N12" s="13">
        <f t="shared" si="23"/>
        <v>1032587</v>
      </c>
      <c r="O12" s="14">
        <f>(M12/N12)*100</f>
        <v>26.83144374</v>
      </c>
      <c r="P12" s="13">
        <f t="shared" ref="P12:Q12" si="24">SUM(P1:P10)</f>
        <v>98059</v>
      </c>
      <c r="Q12" s="13">
        <f t="shared" si="24"/>
        <v>1003326</v>
      </c>
      <c r="R12" s="14">
        <f>(P12/Q12)*100</f>
        <v>9.773393693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ht="15.75" customHeight="1">
      <c r="A13" s="15">
        <v>10403.0</v>
      </c>
      <c r="B13" s="16" t="s">
        <v>10</v>
      </c>
      <c r="C13" s="16" t="s">
        <v>32</v>
      </c>
      <c r="D13" s="13">
        <v>193.0</v>
      </c>
      <c r="E13" s="13">
        <v>543.0</v>
      </c>
      <c r="F13" s="14">
        <f t="shared" si="3"/>
        <v>35.54327808</v>
      </c>
      <c r="G13" s="13">
        <v>99.0</v>
      </c>
      <c r="H13" s="13">
        <v>619.0</v>
      </c>
      <c r="I13" s="14">
        <f t="shared" si="4"/>
        <v>15.99353796</v>
      </c>
      <c r="K13" s="17" t="s">
        <v>33</v>
      </c>
      <c r="L13" s="18">
        <f>AVERAGE(F2:F344)</f>
        <v>25.29363224</v>
      </c>
    </row>
    <row r="14" ht="15.75" customHeight="1">
      <c r="A14" s="15">
        <v>10404.0</v>
      </c>
      <c r="B14" s="16" t="s">
        <v>10</v>
      </c>
      <c r="C14" s="16" t="s">
        <v>34</v>
      </c>
      <c r="D14" s="13">
        <v>126.0</v>
      </c>
      <c r="E14" s="13">
        <v>449.0</v>
      </c>
      <c r="F14" s="14">
        <f t="shared" si="3"/>
        <v>28.0623608</v>
      </c>
      <c r="G14" s="13">
        <v>33.0</v>
      </c>
      <c r="H14" s="13">
        <v>275.0</v>
      </c>
      <c r="I14" s="14">
        <f t="shared" si="4"/>
        <v>12</v>
      </c>
      <c r="K14" s="17" t="s">
        <v>35</v>
      </c>
      <c r="L14" s="18">
        <f>STDEV(F2:F344)</f>
        <v>8.736255329</v>
      </c>
      <c r="N14" s="19"/>
      <c r="O14" s="20"/>
      <c r="P14" s="20"/>
      <c r="Q14" s="19"/>
    </row>
    <row r="15" ht="15.75" customHeight="1">
      <c r="A15" s="15">
        <v>10405.0</v>
      </c>
      <c r="B15" s="16" t="s">
        <v>10</v>
      </c>
      <c r="C15" s="16" t="s">
        <v>36</v>
      </c>
      <c r="D15" s="13">
        <v>91.0</v>
      </c>
      <c r="E15" s="13">
        <v>376.0</v>
      </c>
      <c r="F15" s="14">
        <f t="shared" si="3"/>
        <v>24.20212766</v>
      </c>
      <c r="G15" s="13">
        <v>68.0</v>
      </c>
      <c r="H15" s="13">
        <v>450.0</v>
      </c>
      <c r="I15" s="14">
        <f t="shared" si="4"/>
        <v>15.11111111</v>
      </c>
      <c r="N15" s="19"/>
      <c r="O15" s="19"/>
      <c r="P15" s="19"/>
      <c r="Q15" s="19"/>
      <c r="R15" s="19"/>
      <c r="S15" s="19"/>
    </row>
    <row r="16" ht="15.75" customHeight="1">
      <c r="A16" s="15">
        <v>10501.0</v>
      </c>
      <c r="B16" s="16" t="s">
        <v>10</v>
      </c>
      <c r="C16" s="16" t="s">
        <v>37</v>
      </c>
      <c r="D16" s="13">
        <v>552.0</v>
      </c>
      <c r="E16" s="13">
        <v>2190.0</v>
      </c>
      <c r="F16" s="14">
        <f t="shared" si="3"/>
        <v>25.20547945</v>
      </c>
      <c r="G16" s="13">
        <v>172.0</v>
      </c>
      <c r="H16" s="13">
        <v>1844.0</v>
      </c>
      <c r="I16" s="14">
        <f t="shared" si="4"/>
        <v>9.327548807</v>
      </c>
      <c r="K16" s="17" t="s">
        <v>38</v>
      </c>
      <c r="L16" s="18">
        <f>MAX(F2:F344)</f>
        <v>50.58139535</v>
      </c>
      <c r="N16" s="19"/>
      <c r="O16" s="20"/>
      <c r="P16" s="20"/>
      <c r="Q16" s="19"/>
    </row>
    <row r="17" ht="15.75" customHeight="1">
      <c r="A17" s="15">
        <v>10502.0</v>
      </c>
      <c r="B17" s="16" t="s">
        <v>10</v>
      </c>
      <c r="C17" s="16" t="s">
        <v>39</v>
      </c>
      <c r="D17" s="13">
        <v>177.0</v>
      </c>
      <c r="E17" s="13">
        <v>576.0</v>
      </c>
      <c r="F17" s="14">
        <f t="shared" si="3"/>
        <v>30.72916667</v>
      </c>
      <c r="G17" s="13">
        <v>70.0</v>
      </c>
      <c r="H17" s="13">
        <v>421.0</v>
      </c>
      <c r="I17" s="14">
        <f t="shared" si="4"/>
        <v>16.62707838</v>
      </c>
      <c r="K17" s="17" t="s">
        <v>40</v>
      </c>
      <c r="L17" s="18">
        <f>MIN(F2:F344)</f>
        <v>4.573804574</v>
      </c>
      <c r="N17" s="19"/>
      <c r="O17" s="20"/>
      <c r="P17" s="20"/>
      <c r="Q17" s="19"/>
    </row>
    <row r="18" ht="15.75" customHeight="1">
      <c r="A18" s="15">
        <v>10601.0</v>
      </c>
      <c r="B18" s="16" t="s">
        <v>10</v>
      </c>
      <c r="C18" s="16" t="s">
        <v>41</v>
      </c>
      <c r="D18" s="13">
        <v>354.0</v>
      </c>
      <c r="E18" s="13">
        <v>1190.0</v>
      </c>
      <c r="F18" s="14">
        <f t="shared" si="3"/>
        <v>29.74789916</v>
      </c>
      <c r="G18" s="13">
        <v>126.0</v>
      </c>
      <c r="H18" s="13">
        <v>1178.0</v>
      </c>
      <c r="I18" s="14">
        <f t="shared" si="4"/>
        <v>10.69609508</v>
      </c>
      <c r="N18" s="19"/>
      <c r="O18" s="20"/>
      <c r="P18" s="20"/>
      <c r="Q18" s="19"/>
    </row>
    <row r="19" ht="15.75" customHeight="1">
      <c r="A19" s="15">
        <v>10602.0</v>
      </c>
      <c r="B19" s="16" t="s">
        <v>10</v>
      </c>
      <c r="C19" s="16" t="s">
        <v>42</v>
      </c>
      <c r="D19" s="13">
        <v>200.0</v>
      </c>
      <c r="E19" s="13">
        <v>676.0</v>
      </c>
      <c r="F19" s="14">
        <f t="shared" si="3"/>
        <v>29.58579882</v>
      </c>
      <c r="G19" s="13">
        <v>60.0</v>
      </c>
      <c r="H19" s="13">
        <v>613.0</v>
      </c>
      <c r="I19" s="14">
        <f t="shared" si="4"/>
        <v>9.787928222</v>
      </c>
      <c r="N19" s="19"/>
      <c r="O19" s="20"/>
      <c r="P19" s="20"/>
      <c r="Q19" s="19"/>
    </row>
    <row r="20" ht="15.75" customHeight="1">
      <c r="A20" s="15">
        <v>10701.0</v>
      </c>
      <c r="B20" s="16" t="s">
        <v>10</v>
      </c>
      <c r="C20" s="16" t="s">
        <v>43</v>
      </c>
      <c r="D20" s="13">
        <v>397.0</v>
      </c>
      <c r="E20" s="13">
        <v>1284.0</v>
      </c>
      <c r="F20" s="14">
        <f t="shared" si="3"/>
        <v>30.91900312</v>
      </c>
      <c r="G20" s="13">
        <v>89.0</v>
      </c>
      <c r="H20" s="13">
        <v>1113.0</v>
      </c>
      <c r="I20" s="14">
        <f t="shared" si="4"/>
        <v>7.99640611</v>
      </c>
      <c r="L20" s="18">
        <f>L13-L14</f>
        <v>16.55737691</v>
      </c>
      <c r="N20" s="19"/>
      <c r="O20" s="20"/>
      <c r="P20" s="20"/>
      <c r="Q20" s="19"/>
    </row>
    <row r="21" ht="15.75" customHeight="1">
      <c r="A21" s="15">
        <v>10702.0</v>
      </c>
      <c r="B21" s="16" t="s">
        <v>10</v>
      </c>
      <c r="C21" s="16" t="s">
        <v>44</v>
      </c>
      <c r="D21" s="13">
        <v>624.0</v>
      </c>
      <c r="E21" s="13">
        <v>2531.0</v>
      </c>
      <c r="F21" s="14">
        <f t="shared" si="3"/>
        <v>24.65428684</v>
      </c>
      <c r="G21" s="13">
        <v>265.0</v>
      </c>
      <c r="H21" s="13">
        <v>2328.0</v>
      </c>
      <c r="I21" s="14">
        <f t="shared" si="4"/>
        <v>11.38316151</v>
      </c>
      <c r="L21" s="18">
        <f>L13</f>
        <v>25.29363224</v>
      </c>
      <c r="N21" s="19"/>
      <c r="O21" s="20"/>
      <c r="P21" s="20"/>
      <c r="Q21" s="19"/>
    </row>
    <row r="22" ht="15.75" customHeight="1">
      <c r="A22" s="15">
        <v>10703.0</v>
      </c>
      <c r="B22" s="16" t="s">
        <v>10</v>
      </c>
      <c r="C22" s="16" t="s">
        <v>45</v>
      </c>
      <c r="D22" s="13">
        <v>404.0</v>
      </c>
      <c r="E22" s="13">
        <v>1245.0</v>
      </c>
      <c r="F22" s="14">
        <f t="shared" si="3"/>
        <v>32.4497992</v>
      </c>
      <c r="G22" s="13">
        <v>194.0</v>
      </c>
      <c r="H22" s="13">
        <v>1494.0</v>
      </c>
      <c r="I22" s="14">
        <f t="shared" si="4"/>
        <v>12.98527443</v>
      </c>
      <c r="L22" s="18">
        <f>L13+L14</f>
        <v>34.02988757</v>
      </c>
      <c r="N22" s="19"/>
      <c r="O22" s="20"/>
      <c r="P22" s="20"/>
      <c r="Q22" s="19"/>
    </row>
    <row r="23" ht="15.75" customHeight="1">
      <c r="A23" s="15">
        <v>10704.0</v>
      </c>
      <c r="B23" s="16" t="s">
        <v>10</v>
      </c>
      <c r="C23" s="16" t="s">
        <v>46</v>
      </c>
      <c r="D23" s="13">
        <v>572.0</v>
      </c>
      <c r="E23" s="13">
        <v>1501.0</v>
      </c>
      <c r="F23" s="14">
        <f t="shared" si="3"/>
        <v>38.10792805</v>
      </c>
      <c r="G23" s="13">
        <v>199.0</v>
      </c>
      <c r="H23" s="13">
        <v>1483.0</v>
      </c>
      <c r="I23" s="14">
        <f t="shared" si="4"/>
        <v>13.41874579</v>
      </c>
      <c r="P23" s="19"/>
      <c r="Q23" s="19"/>
    </row>
    <row r="24" ht="15.75" customHeight="1">
      <c r="A24" s="15">
        <v>10801.0</v>
      </c>
      <c r="B24" s="16" t="s">
        <v>10</v>
      </c>
      <c r="C24" s="16" t="s">
        <v>47</v>
      </c>
      <c r="D24" s="13">
        <v>273.0</v>
      </c>
      <c r="E24" s="13">
        <v>962.0</v>
      </c>
      <c r="F24" s="14">
        <f t="shared" si="3"/>
        <v>28.37837838</v>
      </c>
      <c r="G24" s="13">
        <v>71.0</v>
      </c>
      <c r="H24" s="13">
        <v>689.0</v>
      </c>
      <c r="I24" s="14">
        <f t="shared" si="4"/>
        <v>10.30478955</v>
      </c>
      <c r="P24" s="19"/>
      <c r="Q24" s="19"/>
    </row>
    <row r="25" ht="15.75" customHeight="1">
      <c r="A25" s="15">
        <v>10901.0</v>
      </c>
      <c r="B25" s="16" t="s">
        <v>10</v>
      </c>
      <c r="C25" s="16" t="s">
        <v>48</v>
      </c>
      <c r="D25" s="13">
        <v>97.0</v>
      </c>
      <c r="E25" s="13">
        <v>314.0</v>
      </c>
      <c r="F25" s="14">
        <f t="shared" si="3"/>
        <v>30.89171975</v>
      </c>
      <c r="G25" s="13">
        <v>65.0</v>
      </c>
      <c r="H25" s="13">
        <v>452.0</v>
      </c>
      <c r="I25" s="14">
        <f t="shared" si="4"/>
        <v>14.38053097</v>
      </c>
      <c r="P25" s="19"/>
      <c r="Q25" s="19"/>
    </row>
    <row r="26" ht="15.75" customHeight="1">
      <c r="A26" s="15">
        <v>10902.0</v>
      </c>
      <c r="B26" s="16" t="s">
        <v>10</v>
      </c>
      <c r="C26" s="16" t="s">
        <v>49</v>
      </c>
      <c r="D26" s="13">
        <v>463.0</v>
      </c>
      <c r="E26" s="13">
        <v>1466.0</v>
      </c>
      <c r="F26" s="14">
        <f t="shared" si="3"/>
        <v>31.58253752</v>
      </c>
      <c r="G26" s="13">
        <v>139.0</v>
      </c>
      <c r="H26" s="13">
        <v>1224.0</v>
      </c>
      <c r="I26" s="14">
        <f t="shared" si="4"/>
        <v>11.35620915</v>
      </c>
      <c r="P26" s="19"/>
      <c r="Q26" s="19"/>
    </row>
    <row r="27" ht="15.75" customHeight="1">
      <c r="A27" s="15">
        <v>10903.0</v>
      </c>
      <c r="B27" s="16" t="s">
        <v>10</v>
      </c>
      <c r="C27" s="16" t="s">
        <v>50</v>
      </c>
      <c r="D27" s="13">
        <v>91.0</v>
      </c>
      <c r="E27" s="13">
        <v>321.0</v>
      </c>
      <c r="F27" s="14">
        <f t="shared" si="3"/>
        <v>28.34890966</v>
      </c>
      <c r="G27" s="13">
        <v>57.0</v>
      </c>
      <c r="H27" s="13">
        <v>352.0</v>
      </c>
      <c r="I27" s="14">
        <f t="shared" si="4"/>
        <v>16.19318182</v>
      </c>
      <c r="P27" s="19"/>
      <c r="Q27" s="19"/>
    </row>
    <row r="28" ht="15.75" customHeight="1">
      <c r="A28" s="15">
        <v>11001.0</v>
      </c>
      <c r="B28" s="16" t="s">
        <v>10</v>
      </c>
      <c r="C28" s="16" t="s">
        <v>51</v>
      </c>
      <c r="D28" s="13">
        <v>280.0</v>
      </c>
      <c r="E28" s="13">
        <v>815.0</v>
      </c>
      <c r="F28" s="14">
        <f t="shared" si="3"/>
        <v>34.35582822</v>
      </c>
      <c r="G28" s="13">
        <v>120.0</v>
      </c>
      <c r="H28" s="13">
        <v>1246.0</v>
      </c>
      <c r="I28" s="14">
        <f t="shared" si="4"/>
        <v>9.63081862</v>
      </c>
      <c r="P28" s="19"/>
      <c r="Q28" s="19"/>
    </row>
    <row r="29" ht="15.75" customHeight="1">
      <c r="A29" s="15">
        <v>11002.0</v>
      </c>
      <c r="B29" s="16" t="s">
        <v>10</v>
      </c>
      <c r="C29" s="16" t="s">
        <v>52</v>
      </c>
      <c r="D29" s="13">
        <v>62.0</v>
      </c>
      <c r="E29" s="13">
        <v>204.0</v>
      </c>
      <c r="F29" s="14">
        <f t="shared" si="3"/>
        <v>30.39215686</v>
      </c>
      <c r="G29" s="13">
        <v>29.0</v>
      </c>
      <c r="H29" s="13">
        <v>207.0</v>
      </c>
      <c r="I29" s="14">
        <f t="shared" si="4"/>
        <v>14.00966184</v>
      </c>
      <c r="P29" s="19"/>
      <c r="Q29" s="19"/>
    </row>
    <row r="30" ht="15.75" customHeight="1">
      <c r="A30" s="15">
        <v>11003.0</v>
      </c>
      <c r="B30" s="16" t="s">
        <v>10</v>
      </c>
      <c r="C30" s="16" t="s">
        <v>53</v>
      </c>
      <c r="D30" s="13">
        <v>188.0</v>
      </c>
      <c r="E30" s="13">
        <v>607.0</v>
      </c>
      <c r="F30" s="14">
        <f t="shared" si="3"/>
        <v>30.97199341</v>
      </c>
      <c r="G30" s="13">
        <v>96.0</v>
      </c>
      <c r="H30" s="13">
        <v>624.0</v>
      </c>
      <c r="I30" s="14">
        <f t="shared" si="4"/>
        <v>15.38461538</v>
      </c>
      <c r="P30" s="19"/>
      <c r="Q30" s="19"/>
    </row>
    <row r="31" ht="15.75" customHeight="1">
      <c r="A31" s="15">
        <v>20101.0</v>
      </c>
      <c r="B31" s="16" t="s">
        <v>13</v>
      </c>
      <c r="C31" s="16" t="s">
        <v>54</v>
      </c>
      <c r="D31" s="13">
        <v>20176.0</v>
      </c>
      <c r="E31" s="13">
        <v>74625.0</v>
      </c>
      <c r="F31" s="14">
        <f t="shared" si="3"/>
        <v>27.03651591</v>
      </c>
      <c r="G31" s="13">
        <v>3096.0</v>
      </c>
      <c r="H31" s="13">
        <v>61395.0</v>
      </c>
      <c r="I31" s="14">
        <f t="shared" si="4"/>
        <v>5.042755925</v>
      </c>
      <c r="P31" s="19"/>
      <c r="Q31" s="19"/>
    </row>
    <row r="32" ht="15.75" customHeight="1">
      <c r="A32" s="15">
        <v>20102.0</v>
      </c>
      <c r="B32" s="16" t="s">
        <v>13</v>
      </c>
      <c r="C32" s="16" t="s">
        <v>55</v>
      </c>
      <c r="D32" s="13">
        <v>255.0</v>
      </c>
      <c r="E32" s="13">
        <v>1510.0</v>
      </c>
      <c r="F32" s="14">
        <f t="shared" si="3"/>
        <v>16.88741722</v>
      </c>
      <c r="G32" s="13">
        <v>151.0</v>
      </c>
      <c r="H32" s="13">
        <v>1885.0</v>
      </c>
      <c r="I32" s="14">
        <f t="shared" si="4"/>
        <v>8.01061008</v>
      </c>
      <c r="P32" s="19"/>
      <c r="Q32" s="19"/>
    </row>
    <row r="33" ht="15.75" customHeight="1">
      <c r="A33" s="15">
        <v>20103.0</v>
      </c>
      <c r="B33" s="16" t="s">
        <v>13</v>
      </c>
      <c r="C33" s="16" t="s">
        <v>56</v>
      </c>
      <c r="D33" s="13">
        <v>160.0</v>
      </c>
      <c r="E33" s="13">
        <v>1423.0</v>
      </c>
      <c r="F33" s="14">
        <f t="shared" si="3"/>
        <v>11.24385102</v>
      </c>
      <c r="G33" s="13">
        <v>81.0</v>
      </c>
      <c r="H33" s="13">
        <v>1523.0</v>
      </c>
      <c r="I33" s="14">
        <f t="shared" si="4"/>
        <v>5.318450427</v>
      </c>
      <c r="P33" s="19"/>
      <c r="Q33" s="19"/>
    </row>
    <row r="34" ht="15.75" customHeight="1">
      <c r="A34" s="15">
        <v>20104.0</v>
      </c>
      <c r="B34" s="16" t="s">
        <v>13</v>
      </c>
      <c r="C34" s="16" t="s">
        <v>57</v>
      </c>
      <c r="D34" s="13">
        <v>395.0</v>
      </c>
      <c r="E34" s="13">
        <v>2121.0</v>
      </c>
      <c r="F34" s="14">
        <f t="shared" si="3"/>
        <v>18.6232909</v>
      </c>
      <c r="G34" s="13">
        <v>328.0</v>
      </c>
      <c r="H34" s="13">
        <v>3974.0</v>
      </c>
      <c r="I34" s="14">
        <f t="shared" si="4"/>
        <v>8.253648717</v>
      </c>
      <c r="P34" s="19"/>
      <c r="Q34" s="19"/>
    </row>
    <row r="35" ht="15.75" customHeight="1">
      <c r="A35" s="15">
        <v>20105.0</v>
      </c>
      <c r="B35" s="16" t="s">
        <v>13</v>
      </c>
      <c r="C35" s="16" t="s">
        <v>58</v>
      </c>
      <c r="D35" s="13">
        <v>23354.0</v>
      </c>
      <c r="E35" s="13">
        <v>94333.0</v>
      </c>
      <c r="F35" s="14">
        <f t="shared" si="3"/>
        <v>24.75697794</v>
      </c>
      <c r="G35" s="13">
        <v>6446.0</v>
      </c>
      <c r="H35" s="13">
        <v>89551.0</v>
      </c>
      <c r="I35" s="14">
        <f t="shared" si="4"/>
        <v>7.198132908</v>
      </c>
      <c r="P35" s="19"/>
      <c r="Q35" s="19"/>
    </row>
    <row r="36" ht="15.75" customHeight="1">
      <c r="A36" s="15">
        <v>20201.0</v>
      </c>
      <c r="B36" s="16" t="s">
        <v>13</v>
      </c>
      <c r="C36" s="16" t="s">
        <v>59</v>
      </c>
      <c r="D36" s="13">
        <v>684.0</v>
      </c>
      <c r="E36" s="13">
        <v>4365.0</v>
      </c>
      <c r="F36" s="14">
        <f t="shared" si="3"/>
        <v>15.67010309</v>
      </c>
      <c r="G36" s="13">
        <v>214.0</v>
      </c>
      <c r="H36" s="13">
        <v>3628.0</v>
      </c>
      <c r="I36" s="14">
        <f t="shared" si="4"/>
        <v>5.898566703</v>
      </c>
      <c r="P36" s="19"/>
      <c r="Q36" s="19"/>
    </row>
    <row r="37" ht="15.75" customHeight="1">
      <c r="A37" s="15">
        <v>20202.0</v>
      </c>
      <c r="B37" s="16" t="s">
        <v>13</v>
      </c>
      <c r="C37" s="16" t="s">
        <v>60</v>
      </c>
      <c r="D37" s="13">
        <v>101.0</v>
      </c>
      <c r="E37" s="13">
        <v>1095.0</v>
      </c>
      <c r="F37" s="14">
        <f t="shared" si="3"/>
        <v>9.223744292</v>
      </c>
      <c r="G37" s="13">
        <v>79.0</v>
      </c>
      <c r="H37" s="13">
        <v>1097.0</v>
      </c>
      <c r="I37" s="14">
        <f t="shared" si="4"/>
        <v>7.201458523</v>
      </c>
      <c r="P37" s="19"/>
      <c r="Q37" s="19"/>
    </row>
    <row r="38" ht="15.75" customHeight="1">
      <c r="A38" s="15">
        <v>20203.0</v>
      </c>
      <c r="B38" s="16" t="s">
        <v>13</v>
      </c>
      <c r="C38" s="16" t="s">
        <v>61</v>
      </c>
      <c r="D38" s="13">
        <v>76.0</v>
      </c>
      <c r="E38" s="13">
        <v>628.0</v>
      </c>
      <c r="F38" s="14">
        <f t="shared" si="3"/>
        <v>12.10191083</v>
      </c>
      <c r="G38" s="13">
        <v>48.0</v>
      </c>
      <c r="H38" s="13">
        <v>530.0</v>
      </c>
      <c r="I38" s="14">
        <f t="shared" si="4"/>
        <v>9.056603774</v>
      </c>
      <c r="P38" s="19"/>
      <c r="Q38" s="19"/>
    </row>
    <row r="39" ht="15.75" customHeight="1">
      <c r="A39" s="15">
        <v>20204.0</v>
      </c>
      <c r="B39" s="16" t="s">
        <v>13</v>
      </c>
      <c r="C39" s="16" t="s">
        <v>62</v>
      </c>
      <c r="D39" s="13">
        <v>131.0</v>
      </c>
      <c r="E39" s="13">
        <v>634.0</v>
      </c>
      <c r="F39" s="14">
        <f t="shared" si="3"/>
        <v>20.66246057</v>
      </c>
      <c r="G39" s="13">
        <v>26.0</v>
      </c>
      <c r="H39" s="13">
        <v>529.0</v>
      </c>
      <c r="I39" s="14">
        <f t="shared" si="4"/>
        <v>4.914933837</v>
      </c>
      <c r="P39" s="19"/>
      <c r="Q39" s="19"/>
    </row>
    <row r="40" ht="15.75" customHeight="1">
      <c r="A40" s="15">
        <v>20205.0</v>
      </c>
      <c r="B40" s="16" t="s">
        <v>13</v>
      </c>
      <c r="C40" s="16" t="s">
        <v>63</v>
      </c>
      <c r="D40" s="13">
        <v>83.0</v>
      </c>
      <c r="E40" s="13">
        <v>284.0</v>
      </c>
      <c r="F40" s="14">
        <f t="shared" si="3"/>
        <v>29.22535211</v>
      </c>
      <c r="G40" s="13">
        <v>36.0</v>
      </c>
      <c r="H40" s="13">
        <v>573.0</v>
      </c>
      <c r="I40" s="14">
        <f t="shared" si="4"/>
        <v>6.282722513</v>
      </c>
      <c r="P40" s="19"/>
      <c r="Q40" s="19"/>
    </row>
    <row r="41" ht="15.75" customHeight="1">
      <c r="A41" s="15">
        <v>20206.0</v>
      </c>
      <c r="B41" s="16" t="s">
        <v>13</v>
      </c>
      <c r="C41" s="16" t="s">
        <v>64</v>
      </c>
      <c r="D41" s="13">
        <v>76.0</v>
      </c>
      <c r="E41" s="13">
        <v>372.0</v>
      </c>
      <c r="F41" s="14">
        <f t="shared" si="3"/>
        <v>20.43010753</v>
      </c>
      <c r="G41" s="13">
        <v>15.0</v>
      </c>
      <c r="H41" s="13">
        <v>315.0</v>
      </c>
      <c r="I41" s="14">
        <f t="shared" si="4"/>
        <v>4.761904762</v>
      </c>
      <c r="P41" s="19"/>
      <c r="Q41" s="19"/>
    </row>
    <row r="42" ht="15.75" customHeight="1">
      <c r="A42" s="15">
        <v>20301.0</v>
      </c>
      <c r="B42" s="16" t="s">
        <v>13</v>
      </c>
      <c r="C42" s="16" t="s">
        <v>65</v>
      </c>
      <c r="D42" s="13">
        <v>101.0</v>
      </c>
      <c r="E42" s="13">
        <v>810.0</v>
      </c>
      <c r="F42" s="14">
        <f t="shared" si="3"/>
        <v>12.4691358</v>
      </c>
      <c r="G42" s="13">
        <v>53.0</v>
      </c>
      <c r="H42" s="13">
        <v>927.0</v>
      </c>
      <c r="I42" s="14">
        <f t="shared" si="4"/>
        <v>5.717367853</v>
      </c>
      <c r="P42" s="19"/>
      <c r="Q42" s="19"/>
    </row>
    <row r="43" ht="15.75" customHeight="1">
      <c r="A43" s="15">
        <v>20302.0</v>
      </c>
      <c r="B43" s="16" t="s">
        <v>13</v>
      </c>
      <c r="C43" s="16" t="s">
        <v>66</v>
      </c>
      <c r="D43" s="13">
        <v>135.0</v>
      </c>
      <c r="E43" s="13">
        <v>1113.0</v>
      </c>
      <c r="F43" s="14">
        <f t="shared" si="3"/>
        <v>12.12938005</v>
      </c>
      <c r="G43" s="13">
        <v>55.0</v>
      </c>
      <c r="H43" s="13">
        <v>1053.0</v>
      </c>
      <c r="I43" s="14">
        <f t="shared" si="4"/>
        <v>5.22317189</v>
      </c>
      <c r="P43" s="19"/>
      <c r="Q43" s="19"/>
    </row>
    <row r="44" ht="15.75" customHeight="1">
      <c r="A44" s="15">
        <v>20303.0</v>
      </c>
      <c r="B44" s="16" t="s">
        <v>13</v>
      </c>
      <c r="C44" s="16" t="s">
        <v>67</v>
      </c>
      <c r="D44" s="13">
        <v>73.0</v>
      </c>
      <c r="E44" s="13">
        <v>702.0</v>
      </c>
      <c r="F44" s="14">
        <f t="shared" si="3"/>
        <v>10.3988604</v>
      </c>
      <c r="G44" s="13">
        <v>65.0</v>
      </c>
      <c r="H44" s="13">
        <v>794.0</v>
      </c>
      <c r="I44" s="14">
        <f t="shared" si="4"/>
        <v>8.186397985</v>
      </c>
      <c r="P44" s="19"/>
      <c r="Q44" s="19"/>
    </row>
    <row r="45" ht="15.75" customHeight="1">
      <c r="A45" s="15">
        <v>20304.0</v>
      </c>
      <c r="B45" s="16" t="s">
        <v>13</v>
      </c>
      <c r="C45" s="16" t="s">
        <v>68</v>
      </c>
      <c r="D45" s="13">
        <v>45.0</v>
      </c>
      <c r="E45" s="13">
        <v>300.0</v>
      </c>
      <c r="F45" s="14">
        <f t="shared" si="3"/>
        <v>15</v>
      </c>
      <c r="G45" s="13">
        <v>23.0</v>
      </c>
      <c r="H45" s="13">
        <v>384.0</v>
      </c>
      <c r="I45" s="14">
        <f t="shared" si="4"/>
        <v>5.989583333</v>
      </c>
      <c r="P45" s="19"/>
      <c r="Q45" s="19"/>
    </row>
    <row r="46" ht="15.75" customHeight="1">
      <c r="A46" s="15">
        <v>20305.0</v>
      </c>
      <c r="B46" s="16" t="s">
        <v>13</v>
      </c>
      <c r="C46" s="16" t="s">
        <v>69</v>
      </c>
      <c r="D46" s="13">
        <v>72.0</v>
      </c>
      <c r="E46" s="13">
        <v>284.0</v>
      </c>
      <c r="F46" s="14">
        <f t="shared" si="3"/>
        <v>25.35211268</v>
      </c>
      <c r="G46" s="13">
        <v>30.0</v>
      </c>
      <c r="H46" s="13">
        <v>316.0</v>
      </c>
      <c r="I46" s="14">
        <f t="shared" si="4"/>
        <v>9.493670886</v>
      </c>
      <c r="P46" s="19"/>
      <c r="Q46" s="19"/>
    </row>
    <row r="47" ht="15.75" customHeight="1">
      <c r="A47" s="15">
        <v>20306.0</v>
      </c>
      <c r="B47" s="16" t="s">
        <v>13</v>
      </c>
      <c r="C47" s="16" t="s">
        <v>70</v>
      </c>
      <c r="D47" s="13">
        <v>87.0</v>
      </c>
      <c r="E47" s="13">
        <v>545.0</v>
      </c>
      <c r="F47" s="14">
        <f t="shared" si="3"/>
        <v>15.96330275</v>
      </c>
      <c r="G47" s="13">
        <v>34.0</v>
      </c>
      <c r="H47" s="13">
        <v>614.0</v>
      </c>
      <c r="I47" s="14">
        <f t="shared" si="4"/>
        <v>5.537459283</v>
      </c>
      <c r="P47" s="19"/>
      <c r="Q47" s="19"/>
    </row>
    <row r="48" ht="15.75" customHeight="1">
      <c r="A48" s="15">
        <v>20307.0</v>
      </c>
      <c r="B48" s="16" t="s">
        <v>13</v>
      </c>
      <c r="C48" s="16" t="s">
        <v>71</v>
      </c>
      <c r="D48" s="13">
        <v>16.0</v>
      </c>
      <c r="E48" s="13">
        <v>59.0</v>
      </c>
      <c r="F48" s="14">
        <f t="shared" si="3"/>
        <v>27.11864407</v>
      </c>
      <c r="G48" s="13">
        <v>17.0</v>
      </c>
      <c r="H48" s="13">
        <v>284.0</v>
      </c>
      <c r="I48" s="14">
        <f t="shared" si="4"/>
        <v>5.985915493</v>
      </c>
      <c r="P48" s="19"/>
      <c r="Q48" s="19"/>
    </row>
    <row r="49" ht="15.75" customHeight="1">
      <c r="A49" s="15">
        <v>20308.0</v>
      </c>
      <c r="B49" s="16" t="s">
        <v>13</v>
      </c>
      <c r="C49" s="16" t="s">
        <v>72</v>
      </c>
      <c r="D49" s="13">
        <v>58.0</v>
      </c>
      <c r="E49" s="13">
        <v>455.0</v>
      </c>
      <c r="F49" s="14">
        <f t="shared" si="3"/>
        <v>12.74725275</v>
      </c>
      <c r="G49" s="13">
        <v>30.0</v>
      </c>
      <c r="H49" s="13">
        <v>468.0</v>
      </c>
      <c r="I49" s="14">
        <f t="shared" si="4"/>
        <v>6.41025641</v>
      </c>
      <c r="P49" s="19"/>
      <c r="Q49" s="19"/>
    </row>
    <row r="50" ht="15.75" customHeight="1">
      <c r="A50" s="15">
        <v>20401.0</v>
      </c>
      <c r="B50" s="16" t="s">
        <v>13</v>
      </c>
      <c r="C50" s="16" t="s">
        <v>73</v>
      </c>
      <c r="D50" s="13">
        <v>65.0</v>
      </c>
      <c r="E50" s="13">
        <v>808.0</v>
      </c>
      <c r="F50" s="14">
        <f t="shared" si="3"/>
        <v>8.044554455</v>
      </c>
      <c r="G50" s="13">
        <v>62.0</v>
      </c>
      <c r="H50" s="13">
        <v>833.0</v>
      </c>
      <c r="I50" s="14">
        <f t="shared" si="4"/>
        <v>7.442977191</v>
      </c>
      <c r="P50" s="19"/>
      <c r="Q50" s="19"/>
    </row>
    <row r="51" ht="15.75" customHeight="1">
      <c r="A51" s="15">
        <v>20402.0</v>
      </c>
      <c r="B51" s="16" t="s">
        <v>13</v>
      </c>
      <c r="C51" s="16" t="s">
        <v>74</v>
      </c>
      <c r="D51" s="13">
        <v>113.0</v>
      </c>
      <c r="E51" s="13">
        <v>1177.0</v>
      </c>
      <c r="F51" s="14">
        <f t="shared" si="3"/>
        <v>9.600679694</v>
      </c>
      <c r="G51" s="13">
        <v>80.0</v>
      </c>
      <c r="H51" s="13">
        <v>1259.0</v>
      </c>
      <c r="I51" s="14">
        <f t="shared" si="4"/>
        <v>6.354249404</v>
      </c>
      <c r="P51" s="19"/>
      <c r="Q51" s="19"/>
    </row>
    <row r="52" ht="15.75" customHeight="1">
      <c r="A52" s="15">
        <v>20403.0</v>
      </c>
      <c r="B52" s="16" t="s">
        <v>13</v>
      </c>
      <c r="C52" s="16" t="s">
        <v>75</v>
      </c>
      <c r="D52" s="13">
        <v>129.0</v>
      </c>
      <c r="E52" s="13">
        <v>1085.0</v>
      </c>
      <c r="F52" s="14">
        <f t="shared" si="3"/>
        <v>11.88940092</v>
      </c>
      <c r="G52" s="13">
        <v>104.0</v>
      </c>
      <c r="H52" s="13">
        <v>1116.0</v>
      </c>
      <c r="I52" s="14">
        <f t="shared" si="4"/>
        <v>9.318996416</v>
      </c>
      <c r="P52" s="19"/>
      <c r="Q52" s="19"/>
    </row>
    <row r="53" ht="15.75" customHeight="1">
      <c r="A53" s="15">
        <v>20404.0</v>
      </c>
      <c r="B53" s="16" t="s">
        <v>13</v>
      </c>
      <c r="C53" s="16" t="s">
        <v>76</v>
      </c>
      <c r="D53" s="13">
        <v>33.0</v>
      </c>
      <c r="E53" s="13">
        <v>466.0</v>
      </c>
      <c r="F53" s="14">
        <f t="shared" si="3"/>
        <v>7.081545064</v>
      </c>
      <c r="G53" s="13">
        <v>27.0</v>
      </c>
      <c r="H53" s="13">
        <v>401.0</v>
      </c>
      <c r="I53" s="14">
        <f t="shared" si="4"/>
        <v>6.733167082</v>
      </c>
      <c r="P53" s="19"/>
      <c r="Q53" s="19"/>
    </row>
    <row r="54" ht="15.75" customHeight="1">
      <c r="A54" s="15">
        <v>20405.0</v>
      </c>
      <c r="B54" s="16" t="s">
        <v>13</v>
      </c>
      <c r="C54" s="16" t="s">
        <v>77</v>
      </c>
      <c r="D54" s="13">
        <v>69.0</v>
      </c>
      <c r="E54" s="13">
        <v>488.0</v>
      </c>
      <c r="F54" s="14">
        <f t="shared" si="3"/>
        <v>14.13934426</v>
      </c>
      <c r="G54" s="13">
        <v>29.0</v>
      </c>
      <c r="H54" s="13">
        <v>553.0</v>
      </c>
      <c r="I54" s="14">
        <f t="shared" si="4"/>
        <v>5.244122966</v>
      </c>
      <c r="P54" s="19"/>
      <c r="Q54" s="19"/>
    </row>
    <row r="55" ht="15.75" customHeight="1">
      <c r="A55" s="15">
        <v>20501.0</v>
      </c>
      <c r="B55" s="16" t="s">
        <v>13</v>
      </c>
      <c r="C55" s="16" t="s">
        <v>78</v>
      </c>
      <c r="D55" s="13">
        <v>77.0</v>
      </c>
      <c r="E55" s="13">
        <v>1056.0</v>
      </c>
      <c r="F55" s="14">
        <f t="shared" si="3"/>
        <v>7.291666667</v>
      </c>
      <c r="G55" s="13">
        <v>117.0</v>
      </c>
      <c r="H55" s="13">
        <v>1404.0</v>
      </c>
      <c r="I55" s="14">
        <f t="shared" si="4"/>
        <v>8.333333333</v>
      </c>
      <c r="P55" s="19"/>
      <c r="Q55" s="19"/>
    </row>
    <row r="56" ht="15.75" customHeight="1">
      <c r="A56" s="15">
        <v>20502.0</v>
      </c>
      <c r="B56" s="16" t="s">
        <v>13</v>
      </c>
      <c r="C56" s="16" t="s">
        <v>79</v>
      </c>
      <c r="D56" s="13">
        <v>61.0</v>
      </c>
      <c r="E56" s="13">
        <v>732.0</v>
      </c>
      <c r="F56" s="14">
        <f t="shared" si="3"/>
        <v>8.333333333</v>
      </c>
      <c r="G56" s="13">
        <v>76.0</v>
      </c>
      <c r="H56" s="13">
        <v>839.0</v>
      </c>
      <c r="I56" s="14">
        <f t="shared" si="4"/>
        <v>9.058402861</v>
      </c>
      <c r="P56" s="19"/>
      <c r="Q56" s="19"/>
    </row>
    <row r="57" ht="15.75" customHeight="1">
      <c r="A57" s="15">
        <v>20503.0</v>
      </c>
      <c r="B57" s="16" t="s">
        <v>13</v>
      </c>
      <c r="C57" s="16" t="s">
        <v>80</v>
      </c>
      <c r="D57" s="13">
        <v>102.0</v>
      </c>
      <c r="E57" s="13">
        <v>483.0</v>
      </c>
      <c r="F57" s="14">
        <f t="shared" si="3"/>
        <v>21.11801242</v>
      </c>
      <c r="G57" s="13">
        <v>71.0</v>
      </c>
      <c r="H57" s="13">
        <v>546.0</v>
      </c>
      <c r="I57" s="14">
        <f t="shared" si="4"/>
        <v>13.003663</v>
      </c>
      <c r="P57" s="19"/>
      <c r="Q57" s="19"/>
    </row>
    <row r="58" ht="15.75" customHeight="1">
      <c r="A58" s="15">
        <v>20601.0</v>
      </c>
      <c r="B58" s="16" t="s">
        <v>13</v>
      </c>
      <c r="C58" s="16" t="s">
        <v>81</v>
      </c>
      <c r="D58" s="13">
        <v>491.0</v>
      </c>
      <c r="E58" s="13">
        <v>2142.0</v>
      </c>
      <c r="F58" s="14">
        <f t="shared" si="3"/>
        <v>22.92250233</v>
      </c>
      <c r="G58" s="13">
        <v>281.0</v>
      </c>
      <c r="H58" s="13">
        <v>2485.0</v>
      </c>
      <c r="I58" s="14">
        <f t="shared" si="4"/>
        <v>11.30784708</v>
      </c>
      <c r="P58" s="19"/>
      <c r="Q58" s="19"/>
    </row>
    <row r="59" ht="15.75" customHeight="1">
      <c r="A59" s="15">
        <v>20602.0</v>
      </c>
      <c r="B59" s="16" t="s">
        <v>13</v>
      </c>
      <c r="C59" s="16" t="s">
        <v>82</v>
      </c>
      <c r="D59" s="13">
        <v>352.0</v>
      </c>
      <c r="E59" s="13">
        <v>1332.0</v>
      </c>
      <c r="F59" s="14">
        <f t="shared" si="3"/>
        <v>26.42642643</v>
      </c>
      <c r="G59" s="13">
        <v>212.0</v>
      </c>
      <c r="H59" s="13">
        <v>1362.0</v>
      </c>
      <c r="I59" s="14">
        <f t="shared" si="4"/>
        <v>15.56534508</v>
      </c>
      <c r="P59" s="19"/>
      <c r="Q59" s="19"/>
    </row>
    <row r="60" ht="15.75" customHeight="1">
      <c r="A60" s="15">
        <v>20603.0</v>
      </c>
      <c r="B60" s="16" t="s">
        <v>13</v>
      </c>
      <c r="C60" s="16" t="s">
        <v>83</v>
      </c>
      <c r="D60" s="13">
        <v>200.0</v>
      </c>
      <c r="E60" s="13">
        <v>753.0</v>
      </c>
      <c r="F60" s="14">
        <f t="shared" si="3"/>
        <v>26.56042497</v>
      </c>
      <c r="G60" s="13">
        <v>139.0</v>
      </c>
      <c r="H60" s="13">
        <v>828.0</v>
      </c>
      <c r="I60" s="14">
        <f t="shared" si="4"/>
        <v>16.78743961</v>
      </c>
      <c r="P60" s="19"/>
      <c r="Q60" s="19"/>
    </row>
    <row r="61" ht="15.75" customHeight="1">
      <c r="A61" s="15">
        <v>20604.0</v>
      </c>
      <c r="B61" s="16" t="s">
        <v>13</v>
      </c>
      <c r="C61" s="16" t="s">
        <v>84</v>
      </c>
      <c r="D61" s="13">
        <v>28.0</v>
      </c>
      <c r="E61" s="13">
        <v>257.0</v>
      </c>
      <c r="F61" s="14">
        <f t="shared" si="3"/>
        <v>10.89494163</v>
      </c>
      <c r="G61" s="13">
        <v>58.0</v>
      </c>
      <c r="H61" s="13">
        <v>386.0</v>
      </c>
      <c r="I61" s="14">
        <f t="shared" si="4"/>
        <v>15.02590674</v>
      </c>
      <c r="P61" s="19"/>
      <c r="Q61" s="19"/>
    </row>
    <row r="62" ht="15.75" customHeight="1">
      <c r="A62" s="15">
        <v>20605.0</v>
      </c>
      <c r="B62" s="16" t="s">
        <v>13</v>
      </c>
      <c r="C62" s="16" t="s">
        <v>85</v>
      </c>
      <c r="D62" s="13">
        <v>23.0</v>
      </c>
      <c r="E62" s="13">
        <v>302.0</v>
      </c>
      <c r="F62" s="14">
        <f t="shared" si="3"/>
        <v>7.61589404</v>
      </c>
      <c r="G62" s="13">
        <v>14.0</v>
      </c>
      <c r="H62" s="13">
        <v>222.0</v>
      </c>
      <c r="I62" s="14">
        <f t="shared" si="4"/>
        <v>6.306306306</v>
      </c>
      <c r="P62" s="19"/>
      <c r="Q62" s="19"/>
    </row>
    <row r="63" ht="15.75" customHeight="1">
      <c r="A63" s="15">
        <v>20606.0</v>
      </c>
      <c r="B63" s="16" t="s">
        <v>13</v>
      </c>
      <c r="C63" s="16" t="s">
        <v>86</v>
      </c>
      <c r="D63" s="13">
        <v>282.0</v>
      </c>
      <c r="E63" s="13">
        <v>971.0</v>
      </c>
      <c r="F63" s="14">
        <f t="shared" si="3"/>
        <v>29.04222451</v>
      </c>
      <c r="G63" s="13">
        <v>92.0</v>
      </c>
      <c r="H63" s="13">
        <v>526.0</v>
      </c>
      <c r="I63" s="14">
        <f t="shared" si="4"/>
        <v>17.4904943</v>
      </c>
      <c r="P63" s="19"/>
      <c r="Q63" s="19"/>
    </row>
    <row r="64" ht="15.75" customHeight="1">
      <c r="A64" s="15">
        <v>20607.0</v>
      </c>
      <c r="B64" s="16" t="s">
        <v>13</v>
      </c>
      <c r="C64" s="16" t="s">
        <v>87</v>
      </c>
      <c r="D64" s="13">
        <v>450.0</v>
      </c>
      <c r="E64" s="13">
        <v>1354.0</v>
      </c>
      <c r="F64" s="14">
        <f t="shared" si="3"/>
        <v>33.23485968</v>
      </c>
      <c r="G64" s="13">
        <v>365.0</v>
      </c>
      <c r="H64" s="13">
        <v>1936.0</v>
      </c>
      <c r="I64" s="14">
        <f t="shared" si="4"/>
        <v>18.85330579</v>
      </c>
      <c r="P64" s="19"/>
      <c r="Q64" s="19"/>
    </row>
    <row r="65" ht="15.75" customHeight="1">
      <c r="A65" s="15">
        <v>20608.0</v>
      </c>
      <c r="B65" s="16" t="s">
        <v>13</v>
      </c>
      <c r="C65" s="16" t="s">
        <v>88</v>
      </c>
      <c r="D65" s="13">
        <v>159.0</v>
      </c>
      <c r="E65" s="13">
        <v>926.0</v>
      </c>
      <c r="F65" s="14">
        <f t="shared" si="3"/>
        <v>17.17062635</v>
      </c>
      <c r="G65" s="13">
        <v>176.0</v>
      </c>
      <c r="H65" s="13">
        <v>1200.0</v>
      </c>
      <c r="I65" s="14">
        <f t="shared" si="4"/>
        <v>14.66666667</v>
      </c>
      <c r="P65" s="19"/>
      <c r="Q65" s="19"/>
    </row>
    <row r="66" ht="15.75" customHeight="1">
      <c r="A66" s="15">
        <v>20701.0</v>
      </c>
      <c r="B66" s="16" t="s">
        <v>13</v>
      </c>
      <c r="C66" s="16" t="s">
        <v>89</v>
      </c>
      <c r="D66" s="13">
        <v>373.0</v>
      </c>
      <c r="E66" s="13">
        <v>1844.0</v>
      </c>
      <c r="F66" s="14">
        <f t="shared" si="3"/>
        <v>20.22776573</v>
      </c>
      <c r="G66" s="13">
        <v>216.0</v>
      </c>
      <c r="H66" s="13">
        <v>1531.0</v>
      </c>
      <c r="I66" s="14">
        <f t="shared" si="4"/>
        <v>14.10842587</v>
      </c>
      <c r="P66" s="19"/>
      <c r="Q66" s="19"/>
    </row>
    <row r="67" ht="15.75" customHeight="1">
      <c r="A67" s="15">
        <v>20702.0</v>
      </c>
      <c r="B67" s="16" t="s">
        <v>13</v>
      </c>
      <c r="C67" s="16" t="s">
        <v>90</v>
      </c>
      <c r="D67" s="13">
        <v>143.0</v>
      </c>
      <c r="E67" s="13">
        <v>589.0</v>
      </c>
      <c r="F67" s="14">
        <f t="shared" si="3"/>
        <v>24.27843803</v>
      </c>
      <c r="G67" s="13">
        <v>86.0</v>
      </c>
      <c r="H67" s="13">
        <v>658.0</v>
      </c>
      <c r="I67" s="14">
        <f t="shared" si="4"/>
        <v>13.06990881</v>
      </c>
      <c r="P67" s="19"/>
      <c r="Q67" s="19"/>
    </row>
    <row r="68" ht="15.75" customHeight="1">
      <c r="A68" s="15">
        <v>20801.0</v>
      </c>
      <c r="B68" s="16" t="s">
        <v>13</v>
      </c>
      <c r="C68" s="16" t="s">
        <v>91</v>
      </c>
      <c r="D68" s="13">
        <v>1864.0</v>
      </c>
      <c r="E68" s="13">
        <v>7667.0</v>
      </c>
      <c r="F68" s="14">
        <f t="shared" si="3"/>
        <v>24.31198644</v>
      </c>
      <c r="G68" s="13">
        <v>818.0</v>
      </c>
      <c r="H68" s="13">
        <v>9938.0</v>
      </c>
      <c r="I68" s="14">
        <f t="shared" si="4"/>
        <v>8.231032401</v>
      </c>
      <c r="P68" s="19"/>
      <c r="Q68" s="19"/>
    </row>
    <row r="69" ht="15.75" customHeight="1">
      <c r="A69" s="15">
        <v>20802.0</v>
      </c>
      <c r="B69" s="16" t="s">
        <v>13</v>
      </c>
      <c r="C69" s="16" t="s">
        <v>92</v>
      </c>
      <c r="D69" s="13">
        <v>70.0</v>
      </c>
      <c r="E69" s="13">
        <v>525.0</v>
      </c>
      <c r="F69" s="14">
        <f t="shared" si="3"/>
        <v>13.33333333</v>
      </c>
      <c r="G69" s="13">
        <v>22.0</v>
      </c>
      <c r="H69" s="13">
        <v>498.0</v>
      </c>
      <c r="I69" s="14">
        <f t="shared" si="4"/>
        <v>4.417670683</v>
      </c>
      <c r="P69" s="19"/>
      <c r="Q69" s="19"/>
    </row>
    <row r="70" ht="15.75" customHeight="1">
      <c r="A70" s="15">
        <v>20803.0</v>
      </c>
      <c r="B70" s="16" t="s">
        <v>13</v>
      </c>
      <c r="C70" s="16" t="s">
        <v>93</v>
      </c>
      <c r="D70" s="13">
        <v>268.0</v>
      </c>
      <c r="E70" s="13">
        <v>1236.0</v>
      </c>
      <c r="F70" s="14">
        <f t="shared" si="3"/>
        <v>21.6828479</v>
      </c>
      <c r="G70" s="13">
        <v>58.0</v>
      </c>
      <c r="H70" s="13">
        <v>1065.0</v>
      </c>
      <c r="I70" s="14">
        <f t="shared" si="4"/>
        <v>5.44600939</v>
      </c>
      <c r="P70" s="19"/>
      <c r="Q70" s="19"/>
    </row>
    <row r="71" ht="15.75" customHeight="1">
      <c r="A71" s="15">
        <v>20804.0</v>
      </c>
      <c r="B71" s="16" t="s">
        <v>13</v>
      </c>
      <c r="C71" s="16" t="s">
        <v>94</v>
      </c>
      <c r="D71" s="13">
        <v>142.0</v>
      </c>
      <c r="E71" s="13">
        <v>573.0</v>
      </c>
      <c r="F71" s="14">
        <f t="shared" si="3"/>
        <v>24.78184991</v>
      </c>
      <c r="G71" s="13">
        <v>49.0</v>
      </c>
      <c r="H71" s="13">
        <v>552.0</v>
      </c>
      <c r="I71" s="14">
        <f t="shared" si="4"/>
        <v>8.876811594</v>
      </c>
      <c r="P71" s="19"/>
      <c r="Q71" s="19"/>
    </row>
    <row r="72" ht="15.75" customHeight="1">
      <c r="A72" s="15">
        <v>20805.0</v>
      </c>
      <c r="B72" s="16" t="s">
        <v>13</v>
      </c>
      <c r="C72" s="16" t="s">
        <v>95</v>
      </c>
      <c r="D72" s="13">
        <v>58.0</v>
      </c>
      <c r="E72" s="13">
        <v>453.0</v>
      </c>
      <c r="F72" s="14">
        <f t="shared" si="3"/>
        <v>12.80353201</v>
      </c>
      <c r="G72" s="13">
        <v>28.0</v>
      </c>
      <c r="H72" s="13">
        <v>529.0</v>
      </c>
      <c r="I72" s="14">
        <f t="shared" si="4"/>
        <v>5.293005671</v>
      </c>
      <c r="P72" s="19"/>
      <c r="Q72" s="19"/>
    </row>
    <row r="73" ht="15.75" customHeight="1">
      <c r="A73" s="15">
        <v>20806.0</v>
      </c>
      <c r="B73" s="16" t="s">
        <v>13</v>
      </c>
      <c r="C73" s="16" t="s">
        <v>96</v>
      </c>
      <c r="D73" s="13">
        <v>160.0</v>
      </c>
      <c r="E73" s="13">
        <v>1358.0</v>
      </c>
      <c r="F73" s="14">
        <f t="shared" si="3"/>
        <v>11.7820324</v>
      </c>
      <c r="G73" s="13">
        <v>43.0</v>
      </c>
      <c r="H73" s="13">
        <v>1183.0</v>
      </c>
      <c r="I73" s="14">
        <f t="shared" si="4"/>
        <v>3.634826712</v>
      </c>
      <c r="P73" s="19"/>
      <c r="Q73" s="19"/>
    </row>
    <row r="74" ht="15.75" customHeight="1">
      <c r="A74" s="15">
        <v>20807.0</v>
      </c>
      <c r="B74" s="16" t="s">
        <v>13</v>
      </c>
      <c r="C74" s="16" t="s">
        <v>97</v>
      </c>
      <c r="D74" s="13">
        <v>45.0</v>
      </c>
      <c r="E74" s="13">
        <v>436.0</v>
      </c>
      <c r="F74" s="14">
        <f t="shared" si="3"/>
        <v>10.32110092</v>
      </c>
      <c r="G74" s="13">
        <v>37.0</v>
      </c>
      <c r="H74" s="13">
        <v>471.0</v>
      </c>
      <c r="I74" s="14">
        <f t="shared" si="4"/>
        <v>7.855626327</v>
      </c>
      <c r="P74" s="19"/>
      <c r="Q74" s="19"/>
    </row>
    <row r="75" ht="15.75" customHeight="1">
      <c r="A75" s="15">
        <v>20901.0</v>
      </c>
      <c r="B75" s="16" t="s">
        <v>13</v>
      </c>
      <c r="C75" s="16" t="s">
        <v>98</v>
      </c>
      <c r="D75" s="13">
        <v>112.0</v>
      </c>
      <c r="E75" s="13">
        <v>923.0</v>
      </c>
      <c r="F75" s="14">
        <f t="shared" si="3"/>
        <v>12.13434453</v>
      </c>
      <c r="G75" s="13">
        <v>49.0</v>
      </c>
      <c r="H75" s="13">
        <v>690.0</v>
      </c>
      <c r="I75" s="14">
        <f t="shared" si="4"/>
        <v>7.101449275</v>
      </c>
      <c r="P75" s="19"/>
      <c r="Q75" s="19"/>
    </row>
    <row r="76" ht="15.75" customHeight="1">
      <c r="A76" s="15">
        <v>20902.0</v>
      </c>
      <c r="B76" s="16" t="s">
        <v>13</v>
      </c>
      <c r="C76" s="16" t="s">
        <v>99</v>
      </c>
      <c r="D76" s="13">
        <v>76.0</v>
      </c>
      <c r="E76" s="13">
        <v>964.0</v>
      </c>
      <c r="F76" s="14">
        <f t="shared" si="3"/>
        <v>7.883817427</v>
      </c>
      <c r="G76" s="13">
        <v>58.0</v>
      </c>
      <c r="H76" s="13">
        <v>1217.0</v>
      </c>
      <c r="I76" s="14">
        <f t="shared" si="4"/>
        <v>4.765817584</v>
      </c>
      <c r="P76" s="19"/>
      <c r="Q76" s="19"/>
    </row>
    <row r="77" ht="15.75" customHeight="1">
      <c r="A77" s="15">
        <v>20903.0</v>
      </c>
      <c r="B77" s="16" t="s">
        <v>13</v>
      </c>
      <c r="C77" s="16" t="s">
        <v>100</v>
      </c>
      <c r="D77" s="13">
        <v>71.0</v>
      </c>
      <c r="E77" s="13">
        <v>601.0</v>
      </c>
      <c r="F77" s="14">
        <f t="shared" si="3"/>
        <v>11.81364393</v>
      </c>
      <c r="G77" s="13">
        <v>100.0</v>
      </c>
      <c r="H77" s="13">
        <v>976.0</v>
      </c>
      <c r="I77" s="14">
        <f t="shared" si="4"/>
        <v>10.24590164</v>
      </c>
      <c r="P77" s="19"/>
      <c r="Q77" s="19"/>
    </row>
    <row r="78" ht="15.75" customHeight="1">
      <c r="A78" s="15">
        <v>20904.0</v>
      </c>
      <c r="B78" s="16" t="s">
        <v>13</v>
      </c>
      <c r="C78" s="16" t="s">
        <v>101</v>
      </c>
      <c r="D78" s="13">
        <v>106.0</v>
      </c>
      <c r="E78" s="13">
        <v>507.0</v>
      </c>
      <c r="F78" s="14">
        <f t="shared" si="3"/>
        <v>20.90729783</v>
      </c>
      <c r="G78" s="13">
        <v>56.0</v>
      </c>
      <c r="H78" s="13">
        <v>475.0</v>
      </c>
      <c r="I78" s="14">
        <f t="shared" si="4"/>
        <v>11.78947368</v>
      </c>
      <c r="P78" s="19"/>
      <c r="Q78" s="19"/>
    </row>
    <row r="79" ht="15.75" customHeight="1">
      <c r="A79" s="15">
        <v>20905.0</v>
      </c>
      <c r="B79" s="16" t="s">
        <v>13</v>
      </c>
      <c r="C79" s="16" t="s">
        <v>102</v>
      </c>
      <c r="D79" s="13">
        <v>153.0</v>
      </c>
      <c r="E79" s="13">
        <v>1003.0</v>
      </c>
      <c r="F79" s="14">
        <f t="shared" si="3"/>
        <v>15.25423729</v>
      </c>
      <c r="G79" s="13">
        <v>122.0</v>
      </c>
      <c r="H79" s="13">
        <v>1095.0</v>
      </c>
      <c r="I79" s="14">
        <f t="shared" si="4"/>
        <v>11.14155251</v>
      </c>
      <c r="P79" s="19"/>
      <c r="Q79" s="19"/>
    </row>
    <row r="80" ht="15.75" customHeight="1">
      <c r="A80" s="15">
        <v>21001.0</v>
      </c>
      <c r="B80" s="16" t="s">
        <v>13</v>
      </c>
      <c r="C80" s="16" t="s">
        <v>103</v>
      </c>
      <c r="D80" s="13">
        <v>211.0</v>
      </c>
      <c r="E80" s="13">
        <v>1096.0</v>
      </c>
      <c r="F80" s="14">
        <f t="shared" si="3"/>
        <v>19.25182482</v>
      </c>
      <c r="G80" s="13">
        <v>176.0</v>
      </c>
      <c r="H80" s="13">
        <v>1461.0</v>
      </c>
      <c r="I80" s="14">
        <f t="shared" si="4"/>
        <v>12.04654346</v>
      </c>
      <c r="P80" s="19"/>
      <c r="Q80" s="19"/>
    </row>
    <row r="81" ht="15.75" customHeight="1">
      <c r="A81" s="15">
        <v>21002.0</v>
      </c>
      <c r="B81" s="16" t="s">
        <v>13</v>
      </c>
      <c r="C81" s="16" t="s">
        <v>104</v>
      </c>
      <c r="D81" s="13">
        <v>211.0</v>
      </c>
      <c r="E81" s="13">
        <v>648.0</v>
      </c>
      <c r="F81" s="14">
        <f t="shared" si="3"/>
        <v>32.5617284</v>
      </c>
      <c r="G81" s="13">
        <v>115.0</v>
      </c>
      <c r="H81" s="13">
        <v>699.0</v>
      </c>
      <c r="I81" s="14">
        <f t="shared" si="4"/>
        <v>16.45207439</v>
      </c>
      <c r="P81" s="19"/>
      <c r="Q81" s="19"/>
    </row>
    <row r="82" ht="15.75" customHeight="1">
      <c r="A82" s="15">
        <v>21003.0</v>
      </c>
      <c r="B82" s="16" t="s">
        <v>13</v>
      </c>
      <c r="C82" s="16" t="s">
        <v>105</v>
      </c>
      <c r="D82" s="13">
        <v>134.0</v>
      </c>
      <c r="E82" s="13">
        <v>949.0</v>
      </c>
      <c r="F82" s="14">
        <f t="shared" si="3"/>
        <v>14.12012645</v>
      </c>
      <c r="G82" s="13">
        <v>129.0</v>
      </c>
      <c r="H82" s="13">
        <v>1367.0</v>
      </c>
      <c r="I82" s="14">
        <f t="shared" si="4"/>
        <v>9.436722751</v>
      </c>
      <c r="P82" s="19"/>
      <c r="Q82" s="19"/>
    </row>
    <row r="83" ht="15.75" customHeight="1">
      <c r="A83" s="15">
        <v>21004.0</v>
      </c>
      <c r="B83" s="16" t="s">
        <v>13</v>
      </c>
      <c r="C83" s="16" t="s">
        <v>106</v>
      </c>
      <c r="D83" s="13">
        <v>453.0</v>
      </c>
      <c r="E83" s="13">
        <v>1587.0</v>
      </c>
      <c r="F83" s="14">
        <f t="shared" si="3"/>
        <v>28.54442344</v>
      </c>
      <c r="G83" s="13">
        <v>252.0</v>
      </c>
      <c r="H83" s="13">
        <v>1912.0</v>
      </c>
      <c r="I83" s="14">
        <f t="shared" si="4"/>
        <v>13.17991632</v>
      </c>
      <c r="P83" s="19"/>
      <c r="Q83" s="19"/>
    </row>
    <row r="84" ht="15.75" customHeight="1">
      <c r="A84" s="15">
        <v>21005.0</v>
      </c>
      <c r="B84" s="16" t="s">
        <v>13</v>
      </c>
      <c r="C84" s="16" t="s">
        <v>107</v>
      </c>
      <c r="D84" s="13">
        <v>87.0</v>
      </c>
      <c r="E84" s="13">
        <v>686.0</v>
      </c>
      <c r="F84" s="14">
        <f t="shared" si="3"/>
        <v>12.68221574</v>
      </c>
      <c r="G84" s="13">
        <v>99.0</v>
      </c>
      <c r="H84" s="13">
        <v>838.0</v>
      </c>
      <c r="I84" s="14">
        <f t="shared" si="4"/>
        <v>11.81384248</v>
      </c>
      <c r="P84" s="19"/>
      <c r="Q84" s="19"/>
    </row>
    <row r="85" ht="15.75" customHeight="1">
      <c r="A85" s="15">
        <v>21006.0</v>
      </c>
      <c r="B85" s="16" t="s">
        <v>13</v>
      </c>
      <c r="C85" s="16" t="s">
        <v>108</v>
      </c>
      <c r="D85" s="13">
        <v>123.0</v>
      </c>
      <c r="E85" s="13">
        <v>641.0</v>
      </c>
      <c r="F85" s="14">
        <f t="shared" si="3"/>
        <v>19.18876755</v>
      </c>
      <c r="G85" s="13">
        <v>79.0</v>
      </c>
      <c r="H85" s="13">
        <v>693.0</v>
      </c>
      <c r="I85" s="14">
        <f t="shared" si="4"/>
        <v>11.3997114</v>
      </c>
      <c r="P85" s="19"/>
      <c r="Q85" s="19"/>
    </row>
    <row r="86" ht="15.75" customHeight="1">
      <c r="A86" s="15">
        <v>21101.0</v>
      </c>
      <c r="B86" s="16" t="s">
        <v>13</v>
      </c>
      <c r="C86" s="16" t="s">
        <v>109</v>
      </c>
      <c r="D86" s="13">
        <v>151.0</v>
      </c>
      <c r="E86" s="13">
        <v>1715.0</v>
      </c>
      <c r="F86" s="14">
        <f t="shared" si="3"/>
        <v>8.804664723</v>
      </c>
      <c r="G86" s="13">
        <v>56.0</v>
      </c>
      <c r="H86" s="13">
        <v>1452.0</v>
      </c>
      <c r="I86" s="14">
        <f t="shared" si="4"/>
        <v>3.856749311</v>
      </c>
      <c r="P86" s="19"/>
      <c r="Q86" s="19"/>
    </row>
    <row r="87" ht="15.75" customHeight="1">
      <c r="A87" s="15">
        <v>21102.0</v>
      </c>
      <c r="B87" s="16" t="s">
        <v>13</v>
      </c>
      <c r="C87" s="16" t="s">
        <v>110</v>
      </c>
      <c r="D87" s="13">
        <v>207.0</v>
      </c>
      <c r="E87" s="13">
        <v>1448.0</v>
      </c>
      <c r="F87" s="14">
        <f t="shared" si="3"/>
        <v>14.29558011</v>
      </c>
      <c r="G87" s="13">
        <v>120.0</v>
      </c>
      <c r="H87" s="13">
        <v>1698.0</v>
      </c>
      <c r="I87" s="14">
        <f t="shared" si="4"/>
        <v>7.067137809</v>
      </c>
      <c r="P87" s="19"/>
      <c r="Q87" s="19"/>
    </row>
    <row r="88" ht="15.75" customHeight="1">
      <c r="A88" s="15">
        <v>21103.0</v>
      </c>
      <c r="B88" s="16" t="s">
        <v>13</v>
      </c>
      <c r="C88" s="16" t="s">
        <v>111</v>
      </c>
      <c r="D88" s="13">
        <v>121.0</v>
      </c>
      <c r="E88" s="13">
        <v>500.0</v>
      </c>
      <c r="F88" s="14">
        <f t="shared" si="3"/>
        <v>24.2</v>
      </c>
      <c r="G88" s="13">
        <v>52.0</v>
      </c>
      <c r="H88" s="13">
        <v>565.0</v>
      </c>
      <c r="I88" s="14">
        <f t="shared" si="4"/>
        <v>9.203539823</v>
      </c>
      <c r="P88" s="19"/>
      <c r="Q88" s="19"/>
    </row>
    <row r="89" ht="15.75" customHeight="1">
      <c r="A89" s="15">
        <v>21104.0</v>
      </c>
      <c r="B89" s="16" t="s">
        <v>13</v>
      </c>
      <c r="C89" s="16" t="s">
        <v>112</v>
      </c>
      <c r="D89" s="13">
        <v>391.0</v>
      </c>
      <c r="E89" s="13">
        <v>2408.0</v>
      </c>
      <c r="F89" s="14">
        <f t="shared" si="3"/>
        <v>16.23754153</v>
      </c>
      <c r="G89" s="13">
        <v>200.0</v>
      </c>
      <c r="H89" s="13">
        <v>2382.0</v>
      </c>
      <c r="I89" s="14">
        <f t="shared" si="4"/>
        <v>8.396305626</v>
      </c>
      <c r="P89" s="19"/>
      <c r="Q89" s="19"/>
    </row>
    <row r="90" ht="15.75" customHeight="1">
      <c r="A90" s="15">
        <v>21105.0</v>
      </c>
      <c r="B90" s="16" t="s">
        <v>13</v>
      </c>
      <c r="C90" s="16" t="s">
        <v>113</v>
      </c>
      <c r="D90" s="13">
        <v>198.0</v>
      </c>
      <c r="E90" s="13">
        <v>4329.0</v>
      </c>
      <c r="F90" s="14">
        <f t="shared" si="3"/>
        <v>4.573804574</v>
      </c>
      <c r="G90" s="13">
        <v>209.0</v>
      </c>
      <c r="H90" s="13">
        <v>4275.0</v>
      </c>
      <c r="I90" s="14">
        <f t="shared" si="4"/>
        <v>4.888888889</v>
      </c>
      <c r="P90" s="19"/>
      <c r="Q90" s="19"/>
    </row>
    <row r="91" ht="15.75" customHeight="1">
      <c r="A91" s="15">
        <v>21201.0</v>
      </c>
      <c r="B91" s="16" t="s">
        <v>13</v>
      </c>
      <c r="C91" s="16" t="s">
        <v>114</v>
      </c>
      <c r="D91" s="13">
        <v>555.0</v>
      </c>
      <c r="E91" s="13">
        <v>3002.0</v>
      </c>
      <c r="F91" s="14">
        <f t="shared" si="3"/>
        <v>18.48767488</v>
      </c>
      <c r="G91" s="13">
        <v>351.0</v>
      </c>
      <c r="H91" s="13">
        <v>4148.0</v>
      </c>
      <c r="I91" s="14">
        <f t="shared" si="4"/>
        <v>8.461909354</v>
      </c>
      <c r="P91" s="19"/>
      <c r="Q91" s="19"/>
    </row>
    <row r="92" ht="15.75" customHeight="1">
      <c r="A92" s="15">
        <v>21202.0</v>
      </c>
      <c r="B92" s="16" t="s">
        <v>13</v>
      </c>
      <c r="C92" s="16" t="s">
        <v>115</v>
      </c>
      <c r="D92" s="13">
        <v>394.0</v>
      </c>
      <c r="E92" s="13">
        <v>2295.0</v>
      </c>
      <c r="F92" s="14">
        <f t="shared" si="3"/>
        <v>17.16775599</v>
      </c>
      <c r="G92" s="13">
        <v>281.0</v>
      </c>
      <c r="H92" s="13">
        <v>3264.0</v>
      </c>
      <c r="I92" s="14">
        <f t="shared" si="4"/>
        <v>8.609068627</v>
      </c>
      <c r="P92" s="19"/>
      <c r="Q92" s="19"/>
    </row>
    <row r="93" ht="15.75" customHeight="1">
      <c r="A93" s="15">
        <v>21203.0</v>
      </c>
      <c r="B93" s="16" t="s">
        <v>13</v>
      </c>
      <c r="C93" s="16" t="s">
        <v>116</v>
      </c>
      <c r="D93" s="13">
        <v>240.0</v>
      </c>
      <c r="E93" s="13">
        <v>1659.0</v>
      </c>
      <c r="F93" s="14">
        <f t="shared" si="3"/>
        <v>14.46654611</v>
      </c>
      <c r="G93" s="13">
        <v>101.0</v>
      </c>
      <c r="H93" s="13">
        <v>1539.0</v>
      </c>
      <c r="I93" s="14">
        <f t="shared" si="4"/>
        <v>6.562703054</v>
      </c>
      <c r="P93" s="19"/>
      <c r="Q93" s="19"/>
    </row>
    <row r="94" ht="15.75" customHeight="1">
      <c r="A94" s="15">
        <v>21204.0</v>
      </c>
      <c r="B94" s="16" t="s">
        <v>13</v>
      </c>
      <c r="C94" s="16" t="s">
        <v>117</v>
      </c>
      <c r="D94" s="13">
        <v>104.0</v>
      </c>
      <c r="E94" s="13">
        <v>501.0</v>
      </c>
      <c r="F94" s="14">
        <f t="shared" si="3"/>
        <v>20.75848303</v>
      </c>
      <c r="G94" s="13">
        <v>56.0</v>
      </c>
      <c r="H94" s="13">
        <v>525.0</v>
      </c>
      <c r="I94" s="14">
        <f t="shared" si="4"/>
        <v>10.66666667</v>
      </c>
      <c r="P94" s="19"/>
      <c r="Q94" s="19"/>
    </row>
    <row r="95" ht="15.75" customHeight="1">
      <c r="A95" s="15">
        <v>21301.0</v>
      </c>
      <c r="B95" s="16" t="s">
        <v>13</v>
      </c>
      <c r="C95" s="16" t="s">
        <v>118</v>
      </c>
      <c r="D95" s="13">
        <v>577.0</v>
      </c>
      <c r="E95" s="13">
        <v>2989.0</v>
      </c>
      <c r="F95" s="14">
        <f t="shared" si="3"/>
        <v>19.30411509</v>
      </c>
      <c r="G95" s="13">
        <v>259.0</v>
      </c>
      <c r="H95" s="13">
        <v>2871.0</v>
      </c>
      <c r="I95" s="14">
        <f t="shared" si="4"/>
        <v>9.021246952</v>
      </c>
      <c r="P95" s="19"/>
      <c r="Q95" s="19"/>
    </row>
    <row r="96" ht="15.75" customHeight="1">
      <c r="A96" s="15">
        <v>21302.0</v>
      </c>
      <c r="B96" s="16" t="s">
        <v>13</v>
      </c>
      <c r="C96" s="16" t="s">
        <v>119</v>
      </c>
      <c r="D96" s="13">
        <v>44.0</v>
      </c>
      <c r="E96" s="13">
        <v>639.0</v>
      </c>
      <c r="F96" s="14">
        <f t="shared" si="3"/>
        <v>6.885758998</v>
      </c>
      <c r="G96" s="13">
        <v>30.0</v>
      </c>
      <c r="H96" s="13">
        <v>590.0</v>
      </c>
      <c r="I96" s="14">
        <f t="shared" si="4"/>
        <v>5.084745763</v>
      </c>
      <c r="P96" s="19"/>
      <c r="Q96" s="19"/>
    </row>
    <row r="97" ht="15.75" customHeight="1">
      <c r="A97" s="15">
        <v>21303.0</v>
      </c>
      <c r="B97" s="16" t="s">
        <v>13</v>
      </c>
      <c r="C97" s="16" t="s">
        <v>120</v>
      </c>
      <c r="D97" s="13">
        <v>58.0</v>
      </c>
      <c r="E97" s="13">
        <v>664.0</v>
      </c>
      <c r="F97" s="14">
        <f t="shared" si="3"/>
        <v>8.734939759</v>
      </c>
      <c r="G97" s="13">
        <v>69.0</v>
      </c>
      <c r="H97" s="13">
        <v>866.0</v>
      </c>
      <c r="I97" s="14">
        <f t="shared" si="4"/>
        <v>7.967667436</v>
      </c>
      <c r="P97" s="19"/>
      <c r="Q97" s="19"/>
    </row>
    <row r="98" ht="15.75" customHeight="1">
      <c r="A98" s="15">
        <v>21304.0</v>
      </c>
      <c r="B98" s="16" t="s">
        <v>13</v>
      </c>
      <c r="C98" s="16" t="s">
        <v>121</v>
      </c>
      <c r="D98" s="13">
        <v>154.0</v>
      </c>
      <c r="E98" s="13">
        <v>1067.0</v>
      </c>
      <c r="F98" s="14">
        <f t="shared" si="3"/>
        <v>14.43298969</v>
      </c>
      <c r="G98" s="13">
        <v>85.0</v>
      </c>
      <c r="H98" s="13">
        <v>1188.0</v>
      </c>
      <c r="I98" s="14">
        <f t="shared" si="4"/>
        <v>7.154882155</v>
      </c>
      <c r="P98" s="19"/>
      <c r="Q98" s="19"/>
    </row>
    <row r="99" ht="15.75" customHeight="1">
      <c r="A99" s="15">
        <v>21305.0</v>
      </c>
      <c r="B99" s="16" t="s">
        <v>13</v>
      </c>
      <c r="C99" s="16" t="s">
        <v>122</v>
      </c>
      <c r="D99" s="13">
        <v>375.0</v>
      </c>
      <c r="E99" s="13">
        <v>2237.0</v>
      </c>
      <c r="F99" s="14">
        <f t="shared" si="3"/>
        <v>16.76352257</v>
      </c>
      <c r="G99" s="13">
        <v>177.0</v>
      </c>
      <c r="H99" s="13">
        <v>2258.0</v>
      </c>
      <c r="I99" s="14">
        <f t="shared" si="4"/>
        <v>7.838795394</v>
      </c>
      <c r="P99" s="19"/>
      <c r="Q99" s="19"/>
    </row>
    <row r="100" ht="15.75" customHeight="1">
      <c r="A100" s="15">
        <v>21306.0</v>
      </c>
      <c r="B100" s="16" t="s">
        <v>13</v>
      </c>
      <c r="C100" s="16" t="s">
        <v>123</v>
      </c>
      <c r="D100" s="13">
        <v>167.0</v>
      </c>
      <c r="E100" s="13">
        <v>960.0</v>
      </c>
      <c r="F100" s="14">
        <f t="shared" si="3"/>
        <v>17.39583333</v>
      </c>
      <c r="G100" s="13">
        <v>115.0</v>
      </c>
      <c r="H100" s="13">
        <v>1048.0</v>
      </c>
      <c r="I100" s="14">
        <f t="shared" si="4"/>
        <v>10.97328244</v>
      </c>
      <c r="P100" s="19"/>
      <c r="Q100" s="19"/>
    </row>
    <row r="101" ht="15.75" customHeight="1">
      <c r="A101" s="15">
        <v>21307.0</v>
      </c>
      <c r="B101" s="16" t="s">
        <v>13</v>
      </c>
      <c r="C101" s="16" t="s">
        <v>124</v>
      </c>
      <c r="D101" s="13">
        <v>83.0</v>
      </c>
      <c r="E101" s="13">
        <v>508.0</v>
      </c>
      <c r="F101" s="14">
        <f t="shared" si="3"/>
        <v>16.33858268</v>
      </c>
      <c r="G101" s="13">
        <v>49.0</v>
      </c>
      <c r="H101" s="13">
        <v>414.0</v>
      </c>
      <c r="I101" s="14">
        <f t="shared" si="4"/>
        <v>11.83574879</v>
      </c>
      <c r="P101" s="19"/>
      <c r="Q101" s="19"/>
    </row>
    <row r="102" ht="15.75" customHeight="1">
      <c r="A102" s="15">
        <v>21401.0</v>
      </c>
      <c r="B102" s="16" t="s">
        <v>13</v>
      </c>
      <c r="C102" s="16" t="s">
        <v>125</v>
      </c>
      <c r="D102" s="13">
        <v>231.0</v>
      </c>
      <c r="E102" s="13">
        <v>1846.0</v>
      </c>
      <c r="F102" s="14">
        <f t="shared" si="3"/>
        <v>12.5135428</v>
      </c>
      <c r="G102" s="13">
        <v>142.0</v>
      </c>
      <c r="H102" s="13">
        <v>2493.0</v>
      </c>
      <c r="I102" s="14">
        <f t="shared" si="4"/>
        <v>5.695948656</v>
      </c>
      <c r="P102" s="19"/>
      <c r="Q102" s="19"/>
    </row>
    <row r="103" ht="15.75" customHeight="1">
      <c r="A103" s="15">
        <v>21402.0</v>
      </c>
      <c r="B103" s="16" t="s">
        <v>13</v>
      </c>
      <c r="C103" s="16" t="s">
        <v>126</v>
      </c>
      <c r="D103" s="13">
        <v>87.0</v>
      </c>
      <c r="E103" s="13">
        <v>1674.0</v>
      </c>
      <c r="F103" s="14">
        <f t="shared" si="3"/>
        <v>5.197132616</v>
      </c>
      <c r="G103" s="13">
        <v>69.0</v>
      </c>
      <c r="H103" s="13">
        <v>1918.0</v>
      </c>
      <c r="I103" s="14">
        <f t="shared" si="4"/>
        <v>3.597497393</v>
      </c>
      <c r="P103" s="19"/>
      <c r="Q103" s="19"/>
    </row>
    <row r="104" ht="15.75" customHeight="1">
      <c r="A104" s="15">
        <v>21501.0</v>
      </c>
      <c r="B104" s="16" t="s">
        <v>13</v>
      </c>
      <c r="C104" s="16" t="s">
        <v>127</v>
      </c>
      <c r="D104" s="13">
        <v>278.0</v>
      </c>
      <c r="E104" s="13">
        <v>829.0</v>
      </c>
      <c r="F104" s="14">
        <f t="shared" si="3"/>
        <v>33.53437877</v>
      </c>
      <c r="G104" s="13">
        <v>138.0</v>
      </c>
      <c r="H104" s="13">
        <v>951.0</v>
      </c>
      <c r="I104" s="14">
        <f t="shared" si="4"/>
        <v>14.51104101</v>
      </c>
      <c r="P104" s="19"/>
      <c r="Q104" s="19"/>
    </row>
    <row r="105" ht="15.75" customHeight="1">
      <c r="A105" s="15">
        <v>21502.0</v>
      </c>
      <c r="B105" s="16" t="s">
        <v>13</v>
      </c>
      <c r="C105" s="16" t="s">
        <v>128</v>
      </c>
      <c r="D105" s="13">
        <v>240.0</v>
      </c>
      <c r="E105" s="13">
        <v>787.0</v>
      </c>
      <c r="F105" s="14">
        <f t="shared" si="3"/>
        <v>30.49555273</v>
      </c>
      <c r="G105" s="13">
        <v>124.0</v>
      </c>
      <c r="H105" s="13">
        <v>858.0</v>
      </c>
      <c r="I105" s="14">
        <f t="shared" si="4"/>
        <v>14.45221445</v>
      </c>
      <c r="P105" s="19"/>
      <c r="Q105" s="19"/>
    </row>
    <row r="106" ht="15.75" customHeight="1">
      <c r="A106" s="15">
        <v>21601.0</v>
      </c>
      <c r="B106" s="16" t="s">
        <v>13</v>
      </c>
      <c r="C106" s="16" t="s">
        <v>129</v>
      </c>
      <c r="D106" s="13">
        <v>151.0</v>
      </c>
      <c r="E106" s="13">
        <v>1181.0</v>
      </c>
      <c r="F106" s="14">
        <f t="shared" si="3"/>
        <v>12.78577477</v>
      </c>
      <c r="G106" s="13">
        <v>123.0</v>
      </c>
      <c r="H106" s="13">
        <v>1396.0</v>
      </c>
      <c r="I106" s="14">
        <f t="shared" si="4"/>
        <v>8.810888252</v>
      </c>
      <c r="P106" s="19"/>
      <c r="Q106" s="19"/>
    </row>
    <row r="107" ht="15.75" customHeight="1">
      <c r="A107" s="15">
        <v>21602.0</v>
      </c>
      <c r="B107" s="16" t="s">
        <v>13</v>
      </c>
      <c r="C107" s="16" t="s">
        <v>130</v>
      </c>
      <c r="D107" s="13">
        <v>53.0</v>
      </c>
      <c r="E107" s="13">
        <v>293.0</v>
      </c>
      <c r="F107" s="14">
        <f t="shared" si="3"/>
        <v>18.0887372</v>
      </c>
      <c r="G107" s="13">
        <v>110.0</v>
      </c>
      <c r="H107" s="13">
        <v>629.0</v>
      </c>
      <c r="I107" s="14">
        <f t="shared" si="4"/>
        <v>17.48807631</v>
      </c>
      <c r="P107" s="19"/>
      <c r="Q107" s="19"/>
    </row>
    <row r="108" ht="15.75" customHeight="1">
      <c r="A108" s="15">
        <v>21701.0</v>
      </c>
      <c r="B108" s="16" t="s">
        <v>13</v>
      </c>
      <c r="C108" s="16" t="s">
        <v>131</v>
      </c>
      <c r="D108" s="13">
        <v>137.0</v>
      </c>
      <c r="E108" s="13">
        <v>1178.0</v>
      </c>
      <c r="F108" s="14">
        <f t="shared" si="3"/>
        <v>11.62988115</v>
      </c>
      <c r="G108" s="13">
        <v>97.0</v>
      </c>
      <c r="H108" s="13">
        <v>1236.0</v>
      </c>
      <c r="I108" s="14">
        <f t="shared" si="4"/>
        <v>7.84789644</v>
      </c>
      <c r="P108" s="19"/>
      <c r="Q108" s="19"/>
    </row>
    <row r="109" ht="15.75" customHeight="1">
      <c r="A109" s="15">
        <v>21702.0</v>
      </c>
      <c r="B109" s="16" t="s">
        <v>13</v>
      </c>
      <c r="C109" s="16" t="s">
        <v>132</v>
      </c>
      <c r="D109" s="13">
        <v>83.0</v>
      </c>
      <c r="E109" s="13">
        <v>361.0</v>
      </c>
      <c r="F109" s="14">
        <f t="shared" si="3"/>
        <v>22.99168975</v>
      </c>
      <c r="G109" s="13">
        <v>32.0</v>
      </c>
      <c r="H109" s="13">
        <v>546.0</v>
      </c>
      <c r="I109" s="14">
        <f t="shared" si="4"/>
        <v>5.860805861</v>
      </c>
      <c r="P109" s="19"/>
      <c r="Q109" s="19"/>
    </row>
    <row r="110" ht="15.75" customHeight="1">
      <c r="A110" s="15">
        <v>21703.0</v>
      </c>
      <c r="B110" s="16" t="s">
        <v>13</v>
      </c>
      <c r="C110" s="16" t="s">
        <v>133</v>
      </c>
      <c r="D110" s="13">
        <v>103.0</v>
      </c>
      <c r="E110" s="13">
        <v>679.0</v>
      </c>
      <c r="F110" s="14">
        <f t="shared" si="3"/>
        <v>15.16936672</v>
      </c>
      <c r="G110" s="13">
        <v>49.0</v>
      </c>
      <c r="H110" s="13">
        <v>512.0</v>
      </c>
      <c r="I110" s="14">
        <f t="shared" si="4"/>
        <v>9.5703125</v>
      </c>
      <c r="P110" s="19"/>
      <c r="Q110" s="19"/>
    </row>
    <row r="111" ht="15.75" customHeight="1">
      <c r="A111" s="15">
        <v>21801.0</v>
      </c>
      <c r="B111" s="16" t="s">
        <v>13</v>
      </c>
      <c r="C111" s="16" t="s">
        <v>134</v>
      </c>
      <c r="D111" s="13">
        <v>87.0</v>
      </c>
      <c r="E111" s="13">
        <v>853.0</v>
      </c>
      <c r="F111" s="14">
        <f t="shared" si="3"/>
        <v>10.1992966</v>
      </c>
      <c r="G111" s="13">
        <v>42.0</v>
      </c>
      <c r="H111" s="13">
        <v>631.0</v>
      </c>
      <c r="I111" s="14">
        <f t="shared" si="4"/>
        <v>6.656101426</v>
      </c>
      <c r="P111" s="19"/>
      <c r="Q111" s="19"/>
    </row>
    <row r="112" ht="15.75" customHeight="1">
      <c r="A112" s="15">
        <v>21802.0</v>
      </c>
      <c r="B112" s="16" t="s">
        <v>13</v>
      </c>
      <c r="C112" s="16" t="s">
        <v>135</v>
      </c>
      <c r="D112" s="13">
        <v>84.0</v>
      </c>
      <c r="E112" s="13">
        <v>562.0</v>
      </c>
      <c r="F112" s="14">
        <f t="shared" si="3"/>
        <v>14.94661922</v>
      </c>
      <c r="G112" s="13">
        <v>29.0</v>
      </c>
      <c r="H112" s="13">
        <v>474.0</v>
      </c>
      <c r="I112" s="14">
        <f t="shared" si="4"/>
        <v>6.11814346</v>
      </c>
      <c r="P112" s="19"/>
      <c r="Q112" s="19"/>
    </row>
    <row r="113" ht="15.75" customHeight="1">
      <c r="A113" s="15">
        <v>21803.0</v>
      </c>
      <c r="B113" s="16" t="s">
        <v>13</v>
      </c>
      <c r="C113" s="16" t="s">
        <v>136</v>
      </c>
      <c r="D113" s="13">
        <v>12.0</v>
      </c>
      <c r="E113" s="13">
        <v>155.0</v>
      </c>
      <c r="F113" s="14">
        <f t="shared" si="3"/>
        <v>7.741935484</v>
      </c>
      <c r="G113" s="13">
        <v>12.0</v>
      </c>
      <c r="H113" s="13">
        <v>145.0</v>
      </c>
      <c r="I113" s="14">
        <f t="shared" si="4"/>
        <v>8.275862069</v>
      </c>
      <c r="P113" s="19"/>
      <c r="Q113" s="19"/>
    </row>
    <row r="114" ht="15.75" customHeight="1">
      <c r="A114" s="15">
        <v>21901.0</v>
      </c>
      <c r="B114" s="16" t="s">
        <v>13</v>
      </c>
      <c r="C114" s="16" t="s">
        <v>137</v>
      </c>
      <c r="D114" s="13">
        <v>60.0</v>
      </c>
      <c r="E114" s="13">
        <v>346.0</v>
      </c>
      <c r="F114" s="14">
        <f t="shared" si="3"/>
        <v>17.34104046</v>
      </c>
      <c r="G114" s="13">
        <v>26.0</v>
      </c>
      <c r="H114" s="13">
        <v>448.0</v>
      </c>
      <c r="I114" s="14">
        <f t="shared" si="4"/>
        <v>5.803571429</v>
      </c>
      <c r="P114" s="19"/>
      <c r="Q114" s="19"/>
    </row>
    <row r="115" ht="15.75" customHeight="1">
      <c r="A115" s="15">
        <v>21902.0</v>
      </c>
      <c r="B115" s="16" t="s">
        <v>13</v>
      </c>
      <c r="C115" s="16" t="s">
        <v>138</v>
      </c>
      <c r="D115" s="13">
        <v>40.0</v>
      </c>
      <c r="E115" s="13">
        <v>316.0</v>
      </c>
      <c r="F115" s="14">
        <f t="shared" si="3"/>
        <v>12.65822785</v>
      </c>
      <c r="G115" s="13">
        <v>33.0</v>
      </c>
      <c r="H115" s="13">
        <v>469.0</v>
      </c>
      <c r="I115" s="14">
        <f t="shared" si="4"/>
        <v>7.036247335</v>
      </c>
      <c r="P115" s="19"/>
      <c r="Q115" s="19"/>
    </row>
    <row r="116" ht="15.75" customHeight="1">
      <c r="A116" s="15">
        <v>22001.0</v>
      </c>
      <c r="B116" s="16" t="s">
        <v>13</v>
      </c>
      <c r="C116" s="16" t="s">
        <v>139</v>
      </c>
      <c r="D116" s="13">
        <v>586.0</v>
      </c>
      <c r="E116" s="13">
        <v>5293.0</v>
      </c>
      <c r="F116" s="14">
        <f t="shared" si="3"/>
        <v>11.07122615</v>
      </c>
      <c r="G116" s="13">
        <v>374.0</v>
      </c>
      <c r="H116" s="13">
        <v>5554.0</v>
      </c>
      <c r="I116" s="14">
        <f t="shared" si="4"/>
        <v>6.733885488</v>
      </c>
      <c r="P116" s="19"/>
      <c r="Q116" s="19"/>
    </row>
    <row r="117" ht="15.75" customHeight="1">
      <c r="A117" s="15">
        <v>22002.0</v>
      </c>
      <c r="B117" s="16" t="s">
        <v>13</v>
      </c>
      <c r="C117" s="16" t="s">
        <v>140</v>
      </c>
      <c r="D117" s="13">
        <v>129.0</v>
      </c>
      <c r="E117" s="13">
        <v>1070.0</v>
      </c>
      <c r="F117" s="14">
        <f t="shared" si="3"/>
        <v>12.05607477</v>
      </c>
      <c r="G117" s="13">
        <v>61.0</v>
      </c>
      <c r="H117" s="13">
        <v>885.0</v>
      </c>
      <c r="I117" s="14">
        <f t="shared" si="4"/>
        <v>6.892655367</v>
      </c>
      <c r="P117" s="19"/>
      <c r="Q117" s="19"/>
    </row>
    <row r="118" ht="15.75" customHeight="1">
      <c r="A118" s="15">
        <v>30101.0</v>
      </c>
      <c r="B118" s="16" t="s">
        <v>15</v>
      </c>
      <c r="C118" s="16" t="s">
        <v>15</v>
      </c>
      <c r="D118" s="13">
        <v>20225.0</v>
      </c>
      <c r="E118" s="13">
        <v>69823.0</v>
      </c>
      <c r="F118" s="14">
        <f t="shared" si="3"/>
        <v>28.9661</v>
      </c>
      <c r="G118" s="13">
        <v>4310.0</v>
      </c>
      <c r="H118" s="13">
        <v>61859.0</v>
      </c>
      <c r="I118" s="14">
        <f t="shared" si="4"/>
        <v>6.967458252</v>
      </c>
      <c r="P118" s="19"/>
      <c r="Q118" s="19"/>
    </row>
    <row r="119" ht="15.75" customHeight="1">
      <c r="A119" s="15">
        <v>30201.0</v>
      </c>
      <c r="B119" s="16" t="s">
        <v>15</v>
      </c>
      <c r="C119" s="16" t="s">
        <v>141</v>
      </c>
      <c r="D119" s="13">
        <v>549.0</v>
      </c>
      <c r="E119" s="13">
        <v>1828.0</v>
      </c>
      <c r="F119" s="14">
        <f t="shared" si="3"/>
        <v>30.03282276</v>
      </c>
      <c r="G119" s="13">
        <v>201.0</v>
      </c>
      <c r="H119" s="13">
        <v>2006.0</v>
      </c>
      <c r="I119" s="14">
        <f t="shared" si="4"/>
        <v>10.01994018</v>
      </c>
      <c r="P119" s="19"/>
      <c r="Q119" s="19"/>
    </row>
    <row r="120" ht="15.75" customHeight="1">
      <c r="A120" s="15">
        <v>30202.0</v>
      </c>
      <c r="B120" s="16" t="s">
        <v>15</v>
      </c>
      <c r="C120" s="16" t="s">
        <v>142</v>
      </c>
      <c r="D120" s="13">
        <v>143.0</v>
      </c>
      <c r="E120" s="13">
        <v>612.0</v>
      </c>
      <c r="F120" s="14">
        <f t="shared" si="3"/>
        <v>23.36601307</v>
      </c>
      <c r="G120" s="13">
        <v>52.0</v>
      </c>
      <c r="H120" s="13">
        <v>458.0</v>
      </c>
      <c r="I120" s="14">
        <f t="shared" si="4"/>
        <v>11.35371179</v>
      </c>
      <c r="P120" s="19"/>
      <c r="Q120" s="19"/>
    </row>
    <row r="121" ht="15.75" customHeight="1">
      <c r="A121" s="15">
        <v>30203.0</v>
      </c>
      <c r="B121" s="16" t="s">
        <v>15</v>
      </c>
      <c r="C121" s="16" t="s">
        <v>143</v>
      </c>
      <c r="D121" s="13">
        <v>109.0</v>
      </c>
      <c r="E121" s="13">
        <v>509.0</v>
      </c>
      <c r="F121" s="14">
        <f t="shared" si="3"/>
        <v>21.41453831</v>
      </c>
      <c r="G121" s="13">
        <v>77.0</v>
      </c>
      <c r="H121" s="13">
        <v>586.0</v>
      </c>
      <c r="I121" s="14">
        <f t="shared" si="4"/>
        <v>13.13993174</v>
      </c>
      <c r="P121" s="19"/>
      <c r="Q121" s="19"/>
    </row>
    <row r="122" ht="15.75" customHeight="1">
      <c r="A122" s="15">
        <v>30301.0</v>
      </c>
      <c r="B122" s="16" t="s">
        <v>15</v>
      </c>
      <c r="C122" s="16" t="s">
        <v>144</v>
      </c>
      <c r="D122" s="13">
        <v>484.0</v>
      </c>
      <c r="E122" s="13">
        <v>1934.0</v>
      </c>
      <c r="F122" s="14">
        <f t="shared" si="3"/>
        <v>25.02585315</v>
      </c>
      <c r="G122" s="13">
        <v>213.0</v>
      </c>
      <c r="H122" s="13">
        <v>1535.0</v>
      </c>
      <c r="I122" s="14">
        <f t="shared" si="4"/>
        <v>13.8762215</v>
      </c>
      <c r="P122" s="19"/>
      <c r="Q122" s="19"/>
    </row>
    <row r="123" ht="15.75" customHeight="1">
      <c r="A123" s="15">
        <v>30302.0</v>
      </c>
      <c r="B123" s="16" t="s">
        <v>15</v>
      </c>
      <c r="C123" s="16" t="s">
        <v>145</v>
      </c>
      <c r="D123" s="13">
        <v>243.0</v>
      </c>
      <c r="E123" s="13">
        <v>1086.0</v>
      </c>
      <c r="F123" s="14">
        <f t="shared" si="3"/>
        <v>22.37569061</v>
      </c>
      <c r="G123" s="13">
        <v>139.0</v>
      </c>
      <c r="H123" s="13">
        <v>1184.0</v>
      </c>
      <c r="I123" s="14">
        <f t="shared" si="4"/>
        <v>11.73986486</v>
      </c>
      <c r="P123" s="19"/>
      <c r="Q123" s="19"/>
    </row>
    <row r="124" ht="15.75" customHeight="1">
      <c r="A124" s="15">
        <v>30303.0</v>
      </c>
      <c r="B124" s="16" t="s">
        <v>15</v>
      </c>
      <c r="C124" s="16" t="s">
        <v>146</v>
      </c>
      <c r="D124" s="13">
        <v>340.0</v>
      </c>
      <c r="E124" s="13">
        <v>1580.0</v>
      </c>
      <c r="F124" s="14">
        <f t="shared" si="3"/>
        <v>21.51898734</v>
      </c>
      <c r="G124" s="13">
        <v>200.0</v>
      </c>
      <c r="H124" s="13">
        <v>1673.0</v>
      </c>
      <c r="I124" s="14">
        <f t="shared" si="4"/>
        <v>11.95457262</v>
      </c>
      <c r="P124" s="19"/>
      <c r="Q124" s="19"/>
    </row>
    <row r="125" ht="15.75" customHeight="1">
      <c r="A125" s="15">
        <v>30401.0</v>
      </c>
      <c r="B125" s="16" t="s">
        <v>15</v>
      </c>
      <c r="C125" s="16" t="s">
        <v>147</v>
      </c>
      <c r="D125" s="13">
        <v>248.0</v>
      </c>
      <c r="E125" s="13">
        <v>808.0</v>
      </c>
      <c r="F125" s="14">
        <f t="shared" si="3"/>
        <v>30.69306931</v>
      </c>
      <c r="G125" s="13">
        <v>112.0</v>
      </c>
      <c r="H125" s="13">
        <v>1051.0</v>
      </c>
      <c r="I125" s="14">
        <f t="shared" si="4"/>
        <v>10.6565176</v>
      </c>
      <c r="P125" s="19"/>
      <c r="Q125" s="19"/>
    </row>
    <row r="126" ht="15.75" customHeight="1">
      <c r="A126" s="15">
        <v>30402.0</v>
      </c>
      <c r="B126" s="16" t="s">
        <v>15</v>
      </c>
      <c r="C126" s="16" t="s">
        <v>148</v>
      </c>
      <c r="D126" s="13">
        <v>132.0</v>
      </c>
      <c r="E126" s="13">
        <v>548.0</v>
      </c>
      <c r="F126" s="14">
        <f t="shared" si="3"/>
        <v>24.08759124</v>
      </c>
      <c r="G126" s="13">
        <v>44.0</v>
      </c>
      <c r="H126" s="13">
        <v>556.0</v>
      </c>
      <c r="I126" s="14">
        <f t="shared" si="4"/>
        <v>7.913669065</v>
      </c>
      <c r="P126" s="19"/>
      <c r="Q126" s="19"/>
    </row>
    <row r="127" ht="15.75" customHeight="1">
      <c r="A127" s="15">
        <v>30403.0</v>
      </c>
      <c r="B127" s="16" t="s">
        <v>15</v>
      </c>
      <c r="C127" s="16" t="s">
        <v>149</v>
      </c>
      <c r="D127" s="13">
        <v>445.0</v>
      </c>
      <c r="E127" s="13">
        <v>1616.0</v>
      </c>
      <c r="F127" s="14">
        <f t="shared" si="3"/>
        <v>27.53712871</v>
      </c>
      <c r="G127" s="13">
        <v>385.0</v>
      </c>
      <c r="H127" s="13">
        <v>2677.0</v>
      </c>
      <c r="I127" s="14">
        <f t="shared" si="4"/>
        <v>14.38177064</v>
      </c>
      <c r="P127" s="19"/>
      <c r="Q127" s="19"/>
    </row>
    <row r="128" ht="15.75" customHeight="1">
      <c r="A128" s="15">
        <v>30404.0</v>
      </c>
      <c r="B128" s="16" t="s">
        <v>15</v>
      </c>
      <c r="C128" s="16" t="s">
        <v>150</v>
      </c>
      <c r="D128" s="13">
        <v>59.0</v>
      </c>
      <c r="E128" s="13">
        <v>359.0</v>
      </c>
      <c r="F128" s="14">
        <f t="shared" si="3"/>
        <v>16.43454039</v>
      </c>
      <c r="G128" s="13">
        <v>30.0</v>
      </c>
      <c r="H128" s="13">
        <v>389.0</v>
      </c>
      <c r="I128" s="14">
        <f t="shared" si="4"/>
        <v>7.712082262</v>
      </c>
      <c r="P128" s="19"/>
      <c r="Q128" s="19"/>
    </row>
    <row r="129" ht="15.75" customHeight="1">
      <c r="A129" s="15">
        <v>30501.0</v>
      </c>
      <c r="B129" s="16" t="s">
        <v>15</v>
      </c>
      <c r="C129" s="16" t="s">
        <v>151</v>
      </c>
      <c r="D129" s="13">
        <v>244.0</v>
      </c>
      <c r="E129" s="13">
        <v>934.0</v>
      </c>
      <c r="F129" s="14">
        <f t="shared" si="3"/>
        <v>26.124197</v>
      </c>
      <c r="G129" s="13">
        <v>72.0</v>
      </c>
      <c r="H129" s="13">
        <v>895.0</v>
      </c>
      <c r="I129" s="14">
        <f t="shared" si="4"/>
        <v>8.044692737</v>
      </c>
      <c r="P129" s="19"/>
      <c r="Q129" s="19"/>
    </row>
    <row r="130" ht="15.75" customHeight="1">
      <c r="A130" s="15">
        <v>30502.0</v>
      </c>
      <c r="B130" s="16" t="s">
        <v>15</v>
      </c>
      <c r="C130" s="16" t="s">
        <v>152</v>
      </c>
      <c r="D130" s="13">
        <v>117.0</v>
      </c>
      <c r="E130" s="13">
        <v>875.0</v>
      </c>
      <c r="F130" s="14">
        <f t="shared" si="3"/>
        <v>13.37142857</v>
      </c>
      <c r="G130" s="13">
        <v>40.0</v>
      </c>
      <c r="H130" s="13">
        <v>688.0</v>
      </c>
      <c r="I130" s="14">
        <f t="shared" si="4"/>
        <v>5.813953488</v>
      </c>
      <c r="P130" s="19"/>
      <c r="Q130" s="19"/>
    </row>
    <row r="131" ht="15.75" customHeight="1">
      <c r="A131" s="15">
        <v>30601.0</v>
      </c>
      <c r="B131" s="16" t="s">
        <v>15</v>
      </c>
      <c r="C131" s="16" t="s">
        <v>153</v>
      </c>
      <c r="D131" s="13">
        <v>187.0</v>
      </c>
      <c r="E131" s="13">
        <v>976.0</v>
      </c>
      <c r="F131" s="14">
        <f t="shared" si="3"/>
        <v>19.15983607</v>
      </c>
      <c r="G131" s="13">
        <v>101.0</v>
      </c>
      <c r="H131" s="13">
        <v>926.0</v>
      </c>
      <c r="I131" s="14">
        <f t="shared" si="4"/>
        <v>10.90712743</v>
      </c>
      <c r="P131" s="19"/>
      <c r="Q131" s="19"/>
    </row>
    <row r="132" ht="15.75" customHeight="1">
      <c r="A132" s="15">
        <v>30602.0</v>
      </c>
      <c r="B132" s="16" t="s">
        <v>15</v>
      </c>
      <c r="C132" s="16" t="s">
        <v>154</v>
      </c>
      <c r="D132" s="13">
        <v>97.0</v>
      </c>
      <c r="E132" s="13">
        <v>948.0</v>
      </c>
      <c r="F132" s="14">
        <f t="shared" si="3"/>
        <v>10.23206751</v>
      </c>
      <c r="G132" s="13">
        <v>94.0</v>
      </c>
      <c r="H132" s="13">
        <v>851.0</v>
      </c>
      <c r="I132" s="14">
        <f t="shared" si="4"/>
        <v>11.04582844</v>
      </c>
      <c r="P132" s="19"/>
      <c r="Q132" s="19"/>
    </row>
    <row r="133" ht="15.75" customHeight="1">
      <c r="A133" s="15">
        <v>30701.0</v>
      </c>
      <c r="B133" s="16" t="s">
        <v>15</v>
      </c>
      <c r="C133" s="16" t="s">
        <v>155</v>
      </c>
      <c r="D133" s="13">
        <v>479.0</v>
      </c>
      <c r="E133" s="13">
        <v>2020.0</v>
      </c>
      <c r="F133" s="14">
        <f t="shared" si="3"/>
        <v>23.71287129</v>
      </c>
      <c r="G133" s="13">
        <v>182.0</v>
      </c>
      <c r="H133" s="13">
        <v>1722.0</v>
      </c>
      <c r="I133" s="14">
        <f t="shared" si="4"/>
        <v>10.56910569</v>
      </c>
      <c r="P133" s="19"/>
      <c r="Q133" s="19"/>
    </row>
    <row r="134" ht="15.75" customHeight="1">
      <c r="A134" s="15">
        <v>30702.0</v>
      </c>
      <c r="B134" s="16" t="s">
        <v>15</v>
      </c>
      <c r="C134" s="16" t="s">
        <v>156</v>
      </c>
      <c r="D134" s="13">
        <v>176.0</v>
      </c>
      <c r="E134" s="13">
        <v>662.0</v>
      </c>
      <c r="F134" s="14">
        <f t="shared" si="3"/>
        <v>26.58610272</v>
      </c>
      <c r="G134" s="13">
        <v>91.0</v>
      </c>
      <c r="H134" s="13">
        <v>547.0</v>
      </c>
      <c r="I134" s="14">
        <f t="shared" si="4"/>
        <v>16.63619744</v>
      </c>
      <c r="P134" s="19"/>
      <c r="Q134" s="19"/>
    </row>
    <row r="135" ht="15.75" customHeight="1">
      <c r="A135" s="15">
        <v>30703.0</v>
      </c>
      <c r="B135" s="16" t="s">
        <v>15</v>
      </c>
      <c r="C135" s="16" t="s">
        <v>157</v>
      </c>
      <c r="D135" s="13">
        <v>78.0</v>
      </c>
      <c r="E135" s="13">
        <v>332.0</v>
      </c>
      <c r="F135" s="14">
        <f t="shared" si="3"/>
        <v>23.4939759</v>
      </c>
      <c r="G135" s="13">
        <v>54.0</v>
      </c>
      <c r="H135" s="13">
        <v>335.0</v>
      </c>
      <c r="I135" s="14">
        <f t="shared" si="4"/>
        <v>16.11940299</v>
      </c>
      <c r="P135" s="19"/>
      <c r="Q135" s="19"/>
    </row>
    <row r="136" ht="15.75" customHeight="1">
      <c r="A136" s="15">
        <v>30801.0</v>
      </c>
      <c r="B136" s="16" t="s">
        <v>15</v>
      </c>
      <c r="C136" s="16" t="s">
        <v>158</v>
      </c>
      <c r="D136" s="13">
        <v>580.0</v>
      </c>
      <c r="E136" s="13">
        <v>2115.0</v>
      </c>
      <c r="F136" s="14">
        <f t="shared" si="3"/>
        <v>27.42316785</v>
      </c>
      <c r="G136" s="13">
        <v>167.0</v>
      </c>
      <c r="H136" s="13">
        <v>1778.0</v>
      </c>
      <c r="I136" s="14">
        <f t="shared" si="4"/>
        <v>9.392575928</v>
      </c>
      <c r="P136" s="19"/>
      <c r="Q136" s="19"/>
    </row>
    <row r="137" ht="15.75" customHeight="1">
      <c r="A137" s="15">
        <v>30802.0</v>
      </c>
      <c r="B137" s="16" t="s">
        <v>15</v>
      </c>
      <c r="C137" s="16" t="s">
        <v>159</v>
      </c>
      <c r="D137" s="13">
        <v>179.0</v>
      </c>
      <c r="E137" s="13">
        <v>666.0</v>
      </c>
      <c r="F137" s="14">
        <f t="shared" si="3"/>
        <v>26.87687688</v>
      </c>
      <c r="G137" s="13">
        <v>69.0</v>
      </c>
      <c r="H137" s="13">
        <v>528.0</v>
      </c>
      <c r="I137" s="14">
        <f t="shared" si="4"/>
        <v>13.06818182</v>
      </c>
      <c r="P137" s="19"/>
      <c r="Q137" s="19"/>
    </row>
    <row r="138" ht="15.75" customHeight="1">
      <c r="A138" s="15">
        <v>30803.0</v>
      </c>
      <c r="B138" s="16" t="s">
        <v>15</v>
      </c>
      <c r="C138" s="16" t="s">
        <v>160</v>
      </c>
      <c r="D138" s="13">
        <v>164.0</v>
      </c>
      <c r="E138" s="13">
        <v>548.0</v>
      </c>
      <c r="F138" s="14">
        <f t="shared" si="3"/>
        <v>29.9270073</v>
      </c>
      <c r="G138" s="13">
        <v>82.0</v>
      </c>
      <c r="H138" s="13">
        <v>714.0</v>
      </c>
      <c r="I138" s="14">
        <f t="shared" si="4"/>
        <v>11.48459384</v>
      </c>
      <c r="P138" s="19"/>
      <c r="Q138" s="19"/>
    </row>
    <row r="139" ht="15.75" customHeight="1">
      <c r="A139" s="15">
        <v>30901.0</v>
      </c>
      <c r="B139" s="16" t="s">
        <v>15</v>
      </c>
      <c r="C139" s="16" t="s">
        <v>161</v>
      </c>
      <c r="D139" s="13">
        <v>4309.0</v>
      </c>
      <c r="E139" s="13">
        <v>15376.0</v>
      </c>
      <c r="F139" s="14">
        <f t="shared" si="3"/>
        <v>28.02419355</v>
      </c>
      <c r="G139" s="13">
        <v>1343.0</v>
      </c>
      <c r="H139" s="13">
        <v>15945.0</v>
      </c>
      <c r="I139" s="14">
        <f t="shared" si="4"/>
        <v>8.422703042</v>
      </c>
      <c r="P139" s="19"/>
      <c r="Q139" s="19"/>
    </row>
    <row r="140" ht="15.75" customHeight="1">
      <c r="A140" s="15">
        <v>30902.0</v>
      </c>
      <c r="B140" s="16" t="s">
        <v>15</v>
      </c>
      <c r="C140" s="16" t="s">
        <v>162</v>
      </c>
      <c r="D140" s="13">
        <v>1201.0</v>
      </c>
      <c r="E140" s="13">
        <v>4555.0</v>
      </c>
      <c r="F140" s="14">
        <f t="shared" si="3"/>
        <v>26.36663008</v>
      </c>
      <c r="G140" s="13">
        <v>730.0</v>
      </c>
      <c r="H140" s="13">
        <v>5603.0</v>
      </c>
      <c r="I140" s="14">
        <f t="shared" si="4"/>
        <v>13.02873461</v>
      </c>
      <c r="P140" s="19"/>
      <c r="Q140" s="19"/>
    </row>
    <row r="141" ht="15.75" customHeight="1">
      <c r="A141" s="15">
        <v>30903.0</v>
      </c>
      <c r="B141" s="16" t="s">
        <v>15</v>
      </c>
      <c r="C141" s="16" t="s">
        <v>163</v>
      </c>
      <c r="D141" s="13">
        <v>1673.0</v>
      </c>
      <c r="E141" s="13">
        <v>6341.0</v>
      </c>
      <c r="F141" s="14">
        <f t="shared" si="3"/>
        <v>26.38385113</v>
      </c>
      <c r="G141" s="13">
        <v>365.0</v>
      </c>
      <c r="H141" s="13">
        <v>6047.0</v>
      </c>
      <c r="I141" s="14">
        <f t="shared" si="4"/>
        <v>6.036050934</v>
      </c>
      <c r="P141" s="19"/>
      <c r="Q141" s="19"/>
    </row>
    <row r="142" ht="15.75" customHeight="1">
      <c r="A142" s="15">
        <v>30904.0</v>
      </c>
      <c r="B142" s="16" t="s">
        <v>15</v>
      </c>
      <c r="C142" s="16" t="s">
        <v>164</v>
      </c>
      <c r="D142" s="13">
        <v>1737.0</v>
      </c>
      <c r="E142" s="13">
        <v>6041.0</v>
      </c>
      <c r="F142" s="14">
        <f t="shared" si="3"/>
        <v>28.75351763</v>
      </c>
      <c r="G142" s="13">
        <v>570.0</v>
      </c>
      <c r="H142" s="13">
        <v>5712.0</v>
      </c>
      <c r="I142" s="14">
        <f t="shared" si="4"/>
        <v>9.978991597</v>
      </c>
      <c r="P142" s="19"/>
      <c r="Q142" s="19"/>
    </row>
    <row r="143" ht="15.75" customHeight="1">
      <c r="A143" s="15">
        <v>30905.0</v>
      </c>
      <c r="B143" s="16" t="s">
        <v>15</v>
      </c>
      <c r="C143" s="16" t="s">
        <v>165</v>
      </c>
      <c r="D143" s="13">
        <v>1723.0</v>
      </c>
      <c r="E143" s="13">
        <v>5701.0</v>
      </c>
      <c r="F143" s="14">
        <f t="shared" si="3"/>
        <v>30.22276794</v>
      </c>
      <c r="G143" s="13">
        <v>387.0</v>
      </c>
      <c r="H143" s="13">
        <v>5950.0</v>
      </c>
      <c r="I143" s="14">
        <f t="shared" si="4"/>
        <v>6.504201681</v>
      </c>
      <c r="P143" s="19"/>
      <c r="Q143" s="19"/>
    </row>
    <row r="144" ht="15.75" customHeight="1">
      <c r="A144" s="15">
        <v>31001.0</v>
      </c>
      <c r="B144" s="16" t="s">
        <v>15</v>
      </c>
      <c r="C144" s="16" t="s">
        <v>166</v>
      </c>
      <c r="D144" s="13">
        <v>5661.0</v>
      </c>
      <c r="E144" s="13">
        <v>19250.0</v>
      </c>
      <c r="F144" s="14">
        <f t="shared" si="3"/>
        <v>29.40779221</v>
      </c>
      <c r="G144" s="13">
        <v>1613.0</v>
      </c>
      <c r="H144" s="13">
        <v>21833.0</v>
      </c>
      <c r="I144" s="14">
        <f t="shared" si="4"/>
        <v>7.387899052</v>
      </c>
      <c r="P144" s="19"/>
      <c r="Q144" s="19"/>
    </row>
    <row r="145" ht="15.75" customHeight="1">
      <c r="A145" s="15">
        <v>31002.0</v>
      </c>
      <c r="B145" s="16" t="s">
        <v>15</v>
      </c>
      <c r="C145" s="16" t="s">
        <v>167</v>
      </c>
      <c r="D145" s="13">
        <v>320.0</v>
      </c>
      <c r="E145" s="13">
        <v>1999.0</v>
      </c>
      <c r="F145" s="14">
        <f t="shared" si="3"/>
        <v>16.008004</v>
      </c>
      <c r="G145" s="13">
        <v>157.0</v>
      </c>
      <c r="H145" s="13">
        <v>2047.0</v>
      </c>
      <c r="I145" s="14">
        <f t="shared" si="4"/>
        <v>7.669760625</v>
      </c>
      <c r="P145" s="19"/>
      <c r="Q145" s="19"/>
    </row>
    <row r="146" ht="15.75" customHeight="1">
      <c r="A146" s="15">
        <v>31003.0</v>
      </c>
      <c r="B146" s="16" t="s">
        <v>15</v>
      </c>
      <c r="C146" s="16" t="s">
        <v>168</v>
      </c>
      <c r="D146" s="13">
        <v>1563.0</v>
      </c>
      <c r="E146" s="13">
        <v>6718.0</v>
      </c>
      <c r="F146" s="14">
        <f t="shared" si="3"/>
        <v>23.26585293</v>
      </c>
      <c r="G146" s="13">
        <v>1027.0</v>
      </c>
      <c r="H146" s="13">
        <v>8213.0</v>
      </c>
      <c r="I146" s="14">
        <f t="shared" si="4"/>
        <v>12.50456593</v>
      </c>
      <c r="P146" s="19"/>
      <c r="Q146" s="19"/>
    </row>
    <row r="147" ht="15.75" customHeight="1">
      <c r="A147" s="15">
        <v>31101.0</v>
      </c>
      <c r="B147" s="16" t="s">
        <v>15</v>
      </c>
      <c r="C147" s="16" t="s">
        <v>169</v>
      </c>
      <c r="D147" s="13">
        <v>421.0</v>
      </c>
      <c r="E147" s="13">
        <v>2265.0</v>
      </c>
      <c r="F147" s="14">
        <f t="shared" si="3"/>
        <v>18.58719647</v>
      </c>
      <c r="G147" s="13">
        <v>220.0</v>
      </c>
      <c r="H147" s="13">
        <v>1956.0</v>
      </c>
      <c r="I147" s="14">
        <f t="shared" si="4"/>
        <v>11.24744376</v>
      </c>
      <c r="P147" s="19"/>
      <c r="Q147" s="19"/>
    </row>
    <row r="148" ht="15.75" customHeight="1">
      <c r="A148" s="15">
        <v>31201.0</v>
      </c>
      <c r="B148" s="16" t="s">
        <v>15</v>
      </c>
      <c r="C148" s="16" t="s">
        <v>170</v>
      </c>
      <c r="D148" s="13">
        <v>256.0</v>
      </c>
      <c r="E148" s="13">
        <v>1373.0</v>
      </c>
      <c r="F148" s="14">
        <f t="shared" si="3"/>
        <v>18.64530226</v>
      </c>
      <c r="G148" s="13">
        <v>95.0</v>
      </c>
      <c r="H148" s="13">
        <v>1382.0</v>
      </c>
      <c r="I148" s="14">
        <f t="shared" si="4"/>
        <v>6.874095514</v>
      </c>
      <c r="P148" s="19"/>
      <c r="Q148" s="19"/>
    </row>
    <row r="149" ht="15.75" customHeight="1">
      <c r="A149" s="15">
        <v>31202.0</v>
      </c>
      <c r="B149" s="16" t="s">
        <v>15</v>
      </c>
      <c r="C149" s="16" t="s">
        <v>171</v>
      </c>
      <c r="D149" s="13">
        <v>153.0</v>
      </c>
      <c r="E149" s="13">
        <v>934.0</v>
      </c>
      <c r="F149" s="14">
        <f t="shared" si="3"/>
        <v>16.38115632</v>
      </c>
      <c r="G149" s="13">
        <v>95.0</v>
      </c>
      <c r="H149" s="13">
        <v>1144.0</v>
      </c>
      <c r="I149" s="14">
        <f t="shared" si="4"/>
        <v>8.304195804</v>
      </c>
      <c r="P149" s="19"/>
      <c r="Q149" s="19"/>
    </row>
    <row r="150" ht="15.75" customHeight="1">
      <c r="A150" s="15">
        <v>31203.0</v>
      </c>
      <c r="B150" s="16" t="s">
        <v>15</v>
      </c>
      <c r="C150" s="16" t="s">
        <v>172</v>
      </c>
      <c r="D150" s="13">
        <v>147.0</v>
      </c>
      <c r="E150" s="13">
        <v>1063.0</v>
      </c>
      <c r="F150" s="14">
        <f t="shared" si="3"/>
        <v>13.82878645</v>
      </c>
      <c r="G150" s="13">
        <v>90.0</v>
      </c>
      <c r="H150" s="13">
        <v>906.0</v>
      </c>
      <c r="I150" s="14">
        <f t="shared" si="4"/>
        <v>9.933774834</v>
      </c>
      <c r="P150" s="19"/>
      <c r="Q150" s="19"/>
    </row>
    <row r="151" ht="15.75" customHeight="1">
      <c r="A151" s="15">
        <v>31204.0</v>
      </c>
      <c r="B151" s="16" t="s">
        <v>15</v>
      </c>
      <c r="C151" s="16" t="s">
        <v>173</v>
      </c>
      <c r="D151" s="13">
        <v>486.0</v>
      </c>
      <c r="E151" s="13">
        <v>2286.0</v>
      </c>
      <c r="F151" s="14">
        <f t="shared" si="3"/>
        <v>21.25984252</v>
      </c>
      <c r="G151" s="13">
        <v>306.0</v>
      </c>
      <c r="H151" s="13">
        <v>2580.0</v>
      </c>
      <c r="I151" s="14">
        <f t="shared" si="4"/>
        <v>11.86046512</v>
      </c>
      <c r="P151" s="19"/>
      <c r="Q151" s="19"/>
    </row>
    <row r="152" ht="15.75" customHeight="1">
      <c r="A152" s="15">
        <v>31205.0</v>
      </c>
      <c r="B152" s="16" t="s">
        <v>15</v>
      </c>
      <c r="C152" s="16" t="s">
        <v>174</v>
      </c>
      <c r="D152" s="13">
        <v>1185.0</v>
      </c>
      <c r="E152" s="13">
        <v>4960.0</v>
      </c>
      <c r="F152" s="14">
        <f t="shared" si="3"/>
        <v>23.89112903</v>
      </c>
      <c r="G152" s="13">
        <v>821.0</v>
      </c>
      <c r="H152" s="13">
        <v>6113.0</v>
      </c>
      <c r="I152" s="14">
        <f t="shared" si="4"/>
        <v>13.43039424</v>
      </c>
      <c r="P152" s="19"/>
      <c r="Q152" s="19"/>
    </row>
    <row r="153" ht="15.75" customHeight="1">
      <c r="A153" s="15">
        <v>31206.0</v>
      </c>
      <c r="B153" s="16" t="s">
        <v>15</v>
      </c>
      <c r="C153" s="16" t="s">
        <v>175</v>
      </c>
      <c r="D153" s="13">
        <v>883.0</v>
      </c>
      <c r="E153" s="13">
        <v>3433.0</v>
      </c>
      <c r="F153" s="14">
        <f t="shared" si="3"/>
        <v>25.72094378</v>
      </c>
      <c r="G153" s="13">
        <v>672.0</v>
      </c>
      <c r="H153" s="13">
        <v>4387.0</v>
      </c>
      <c r="I153" s="14">
        <f t="shared" si="4"/>
        <v>15.31798496</v>
      </c>
      <c r="P153" s="19"/>
      <c r="Q153" s="19"/>
    </row>
    <row r="154" ht="15.75" customHeight="1">
      <c r="A154" s="15">
        <v>31301.0</v>
      </c>
      <c r="B154" s="16" t="s">
        <v>15</v>
      </c>
      <c r="C154" s="16" t="s">
        <v>176</v>
      </c>
      <c r="D154" s="13">
        <v>444.0</v>
      </c>
      <c r="E154" s="13">
        <v>1930.0</v>
      </c>
      <c r="F154" s="14">
        <f t="shared" si="3"/>
        <v>23.00518135</v>
      </c>
      <c r="G154" s="13">
        <v>180.0</v>
      </c>
      <c r="H154" s="13">
        <v>1702.0</v>
      </c>
      <c r="I154" s="14">
        <f t="shared" si="4"/>
        <v>10.57579318</v>
      </c>
      <c r="P154" s="19"/>
      <c r="Q154" s="19"/>
    </row>
    <row r="155" ht="15.75" customHeight="1">
      <c r="A155" s="15">
        <v>31302.0</v>
      </c>
      <c r="B155" s="16" t="s">
        <v>15</v>
      </c>
      <c r="C155" s="16" t="s">
        <v>177</v>
      </c>
      <c r="D155" s="13">
        <v>92.0</v>
      </c>
      <c r="E155" s="13">
        <v>501.0</v>
      </c>
      <c r="F155" s="14">
        <f t="shared" si="3"/>
        <v>18.36327345</v>
      </c>
      <c r="G155" s="13">
        <v>74.0</v>
      </c>
      <c r="H155" s="13">
        <v>462.0</v>
      </c>
      <c r="I155" s="14">
        <f t="shared" si="4"/>
        <v>16.01731602</v>
      </c>
      <c r="P155" s="19"/>
      <c r="Q155" s="19"/>
    </row>
    <row r="156" ht="15.75" customHeight="1">
      <c r="A156" s="15">
        <v>31303.0</v>
      </c>
      <c r="B156" s="16" t="s">
        <v>15</v>
      </c>
      <c r="C156" s="16" t="s">
        <v>178</v>
      </c>
      <c r="D156" s="13">
        <v>66.0</v>
      </c>
      <c r="E156" s="13">
        <v>312.0</v>
      </c>
      <c r="F156" s="14">
        <f t="shared" si="3"/>
        <v>21.15384615</v>
      </c>
      <c r="G156" s="13">
        <v>41.0</v>
      </c>
      <c r="H156" s="13">
        <v>306.0</v>
      </c>
      <c r="I156" s="14">
        <f t="shared" si="4"/>
        <v>13.39869281</v>
      </c>
      <c r="P156" s="19"/>
      <c r="Q156" s="19"/>
    </row>
    <row r="157" ht="15.75" customHeight="1">
      <c r="A157" s="15">
        <v>31304.0</v>
      </c>
      <c r="B157" s="16" t="s">
        <v>15</v>
      </c>
      <c r="C157" s="16" t="s">
        <v>179</v>
      </c>
      <c r="D157" s="13">
        <v>90.0</v>
      </c>
      <c r="E157" s="13">
        <v>741.0</v>
      </c>
      <c r="F157" s="21">
        <f>F154</f>
        <v>23.00518135</v>
      </c>
      <c r="G157" s="13">
        <v>95.0</v>
      </c>
      <c r="H157" s="13">
        <v>753.0</v>
      </c>
      <c r="I157" s="14">
        <f t="shared" si="4"/>
        <v>12.61620186</v>
      </c>
      <c r="P157" s="19"/>
      <c r="Q157" s="19"/>
    </row>
    <row r="158" ht="15.75" customHeight="1">
      <c r="A158" s="15">
        <v>31401.0</v>
      </c>
      <c r="B158" s="16" t="s">
        <v>15</v>
      </c>
      <c r="C158" s="16" t="s">
        <v>180</v>
      </c>
      <c r="D158" s="13">
        <v>796.0</v>
      </c>
      <c r="E158" s="13">
        <v>3086.0</v>
      </c>
      <c r="F158" s="14">
        <f t="shared" ref="F158:F215" si="25">(D158/E158)*100</f>
        <v>25.79390797</v>
      </c>
      <c r="G158" s="13">
        <v>251.0</v>
      </c>
      <c r="H158" s="13">
        <v>2981.0</v>
      </c>
      <c r="I158" s="14">
        <f t="shared" si="4"/>
        <v>8.419993291</v>
      </c>
      <c r="P158" s="19"/>
      <c r="Q158" s="19"/>
    </row>
    <row r="159" ht="15.75" customHeight="1">
      <c r="A159" s="15">
        <v>31402.0</v>
      </c>
      <c r="B159" s="16" t="s">
        <v>15</v>
      </c>
      <c r="C159" s="16" t="s">
        <v>181</v>
      </c>
      <c r="D159" s="13">
        <v>189.0</v>
      </c>
      <c r="E159" s="13">
        <v>713.0</v>
      </c>
      <c r="F159" s="14">
        <f t="shared" si="25"/>
        <v>26.50771388</v>
      </c>
      <c r="G159" s="13">
        <v>81.0</v>
      </c>
      <c r="H159" s="13">
        <v>728.0</v>
      </c>
      <c r="I159" s="14">
        <f t="shared" si="4"/>
        <v>11.12637363</v>
      </c>
      <c r="P159" s="19"/>
      <c r="Q159" s="19"/>
    </row>
    <row r="160" ht="15.75" customHeight="1">
      <c r="A160" s="15">
        <v>31403.0</v>
      </c>
      <c r="B160" s="16" t="s">
        <v>15</v>
      </c>
      <c r="C160" s="16" t="s">
        <v>182</v>
      </c>
      <c r="D160" s="13">
        <v>352.0</v>
      </c>
      <c r="E160" s="13">
        <v>1367.0</v>
      </c>
      <c r="F160" s="14">
        <f t="shared" si="25"/>
        <v>25.74981712</v>
      </c>
      <c r="G160" s="13">
        <v>99.0</v>
      </c>
      <c r="H160" s="13">
        <v>1075.0</v>
      </c>
      <c r="I160" s="14">
        <f t="shared" si="4"/>
        <v>9.209302326</v>
      </c>
      <c r="P160" s="19"/>
      <c r="Q160" s="19"/>
    </row>
    <row r="161" ht="15.75" customHeight="1">
      <c r="A161" s="15">
        <v>31404.0</v>
      </c>
      <c r="B161" s="16" t="s">
        <v>15</v>
      </c>
      <c r="C161" s="16" t="s">
        <v>183</v>
      </c>
      <c r="D161" s="13">
        <v>39.0</v>
      </c>
      <c r="E161" s="13">
        <v>132.0</v>
      </c>
      <c r="F161" s="14">
        <f t="shared" si="25"/>
        <v>29.54545455</v>
      </c>
      <c r="G161" s="13">
        <v>10.0</v>
      </c>
      <c r="H161" s="13">
        <v>99.0</v>
      </c>
      <c r="I161" s="14">
        <f t="shared" si="4"/>
        <v>10.1010101</v>
      </c>
      <c r="P161" s="19"/>
      <c r="Q161" s="19"/>
    </row>
    <row r="162" ht="15.75" customHeight="1">
      <c r="A162" s="15">
        <v>31405.0</v>
      </c>
      <c r="B162" s="16" t="s">
        <v>15</v>
      </c>
      <c r="C162" s="16" t="s">
        <v>184</v>
      </c>
      <c r="D162" s="13">
        <v>50.0</v>
      </c>
      <c r="E162" s="13">
        <v>247.0</v>
      </c>
      <c r="F162" s="14">
        <f t="shared" si="25"/>
        <v>20.24291498</v>
      </c>
      <c r="G162" s="13">
        <v>25.0</v>
      </c>
      <c r="H162" s="13">
        <v>307.0</v>
      </c>
      <c r="I162" s="14">
        <f t="shared" si="4"/>
        <v>8.143322476</v>
      </c>
      <c r="P162" s="19"/>
      <c r="Q162" s="19"/>
    </row>
    <row r="163" ht="15.75" customHeight="1">
      <c r="A163" s="15">
        <v>31501.0</v>
      </c>
      <c r="B163" s="16" t="s">
        <v>15</v>
      </c>
      <c r="C163" s="16" t="s">
        <v>185</v>
      </c>
      <c r="D163" s="13">
        <v>80.0</v>
      </c>
      <c r="E163" s="13">
        <v>683.0</v>
      </c>
      <c r="F163" s="14">
        <f t="shared" si="25"/>
        <v>11.71303075</v>
      </c>
      <c r="G163" s="13">
        <v>63.0</v>
      </c>
      <c r="H163" s="13">
        <v>587.0</v>
      </c>
      <c r="I163" s="14">
        <f t="shared" si="4"/>
        <v>10.73253833</v>
      </c>
      <c r="P163" s="19"/>
      <c r="Q163" s="19"/>
    </row>
    <row r="164" ht="15.75" customHeight="1">
      <c r="A164" s="15">
        <v>31601.0</v>
      </c>
      <c r="B164" s="16" t="s">
        <v>15</v>
      </c>
      <c r="C164" s="16" t="s">
        <v>186</v>
      </c>
      <c r="D164" s="13">
        <v>293.0</v>
      </c>
      <c r="E164" s="13">
        <v>2064.0</v>
      </c>
      <c r="F164" s="14">
        <f t="shared" si="25"/>
        <v>14.19573643</v>
      </c>
      <c r="G164" s="13">
        <v>116.0</v>
      </c>
      <c r="H164" s="13">
        <v>1606.0</v>
      </c>
      <c r="I164" s="14">
        <f t="shared" si="4"/>
        <v>7.222914072</v>
      </c>
      <c r="P164" s="19"/>
      <c r="Q164" s="19"/>
    </row>
    <row r="165" ht="15.75" customHeight="1">
      <c r="A165" s="15">
        <v>31602.0</v>
      </c>
      <c r="B165" s="16" t="s">
        <v>15</v>
      </c>
      <c r="C165" s="16" t="s">
        <v>187</v>
      </c>
      <c r="D165" s="13">
        <v>550.0</v>
      </c>
      <c r="E165" s="13">
        <v>2193.0</v>
      </c>
      <c r="F165" s="14">
        <f t="shared" si="25"/>
        <v>25.07979936</v>
      </c>
      <c r="G165" s="13">
        <v>332.0</v>
      </c>
      <c r="H165" s="13">
        <v>2620.0</v>
      </c>
      <c r="I165" s="14">
        <f t="shared" si="4"/>
        <v>12.67175573</v>
      </c>
      <c r="P165" s="19"/>
      <c r="Q165" s="19"/>
    </row>
    <row r="166" ht="15.75" customHeight="1">
      <c r="A166" s="15">
        <v>40101.0</v>
      </c>
      <c r="B166" s="16" t="s">
        <v>17</v>
      </c>
      <c r="C166" s="16" t="s">
        <v>17</v>
      </c>
      <c r="D166" s="13">
        <v>9424.0</v>
      </c>
      <c r="E166" s="13">
        <v>28940.0</v>
      </c>
      <c r="F166" s="14">
        <f t="shared" si="25"/>
        <v>32.56392536</v>
      </c>
      <c r="G166" s="13">
        <v>2305.0</v>
      </c>
      <c r="H166" s="13">
        <v>28474.0</v>
      </c>
      <c r="I166" s="14">
        <f t="shared" si="4"/>
        <v>8.095104306</v>
      </c>
      <c r="P166" s="19"/>
      <c r="Q166" s="19"/>
    </row>
    <row r="167" ht="15.75" customHeight="1">
      <c r="A167" s="15">
        <v>40102.0</v>
      </c>
      <c r="B167" s="16" t="s">
        <v>17</v>
      </c>
      <c r="C167" s="16" t="s">
        <v>188</v>
      </c>
      <c r="D167" s="13">
        <v>512.0</v>
      </c>
      <c r="E167" s="13">
        <v>2214.0</v>
      </c>
      <c r="F167" s="14">
        <f t="shared" si="25"/>
        <v>23.12556459</v>
      </c>
      <c r="G167" s="13">
        <v>166.0</v>
      </c>
      <c r="H167" s="13">
        <v>2058.0</v>
      </c>
      <c r="I167" s="14">
        <f t="shared" si="4"/>
        <v>8.066083576</v>
      </c>
      <c r="P167" s="19"/>
      <c r="Q167" s="19"/>
    </row>
    <row r="168" ht="15.75" customHeight="1">
      <c r="A168" s="15">
        <v>40103.0</v>
      </c>
      <c r="B168" s="16" t="s">
        <v>17</v>
      </c>
      <c r="C168" s="16" t="s">
        <v>189</v>
      </c>
      <c r="D168" s="13">
        <v>114.0</v>
      </c>
      <c r="E168" s="13">
        <v>803.0</v>
      </c>
      <c r="F168" s="14">
        <f t="shared" si="25"/>
        <v>14.19676214</v>
      </c>
      <c r="G168" s="13">
        <v>47.0</v>
      </c>
      <c r="H168" s="13">
        <v>697.0</v>
      </c>
      <c r="I168" s="14">
        <f t="shared" si="4"/>
        <v>6.743185079</v>
      </c>
      <c r="P168" s="19"/>
      <c r="Q168" s="19"/>
    </row>
    <row r="169" ht="15.75" customHeight="1">
      <c r="A169" s="15">
        <v>40104.0</v>
      </c>
      <c r="B169" s="16" t="s">
        <v>17</v>
      </c>
      <c r="C169" s="16" t="s">
        <v>190</v>
      </c>
      <c r="D169" s="13">
        <v>217.0</v>
      </c>
      <c r="E169" s="13">
        <v>1135.0</v>
      </c>
      <c r="F169" s="14">
        <f t="shared" si="25"/>
        <v>19.11894273</v>
      </c>
      <c r="G169" s="13">
        <v>88.0</v>
      </c>
      <c r="H169" s="13">
        <v>1247.0</v>
      </c>
      <c r="I169" s="14">
        <f t="shared" si="4"/>
        <v>7.056936648</v>
      </c>
      <c r="P169" s="19"/>
      <c r="Q169" s="19"/>
    </row>
    <row r="170" ht="15.75" customHeight="1">
      <c r="A170" s="15">
        <v>40201.0</v>
      </c>
      <c r="B170" s="16" t="s">
        <v>17</v>
      </c>
      <c r="C170" s="16" t="s">
        <v>191</v>
      </c>
      <c r="D170" s="13">
        <v>541.0</v>
      </c>
      <c r="E170" s="13">
        <v>2530.0</v>
      </c>
      <c r="F170" s="14">
        <f t="shared" si="25"/>
        <v>21.38339921</v>
      </c>
      <c r="G170" s="13">
        <v>348.0</v>
      </c>
      <c r="H170" s="13">
        <v>3008.0</v>
      </c>
      <c r="I170" s="14">
        <f t="shared" si="4"/>
        <v>11.56914894</v>
      </c>
      <c r="P170" s="19"/>
      <c r="Q170" s="19"/>
    </row>
    <row r="171" ht="15.75" customHeight="1">
      <c r="A171" s="15">
        <v>40202.0</v>
      </c>
      <c r="B171" s="16" t="s">
        <v>17</v>
      </c>
      <c r="C171" s="16" t="s">
        <v>192</v>
      </c>
      <c r="D171" s="13">
        <v>41.0</v>
      </c>
      <c r="E171" s="13">
        <v>266.0</v>
      </c>
      <c r="F171" s="14">
        <f t="shared" si="25"/>
        <v>15.41353383</v>
      </c>
      <c r="G171" s="13">
        <v>32.0</v>
      </c>
      <c r="H171" s="13">
        <v>368.0</v>
      </c>
      <c r="I171" s="14">
        <f t="shared" si="4"/>
        <v>8.695652174</v>
      </c>
      <c r="P171" s="19"/>
      <c r="Q171" s="19"/>
    </row>
    <row r="172" ht="15.75" customHeight="1">
      <c r="A172" s="15">
        <v>40301.0</v>
      </c>
      <c r="B172" s="16" t="s">
        <v>17</v>
      </c>
      <c r="C172" s="16" t="s">
        <v>193</v>
      </c>
      <c r="D172" s="13">
        <v>185.0</v>
      </c>
      <c r="E172" s="13">
        <v>643.0</v>
      </c>
      <c r="F172" s="14">
        <f t="shared" si="25"/>
        <v>28.77138414</v>
      </c>
      <c r="G172" s="13">
        <v>110.0</v>
      </c>
      <c r="H172" s="13">
        <v>1405.0</v>
      </c>
      <c r="I172" s="14">
        <f t="shared" si="4"/>
        <v>7.829181495</v>
      </c>
      <c r="P172" s="19"/>
      <c r="Q172" s="19"/>
    </row>
    <row r="173" ht="15.75" customHeight="1">
      <c r="A173" s="15">
        <v>40302.0</v>
      </c>
      <c r="B173" s="16" t="s">
        <v>17</v>
      </c>
      <c r="C173" s="16" t="s">
        <v>194</v>
      </c>
      <c r="D173" s="13">
        <v>29.0</v>
      </c>
      <c r="E173" s="13">
        <v>152.0</v>
      </c>
      <c r="F173" s="14">
        <f t="shared" si="25"/>
        <v>19.07894737</v>
      </c>
      <c r="G173" s="13">
        <v>10.0</v>
      </c>
      <c r="H173" s="13">
        <v>176.0</v>
      </c>
      <c r="I173" s="14">
        <f t="shared" si="4"/>
        <v>5.681818182</v>
      </c>
      <c r="P173" s="19"/>
      <c r="Q173" s="19"/>
    </row>
    <row r="174" ht="15.75" customHeight="1">
      <c r="A174" s="15">
        <v>40401.0</v>
      </c>
      <c r="B174" s="16" t="s">
        <v>17</v>
      </c>
      <c r="C174" s="16" t="s">
        <v>195</v>
      </c>
      <c r="D174" s="13">
        <v>80.0</v>
      </c>
      <c r="E174" s="13">
        <v>332.0</v>
      </c>
      <c r="F174" s="14">
        <f t="shared" si="25"/>
        <v>24.09638554</v>
      </c>
      <c r="G174" s="13">
        <v>37.0</v>
      </c>
      <c r="H174" s="13">
        <v>463.0</v>
      </c>
      <c r="I174" s="14">
        <f t="shared" si="4"/>
        <v>7.991360691</v>
      </c>
      <c r="P174" s="19"/>
      <c r="Q174" s="19"/>
    </row>
    <row r="175" ht="15.75" customHeight="1">
      <c r="A175" s="15">
        <v>40402.0</v>
      </c>
      <c r="B175" s="16" t="s">
        <v>17</v>
      </c>
      <c r="C175" s="16" t="s">
        <v>196</v>
      </c>
      <c r="D175" s="13">
        <v>63.0</v>
      </c>
      <c r="E175" s="13">
        <v>370.0</v>
      </c>
      <c r="F175" s="14">
        <f t="shared" si="25"/>
        <v>17.02702703</v>
      </c>
      <c r="G175" s="13">
        <v>29.0</v>
      </c>
      <c r="H175" s="13">
        <v>408.0</v>
      </c>
      <c r="I175" s="14">
        <f t="shared" si="4"/>
        <v>7.107843137</v>
      </c>
      <c r="P175" s="19"/>
      <c r="Q175" s="19"/>
    </row>
    <row r="176" ht="15.75" customHeight="1">
      <c r="A176" s="15">
        <v>40501.0</v>
      </c>
      <c r="B176" s="16" t="s">
        <v>17</v>
      </c>
      <c r="C176" s="16" t="s">
        <v>197</v>
      </c>
      <c r="D176" s="13">
        <v>16.0</v>
      </c>
      <c r="E176" s="13">
        <v>68.0</v>
      </c>
      <c r="F176" s="14">
        <f t="shared" si="25"/>
        <v>23.52941176</v>
      </c>
      <c r="G176" s="13">
        <v>26.0</v>
      </c>
      <c r="H176" s="13">
        <v>338.0</v>
      </c>
      <c r="I176" s="14">
        <f t="shared" si="4"/>
        <v>7.692307692</v>
      </c>
      <c r="P176" s="19"/>
      <c r="Q176" s="19"/>
    </row>
    <row r="177" ht="15.75" customHeight="1">
      <c r="A177" s="15">
        <v>40502.0</v>
      </c>
      <c r="B177" s="16" t="s">
        <v>17</v>
      </c>
      <c r="C177" s="16" t="s">
        <v>198</v>
      </c>
      <c r="D177" s="13">
        <v>93.0</v>
      </c>
      <c r="E177" s="13">
        <v>394.0</v>
      </c>
      <c r="F177" s="14">
        <f t="shared" si="25"/>
        <v>23.60406091</v>
      </c>
      <c r="G177" s="13">
        <v>28.0</v>
      </c>
      <c r="H177" s="13">
        <v>312.0</v>
      </c>
      <c r="I177" s="14">
        <f t="shared" si="4"/>
        <v>8.974358974</v>
      </c>
      <c r="P177" s="19"/>
      <c r="Q177" s="19"/>
    </row>
    <row r="178" ht="15.75" customHeight="1">
      <c r="A178" s="15">
        <v>40503.0</v>
      </c>
      <c r="B178" s="16" t="s">
        <v>17</v>
      </c>
      <c r="C178" s="16" t="s">
        <v>199</v>
      </c>
      <c r="D178" s="13">
        <v>79.0</v>
      </c>
      <c r="E178" s="13">
        <v>175.0</v>
      </c>
      <c r="F178" s="14">
        <f t="shared" si="25"/>
        <v>45.14285714</v>
      </c>
      <c r="G178" s="13">
        <v>8.0</v>
      </c>
      <c r="H178" s="13">
        <v>141.0</v>
      </c>
      <c r="I178" s="14">
        <f t="shared" si="4"/>
        <v>5.673758865</v>
      </c>
      <c r="P178" s="19"/>
      <c r="Q178" s="19"/>
    </row>
    <row r="179" ht="15.75" customHeight="1">
      <c r="A179" s="15">
        <v>40504.0</v>
      </c>
      <c r="B179" s="16" t="s">
        <v>17</v>
      </c>
      <c r="C179" s="16" t="s">
        <v>200</v>
      </c>
      <c r="D179" s="13">
        <v>10.0</v>
      </c>
      <c r="E179" s="13">
        <v>45.0</v>
      </c>
      <c r="F179" s="14">
        <f t="shared" si="25"/>
        <v>22.22222222</v>
      </c>
      <c r="G179" s="13">
        <v>11.0</v>
      </c>
      <c r="H179" s="13">
        <v>76.0</v>
      </c>
      <c r="I179" s="14">
        <f t="shared" si="4"/>
        <v>14.47368421</v>
      </c>
      <c r="P179" s="19"/>
      <c r="Q179" s="19"/>
    </row>
    <row r="180" ht="15.75" customHeight="1">
      <c r="A180" s="15">
        <v>40505.0</v>
      </c>
      <c r="B180" s="16" t="s">
        <v>17</v>
      </c>
      <c r="C180" s="16" t="s">
        <v>201</v>
      </c>
      <c r="D180" s="13">
        <v>85.0</v>
      </c>
      <c r="E180" s="13">
        <v>282.0</v>
      </c>
      <c r="F180" s="14">
        <f t="shared" si="25"/>
        <v>30.14184397</v>
      </c>
      <c r="G180" s="13">
        <v>35.0</v>
      </c>
      <c r="H180" s="13">
        <v>338.0</v>
      </c>
      <c r="I180" s="14">
        <f t="shared" si="4"/>
        <v>10.35502959</v>
      </c>
      <c r="P180" s="19"/>
      <c r="Q180" s="19"/>
    </row>
    <row r="181" ht="15.75" customHeight="1">
      <c r="A181" s="15">
        <v>40601.0</v>
      </c>
      <c r="B181" s="16" t="s">
        <v>17</v>
      </c>
      <c r="C181" s="16" t="s">
        <v>202</v>
      </c>
      <c r="D181" s="13">
        <v>189.0</v>
      </c>
      <c r="E181" s="13">
        <v>613.0</v>
      </c>
      <c r="F181" s="14">
        <f t="shared" si="25"/>
        <v>30.8319739</v>
      </c>
      <c r="G181" s="13">
        <v>74.0</v>
      </c>
      <c r="H181" s="13">
        <v>659.0</v>
      </c>
      <c r="I181" s="14">
        <f t="shared" si="4"/>
        <v>11.22913505</v>
      </c>
      <c r="P181" s="19"/>
      <c r="Q181" s="19"/>
    </row>
    <row r="182" ht="15.75" customHeight="1">
      <c r="A182" s="15">
        <v>40602.0</v>
      </c>
      <c r="B182" s="16" t="s">
        <v>17</v>
      </c>
      <c r="C182" s="16" t="s">
        <v>203</v>
      </c>
      <c r="D182" s="13">
        <v>125.0</v>
      </c>
      <c r="E182" s="13">
        <v>418.0</v>
      </c>
      <c r="F182" s="14">
        <f t="shared" si="25"/>
        <v>29.90430622</v>
      </c>
      <c r="G182" s="13">
        <v>21.0</v>
      </c>
      <c r="H182" s="13">
        <v>262.0</v>
      </c>
      <c r="I182" s="14">
        <f t="shared" si="4"/>
        <v>8.015267176</v>
      </c>
      <c r="P182" s="19"/>
      <c r="Q182" s="19"/>
    </row>
    <row r="183" ht="15.75" customHeight="1">
      <c r="A183" s="15">
        <v>40603.0</v>
      </c>
      <c r="B183" s="16" t="s">
        <v>17</v>
      </c>
      <c r="C183" s="16" t="s">
        <v>204</v>
      </c>
      <c r="D183" s="13">
        <v>65.0</v>
      </c>
      <c r="E183" s="13">
        <v>233.0</v>
      </c>
      <c r="F183" s="14">
        <f t="shared" si="25"/>
        <v>27.89699571</v>
      </c>
      <c r="G183" s="13">
        <v>27.0</v>
      </c>
      <c r="H183" s="13">
        <v>259.0</v>
      </c>
      <c r="I183" s="14">
        <f t="shared" si="4"/>
        <v>10.42471042</v>
      </c>
      <c r="P183" s="19"/>
      <c r="Q183" s="19"/>
    </row>
    <row r="184" ht="15.75" customHeight="1">
      <c r="A184" s="15">
        <v>40701.0</v>
      </c>
      <c r="B184" s="16" t="s">
        <v>17</v>
      </c>
      <c r="C184" s="16" t="s">
        <v>205</v>
      </c>
      <c r="D184" s="13">
        <v>732.0</v>
      </c>
      <c r="E184" s="13">
        <v>2207.0</v>
      </c>
      <c r="F184" s="14">
        <f t="shared" si="25"/>
        <v>33.16719529</v>
      </c>
      <c r="G184" s="13">
        <v>151.0</v>
      </c>
      <c r="H184" s="13">
        <v>1880.0</v>
      </c>
      <c r="I184" s="14">
        <f t="shared" si="4"/>
        <v>8.031914894</v>
      </c>
      <c r="P184" s="19"/>
      <c r="Q184" s="19"/>
    </row>
    <row r="185" ht="15.75" customHeight="1">
      <c r="A185" s="15">
        <v>40702.0</v>
      </c>
      <c r="B185" s="16" t="s">
        <v>17</v>
      </c>
      <c r="C185" s="16" t="s">
        <v>206</v>
      </c>
      <c r="D185" s="13">
        <v>118.0</v>
      </c>
      <c r="E185" s="13">
        <v>396.0</v>
      </c>
      <c r="F185" s="14">
        <f t="shared" si="25"/>
        <v>29.7979798</v>
      </c>
      <c r="G185" s="13">
        <v>57.0</v>
      </c>
      <c r="H185" s="13">
        <v>454.0</v>
      </c>
      <c r="I185" s="14">
        <f t="shared" si="4"/>
        <v>12.55506608</v>
      </c>
      <c r="P185" s="19"/>
      <c r="Q185" s="19"/>
    </row>
    <row r="186" ht="15.75" customHeight="1">
      <c r="A186" s="15">
        <v>40801.0</v>
      </c>
      <c r="B186" s="16" t="s">
        <v>17</v>
      </c>
      <c r="C186" s="16" t="s">
        <v>207</v>
      </c>
      <c r="D186" s="13">
        <v>147.0</v>
      </c>
      <c r="E186" s="13">
        <v>761.0</v>
      </c>
      <c r="F186" s="14">
        <f t="shared" si="25"/>
        <v>19.31668857</v>
      </c>
      <c r="G186" s="13">
        <v>96.0</v>
      </c>
      <c r="H186" s="13">
        <v>1126.0</v>
      </c>
      <c r="I186" s="14">
        <f t="shared" si="4"/>
        <v>8.525754885</v>
      </c>
      <c r="P186" s="19"/>
      <c r="Q186" s="19"/>
    </row>
    <row r="187" ht="15.75" customHeight="1">
      <c r="A187" s="15">
        <v>40802.0</v>
      </c>
      <c r="B187" s="16" t="s">
        <v>17</v>
      </c>
      <c r="C187" s="16" t="s">
        <v>208</v>
      </c>
      <c r="D187" s="13">
        <v>49.0</v>
      </c>
      <c r="E187" s="13">
        <v>207.0</v>
      </c>
      <c r="F187" s="14">
        <f t="shared" si="25"/>
        <v>23.67149758</v>
      </c>
      <c r="G187" s="13">
        <v>21.0</v>
      </c>
      <c r="H187" s="13">
        <v>225.0</v>
      </c>
      <c r="I187" s="14">
        <f t="shared" si="4"/>
        <v>9.333333333</v>
      </c>
      <c r="P187" s="19"/>
      <c r="Q187" s="19"/>
    </row>
    <row r="188" ht="15.75" customHeight="1">
      <c r="A188" s="15">
        <v>40901.0</v>
      </c>
      <c r="B188" s="16" t="s">
        <v>17</v>
      </c>
      <c r="C188" s="16" t="s">
        <v>209</v>
      </c>
      <c r="D188" s="13">
        <v>201.0</v>
      </c>
      <c r="E188" s="13">
        <v>704.0</v>
      </c>
      <c r="F188" s="14">
        <f t="shared" si="25"/>
        <v>28.55113636</v>
      </c>
      <c r="G188" s="13">
        <v>146.0</v>
      </c>
      <c r="H188" s="13">
        <v>1499.0</v>
      </c>
      <c r="I188" s="14">
        <f t="shared" si="4"/>
        <v>9.739826551</v>
      </c>
      <c r="P188" s="19"/>
      <c r="Q188" s="19"/>
    </row>
    <row r="189" ht="15.75" customHeight="1">
      <c r="A189" s="15">
        <v>40902.0</v>
      </c>
      <c r="B189" s="16" t="s">
        <v>17</v>
      </c>
      <c r="C189" s="16" t="s">
        <v>210</v>
      </c>
      <c r="D189" s="13">
        <v>22.0</v>
      </c>
      <c r="E189" s="13">
        <v>93.0</v>
      </c>
      <c r="F189" s="14">
        <f t="shared" si="25"/>
        <v>23.65591398</v>
      </c>
      <c r="G189" s="13">
        <v>9.0</v>
      </c>
      <c r="H189" s="13">
        <v>107.0</v>
      </c>
      <c r="I189" s="14">
        <f t="shared" si="4"/>
        <v>8.411214953</v>
      </c>
      <c r="P189" s="19"/>
      <c r="Q189" s="19"/>
    </row>
    <row r="190" ht="15.75" customHeight="1">
      <c r="A190" s="15">
        <v>40903.0</v>
      </c>
      <c r="B190" s="16" t="s">
        <v>17</v>
      </c>
      <c r="C190" s="16" t="s">
        <v>211</v>
      </c>
      <c r="D190" s="13">
        <v>69.0</v>
      </c>
      <c r="E190" s="13">
        <v>235.0</v>
      </c>
      <c r="F190" s="14">
        <f t="shared" si="25"/>
        <v>29.36170213</v>
      </c>
      <c r="G190" s="13">
        <v>48.0</v>
      </c>
      <c r="H190" s="13">
        <v>230.0</v>
      </c>
      <c r="I190" s="14">
        <f t="shared" si="4"/>
        <v>20.86956522</v>
      </c>
      <c r="P190" s="19"/>
      <c r="Q190" s="19"/>
    </row>
    <row r="191" ht="15.75" customHeight="1">
      <c r="A191" s="15">
        <v>41001.0</v>
      </c>
      <c r="B191" s="16" t="s">
        <v>17</v>
      </c>
      <c r="C191" s="16" t="s">
        <v>212</v>
      </c>
      <c r="D191" s="13">
        <v>119.0</v>
      </c>
      <c r="E191" s="13">
        <v>753.0</v>
      </c>
      <c r="F191" s="14">
        <f t="shared" si="25"/>
        <v>15.80345286</v>
      </c>
      <c r="G191" s="13">
        <v>79.0</v>
      </c>
      <c r="H191" s="13">
        <v>848.0</v>
      </c>
      <c r="I191" s="14">
        <f t="shared" si="4"/>
        <v>9.316037736</v>
      </c>
      <c r="P191" s="19"/>
      <c r="Q191" s="19"/>
    </row>
    <row r="192" ht="15.75" customHeight="1">
      <c r="A192" s="15">
        <v>41101.0</v>
      </c>
      <c r="B192" s="16" t="s">
        <v>17</v>
      </c>
      <c r="C192" s="16" t="s">
        <v>213</v>
      </c>
      <c r="D192" s="13">
        <v>104.0</v>
      </c>
      <c r="E192" s="13">
        <v>480.0</v>
      </c>
      <c r="F192" s="14">
        <f t="shared" si="25"/>
        <v>21.66666667</v>
      </c>
      <c r="G192" s="13">
        <v>44.0</v>
      </c>
      <c r="H192" s="13">
        <v>429.0</v>
      </c>
      <c r="I192" s="14">
        <f t="shared" si="4"/>
        <v>10.25641026</v>
      </c>
      <c r="P192" s="19"/>
      <c r="Q192" s="19"/>
    </row>
    <row r="193" ht="15.75" customHeight="1">
      <c r="A193" s="15">
        <v>41201.0</v>
      </c>
      <c r="B193" s="16" t="s">
        <v>17</v>
      </c>
      <c r="C193" s="16" t="s">
        <v>214</v>
      </c>
      <c r="D193" s="13">
        <v>85.0</v>
      </c>
      <c r="E193" s="13">
        <v>333.0</v>
      </c>
      <c r="F193" s="14">
        <f t="shared" si="25"/>
        <v>25.52552553</v>
      </c>
      <c r="G193" s="13">
        <v>25.0</v>
      </c>
      <c r="H193" s="13">
        <v>427.0</v>
      </c>
      <c r="I193" s="14">
        <f t="shared" si="4"/>
        <v>5.854800937</v>
      </c>
      <c r="P193" s="19"/>
      <c r="Q193" s="19"/>
    </row>
    <row r="194" ht="15.75" customHeight="1">
      <c r="A194" s="15">
        <v>41202.0</v>
      </c>
      <c r="B194" s="16" t="s">
        <v>17</v>
      </c>
      <c r="C194" s="16" t="s">
        <v>215</v>
      </c>
      <c r="D194" s="13">
        <v>29.0</v>
      </c>
      <c r="E194" s="13">
        <v>120.0</v>
      </c>
      <c r="F194" s="14">
        <f t="shared" si="25"/>
        <v>24.16666667</v>
      </c>
      <c r="G194" s="13">
        <v>18.0</v>
      </c>
      <c r="H194" s="13">
        <v>222.0</v>
      </c>
      <c r="I194" s="14">
        <f t="shared" si="4"/>
        <v>8.108108108</v>
      </c>
      <c r="P194" s="19"/>
      <c r="Q194" s="19"/>
    </row>
    <row r="195" ht="15.75" customHeight="1">
      <c r="A195" s="15">
        <v>41301.0</v>
      </c>
      <c r="B195" s="16" t="s">
        <v>17</v>
      </c>
      <c r="C195" s="16" t="s">
        <v>216</v>
      </c>
      <c r="D195" s="13">
        <v>73.0</v>
      </c>
      <c r="E195" s="13">
        <v>494.0</v>
      </c>
      <c r="F195" s="14">
        <f t="shared" si="25"/>
        <v>14.77732794</v>
      </c>
      <c r="G195" s="13">
        <v>45.0</v>
      </c>
      <c r="H195" s="13">
        <v>443.0</v>
      </c>
      <c r="I195" s="14">
        <f t="shared" si="4"/>
        <v>10.15801354</v>
      </c>
      <c r="P195" s="19"/>
      <c r="Q195" s="19"/>
    </row>
    <row r="196" ht="15.75" customHeight="1">
      <c r="A196" s="15">
        <v>41401.0</v>
      </c>
      <c r="B196" s="16" t="s">
        <v>17</v>
      </c>
      <c r="C196" s="16" t="s">
        <v>217</v>
      </c>
      <c r="D196" s="13">
        <v>246.0</v>
      </c>
      <c r="E196" s="13">
        <v>1010.0</v>
      </c>
      <c r="F196" s="14">
        <f t="shared" si="25"/>
        <v>24.35643564</v>
      </c>
      <c r="G196" s="13">
        <v>71.0</v>
      </c>
      <c r="H196" s="13">
        <v>946.0</v>
      </c>
      <c r="I196" s="14">
        <f t="shared" si="4"/>
        <v>7.505285412</v>
      </c>
      <c r="P196" s="19"/>
      <c r="Q196" s="19"/>
    </row>
    <row r="197" ht="15.75" customHeight="1">
      <c r="A197" s="15">
        <v>41501.0</v>
      </c>
      <c r="B197" s="16" t="s">
        <v>17</v>
      </c>
      <c r="C197" s="16" t="s">
        <v>218</v>
      </c>
      <c r="D197" s="13">
        <v>16.0</v>
      </c>
      <c r="E197" s="13">
        <v>51.0</v>
      </c>
      <c r="F197" s="14">
        <f t="shared" si="25"/>
        <v>31.37254902</v>
      </c>
      <c r="G197" s="13">
        <v>15.0</v>
      </c>
      <c r="H197" s="13">
        <v>112.0</v>
      </c>
      <c r="I197" s="14">
        <f t="shared" si="4"/>
        <v>13.39285714</v>
      </c>
      <c r="P197" s="19"/>
      <c r="Q197" s="19"/>
    </row>
    <row r="198" ht="15.75" customHeight="1">
      <c r="A198" s="15">
        <v>41502.0</v>
      </c>
      <c r="B198" s="16" t="s">
        <v>17</v>
      </c>
      <c r="C198" s="16" t="s">
        <v>219</v>
      </c>
      <c r="D198" s="13">
        <v>14.0</v>
      </c>
      <c r="E198" s="13">
        <v>60.0</v>
      </c>
      <c r="F198" s="14">
        <f t="shared" si="25"/>
        <v>23.33333333</v>
      </c>
      <c r="G198" s="13">
        <v>5.0</v>
      </c>
      <c r="H198" s="13">
        <v>77.0</v>
      </c>
      <c r="I198" s="14">
        <f t="shared" si="4"/>
        <v>6.493506494</v>
      </c>
      <c r="P198" s="19"/>
      <c r="Q198" s="19"/>
    </row>
    <row r="199" ht="15.75" customHeight="1">
      <c r="A199" s="15">
        <v>41503.0</v>
      </c>
      <c r="B199" s="16" t="s">
        <v>17</v>
      </c>
      <c r="C199" s="16" t="s">
        <v>220</v>
      </c>
      <c r="D199" s="13">
        <v>34.0</v>
      </c>
      <c r="E199" s="13">
        <v>106.0</v>
      </c>
      <c r="F199" s="14">
        <f t="shared" si="25"/>
        <v>32.0754717</v>
      </c>
      <c r="G199" s="13">
        <v>12.0</v>
      </c>
      <c r="H199" s="13">
        <v>111.0</v>
      </c>
      <c r="I199" s="14">
        <f t="shared" si="4"/>
        <v>10.81081081</v>
      </c>
      <c r="P199" s="19"/>
      <c r="Q199" s="19"/>
    </row>
    <row r="200" ht="15.75" customHeight="1">
      <c r="A200" s="15">
        <v>41601.0</v>
      </c>
      <c r="B200" s="16" t="s">
        <v>17</v>
      </c>
      <c r="C200" s="16" t="s">
        <v>221</v>
      </c>
      <c r="D200" s="13">
        <v>58.0</v>
      </c>
      <c r="E200" s="13">
        <v>341.0</v>
      </c>
      <c r="F200" s="14">
        <f t="shared" si="25"/>
        <v>17.00879765</v>
      </c>
      <c r="G200" s="13">
        <v>24.0</v>
      </c>
      <c r="H200" s="13">
        <v>345.0</v>
      </c>
      <c r="I200" s="14">
        <f t="shared" si="4"/>
        <v>6.956521739</v>
      </c>
      <c r="P200" s="19"/>
      <c r="Q200" s="19"/>
    </row>
    <row r="201" ht="15.75" customHeight="1">
      <c r="A201" s="15">
        <v>50101.0</v>
      </c>
      <c r="B201" s="16" t="s">
        <v>19</v>
      </c>
      <c r="C201" s="16" t="s">
        <v>19</v>
      </c>
      <c r="D201" s="13">
        <v>7338.0</v>
      </c>
      <c r="E201" s="13">
        <v>21272.0</v>
      </c>
      <c r="F201" s="14">
        <f t="shared" si="25"/>
        <v>34.49605115</v>
      </c>
      <c r="G201" s="13">
        <v>2264.0</v>
      </c>
      <c r="H201" s="13">
        <v>22175.0</v>
      </c>
      <c r="I201" s="14">
        <f t="shared" si="4"/>
        <v>10.2096956</v>
      </c>
      <c r="P201" s="19"/>
      <c r="Q201" s="19"/>
    </row>
    <row r="202" ht="15.75" customHeight="1">
      <c r="A202" s="15">
        <v>50102.0</v>
      </c>
      <c r="B202" s="16" t="s">
        <v>19</v>
      </c>
      <c r="C202" s="16" t="s">
        <v>222</v>
      </c>
      <c r="D202" s="13">
        <v>516.0</v>
      </c>
      <c r="E202" s="13">
        <v>2109.0</v>
      </c>
      <c r="F202" s="14">
        <f t="shared" si="25"/>
        <v>24.46657183</v>
      </c>
      <c r="G202" s="13">
        <v>366.0</v>
      </c>
      <c r="H202" s="13">
        <v>2162.0</v>
      </c>
      <c r="I202" s="14">
        <f t="shared" si="4"/>
        <v>16.92876966</v>
      </c>
      <c r="P202" s="19"/>
      <c r="Q202" s="19"/>
    </row>
    <row r="203" ht="15.75" customHeight="1">
      <c r="A203" s="15">
        <v>50103.0</v>
      </c>
      <c r="B203" s="16" t="s">
        <v>19</v>
      </c>
      <c r="C203" s="16" t="s">
        <v>223</v>
      </c>
      <c r="D203" s="13">
        <v>181.0</v>
      </c>
      <c r="E203" s="13">
        <v>669.0</v>
      </c>
      <c r="F203" s="14">
        <f t="shared" si="25"/>
        <v>27.05530643</v>
      </c>
      <c r="G203" s="13">
        <v>86.0</v>
      </c>
      <c r="H203" s="13">
        <v>785.0</v>
      </c>
      <c r="I203" s="14">
        <f t="shared" si="4"/>
        <v>10.95541401</v>
      </c>
      <c r="P203" s="19"/>
      <c r="Q203" s="19"/>
    </row>
    <row r="204" ht="15.75" customHeight="1">
      <c r="A204" s="15">
        <v>50104.0</v>
      </c>
      <c r="B204" s="16" t="s">
        <v>19</v>
      </c>
      <c r="C204" s="16" t="s">
        <v>224</v>
      </c>
      <c r="D204" s="13">
        <v>69.0</v>
      </c>
      <c r="E204" s="13">
        <v>224.0</v>
      </c>
      <c r="F204" s="14">
        <f t="shared" si="25"/>
        <v>30.80357143</v>
      </c>
      <c r="G204" s="13">
        <v>30.0</v>
      </c>
      <c r="H204" s="13">
        <v>195.0</v>
      </c>
      <c r="I204" s="14">
        <f t="shared" si="4"/>
        <v>15.38461538</v>
      </c>
      <c r="P204" s="19"/>
      <c r="Q204" s="19"/>
    </row>
    <row r="205" ht="15.75" customHeight="1">
      <c r="A205" s="15">
        <v>50201.0</v>
      </c>
      <c r="B205" s="16" t="s">
        <v>19</v>
      </c>
      <c r="C205" s="16" t="s">
        <v>225</v>
      </c>
      <c r="D205" s="13">
        <v>498.0</v>
      </c>
      <c r="E205" s="13">
        <v>2097.0</v>
      </c>
      <c r="F205" s="14">
        <f t="shared" si="25"/>
        <v>23.74821173</v>
      </c>
      <c r="G205" s="13">
        <v>189.0</v>
      </c>
      <c r="H205" s="13">
        <v>1966.0</v>
      </c>
      <c r="I205" s="14">
        <f t="shared" si="4"/>
        <v>9.613428281</v>
      </c>
      <c r="P205" s="19"/>
      <c r="Q205" s="19"/>
    </row>
    <row r="206" ht="15.75" customHeight="1">
      <c r="A206" s="15">
        <v>50202.0</v>
      </c>
      <c r="B206" s="16" t="s">
        <v>19</v>
      </c>
      <c r="C206" s="16" t="s">
        <v>226</v>
      </c>
      <c r="D206" s="13">
        <v>296.0</v>
      </c>
      <c r="E206" s="13">
        <v>1368.0</v>
      </c>
      <c r="F206" s="14">
        <f t="shared" si="25"/>
        <v>21.6374269</v>
      </c>
      <c r="G206" s="13">
        <v>153.0</v>
      </c>
      <c r="H206" s="13">
        <v>1438.0</v>
      </c>
      <c r="I206" s="14">
        <f t="shared" si="4"/>
        <v>10.63977747</v>
      </c>
      <c r="P206" s="19"/>
      <c r="Q206" s="19"/>
    </row>
    <row r="207" ht="15.75" customHeight="1">
      <c r="A207" s="15">
        <v>50203.0</v>
      </c>
      <c r="B207" s="16" t="s">
        <v>19</v>
      </c>
      <c r="C207" s="16" t="s">
        <v>227</v>
      </c>
      <c r="D207" s="13">
        <v>1508.0</v>
      </c>
      <c r="E207" s="13">
        <v>4811.0</v>
      </c>
      <c r="F207" s="14">
        <f t="shared" si="25"/>
        <v>31.34483475</v>
      </c>
      <c r="G207" s="13">
        <v>388.0</v>
      </c>
      <c r="H207" s="13">
        <v>5359.0</v>
      </c>
      <c r="I207" s="14">
        <f t="shared" si="4"/>
        <v>7.240156746</v>
      </c>
      <c r="P207" s="19"/>
      <c r="Q207" s="19"/>
    </row>
    <row r="208" ht="15.75" customHeight="1">
      <c r="A208" s="15">
        <v>50204.0</v>
      </c>
      <c r="B208" s="16" t="s">
        <v>19</v>
      </c>
      <c r="C208" s="16" t="s">
        <v>228</v>
      </c>
      <c r="D208" s="13">
        <v>241.0</v>
      </c>
      <c r="E208" s="13">
        <v>614.0</v>
      </c>
      <c r="F208" s="14">
        <f t="shared" si="25"/>
        <v>39.25081433</v>
      </c>
      <c r="G208" s="13">
        <v>128.0</v>
      </c>
      <c r="H208" s="13">
        <v>691.0</v>
      </c>
      <c r="I208" s="14">
        <f t="shared" si="4"/>
        <v>18.52387844</v>
      </c>
      <c r="P208" s="19"/>
      <c r="Q208" s="19"/>
    </row>
    <row r="209" ht="15.75" customHeight="1">
      <c r="A209" s="15">
        <v>50301.0</v>
      </c>
      <c r="B209" s="16" t="s">
        <v>19</v>
      </c>
      <c r="C209" s="16" t="s">
        <v>229</v>
      </c>
      <c r="D209" s="13">
        <v>581.0</v>
      </c>
      <c r="E209" s="13">
        <v>2882.0</v>
      </c>
      <c r="F209" s="14">
        <f t="shared" si="25"/>
        <v>20.15961138</v>
      </c>
      <c r="G209" s="13">
        <v>289.0</v>
      </c>
      <c r="H209" s="13">
        <v>2548.0</v>
      </c>
      <c r="I209" s="14">
        <f t="shared" si="4"/>
        <v>11.3422292</v>
      </c>
      <c r="P209" s="19"/>
      <c r="Q209" s="19"/>
    </row>
    <row r="210" ht="15.75" customHeight="1">
      <c r="A210" s="15">
        <v>50302.0</v>
      </c>
      <c r="B210" s="16" t="s">
        <v>19</v>
      </c>
      <c r="C210" s="16" t="s">
        <v>230</v>
      </c>
      <c r="D210" s="13">
        <v>203.0</v>
      </c>
      <c r="E210" s="13">
        <v>768.0</v>
      </c>
      <c r="F210" s="14">
        <f t="shared" si="25"/>
        <v>26.43229167</v>
      </c>
      <c r="G210" s="13">
        <v>83.0</v>
      </c>
      <c r="H210" s="13">
        <v>652.0</v>
      </c>
      <c r="I210" s="14">
        <f t="shared" si="4"/>
        <v>12.73006135</v>
      </c>
      <c r="P210" s="19"/>
      <c r="Q210" s="19"/>
    </row>
    <row r="211" ht="15.75" customHeight="1">
      <c r="A211" s="15">
        <v>50303.0</v>
      </c>
      <c r="B211" s="16" t="s">
        <v>19</v>
      </c>
      <c r="C211" s="16" t="s">
        <v>231</v>
      </c>
      <c r="D211" s="13">
        <v>181.0</v>
      </c>
      <c r="E211" s="13">
        <v>913.0</v>
      </c>
      <c r="F211" s="14">
        <f t="shared" si="25"/>
        <v>19.82475356</v>
      </c>
      <c r="G211" s="13">
        <v>121.0</v>
      </c>
      <c r="H211" s="13">
        <v>1067.0</v>
      </c>
      <c r="I211" s="14">
        <f t="shared" si="4"/>
        <v>11.34020619</v>
      </c>
      <c r="P211" s="19"/>
      <c r="Q211" s="19"/>
    </row>
    <row r="212" ht="15.75" customHeight="1">
      <c r="A212" s="15">
        <v>50401.0</v>
      </c>
      <c r="B212" s="16" t="s">
        <v>19</v>
      </c>
      <c r="C212" s="16" t="s">
        <v>232</v>
      </c>
      <c r="D212" s="13">
        <v>293.0</v>
      </c>
      <c r="E212" s="13">
        <v>1235.0</v>
      </c>
      <c r="F212" s="14">
        <f t="shared" si="25"/>
        <v>23.72469636</v>
      </c>
      <c r="G212" s="13">
        <v>239.0</v>
      </c>
      <c r="H212" s="13">
        <v>1266.0</v>
      </c>
      <c r="I212" s="14">
        <f t="shared" si="4"/>
        <v>18.87835703</v>
      </c>
      <c r="P212" s="19"/>
      <c r="Q212" s="19"/>
    </row>
    <row r="213" ht="15.75" customHeight="1">
      <c r="A213" s="15">
        <v>50402.0</v>
      </c>
      <c r="B213" s="16" t="s">
        <v>19</v>
      </c>
      <c r="C213" s="16" t="s">
        <v>233</v>
      </c>
      <c r="D213" s="13">
        <v>296.0</v>
      </c>
      <c r="E213" s="13">
        <v>1377.0</v>
      </c>
      <c r="F213" s="14">
        <f t="shared" si="25"/>
        <v>21.49600581</v>
      </c>
      <c r="G213" s="13">
        <v>117.0</v>
      </c>
      <c r="H213" s="13">
        <v>1070.0</v>
      </c>
      <c r="I213" s="14">
        <f t="shared" si="4"/>
        <v>10.93457944</v>
      </c>
      <c r="P213" s="19"/>
      <c r="Q213" s="19"/>
    </row>
    <row r="214" ht="15.75" customHeight="1">
      <c r="A214" s="15">
        <v>50403.0</v>
      </c>
      <c r="B214" s="16" t="s">
        <v>19</v>
      </c>
      <c r="C214" s="16" t="s">
        <v>234</v>
      </c>
      <c r="D214" s="13">
        <v>397.0</v>
      </c>
      <c r="E214" s="13">
        <v>2004.0</v>
      </c>
      <c r="F214" s="14">
        <f t="shared" si="25"/>
        <v>19.81037924</v>
      </c>
      <c r="G214" s="13">
        <v>309.0</v>
      </c>
      <c r="H214" s="13">
        <v>2722.0</v>
      </c>
      <c r="I214" s="14">
        <f t="shared" si="4"/>
        <v>11.3519471</v>
      </c>
      <c r="P214" s="19"/>
      <c r="Q214" s="19"/>
    </row>
    <row r="215" ht="15.75" customHeight="1">
      <c r="A215" s="15">
        <v>50404.0</v>
      </c>
      <c r="B215" s="16" t="s">
        <v>19</v>
      </c>
      <c r="C215" s="16" t="s">
        <v>235</v>
      </c>
      <c r="D215" s="13">
        <v>260.0</v>
      </c>
      <c r="E215" s="13">
        <v>1151.0</v>
      </c>
      <c r="F215" s="14">
        <f t="shared" si="25"/>
        <v>22.589053</v>
      </c>
      <c r="G215" s="13">
        <v>129.0</v>
      </c>
      <c r="H215" s="13">
        <v>1011.0</v>
      </c>
      <c r="I215" s="14">
        <f t="shared" si="4"/>
        <v>12.75964392</v>
      </c>
      <c r="P215" s="19"/>
      <c r="Q215" s="19"/>
    </row>
    <row r="216" ht="15.75" customHeight="1">
      <c r="A216" s="15">
        <v>50405.0</v>
      </c>
      <c r="B216" s="16" t="s">
        <v>19</v>
      </c>
      <c r="C216" s="16" t="s">
        <v>236</v>
      </c>
      <c r="D216" s="13">
        <v>320.0</v>
      </c>
      <c r="E216" s="13">
        <v>1414.0</v>
      </c>
      <c r="F216" s="21">
        <f>F212</f>
        <v>23.72469636</v>
      </c>
      <c r="G216" s="13">
        <v>179.0</v>
      </c>
      <c r="H216" s="13">
        <v>1605.0</v>
      </c>
      <c r="I216" s="14">
        <f t="shared" si="4"/>
        <v>11.15264798</v>
      </c>
      <c r="P216" s="19"/>
      <c r="Q216" s="19"/>
    </row>
    <row r="217" ht="15.75" customHeight="1">
      <c r="A217" s="15">
        <v>50501.0</v>
      </c>
      <c r="B217" s="16" t="s">
        <v>19</v>
      </c>
      <c r="C217" s="16" t="s">
        <v>237</v>
      </c>
      <c r="D217" s="13">
        <v>481.0</v>
      </c>
      <c r="E217" s="13">
        <v>2326.0</v>
      </c>
      <c r="F217" s="14">
        <f t="shared" ref="F217:F235" si="26">(D217/E217)*100</f>
        <v>20.67927773</v>
      </c>
      <c r="G217" s="13">
        <v>246.0</v>
      </c>
      <c r="H217" s="13">
        <v>2043.0</v>
      </c>
      <c r="I217" s="14">
        <f t="shared" si="4"/>
        <v>12.04111601</v>
      </c>
      <c r="P217" s="19"/>
      <c r="Q217" s="19"/>
    </row>
    <row r="218" ht="15.75" customHeight="1">
      <c r="A218" s="15">
        <v>50502.0</v>
      </c>
      <c r="B218" s="16" t="s">
        <v>19</v>
      </c>
      <c r="C218" s="16" t="s">
        <v>238</v>
      </c>
      <c r="D218" s="13">
        <v>178.0</v>
      </c>
      <c r="E218" s="13">
        <v>668.0</v>
      </c>
      <c r="F218" s="14">
        <f t="shared" si="26"/>
        <v>26.64670659</v>
      </c>
      <c r="G218" s="13">
        <v>80.0</v>
      </c>
      <c r="H218" s="13">
        <v>796.0</v>
      </c>
      <c r="I218" s="14">
        <f t="shared" si="4"/>
        <v>10.05025126</v>
      </c>
      <c r="P218" s="19"/>
      <c r="Q218" s="19"/>
    </row>
    <row r="219" ht="15.75" customHeight="1">
      <c r="A219" s="15">
        <v>50601.0</v>
      </c>
      <c r="B219" s="16" t="s">
        <v>19</v>
      </c>
      <c r="C219" s="16" t="s">
        <v>239</v>
      </c>
      <c r="D219" s="13">
        <v>747.0</v>
      </c>
      <c r="E219" s="13">
        <v>2876.0</v>
      </c>
      <c r="F219" s="14">
        <f t="shared" si="26"/>
        <v>25.97357441</v>
      </c>
      <c r="G219" s="13">
        <v>224.0</v>
      </c>
      <c r="H219" s="13">
        <v>2242.0</v>
      </c>
      <c r="I219" s="14">
        <f t="shared" si="4"/>
        <v>9.991079393</v>
      </c>
      <c r="P219" s="19"/>
      <c r="Q219" s="19"/>
    </row>
    <row r="220" ht="15.75" customHeight="1">
      <c r="A220" s="15">
        <v>50602.0</v>
      </c>
      <c r="B220" s="16" t="s">
        <v>19</v>
      </c>
      <c r="C220" s="16" t="s">
        <v>240</v>
      </c>
      <c r="D220" s="13">
        <v>232.0</v>
      </c>
      <c r="E220" s="13">
        <v>883.0</v>
      </c>
      <c r="F220" s="14">
        <f t="shared" si="26"/>
        <v>26.27406569</v>
      </c>
      <c r="G220" s="13">
        <v>98.0</v>
      </c>
      <c r="H220" s="13">
        <v>790.0</v>
      </c>
      <c r="I220" s="14">
        <f t="shared" si="4"/>
        <v>12.40506329</v>
      </c>
      <c r="P220" s="19"/>
      <c r="Q220" s="19"/>
    </row>
    <row r="221" ht="15.75" customHeight="1">
      <c r="A221" s="15">
        <v>50701.0</v>
      </c>
      <c r="B221" s="16" t="s">
        <v>19</v>
      </c>
      <c r="C221" s="16" t="s">
        <v>241</v>
      </c>
      <c r="D221" s="13">
        <v>240.0</v>
      </c>
      <c r="E221" s="13">
        <v>1534.0</v>
      </c>
      <c r="F221" s="14">
        <f t="shared" si="26"/>
        <v>15.64537158</v>
      </c>
      <c r="G221" s="13">
        <v>113.0</v>
      </c>
      <c r="H221" s="13">
        <v>1275.0</v>
      </c>
      <c r="I221" s="14">
        <f t="shared" si="4"/>
        <v>8.862745098</v>
      </c>
      <c r="P221" s="19"/>
      <c r="Q221" s="19"/>
    </row>
    <row r="222" ht="15.75" customHeight="1">
      <c r="A222" s="15">
        <v>50702.0</v>
      </c>
      <c r="B222" s="16" t="s">
        <v>19</v>
      </c>
      <c r="C222" s="16" t="s">
        <v>242</v>
      </c>
      <c r="D222" s="13">
        <v>56.0</v>
      </c>
      <c r="E222" s="13">
        <v>566.0</v>
      </c>
      <c r="F222" s="14">
        <f t="shared" si="26"/>
        <v>9.893992933</v>
      </c>
      <c r="G222" s="13">
        <v>72.0</v>
      </c>
      <c r="H222" s="13">
        <v>562.0</v>
      </c>
      <c r="I222" s="14">
        <f t="shared" si="4"/>
        <v>12.8113879</v>
      </c>
      <c r="P222" s="19"/>
      <c r="Q222" s="19"/>
    </row>
    <row r="223" ht="15.75" customHeight="1">
      <c r="A223" s="15">
        <v>50801.0</v>
      </c>
      <c r="B223" s="16" t="s">
        <v>19</v>
      </c>
      <c r="C223" s="16" t="s">
        <v>243</v>
      </c>
      <c r="D223" s="13">
        <v>1097.0</v>
      </c>
      <c r="E223" s="13">
        <v>4325.0</v>
      </c>
      <c r="F223" s="14">
        <f t="shared" si="26"/>
        <v>25.36416185</v>
      </c>
      <c r="G223" s="13">
        <v>402.0</v>
      </c>
      <c r="H223" s="13">
        <v>3453.0</v>
      </c>
      <c r="I223" s="14">
        <f t="shared" si="4"/>
        <v>11.64205039</v>
      </c>
      <c r="P223" s="19"/>
      <c r="Q223" s="19"/>
    </row>
    <row r="224" ht="15.75" customHeight="1">
      <c r="A224" s="15">
        <v>50802.0</v>
      </c>
      <c r="B224" s="16" t="s">
        <v>19</v>
      </c>
      <c r="C224" s="16" t="s">
        <v>244</v>
      </c>
      <c r="D224" s="13">
        <v>320.0</v>
      </c>
      <c r="E224" s="13">
        <v>1008.0</v>
      </c>
      <c r="F224" s="14">
        <f t="shared" si="26"/>
        <v>31.74603175</v>
      </c>
      <c r="G224" s="13">
        <v>106.0</v>
      </c>
      <c r="H224" s="13">
        <v>668.0</v>
      </c>
      <c r="I224" s="14">
        <f t="shared" si="4"/>
        <v>15.86826347</v>
      </c>
      <c r="P224" s="19"/>
      <c r="Q224" s="19"/>
    </row>
    <row r="225" ht="15.75" customHeight="1">
      <c r="A225" s="15">
        <v>50901.0</v>
      </c>
      <c r="B225" s="16" t="s">
        <v>19</v>
      </c>
      <c r="C225" s="16" t="s">
        <v>245</v>
      </c>
      <c r="D225" s="13">
        <v>309.0</v>
      </c>
      <c r="E225" s="13">
        <v>1042.0</v>
      </c>
      <c r="F225" s="14">
        <f t="shared" si="26"/>
        <v>29.65451056</v>
      </c>
      <c r="G225" s="13">
        <v>122.0</v>
      </c>
      <c r="H225" s="13">
        <v>857.0</v>
      </c>
      <c r="I225" s="14">
        <f t="shared" si="4"/>
        <v>14.23570595</v>
      </c>
      <c r="P225" s="19"/>
      <c r="Q225" s="19"/>
    </row>
    <row r="226" ht="15.75" customHeight="1">
      <c r="A226" s="15">
        <v>50902.0</v>
      </c>
      <c r="B226" s="16" t="s">
        <v>19</v>
      </c>
      <c r="C226" s="16" t="s">
        <v>246</v>
      </c>
      <c r="D226" s="13">
        <v>13.0</v>
      </c>
      <c r="E226" s="13">
        <v>76.0</v>
      </c>
      <c r="F226" s="14">
        <f t="shared" si="26"/>
        <v>17.10526316</v>
      </c>
      <c r="G226" s="13">
        <v>12.0</v>
      </c>
      <c r="H226" s="13">
        <v>99.0</v>
      </c>
      <c r="I226" s="14">
        <f t="shared" si="4"/>
        <v>12.12121212</v>
      </c>
      <c r="P226" s="19"/>
      <c r="Q226" s="19"/>
    </row>
    <row r="227" ht="15.75" customHeight="1">
      <c r="A227" s="15">
        <v>51001.0</v>
      </c>
      <c r="B227" s="16" t="s">
        <v>19</v>
      </c>
      <c r="C227" s="16" t="s">
        <v>247</v>
      </c>
      <c r="D227" s="13">
        <v>96.0</v>
      </c>
      <c r="E227" s="13">
        <v>312.0</v>
      </c>
      <c r="F227" s="14">
        <f t="shared" si="26"/>
        <v>30.76923077</v>
      </c>
      <c r="G227" s="13">
        <v>41.0</v>
      </c>
      <c r="H227" s="13">
        <v>248.0</v>
      </c>
      <c r="I227" s="14">
        <f t="shared" si="4"/>
        <v>16.53225806</v>
      </c>
      <c r="P227" s="19"/>
      <c r="Q227" s="19"/>
    </row>
    <row r="228" ht="15.75" customHeight="1">
      <c r="A228" s="15">
        <v>51002.0</v>
      </c>
      <c r="B228" s="16" t="s">
        <v>19</v>
      </c>
      <c r="C228" s="16" t="s">
        <v>248</v>
      </c>
      <c r="D228" s="13">
        <v>52.0</v>
      </c>
      <c r="E228" s="13">
        <v>117.0</v>
      </c>
      <c r="F228" s="14">
        <f t="shared" si="26"/>
        <v>44.44444444</v>
      </c>
      <c r="G228" s="13">
        <v>10.0</v>
      </c>
      <c r="H228" s="13">
        <v>78.0</v>
      </c>
      <c r="I228" s="14">
        <f t="shared" si="4"/>
        <v>12.82051282</v>
      </c>
      <c r="P228" s="19"/>
      <c r="Q228" s="19"/>
    </row>
    <row r="229" ht="15.75" customHeight="1">
      <c r="A229" s="15">
        <v>51003.0</v>
      </c>
      <c r="B229" s="16" t="s">
        <v>19</v>
      </c>
      <c r="C229" s="16" t="s">
        <v>249</v>
      </c>
      <c r="D229" s="13">
        <v>53.0</v>
      </c>
      <c r="E229" s="13">
        <v>192.0</v>
      </c>
      <c r="F229" s="14">
        <f t="shared" si="26"/>
        <v>27.60416667</v>
      </c>
      <c r="G229" s="13">
        <v>43.0</v>
      </c>
      <c r="H229" s="13">
        <v>181.0</v>
      </c>
      <c r="I229" s="14">
        <f t="shared" si="4"/>
        <v>23.75690608</v>
      </c>
      <c r="P229" s="19"/>
      <c r="Q229" s="19"/>
    </row>
    <row r="230" ht="15.75" customHeight="1">
      <c r="A230" s="15">
        <v>51101.0</v>
      </c>
      <c r="B230" s="16" t="s">
        <v>19</v>
      </c>
      <c r="C230" s="16" t="s">
        <v>250</v>
      </c>
      <c r="D230" s="13">
        <v>455.0</v>
      </c>
      <c r="E230" s="13">
        <v>1861.0</v>
      </c>
      <c r="F230" s="14">
        <f t="shared" si="26"/>
        <v>24.44922085</v>
      </c>
      <c r="G230" s="13">
        <v>108.0</v>
      </c>
      <c r="H230" s="13">
        <v>1215.0</v>
      </c>
      <c r="I230" s="14">
        <f t="shared" si="4"/>
        <v>8.888888889</v>
      </c>
      <c r="P230" s="19"/>
      <c r="Q230" s="19"/>
    </row>
    <row r="231" ht="15.75" customHeight="1">
      <c r="A231" s="15">
        <v>51102.0</v>
      </c>
      <c r="B231" s="16" t="s">
        <v>19</v>
      </c>
      <c r="C231" s="16" t="s">
        <v>251</v>
      </c>
      <c r="D231" s="13">
        <v>300.0</v>
      </c>
      <c r="E231" s="13">
        <v>1080.0</v>
      </c>
      <c r="F231" s="14">
        <f t="shared" si="26"/>
        <v>27.77777778</v>
      </c>
      <c r="G231" s="13">
        <v>132.0</v>
      </c>
      <c r="H231" s="13">
        <v>1020.0</v>
      </c>
      <c r="I231" s="14">
        <f t="shared" si="4"/>
        <v>12.94117647</v>
      </c>
      <c r="P231" s="19"/>
      <c r="Q231" s="19"/>
    </row>
    <row r="232" ht="15.75" customHeight="1">
      <c r="A232" s="15">
        <v>51103.0</v>
      </c>
      <c r="B232" s="16" t="s">
        <v>19</v>
      </c>
      <c r="C232" s="16" t="s">
        <v>252</v>
      </c>
      <c r="D232" s="13">
        <v>329.0</v>
      </c>
      <c r="E232" s="13">
        <v>1279.0</v>
      </c>
      <c r="F232" s="14">
        <f t="shared" si="26"/>
        <v>25.72322127</v>
      </c>
      <c r="G232" s="13">
        <v>216.0</v>
      </c>
      <c r="H232" s="13">
        <v>1236.0</v>
      </c>
      <c r="I232" s="14">
        <f t="shared" si="4"/>
        <v>17.47572816</v>
      </c>
      <c r="P232" s="19"/>
      <c r="Q232" s="19"/>
    </row>
    <row r="233" ht="15.75" customHeight="1">
      <c r="A233" s="15">
        <v>51201.0</v>
      </c>
      <c r="B233" s="16" t="s">
        <v>19</v>
      </c>
      <c r="C233" s="16" t="s">
        <v>253</v>
      </c>
      <c r="D233" s="13">
        <v>696.0</v>
      </c>
      <c r="E233" s="13">
        <v>2713.0</v>
      </c>
      <c r="F233" s="14">
        <f t="shared" si="26"/>
        <v>25.65425728</v>
      </c>
      <c r="G233" s="13">
        <v>285.0</v>
      </c>
      <c r="H233" s="13">
        <v>2897.0</v>
      </c>
      <c r="I233" s="14">
        <f t="shared" si="4"/>
        <v>9.837763203</v>
      </c>
      <c r="P233" s="19"/>
      <c r="Q233" s="19"/>
    </row>
    <row r="234" ht="15.75" customHeight="1">
      <c r="A234" s="15">
        <v>51202.0</v>
      </c>
      <c r="B234" s="16" t="s">
        <v>19</v>
      </c>
      <c r="C234" s="16" t="s">
        <v>254</v>
      </c>
      <c r="D234" s="13">
        <v>173.0</v>
      </c>
      <c r="E234" s="13">
        <v>671.0</v>
      </c>
      <c r="F234" s="14">
        <f t="shared" si="26"/>
        <v>25.78241431</v>
      </c>
      <c r="G234" s="13">
        <v>48.0</v>
      </c>
      <c r="H234" s="13">
        <v>527.0</v>
      </c>
      <c r="I234" s="14">
        <f t="shared" si="4"/>
        <v>9.108159393</v>
      </c>
      <c r="P234" s="19"/>
      <c r="Q234" s="19"/>
    </row>
    <row r="235" ht="15.75" customHeight="1">
      <c r="A235" s="15">
        <v>51203.0</v>
      </c>
      <c r="B235" s="16" t="s">
        <v>19</v>
      </c>
      <c r="C235" s="16" t="s">
        <v>255</v>
      </c>
      <c r="D235" s="13">
        <v>420.0</v>
      </c>
      <c r="E235" s="13">
        <v>915.0</v>
      </c>
      <c r="F235" s="14">
        <f t="shared" si="26"/>
        <v>45.90163934</v>
      </c>
      <c r="G235" s="13">
        <v>291.0</v>
      </c>
      <c r="H235" s="13">
        <v>1221.0</v>
      </c>
      <c r="I235" s="14">
        <f t="shared" si="4"/>
        <v>23.83292383</v>
      </c>
      <c r="P235" s="19"/>
      <c r="Q235" s="19"/>
    </row>
    <row r="236" ht="15.75" customHeight="1">
      <c r="A236" s="15">
        <v>51204.0</v>
      </c>
      <c r="B236" s="16" t="s">
        <v>19</v>
      </c>
      <c r="C236" s="16" t="s">
        <v>256</v>
      </c>
      <c r="D236" s="13">
        <v>126.0</v>
      </c>
      <c r="E236" s="13">
        <v>458.0</v>
      </c>
      <c r="F236" s="21">
        <f>F234</f>
        <v>25.78241431</v>
      </c>
      <c r="G236" s="13">
        <v>61.0</v>
      </c>
      <c r="H236" s="13">
        <v>465.0</v>
      </c>
      <c r="I236" s="14">
        <f t="shared" si="4"/>
        <v>13.11827957</v>
      </c>
      <c r="P236" s="19"/>
      <c r="Q236" s="19"/>
    </row>
    <row r="237" ht="15.75" customHeight="1">
      <c r="A237" s="15">
        <v>51301.0</v>
      </c>
      <c r="B237" s="16" t="s">
        <v>19</v>
      </c>
      <c r="C237" s="16" t="s">
        <v>257</v>
      </c>
      <c r="D237" s="13">
        <v>77.0</v>
      </c>
      <c r="E237" s="13">
        <v>266.0</v>
      </c>
      <c r="F237" s="14">
        <f t="shared" ref="F237:F328" si="27">(D237/E237)*100</f>
        <v>28.94736842</v>
      </c>
      <c r="G237" s="13">
        <v>33.0</v>
      </c>
      <c r="H237" s="13">
        <v>268.0</v>
      </c>
      <c r="I237" s="14">
        <f t="shared" si="4"/>
        <v>12.31343284</v>
      </c>
      <c r="P237" s="19"/>
      <c r="Q237" s="19"/>
    </row>
    <row r="238" ht="15.75" customHeight="1">
      <c r="A238" s="15">
        <v>51302.0</v>
      </c>
      <c r="B238" s="16" t="s">
        <v>19</v>
      </c>
      <c r="C238" s="16" t="s">
        <v>258</v>
      </c>
      <c r="D238" s="13">
        <v>97.0</v>
      </c>
      <c r="E238" s="13">
        <v>449.0</v>
      </c>
      <c r="F238" s="14">
        <f t="shared" si="27"/>
        <v>21.60356347</v>
      </c>
      <c r="G238" s="13">
        <v>19.0</v>
      </c>
      <c r="H238" s="13">
        <v>310.0</v>
      </c>
      <c r="I238" s="14">
        <f t="shared" si="4"/>
        <v>6.129032258</v>
      </c>
      <c r="P238" s="19"/>
      <c r="Q238" s="19"/>
    </row>
    <row r="239" ht="15.75" customHeight="1">
      <c r="A239" s="15">
        <v>51401.0</v>
      </c>
      <c r="B239" s="16" t="s">
        <v>19</v>
      </c>
      <c r="C239" s="16" t="s">
        <v>259</v>
      </c>
      <c r="D239" s="13">
        <v>64.0</v>
      </c>
      <c r="E239" s="13">
        <v>355.0</v>
      </c>
      <c r="F239" s="14">
        <f t="shared" si="27"/>
        <v>18.02816901</v>
      </c>
      <c r="G239" s="13">
        <v>24.0</v>
      </c>
      <c r="H239" s="13">
        <v>314.0</v>
      </c>
      <c r="I239" s="14">
        <f t="shared" si="4"/>
        <v>7.643312102</v>
      </c>
      <c r="P239" s="19"/>
      <c r="Q239" s="19"/>
    </row>
    <row r="240" ht="15.75" customHeight="1">
      <c r="A240" s="15">
        <v>51402.0</v>
      </c>
      <c r="B240" s="16" t="s">
        <v>19</v>
      </c>
      <c r="C240" s="16" t="s">
        <v>260</v>
      </c>
      <c r="D240" s="13">
        <v>32.0</v>
      </c>
      <c r="E240" s="13">
        <v>134.0</v>
      </c>
      <c r="F240" s="14">
        <f t="shared" si="27"/>
        <v>23.88059701</v>
      </c>
      <c r="G240" s="13">
        <v>16.0</v>
      </c>
      <c r="H240" s="13">
        <v>109.0</v>
      </c>
      <c r="I240" s="14">
        <f t="shared" si="4"/>
        <v>14.67889908</v>
      </c>
      <c r="P240" s="19"/>
      <c r="Q240" s="19"/>
    </row>
    <row r="241" ht="15.75" customHeight="1">
      <c r="A241" s="15">
        <v>51501.0</v>
      </c>
      <c r="B241" s="16" t="s">
        <v>19</v>
      </c>
      <c r="C241" s="16" t="s">
        <v>261</v>
      </c>
      <c r="D241" s="13">
        <v>932.0</v>
      </c>
      <c r="E241" s="13">
        <v>4316.0</v>
      </c>
      <c r="F241" s="14">
        <f t="shared" si="27"/>
        <v>21.59406858</v>
      </c>
      <c r="G241" s="13">
        <v>369.0</v>
      </c>
      <c r="H241" s="13">
        <v>3933.0</v>
      </c>
      <c r="I241" s="14">
        <f t="shared" si="4"/>
        <v>9.38215103</v>
      </c>
      <c r="P241" s="19"/>
      <c r="Q241" s="19"/>
    </row>
    <row r="242" ht="15.75" customHeight="1">
      <c r="A242" s="15">
        <v>51601.0</v>
      </c>
      <c r="B242" s="16" t="s">
        <v>19</v>
      </c>
      <c r="C242" s="16" t="s">
        <v>262</v>
      </c>
      <c r="D242" s="13">
        <v>43.0</v>
      </c>
      <c r="E242" s="13">
        <v>144.0</v>
      </c>
      <c r="F242" s="14">
        <f t="shared" si="27"/>
        <v>29.86111111</v>
      </c>
      <c r="G242" s="13">
        <v>21.0</v>
      </c>
      <c r="H242" s="13">
        <v>170.0</v>
      </c>
      <c r="I242" s="14">
        <f t="shared" si="4"/>
        <v>12.35294118</v>
      </c>
      <c r="P242" s="19"/>
      <c r="Q242" s="19"/>
    </row>
    <row r="243" ht="15.75" customHeight="1">
      <c r="A243" s="15">
        <v>60101.0</v>
      </c>
      <c r="B243" s="16" t="s">
        <v>21</v>
      </c>
      <c r="C243" s="16" t="s">
        <v>21</v>
      </c>
      <c r="D243" s="13">
        <v>6537.0</v>
      </c>
      <c r="E243" s="13">
        <v>23304.0</v>
      </c>
      <c r="F243" s="14">
        <f t="shared" si="27"/>
        <v>28.05097837</v>
      </c>
      <c r="G243" s="13">
        <v>1382.0</v>
      </c>
      <c r="H243" s="13">
        <v>20453.0</v>
      </c>
      <c r="I243" s="14">
        <f t="shared" si="4"/>
        <v>6.75695497</v>
      </c>
      <c r="P243" s="19"/>
      <c r="Q243" s="19"/>
    </row>
    <row r="244" ht="15.75" customHeight="1">
      <c r="A244" s="15">
        <v>60201.0</v>
      </c>
      <c r="B244" s="16" t="s">
        <v>21</v>
      </c>
      <c r="C244" s="16" t="s">
        <v>263</v>
      </c>
      <c r="D244" s="13">
        <v>495.0</v>
      </c>
      <c r="E244" s="13">
        <v>1752.0</v>
      </c>
      <c r="F244" s="14">
        <f t="shared" si="27"/>
        <v>28.25342466</v>
      </c>
      <c r="G244" s="13">
        <v>164.0</v>
      </c>
      <c r="H244" s="13">
        <v>1191.0</v>
      </c>
      <c r="I244" s="14">
        <f t="shared" si="4"/>
        <v>13.76994123</v>
      </c>
      <c r="P244" s="19"/>
      <c r="Q244" s="19"/>
    </row>
    <row r="245" ht="15.75" customHeight="1">
      <c r="A245" s="15">
        <v>60202.0</v>
      </c>
      <c r="B245" s="16" t="s">
        <v>21</v>
      </c>
      <c r="C245" s="16" t="s">
        <v>264</v>
      </c>
      <c r="D245" s="13">
        <v>835.0</v>
      </c>
      <c r="E245" s="13">
        <v>3423.0</v>
      </c>
      <c r="F245" s="14">
        <f t="shared" si="27"/>
        <v>24.3938066</v>
      </c>
      <c r="G245" s="13">
        <v>264.0</v>
      </c>
      <c r="H245" s="13">
        <v>2694.0</v>
      </c>
      <c r="I245" s="14">
        <f t="shared" si="4"/>
        <v>9.799554566</v>
      </c>
      <c r="P245" s="19"/>
      <c r="Q245" s="19"/>
    </row>
    <row r="246" ht="15.75" customHeight="1">
      <c r="A246" s="15">
        <v>60301.0</v>
      </c>
      <c r="B246" s="16" t="s">
        <v>21</v>
      </c>
      <c r="C246" s="16" t="s">
        <v>265</v>
      </c>
      <c r="D246" s="13">
        <v>2378.0</v>
      </c>
      <c r="E246" s="13">
        <v>9218.0</v>
      </c>
      <c r="F246" s="14">
        <f t="shared" si="27"/>
        <v>25.797353</v>
      </c>
      <c r="G246" s="13">
        <v>963.0</v>
      </c>
      <c r="H246" s="13">
        <v>7659.0</v>
      </c>
      <c r="I246" s="14">
        <f t="shared" si="4"/>
        <v>12.57344301</v>
      </c>
      <c r="P246" s="19"/>
      <c r="Q246" s="19"/>
    </row>
    <row r="247" ht="15.75" customHeight="1">
      <c r="A247" s="15">
        <v>60302.0</v>
      </c>
      <c r="B247" s="16" t="s">
        <v>21</v>
      </c>
      <c r="C247" s="16" t="s">
        <v>266</v>
      </c>
      <c r="D247" s="13">
        <v>341.0</v>
      </c>
      <c r="E247" s="13">
        <v>1209.0</v>
      </c>
      <c r="F247" s="14">
        <f t="shared" si="27"/>
        <v>28.20512821</v>
      </c>
      <c r="G247" s="13">
        <v>148.0</v>
      </c>
      <c r="H247" s="13">
        <v>1144.0</v>
      </c>
      <c r="I247" s="14">
        <f t="shared" si="4"/>
        <v>12.93706294</v>
      </c>
      <c r="P247" s="19"/>
      <c r="Q247" s="19"/>
    </row>
    <row r="248" ht="15.75" customHeight="1">
      <c r="A248" s="15">
        <v>60303.0</v>
      </c>
      <c r="B248" s="16" t="s">
        <v>21</v>
      </c>
      <c r="C248" s="16" t="s">
        <v>267</v>
      </c>
      <c r="D248" s="13">
        <v>1135.0</v>
      </c>
      <c r="E248" s="13">
        <v>3902.0</v>
      </c>
      <c r="F248" s="14">
        <f t="shared" si="27"/>
        <v>29.08764736</v>
      </c>
      <c r="G248" s="13">
        <v>488.0</v>
      </c>
      <c r="H248" s="13">
        <v>3438.0</v>
      </c>
      <c r="I248" s="14">
        <f t="shared" si="4"/>
        <v>14.19429901</v>
      </c>
      <c r="P248" s="19"/>
      <c r="Q248" s="19"/>
    </row>
    <row r="249" ht="15.75" customHeight="1">
      <c r="A249" s="15">
        <v>60401.0</v>
      </c>
      <c r="B249" s="16" t="s">
        <v>21</v>
      </c>
      <c r="C249" s="16" t="s">
        <v>268</v>
      </c>
      <c r="D249" s="13">
        <v>350.0</v>
      </c>
      <c r="E249" s="13">
        <v>1541.0</v>
      </c>
      <c r="F249" s="14">
        <f t="shared" si="27"/>
        <v>22.71252433</v>
      </c>
      <c r="G249" s="13">
        <v>138.0</v>
      </c>
      <c r="H249" s="13">
        <v>1247.0</v>
      </c>
      <c r="I249" s="14">
        <f t="shared" si="4"/>
        <v>11.06655974</v>
      </c>
      <c r="P249" s="19"/>
      <c r="Q249" s="19"/>
    </row>
    <row r="250" ht="15.75" customHeight="1">
      <c r="A250" s="15">
        <v>60402.0</v>
      </c>
      <c r="B250" s="16" t="s">
        <v>21</v>
      </c>
      <c r="C250" s="16" t="s">
        <v>269</v>
      </c>
      <c r="D250" s="13">
        <v>106.0</v>
      </c>
      <c r="E250" s="13">
        <v>474.0</v>
      </c>
      <c r="F250" s="14">
        <f t="shared" si="27"/>
        <v>22.3628692</v>
      </c>
      <c r="G250" s="13">
        <v>50.0</v>
      </c>
      <c r="H250" s="13">
        <v>379.0</v>
      </c>
      <c r="I250" s="14">
        <f t="shared" si="4"/>
        <v>13.19261214</v>
      </c>
      <c r="P250" s="19"/>
      <c r="Q250" s="19"/>
    </row>
    <row r="251" ht="15.75" customHeight="1">
      <c r="A251" s="15">
        <v>60501.0</v>
      </c>
      <c r="B251" s="16" t="s">
        <v>21</v>
      </c>
      <c r="C251" s="16" t="s">
        <v>270</v>
      </c>
      <c r="D251" s="13">
        <v>572.0</v>
      </c>
      <c r="E251" s="13">
        <v>2229.0</v>
      </c>
      <c r="F251" s="14">
        <f t="shared" si="27"/>
        <v>25.66173172</v>
      </c>
      <c r="G251" s="13">
        <v>256.0</v>
      </c>
      <c r="H251" s="13">
        <v>2381.0</v>
      </c>
      <c r="I251" s="14">
        <f t="shared" si="4"/>
        <v>10.75178496</v>
      </c>
      <c r="P251" s="19"/>
      <c r="Q251" s="19"/>
    </row>
    <row r="252" ht="15.75" customHeight="1">
      <c r="A252" s="15">
        <v>60502.0</v>
      </c>
      <c r="B252" s="16" t="s">
        <v>21</v>
      </c>
      <c r="C252" s="16" t="s">
        <v>271</v>
      </c>
      <c r="D252" s="13">
        <v>278.0</v>
      </c>
      <c r="E252" s="13">
        <v>975.0</v>
      </c>
      <c r="F252" s="14">
        <f t="shared" si="27"/>
        <v>28.51282051</v>
      </c>
      <c r="G252" s="13">
        <v>60.0</v>
      </c>
      <c r="H252" s="13">
        <v>643.0</v>
      </c>
      <c r="I252" s="14">
        <f t="shared" si="4"/>
        <v>9.33125972</v>
      </c>
      <c r="P252" s="19"/>
      <c r="Q252" s="19"/>
    </row>
    <row r="253" ht="15.75" customHeight="1">
      <c r="A253" s="15">
        <v>60601.0</v>
      </c>
      <c r="B253" s="16" t="s">
        <v>21</v>
      </c>
      <c r="C253" s="16" t="s">
        <v>175</v>
      </c>
      <c r="D253" s="13">
        <v>546.0</v>
      </c>
      <c r="E253" s="13">
        <v>1792.0</v>
      </c>
      <c r="F253" s="14">
        <f t="shared" si="27"/>
        <v>30.46875</v>
      </c>
      <c r="G253" s="13">
        <v>175.0</v>
      </c>
      <c r="H253" s="13">
        <v>1411.0</v>
      </c>
      <c r="I253" s="14">
        <f t="shared" si="4"/>
        <v>12.40255138</v>
      </c>
      <c r="P253" s="19"/>
      <c r="Q253" s="19"/>
    </row>
    <row r="254" ht="15.75" customHeight="1">
      <c r="A254" s="15">
        <v>70101.0</v>
      </c>
      <c r="B254" s="16" t="s">
        <v>23</v>
      </c>
      <c r="C254" s="16" t="s">
        <v>272</v>
      </c>
      <c r="D254" s="13">
        <v>45399.0</v>
      </c>
      <c r="E254" s="13">
        <v>168436.0</v>
      </c>
      <c r="F254" s="14">
        <f t="shared" si="27"/>
        <v>26.95326415</v>
      </c>
      <c r="G254" s="13">
        <v>12444.0</v>
      </c>
      <c r="H254" s="13">
        <v>144121.0</v>
      </c>
      <c r="I254" s="14">
        <f t="shared" si="4"/>
        <v>8.634411363</v>
      </c>
      <c r="P254" s="19"/>
      <c r="Q254" s="19"/>
    </row>
    <row r="255" ht="15.75" customHeight="1">
      <c r="A255" s="15">
        <v>70102.0</v>
      </c>
      <c r="B255" s="16" t="s">
        <v>23</v>
      </c>
      <c r="C255" s="16" t="s">
        <v>273</v>
      </c>
      <c r="D255" s="13">
        <v>1866.0</v>
      </c>
      <c r="E255" s="13">
        <v>5801.0</v>
      </c>
      <c r="F255" s="14">
        <f t="shared" si="27"/>
        <v>32.16686778</v>
      </c>
      <c r="G255" s="13">
        <v>1327.0</v>
      </c>
      <c r="H255" s="13">
        <v>9553.0</v>
      </c>
      <c r="I255" s="14">
        <f t="shared" si="4"/>
        <v>13.89092432</v>
      </c>
      <c r="P255" s="19"/>
      <c r="Q255" s="19"/>
    </row>
    <row r="256" ht="15.75" customHeight="1">
      <c r="A256" s="15">
        <v>70103.0</v>
      </c>
      <c r="B256" s="16" t="s">
        <v>23</v>
      </c>
      <c r="C256" s="16" t="s">
        <v>274</v>
      </c>
      <c r="D256" s="13">
        <v>402.0</v>
      </c>
      <c r="E256" s="13">
        <v>1414.0</v>
      </c>
      <c r="F256" s="14">
        <f t="shared" si="27"/>
        <v>28.42998586</v>
      </c>
      <c r="G256" s="13">
        <v>169.0</v>
      </c>
      <c r="H256" s="13">
        <v>1788.0</v>
      </c>
      <c r="I256" s="14">
        <f t="shared" si="4"/>
        <v>9.451901566</v>
      </c>
      <c r="P256" s="19"/>
      <c r="Q256" s="19"/>
    </row>
    <row r="257" ht="15.75" customHeight="1">
      <c r="A257" s="15">
        <v>70104.0</v>
      </c>
      <c r="B257" s="16" t="s">
        <v>23</v>
      </c>
      <c r="C257" s="16" t="s">
        <v>275</v>
      </c>
      <c r="D257" s="13">
        <v>2710.0</v>
      </c>
      <c r="E257" s="13">
        <v>10028.0</v>
      </c>
      <c r="F257" s="14">
        <f t="shared" si="27"/>
        <v>27.02433187</v>
      </c>
      <c r="G257" s="13">
        <v>1456.0</v>
      </c>
      <c r="H257" s="13">
        <v>13471.0</v>
      </c>
      <c r="I257" s="14">
        <f t="shared" si="4"/>
        <v>10.80840324</v>
      </c>
      <c r="P257" s="19"/>
      <c r="Q257" s="19"/>
    </row>
    <row r="258" ht="15.75" customHeight="1">
      <c r="A258" s="15">
        <v>70105.0</v>
      </c>
      <c r="B258" s="16" t="s">
        <v>23</v>
      </c>
      <c r="C258" s="16" t="s">
        <v>276</v>
      </c>
      <c r="D258" s="13">
        <v>1442.0</v>
      </c>
      <c r="E258" s="13">
        <v>5519.0</v>
      </c>
      <c r="F258" s="14">
        <f t="shared" si="27"/>
        <v>26.12792172</v>
      </c>
      <c r="G258" s="13">
        <v>573.0</v>
      </c>
      <c r="H258" s="13">
        <v>4865.0</v>
      </c>
      <c r="I258" s="14">
        <f t="shared" si="4"/>
        <v>11.77800617</v>
      </c>
      <c r="P258" s="19"/>
      <c r="Q258" s="19"/>
    </row>
    <row r="259" ht="15.75" customHeight="1">
      <c r="A259" s="15">
        <v>70201.0</v>
      </c>
      <c r="B259" s="16" t="s">
        <v>23</v>
      </c>
      <c r="C259" s="16" t="s">
        <v>277</v>
      </c>
      <c r="D259" s="13">
        <v>3247.0</v>
      </c>
      <c r="E259" s="13">
        <v>10161.0</v>
      </c>
      <c r="F259" s="14">
        <f t="shared" si="27"/>
        <v>31.95551619</v>
      </c>
      <c r="G259" s="13">
        <v>1820.0</v>
      </c>
      <c r="H259" s="13">
        <v>14000.0</v>
      </c>
      <c r="I259" s="14">
        <f t="shared" si="4"/>
        <v>13</v>
      </c>
      <c r="P259" s="19"/>
      <c r="Q259" s="19"/>
    </row>
    <row r="260" ht="15.75" customHeight="1">
      <c r="A260" s="15">
        <v>70202.0</v>
      </c>
      <c r="B260" s="16" t="s">
        <v>23</v>
      </c>
      <c r="C260" s="16" t="s">
        <v>278</v>
      </c>
      <c r="D260" s="13">
        <v>438.0</v>
      </c>
      <c r="E260" s="13">
        <v>1321.0</v>
      </c>
      <c r="F260" s="14">
        <f t="shared" si="27"/>
        <v>33.15669947</v>
      </c>
      <c r="G260" s="13">
        <v>161.0</v>
      </c>
      <c r="H260" s="13">
        <v>900.0</v>
      </c>
      <c r="I260" s="14">
        <f t="shared" si="4"/>
        <v>17.88888889</v>
      </c>
      <c r="P260" s="19"/>
      <c r="Q260" s="19"/>
    </row>
    <row r="261" ht="15.75" customHeight="1">
      <c r="A261" s="15">
        <v>70301.0</v>
      </c>
      <c r="B261" s="16" t="s">
        <v>23</v>
      </c>
      <c r="C261" s="16" t="s">
        <v>279</v>
      </c>
      <c r="D261" s="13">
        <v>1654.0</v>
      </c>
      <c r="E261" s="13">
        <v>4974.0</v>
      </c>
      <c r="F261" s="14">
        <f t="shared" si="27"/>
        <v>33.25291516</v>
      </c>
      <c r="G261" s="13">
        <v>1225.0</v>
      </c>
      <c r="H261" s="13">
        <v>5782.0</v>
      </c>
      <c r="I261" s="14">
        <f t="shared" si="4"/>
        <v>21.18644068</v>
      </c>
      <c r="P261" s="19"/>
      <c r="Q261" s="19"/>
    </row>
    <row r="262" ht="15.75" customHeight="1">
      <c r="A262" s="15">
        <v>70302.0</v>
      </c>
      <c r="B262" s="16" t="s">
        <v>23</v>
      </c>
      <c r="C262" s="16" t="s">
        <v>280</v>
      </c>
      <c r="D262" s="13">
        <v>365.0</v>
      </c>
      <c r="E262" s="13">
        <v>1090.0</v>
      </c>
      <c r="F262" s="14">
        <f t="shared" si="27"/>
        <v>33.48623853</v>
      </c>
      <c r="G262" s="13">
        <v>186.0</v>
      </c>
      <c r="H262" s="13">
        <v>1163.0</v>
      </c>
      <c r="I262" s="14">
        <f t="shared" si="4"/>
        <v>15.99312124</v>
      </c>
      <c r="P262" s="19"/>
      <c r="Q262" s="19"/>
    </row>
    <row r="263" ht="15.75" customHeight="1">
      <c r="A263" s="15">
        <v>70303.0</v>
      </c>
      <c r="B263" s="16" t="s">
        <v>23</v>
      </c>
      <c r="C263" s="16" t="s">
        <v>281</v>
      </c>
      <c r="D263" s="13">
        <v>198.0</v>
      </c>
      <c r="E263" s="13">
        <v>562.0</v>
      </c>
      <c r="F263" s="14">
        <f t="shared" si="27"/>
        <v>35.23131673</v>
      </c>
      <c r="G263" s="13">
        <v>155.0</v>
      </c>
      <c r="H263" s="13">
        <v>691.0</v>
      </c>
      <c r="I263" s="14">
        <f t="shared" si="4"/>
        <v>22.43125904</v>
      </c>
      <c r="P263" s="19"/>
      <c r="Q263" s="19"/>
    </row>
    <row r="264" ht="15.75" customHeight="1">
      <c r="A264" s="15">
        <v>70401.0</v>
      </c>
      <c r="B264" s="16" t="s">
        <v>23</v>
      </c>
      <c r="C264" s="16" t="s">
        <v>282</v>
      </c>
      <c r="D264" s="13">
        <v>389.0</v>
      </c>
      <c r="E264" s="13">
        <v>1177.0</v>
      </c>
      <c r="F264" s="14">
        <f t="shared" si="27"/>
        <v>33.05012744</v>
      </c>
      <c r="G264" s="13">
        <v>159.0</v>
      </c>
      <c r="H264" s="13">
        <v>1056.0</v>
      </c>
      <c r="I264" s="14">
        <f t="shared" si="4"/>
        <v>15.05681818</v>
      </c>
      <c r="P264" s="19"/>
      <c r="Q264" s="19"/>
    </row>
    <row r="265" ht="15.75" customHeight="1">
      <c r="A265" s="15">
        <v>70402.0</v>
      </c>
      <c r="B265" s="16" t="s">
        <v>23</v>
      </c>
      <c r="C265" s="16" t="s">
        <v>283</v>
      </c>
      <c r="D265" s="13">
        <v>622.0</v>
      </c>
      <c r="E265" s="13">
        <v>2125.0</v>
      </c>
      <c r="F265" s="14">
        <f t="shared" si="27"/>
        <v>29.27058824</v>
      </c>
      <c r="G265" s="13">
        <v>240.0</v>
      </c>
      <c r="H265" s="13">
        <v>1612.0</v>
      </c>
      <c r="I265" s="14">
        <f t="shared" si="4"/>
        <v>14.88833747</v>
      </c>
      <c r="P265" s="19"/>
      <c r="Q265" s="19"/>
    </row>
    <row r="266" ht="15.75" customHeight="1">
      <c r="A266" s="15">
        <v>70403.0</v>
      </c>
      <c r="B266" s="16" t="s">
        <v>23</v>
      </c>
      <c r="C266" s="16" t="s">
        <v>284</v>
      </c>
      <c r="D266" s="13">
        <v>1607.0</v>
      </c>
      <c r="E266" s="13">
        <v>5320.0</v>
      </c>
      <c r="F266" s="14">
        <f t="shared" si="27"/>
        <v>30.20676692</v>
      </c>
      <c r="G266" s="13">
        <v>587.0</v>
      </c>
      <c r="H266" s="13">
        <v>4890.0</v>
      </c>
      <c r="I266" s="14">
        <f t="shared" si="4"/>
        <v>12.00408998</v>
      </c>
      <c r="P266" s="19"/>
      <c r="Q266" s="19"/>
    </row>
    <row r="267" ht="15.75" customHeight="1">
      <c r="A267" s="15">
        <v>70404.0</v>
      </c>
      <c r="B267" s="16" t="s">
        <v>23</v>
      </c>
      <c r="C267" s="16" t="s">
        <v>285</v>
      </c>
      <c r="D267" s="13">
        <v>275.0</v>
      </c>
      <c r="E267" s="13">
        <v>858.0</v>
      </c>
      <c r="F267" s="14">
        <f t="shared" si="27"/>
        <v>32.05128205</v>
      </c>
      <c r="G267" s="13">
        <v>124.0</v>
      </c>
      <c r="H267" s="13">
        <v>871.0</v>
      </c>
      <c r="I267" s="14">
        <f t="shared" si="4"/>
        <v>14.23650976</v>
      </c>
      <c r="P267" s="19"/>
      <c r="Q267" s="19"/>
    </row>
    <row r="268" ht="15.75" customHeight="1">
      <c r="A268" s="15">
        <v>70501.0</v>
      </c>
      <c r="B268" s="16" t="s">
        <v>23</v>
      </c>
      <c r="C268" s="16" t="s">
        <v>286</v>
      </c>
      <c r="D268" s="13">
        <v>1031.0</v>
      </c>
      <c r="E268" s="13">
        <v>2589.0</v>
      </c>
      <c r="F268" s="14">
        <f t="shared" si="27"/>
        <v>39.82232522</v>
      </c>
      <c r="G268" s="13">
        <v>766.0</v>
      </c>
      <c r="H268" s="13">
        <v>3345.0</v>
      </c>
      <c r="I268" s="14">
        <f t="shared" si="4"/>
        <v>22.89985052</v>
      </c>
      <c r="P268" s="19"/>
      <c r="Q268" s="19"/>
    </row>
    <row r="269" ht="15.75" customHeight="1">
      <c r="A269" s="15">
        <v>70502.0</v>
      </c>
      <c r="B269" s="16" t="s">
        <v>23</v>
      </c>
      <c r="C269" s="16" t="s">
        <v>287</v>
      </c>
      <c r="D269" s="13">
        <v>1232.0</v>
      </c>
      <c r="E269" s="13">
        <v>3930.0</v>
      </c>
      <c r="F269" s="14">
        <f t="shared" si="27"/>
        <v>31.34860051</v>
      </c>
      <c r="G269" s="13">
        <v>1351.0</v>
      </c>
      <c r="H269" s="13">
        <v>4835.0</v>
      </c>
      <c r="I269" s="14">
        <f t="shared" si="4"/>
        <v>27.94208893</v>
      </c>
      <c r="P269" s="19"/>
      <c r="Q269" s="19"/>
    </row>
    <row r="270" ht="15.75" customHeight="1">
      <c r="A270" s="15">
        <v>70503.0</v>
      </c>
      <c r="B270" s="16" t="s">
        <v>23</v>
      </c>
      <c r="C270" s="16" t="s">
        <v>288</v>
      </c>
      <c r="D270" s="13">
        <v>391.0</v>
      </c>
      <c r="E270" s="13">
        <v>1427.0</v>
      </c>
      <c r="F270" s="14">
        <f t="shared" si="27"/>
        <v>27.40014015</v>
      </c>
      <c r="G270" s="13">
        <v>261.0</v>
      </c>
      <c r="H270" s="13">
        <v>1305.0</v>
      </c>
      <c r="I270" s="14">
        <f t="shared" si="4"/>
        <v>20</v>
      </c>
      <c r="P270" s="19"/>
      <c r="Q270" s="19"/>
    </row>
    <row r="271" ht="15.75" customHeight="1">
      <c r="A271" s="15">
        <v>70601.0</v>
      </c>
      <c r="B271" s="16" t="s">
        <v>23</v>
      </c>
      <c r="C271" s="16" t="s">
        <v>289</v>
      </c>
      <c r="D271" s="13">
        <v>581.0</v>
      </c>
      <c r="E271" s="13">
        <v>1885.0</v>
      </c>
      <c r="F271" s="14">
        <f t="shared" si="27"/>
        <v>30.82228117</v>
      </c>
      <c r="G271" s="13">
        <v>227.0</v>
      </c>
      <c r="H271" s="13">
        <v>1760.0</v>
      </c>
      <c r="I271" s="14">
        <f t="shared" si="4"/>
        <v>12.89772727</v>
      </c>
      <c r="P271" s="19"/>
      <c r="Q271" s="19"/>
    </row>
    <row r="272" ht="15.75" customHeight="1">
      <c r="A272" s="15">
        <v>70602.0</v>
      </c>
      <c r="B272" s="16" t="s">
        <v>23</v>
      </c>
      <c r="C272" s="16" t="s">
        <v>290</v>
      </c>
      <c r="D272" s="13">
        <v>598.0</v>
      </c>
      <c r="E272" s="13">
        <v>1579.0</v>
      </c>
      <c r="F272" s="14">
        <f t="shared" si="27"/>
        <v>37.87207093</v>
      </c>
      <c r="G272" s="13">
        <v>261.0</v>
      </c>
      <c r="H272" s="13">
        <v>1473.0</v>
      </c>
      <c r="I272" s="14">
        <f t="shared" si="4"/>
        <v>17.71894094</v>
      </c>
      <c r="P272" s="19"/>
      <c r="Q272" s="19"/>
    </row>
    <row r="273" ht="15.75" customHeight="1">
      <c r="A273" s="15">
        <v>70603.0</v>
      </c>
      <c r="B273" s="16" t="s">
        <v>23</v>
      </c>
      <c r="C273" s="16" t="s">
        <v>291</v>
      </c>
      <c r="D273" s="13">
        <v>232.0</v>
      </c>
      <c r="E273" s="13">
        <v>638.0</v>
      </c>
      <c r="F273" s="14">
        <f t="shared" si="27"/>
        <v>36.36363636</v>
      </c>
      <c r="G273" s="13">
        <v>87.0</v>
      </c>
      <c r="H273" s="13">
        <v>504.0</v>
      </c>
      <c r="I273" s="14">
        <f t="shared" si="4"/>
        <v>17.26190476</v>
      </c>
      <c r="P273" s="19"/>
      <c r="Q273" s="19"/>
    </row>
    <row r="274" ht="15.75" customHeight="1">
      <c r="A274" s="15">
        <v>70701.0</v>
      </c>
      <c r="B274" s="16" t="s">
        <v>23</v>
      </c>
      <c r="C274" s="16" t="s">
        <v>292</v>
      </c>
      <c r="D274" s="13">
        <v>181.0</v>
      </c>
      <c r="E274" s="13">
        <v>430.0</v>
      </c>
      <c r="F274" s="14">
        <f t="shared" si="27"/>
        <v>42.09302326</v>
      </c>
      <c r="G274" s="13">
        <v>100.0</v>
      </c>
      <c r="H274" s="13">
        <v>466.0</v>
      </c>
      <c r="I274" s="14">
        <f t="shared" si="4"/>
        <v>21.45922747</v>
      </c>
      <c r="P274" s="19"/>
      <c r="Q274" s="19"/>
    </row>
    <row r="275" ht="15.75" customHeight="1">
      <c r="A275" s="15">
        <v>70702.0</v>
      </c>
      <c r="B275" s="16" t="s">
        <v>23</v>
      </c>
      <c r="C275" s="16" t="s">
        <v>293</v>
      </c>
      <c r="D275" s="13">
        <v>1193.0</v>
      </c>
      <c r="E275" s="13">
        <v>2871.0</v>
      </c>
      <c r="F275" s="14">
        <f t="shared" si="27"/>
        <v>41.55346569</v>
      </c>
      <c r="G275" s="13">
        <v>936.0</v>
      </c>
      <c r="H275" s="13">
        <v>3618.0</v>
      </c>
      <c r="I275" s="14">
        <f t="shared" si="4"/>
        <v>25.87064677</v>
      </c>
      <c r="P275" s="19"/>
      <c r="Q275" s="19"/>
    </row>
    <row r="276" ht="15.75" customHeight="1">
      <c r="A276" s="15">
        <v>70703.0</v>
      </c>
      <c r="B276" s="16" t="s">
        <v>23</v>
      </c>
      <c r="C276" s="16" t="s">
        <v>294</v>
      </c>
      <c r="D276" s="13">
        <v>856.0</v>
      </c>
      <c r="E276" s="13">
        <v>2442.0</v>
      </c>
      <c r="F276" s="14">
        <f t="shared" si="27"/>
        <v>35.05323505</v>
      </c>
      <c r="G276" s="13">
        <v>763.0</v>
      </c>
      <c r="H276" s="13">
        <v>2888.0</v>
      </c>
      <c r="I276" s="14">
        <f t="shared" si="4"/>
        <v>26.41966759</v>
      </c>
      <c r="P276" s="19"/>
      <c r="Q276" s="19"/>
    </row>
    <row r="277" ht="15.75" customHeight="1">
      <c r="A277" s="15">
        <v>70704.0</v>
      </c>
      <c r="B277" s="16" t="s">
        <v>23</v>
      </c>
      <c r="C277" s="16" t="s">
        <v>295</v>
      </c>
      <c r="D277" s="13">
        <v>126.0</v>
      </c>
      <c r="E277" s="13">
        <v>437.0</v>
      </c>
      <c r="F277" s="14">
        <f t="shared" si="27"/>
        <v>28.83295195</v>
      </c>
      <c r="G277" s="13">
        <v>59.0</v>
      </c>
      <c r="H277" s="13">
        <v>452.0</v>
      </c>
      <c r="I277" s="14">
        <f t="shared" si="4"/>
        <v>13.05309735</v>
      </c>
      <c r="P277" s="19"/>
      <c r="Q277" s="19"/>
    </row>
    <row r="278" ht="15.75" customHeight="1">
      <c r="A278" s="15">
        <v>70705.0</v>
      </c>
      <c r="B278" s="16" t="s">
        <v>23</v>
      </c>
      <c r="C278" s="16" t="s">
        <v>296</v>
      </c>
      <c r="D278" s="13">
        <v>400.0</v>
      </c>
      <c r="E278" s="13">
        <v>1106.0</v>
      </c>
      <c r="F278" s="14">
        <f t="shared" si="27"/>
        <v>36.16636528</v>
      </c>
      <c r="G278" s="13">
        <v>251.0</v>
      </c>
      <c r="H278" s="13">
        <v>1463.0</v>
      </c>
      <c r="I278" s="14">
        <f t="shared" si="4"/>
        <v>17.15652768</v>
      </c>
      <c r="P278" s="19"/>
      <c r="Q278" s="19"/>
    </row>
    <row r="279" ht="15.75" customHeight="1">
      <c r="A279" s="15">
        <v>70706.0</v>
      </c>
      <c r="B279" s="16" t="s">
        <v>23</v>
      </c>
      <c r="C279" s="16" t="s">
        <v>297</v>
      </c>
      <c r="D279" s="13">
        <v>1237.0</v>
      </c>
      <c r="E279" s="13">
        <v>3820.0</v>
      </c>
      <c r="F279" s="14">
        <f t="shared" si="27"/>
        <v>32.38219895</v>
      </c>
      <c r="G279" s="13">
        <v>266.0</v>
      </c>
      <c r="H279" s="13">
        <v>2929.0</v>
      </c>
      <c r="I279" s="14">
        <f t="shared" si="4"/>
        <v>9.081597815</v>
      </c>
      <c r="P279" s="19"/>
      <c r="Q279" s="19"/>
    </row>
    <row r="280" ht="15.75" customHeight="1">
      <c r="A280" s="15">
        <v>70707.0</v>
      </c>
      <c r="B280" s="16" t="s">
        <v>23</v>
      </c>
      <c r="C280" s="16" t="s">
        <v>298</v>
      </c>
      <c r="D280" s="13">
        <v>180.0</v>
      </c>
      <c r="E280" s="13">
        <v>515.0</v>
      </c>
      <c r="F280" s="14">
        <f t="shared" si="27"/>
        <v>34.95145631</v>
      </c>
      <c r="G280" s="13">
        <v>62.0</v>
      </c>
      <c r="H280" s="13">
        <v>446.0</v>
      </c>
      <c r="I280" s="14">
        <f t="shared" si="4"/>
        <v>13.90134529</v>
      </c>
      <c r="P280" s="19"/>
      <c r="Q280" s="19"/>
    </row>
    <row r="281" ht="15.75" customHeight="1">
      <c r="A281" s="15">
        <v>70801.0</v>
      </c>
      <c r="B281" s="16" t="s">
        <v>23</v>
      </c>
      <c r="C281" s="16" t="s">
        <v>299</v>
      </c>
      <c r="D281" s="13">
        <v>344.0</v>
      </c>
      <c r="E281" s="13">
        <v>1429.0</v>
      </c>
      <c r="F281" s="14">
        <f t="shared" si="27"/>
        <v>24.07277817</v>
      </c>
      <c r="G281" s="13">
        <v>88.0</v>
      </c>
      <c r="H281" s="13">
        <v>1181.0</v>
      </c>
      <c r="I281" s="14">
        <f t="shared" si="4"/>
        <v>7.451312447</v>
      </c>
      <c r="P281" s="19"/>
      <c r="Q281" s="19"/>
    </row>
    <row r="282" ht="15.75" customHeight="1">
      <c r="A282" s="15">
        <v>70802.0</v>
      </c>
      <c r="B282" s="16" t="s">
        <v>23</v>
      </c>
      <c r="C282" s="16" t="s">
        <v>300</v>
      </c>
      <c r="D282" s="13">
        <v>48.0</v>
      </c>
      <c r="E282" s="13">
        <v>183.0</v>
      </c>
      <c r="F282" s="14">
        <f t="shared" si="27"/>
        <v>26.2295082</v>
      </c>
      <c r="G282" s="13">
        <v>19.0</v>
      </c>
      <c r="H282" s="13">
        <v>155.0</v>
      </c>
      <c r="I282" s="14">
        <f t="shared" si="4"/>
        <v>12.25806452</v>
      </c>
      <c r="P282" s="19"/>
      <c r="Q282" s="19"/>
    </row>
    <row r="283" ht="15.75" customHeight="1">
      <c r="A283" s="15">
        <v>70803.0</v>
      </c>
      <c r="B283" s="16" t="s">
        <v>23</v>
      </c>
      <c r="C283" s="16" t="s">
        <v>301</v>
      </c>
      <c r="D283" s="13">
        <v>39.0</v>
      </c>
      <c r="E283" s="13">
        <v>194.0</v>
      </c>
      <c r="F283" s="14">
        <f t="shared" si="27"/>
        <v>20.10309278</v>
      </c>
      <c r="G283" s="13">
        <v>15.0</v>
      </c>
      <c r="H283" s="13">
        <v>185.0</v>
      </c>
      <c r="I283" s="14">
        <f t="shared" si="4"/>
        <v>8.108108108</v>
      </c>
      <c r="P283" s="19"/>
      <c r="Q283" s="19"/>
    </row>
    <row r="284" ht="15.75" customHeight="1">
      <c r="A284" s="15">
        <v>70804.0</v>
      </c>
      <c r="B284" s="16" t="s">
        <v>23</v>
      </c>
      <c r="C284" s="16" t="s">
        <v>302</v>
      </c>
      <c r="D284" s="13">
        <v>59.0</v>
      </c>
      <c r="E284" s="13">
        <v>178.0</v>
      </c>
      <c r="F284" s="14">
        <f t="shared" si="27"/>
        <v>33.14606742</v>
      </c>
      <c r="G284" s="13">
        <v>14.0</v>
      </c>
      <c r="H284" s="13">
        <v>121.0</v>
      </c>
      <c r="I284" s="14">
        <f t="shared" si="4"/>
        <v>11.57024793</v>
      </c>
      <c r="P284" s="19"/>
      <c r="Q284" s="19"/>
    </row>
    <row r="285" ht="15.75" customHeight="1">
      <c r="A285" s="15">
        <v>70805.0</v>
      </c>
      <c r="B285" s="16" t="s">
        <v>23</v>
      </c>
      <c r="C285" s="16" t="s">
        <v>303</v>
      </c>
      <c r="D285" s="13">
        <v>38.0</v>
      </c>
      <c r="E285" s="13">
        <v>159.0</v>
      </c>
      <c r="F285" s="14">
        <f t="shared" si="27"/>
        <v>23.89937107</v>
      </c>
      <c r="G285" s="13">
        <v>18.0</v>
      </c>
      <c r="H285" s="13">
        <v>88.0</v>
      </c>
      <c r="I285" s="14">
        <f t="shared" si="4"/>
        <v>20.45454545</v>
      </c>
      <c r="P285" s="19"/>
      <c r="Q285" s="19"/>
    </row>
    <row r="286" ht="15.75" customHeight="1">
      <c r="A286" s="15">
        <v>70901.0</v>
      </c>
      <c r="B286" s="16" t="s">
        <v>23</v>
      </c>
      <c r="C286" s="16" t="s">
        <v>304</v>
      </c>
      <c r="D286" s="13">
        <v>191.0</v>
      </c>
      <c r="E286" s="13">
        <v>806.0</v>
      </c>
      <c r="F286" s="14">
        <f t="shared" si="27"/>
        <v>23.69727047</v>
      </c>
      <c r="G286" s="13">
        <v>81.0</v>
      </c>
      <c r="H286" s="13">
        <v>833.0</v>
      </c>
      <c r="I286" s="14">
        <f t="shared" si="4"/>
        <v>9.723889556</v>
      </c>
      <c r="P286" s="19"/>
      <c r="Q286" s="19"/>
    </row>
    <row r="287" ht="15.75" customHeight="1">
      <c r="A287" s="15">
        <v>70902.0</v>
      </c>
      <c r="B287" s="16" t="s">
        <v>23</v>
      </c>
      <c r="C287" s="16" t="s">
        <v>305</v>
      </c>
      <c r="D287" s="13">
        <v>219.0</v>
      </c>
      <c r="E287" s="13">
        <v>808.0</v>
      </c>
      <c r="F287" s="14">
        <f t="shared" si="27"/>
        <v>27.1039604</v>
      </c>
      <c r="G287" s="13">
        <v>97.0</v>
      </c>
      <c r="H287" s="13">
        <v>775.0</v>
      </c>
      <c r="I287" s="14">
        <f t="shared" si="4"/>
        <v>12.51612903</v>
      </c>
      <c r="P287" s="19"/>
      <c r="Q287" s="19"/>
    </row>
    <row r="288" ht="15.75" customHeight="1">
      <c r="A288" s="15">
        <v>70903.0</v>
      </c>
      <c r="B288" s="16" t="s">
        <v>23</v>
      </c>
      <c r="C288" s="16" t="s">
        <v>306</v>
      </c>
      <c r="D288" s="13">
        <v>242.0</v>
      </c>
      <c r="E288" s="13">
        <v>904.0</v>
      </c>
      <c r="F288" s="14">
        <f t="shared" si="27"/>
        <v>26.7699115</v>
      </c>
      <c r="G288" s="13">
        <v>157.0</v>
      </c>
      <c r="H288" s="13">
        <v>1074.0</v>
      </c>
      <c r="I288" s="14">
        <f t="shared" si="4"/>
        <v>14.61824953</v>
      </c>
      <c r="P288" s="19"/>
      <c r="Q288" s="19"/>
    </row>
    <row r="289" ht="15.75" customHeight="1">
      <c r="A289" s="15">
        <v>70904.0</v>
      </c>
      <c r="B289" s="16" t="s">
        <v>23</v>
      </c>
      <c r="C289" s="16" t="s">
        <v>307</v>
      </c>
      <c r="D289" s="13">
        <v>63.0</v>
      </c>
      <c r="E289" s="13">
        <v>286.0</v>
      </c>
      <c r="F289" s="14">
        <f t="shared" si="27"/>
        <v>22.02797203</v>
      </c>
      <c r="G289" s="13">
        <v>48.0</v>
      </c>
      <c r="H289" s="13">
        <v>213.0</v>
      </c>
      <c r="I289" s="14">
        <f t="shared" si="4"/>
        <v>22.53521127</v>
      </c>
      <c r="P289" s="19"/>
      <c r="Q289" s="19"/>
    </row>
    <row r="290" ht="15.75" customHeight="1">
      <c r="A290" s="15">
        <v>71001.0</v>
      </c>
      <c r="B290" s="16" t="s">
        <v>23</v>
      </c>
      <c r="C290" s="16" t="s">
        <v>308</v>
      </c>
      <c r="D290" s="13">
        <v>3854.0</v>
      </c>
      <c r="E290" s="13">
        <v>12843.0</v>
      </c>
      <c r="F290" s="14">
        <f t="shared" si="27"/>
        <v>30.00856498</v>
      </c>
      <c r="G290" s="13">
        <v>1296.0</v>
      </c>
      <c r="H290" s="13">
        <v>11665.0</v>
      </c>
      <c r="I290" s="14">
        <f t="shared" si="4"/>
        <v>11.11015859</v>
      </c>
      <c r="P290" s="19"/>
      <c r="Q290" s="19"/>
    </row>
    <row r="291" ht="15.75" customHeight="1">
      <c r="A291" s="15">
        <v>71002.0</v>
      </c>
      <c r="B291" s="16" t="s">
        <v>23</v>
      </c>
      <c r="C291" s="16" t="s">
        <v>309</v>
      </c>
      <c r="D291" s="13">
        <v>522.0</v>
      </c>
      <c r="E291" s="13">
        <v>1407.0</v>
      </c>
      <c r="F291" s="14">
        <f t="shared" si="27"/>
        <v>37.10021322</v>
      </c>
      <c r="G291" s="13">
        <v>352.0</v>
      </c>
      <c r="H291" s="13">
        <v>1541.0</v>
      </c>
      <c r="I291" s="14">
        <f t="shared" si="4"/>
        <v>22.84231019</v>
      </c>
      <c r="P291" s="19"/>
      <c r="Q291" s="19"/>
    </row>
    <row r="292" ht="15.75" customHeight="1">
      <c r="A292" s="15">
        <v>71003.0</v>
      </c>
      <c r="B292" s="16" t="s">
        <v>23</v>
      </c>
      <c r="C292" s="16" t="s">
        <v>310</v>
      </c>
      <c r="D292" s="13">
        <v>935.0</v>
      </c>
      <c r="E292" s="13">
        <v>2527.0</v>
      </c>
      <c r="F292" s="14">
        <f t="shared" si="27"/>
        <v>37.00039573</v>
      </c>
      <c r="G292" s="13">
        <v>380.0</v>
      </c>
      <c r="H292" s="13">
        <v>2095.0</v>
      </c>
      <c r="I292" s="14">
        <f t="shared" si="4"/>
        <v>18.13842482</v>
      </c>
      <c r="P292" s="19"/>
      <c r="Q292" s="19"/>
    </row>
    <row r="293" ht="15.75" customHeight="1">
      <c r="A293" s="15">
        <v>71004.0</v>
      </c>
      <c r="B293" s="16" t="s">
        <v>23</v>
      </c>
      <c r="C293" s="16" t="s">
        <v>311</v>
      </c>
      <c r="D293" s="13">
        <v>528.0</v>
      </c>
      <c r="E293" s="13">
        <v>1489.0</v>
      </c>
      <c r="F293" s="14">
        <f t="shared" si="27"/>
        <v>35.4600403</v>
      </c>
      <c r="G293" s="13">
        <v>172.0</v>
      </c>
      <c r="H293" s="13">
        <v>1167.0</v>
      </c>
      <c r="I293" s="14">
        <f t="shared" si="4"/>
        <v>14.7386461</v>
      </c>
      <c r="P293" s="19"/>
      <c r="Q293" s="19"/>
    </row>
    <row r="294" ht="15.75" customHeight="1">
      <c r="A294" s="15">
        <v>71005.0</v>
      </c>
      <c r="B294" s="16" t="s">
        <v>23</v>
      </c>
      <c r="C294" s="16" t="s">
        <v>312</v>
      </c>
      <c r="D294" s="13">
        <v>536.0</v>
      </c>
      <c r="E294" s="13">
        <v>1741.0</v>
      </c>
      <c r="F294" s="14">
        <f t="shared" si="27"/>
        <v>30.78690408</v>
      </c>
      <c r="G294" s="13">
        <v>198.0</v>
      </c>
      <c r="H294" s="13">
        <v>1376.0</v>
      </c>
      <c r="I294" s="14">
        <f t="shared" si="4"/>
        <v>14.38953488</v>
      </c>
      <c r="P294" s="19"/>
      <c r="Q294" s="19"/>
    </row>
    <row r="295" ht="15.75" customHeight="1">
      <c r="A295" s="15">
        <v>71101.0</v>
      </c>
      <c r="B295" s="16" t="s">
        <v>23</v>
      </c>
      <c r="C295" s="16" t="s">
        <v>313</v>
      </c>
      <c r="D295" s="13">
        <v>549.0</v>
      </c>
      <c r="E295" s="13">
        <v>1707.0</v>
      </c>
      <c r="F295" s="14">
        <f t="shared" si="27"/>
        <v>32.16168717</v>
      </c>
      <c r="G295" s="13">
        <v>553.0</v>
      </c>
      <c r="H295" s="13">
        <v>2614.0</v>
      </c>
      <c r="I295" s="14">
        <f t="shared" si="4"/>
        <v>21.15531752</v>
      </c>
      <c r="P295" s="19"/>
      <c r="Q295" s="19"/>
    </row>
    <row r="296" ht="15.75" customHeight="1">
      <c r="A296" s="15">
        <v>71102.0</v>
      </c>
      <c r="B296" s="16" t="s">
        <v>23</v>
      </c>
      <c r="C296" s="16" t="s">
        <v>314</v>
      </c>
      <c r="D296" s="13">
        <v>455.0</v>
      </c>
      <c r="E296" s="13">
        <v>1313.0</v>
      </c>
      <c r="F296" s="14">
        <f t="shared" si="27"/>
        <v>34.65346535</v>
      </c>
      <c r="G296" s="13">
        <v>280.0</v>
      </c>
      <c r="H296" s="13">
        <v>1316.0</v>
      </c>
      <c r="I296" s="14">
        <f t="shared" si="4"/>
        <v>21.27659574</v>
      </c>
      <c r="P296" s="19"/>
      <c r="Q296" s="19"/>
    </row>
    <row r="297" ht="15.75" customHeight="1">
      <c r="A297" s="15">
        <v>71103.0</v>
      </c>
      <c r="B297" s="16" t="s">
        <v>23</v>
      </c>
      <c r="C297" s="16" t="s">
        <v>315</v>
      </c>
      <c r="D297" s="13">
        <v>1493.0</v>
      </c>
      <c r="E297" s="13">
        <v>4825.0</v>
      </c>
      <c r="F297" s="14">
        <f t="shared" si="27"/>
        <v>30.94300518</v>
      </c>
      <c r="G297" s="13">
        <v>157.0</v>
      </c>
      <c r="H297" s="13">
        <v>755.0</v>
      </c>
      <c r="I297" s="14">
        <f t="shared" si="4"/>
        <v>20.79470199</v>
      </c>
      <c r="P297" s="19"/>
      <c r="Q297" s="19"/>
    </row>
    <row r="298" ht="15.75" customHeight="1">
      <c r="A298" s="15">
        <v>71104.0</v>
      </c>
      <c r="B298" s="16" t="s">
        <v>23</v>
      </c>
      <c r="C298" s="16" t="s">
        <v>316</v>
      </c>
      <c r="D298" s="13">
        <v>164.0</v>
      </c>
      <c r="E298" s="13">
        <v>625.0</v>
      </c>
      <c r="F298" s="14">
        <f t="shared" si="27"/>
        <v>26.24</v>
      </c>
      <c r="G298" s="13">
        <v>657.0</v>
      </c>
      <c r="H298" s="13">
        <v>4334.0</v>
      </c>
      <c r="I298" s="14">
        <f t="shared" si="4"/>
        <v>15.15920628</v>
      </c>
      <c r="P298" s="19"/>
      <c r="Q298" s="19"/>
    </row>
    <row r="299" ht="15.75" customHeight="1">
      <c r="A299" s="15">
        <v>71105.0</v>
      </c>
      <c r="B299" s="16" t="s">
        <v>23</v>
      </c>
      <c r="C299" s="16" t="s">
        <v>317</v>
      </c>
      <c r="D299" s="13">
        <v>257.0</v>
      </c>
      <c r="E299" s="13">
        <v>751.0</v>
      </c>
      <c r="F299" s="14">
        <f t="shared" si="27"/>
        <v>34.22103862</v>
      </c>
      <c r="G299" s="13">
        <v>92.0</v>
      </c>
      <c r="H299" s="13">
        <v>550.0</v>
      </c>
      <c r="I299" s="14">
        <f t="shared" si="4"/>
        <v>16.72727273</v>
      </c>
      <c r="P299" s="19"/>
      <c r="Q299" s="19"/>
    </row>
    <row r="300" ht="15.75" customHeight="1">
      <c r="A300" s="15">
        <v>71106.0</v>
      </c>
      <c r="B300" s="16" t="s">
        <v>23</v>
      </c>
      <c r="C300" s="16" t="s">
        <v>318</v>
      </c>
      <c r="D300" s="13">
        <v>892.0</v>
      </c>
      <c r="E300" s="13">
        <v>2500.0</v>
      </c>
      <c r="F300" s="14">
        <f t="shared" si="27"/>
        <v>35.68</v>
      </c>
      <c r="G300" s="13">
        <v>582.0</v>
      </c>
      <c r="H300" s="13">
        <v>2352.0</v>
      </c>
      <c r="I300" s="14">
        <f t="shared" si="4"/>
        <v>24.74489796</v>
      </c>
      <c r="P300" s="19"/>
      <c r="Q300" s="19"/>
    </row>
    <row r="301" ht="15.75" customHeight="1">
      <c r="A301" s="15">
        <v>71201.0</v>
      </c>
      <c r="B301" s="16" t="s">
        <v>23</v>
      </c>
      <c r="C301" s="16" t="s">
        <v>319</v>
      </c>
      <c r="D301" s="13">
        <v>468.0</v>
      </c>
      <c r="E301" s="13">
        <v>1326.0</v>
      </c>
      <c r="F301" s="14">
        <f t="shared" si="27"/>
        <v>35.29411765</v>
      </c>
      <c r="G301" s="13">
        <v>299.0</v>
      </c>
      <c r="H301" s="13">
        <v>1173.0</v>
      </c>
      <c r="I301" s="14">
        <f t="shared" si="4"/>
        <v>25.49019608</v>
      </c>
      <c r="P301" s="19"/>
      <c r="Q301" s="19"/>
    </row>
    <row r="302" ht="15.75" customHeight="1">
      <c r="A302" s="15">
        <v>71301.0</v>
      </c>
      <c r="B302" s="16" t="s">
        <v>23</v>
      </c>
      <c r="C302" s="16" t="s">
        <v>320</v>
      </c>
      <c r="D302" s="13">
        <v>295.0</v>
      </c>
      <c r="E302" s="13">
        <v>1399.0</v>
      </c>
      <c r="F302" s="14">
        <f t="shared" si="27"/>
        <v>21.08649035</v>
      </c>
      <c r="G302" s="13">
        <v>121.0</v>
      </c>
      <c r="H302" s="13">
        <v>1367.0</v>
      </c>
      <c r="I302" s="14">
        <f t="shared" si="4"/>
        <v>8.851499634</v>
      </c>
      <c r="P302" s="19"/>
      <c r="Q302" s="19"/>
    </row>
    <row r="303" ht="15.75" customHeight="1">
      <c r="A303" s="15">
        <v>71302.0</v>
      </c>
      <c r="B303" s="16" t="s">
        <v>23</v>
      </c>
      <c r="C303" s="16" t="s">
        <v>321</v>
      </c>
      <c r="D303" s="13">
        <v>151.0</v>
      </c>
      <c r="E303" s="13">
        <v>684.0</v>
      </c>
      <c r="F303" s="14">
        <f t="shared" si="27"/>
        <v>22.07602339</v>
      </c>
      <c r="G303" s="13">
        <v>59.0</v>
      </c>
      <c r="H303" s="13">
        <v>470.0</v>
      </c>
      <c r="I303" s="14">
        <f t="shared" si="4"/>
        <v>12.55319149</v>
      </c>
      <c r="P303" s="19"/>
      <c r="Q303" s="19"/>
    </row>
    <row r="304" ht="15.75" customHeight="1">
      <c r="A304" s="15">
        <v>71401.0</v>
      </c>
      <c r="B304" s="16" t="s">
        <v>23</v>
      </c>
      <c r="C304" s="16" t="s">
        <v>322</v>
      </c>
      <c r="D304" s="13">
        <v>549.0</v>
      </c>
      <c r="E304" s="13">
        <v>1970.0</v>
      </c>
      <c r="F304" s="14">
        <f t="shared" si="27"/>
        <v>27.8680203</v>
      </c>
      <c r="G304" s="13">
        <v>188.0</v>
      </c>
      <c r="H304" s="13">
        <v>1268.0</v>
      </c>
      <c r="I304" s="14">
        <f t="shared" si="4"/>
        <v>14.82649842</v>
      </c>
      <c r="P304" s="19"/>
      <c r="Q304" s="19"/>
    </row>
    <row r="305" ht="15.75" customHeight="1">
      <c r="A305" s="15">
        <v>71402.0</v>
      </c>
      <c r="B305" s="16" t="s">
        <v>23</v>
      </c>
      <c r="C305" s="16" t="s">
        <v>323</v>
      </c>
      <c r="D305" s="13">
        <v>405.0</v>
      </c>
      <c r="E305" s="13">
        <v>1695.0</v>
      </c>
      <c r="F305" s="14">
        <f t="shared" si="27"/>
        <v>23.89380531</v>
      </c>
      <c r="G305" s="13">
        <v>163.0</v>
      </c>
      <c r="H305" s="13">
        <v>1503.0</v>
      </c>
      <c r="I305" s="14">
        <f t="shared" si="4"/>
        <v>10.84497671</v>
      </c>
      <c r="P305" s="19"/>
      <c r="Q305" s="19"/>
    </row>
    <row r="306" ht="15.75" customHeight="1">
      <c r="A306" s="15">
        <v>71403.0</v>
      </c>
      <c r="B306" s="16" t="s">
        <v>23</v>
      </c>
      <c r="C306" s="16" t="s">
        <v>324</v>
      </c>
      <c r="D306" s="13">
        <v>239.0</v>
      </c>
      <c r="E306" s="13">
        <v>584.0</v>
      </c>
      <c r="F306" s="14">
        <f t="shared" si="27"/>
        <v>40.92465753</v>
      </c>
      <c r="G306" s="13">
        <v>134.0</v>
      </c>
      <c r="H306" s="13">
        <v>619.0</v>
      </c>
      <c r="I306" s="14">
        <f t="shared" si="4"/>
        <v>21.64781906</v>
      </c>
      <c r="P306" s="19"/>
      <c r="Q306" s="19"/>
    </row>
    <row r="307" ht="15.75" customHeight="1">
      <c r="A307" s="15">
        <v>71501.0</v>
      </c>
      <c r="B307" s="16" t="s">
        <v>23</v>
      </c>
      <c r="C307" s="16" t="s">
        <v>325</v>
      </c>
      <c r="D307" s="13">
        <v>827.0</v>
      </c>
      <c r="E307" s="13">
        <v>2721.0</v>
      </c>
      <c r="F307" s="14">
        <f t="shared" si="27"/>
        <v>30.39323778</v>
      </c>
      <c r="G307" s="13">
        <v>602.0</v>
      </c>
      <c r="H307" s="13">
        <v>3053.0</v>
      </c>
      <c r="I307" s="14">
        <f t="shared" si="4"/>
        <v>19.71830986</v>
      </c>
      <c r="P307" s="19"/>
      <c r="Q307" s="19"/>
    </row>
    <row r="308" ht="15.75" customHeight="1">
      <c r="A308" s="15">
        <v>71502.0</v>
      </c>
      <c r="B308" s="16" t="s">
        <v>23</v>
      </c>
      <c r="C308" s="16" t="s">
        <v>326</v>
      </c>
      <c r="D308" s="13">
        <v>196.0</v>
      </c>
      <c r="E308" s="13">
        <v>655.0</v>
      </c>
      <c r="F308" s="14">
        <f t="shared" si="27"/>
        <v>29.92366412</v>
      </c>
      <c r="G308" s="13">
        <v>117.0</v>
      </c>
      <c r="H308" s="13">
        <v>608.0</v>
      </c>
      <c r="I308" s="14">
        <f t="shared" si="4"/>
        <v>19.24342105</v>
      </c>
      <c r="P308" s="19"/>
      <c r="Q308" s="19"/>
    </row>
    <row r="309" ht="15.75" customHeight="1">
      <c r="A309" s="15">
        <v>71503.0</v>
      </c>
      <c r="B309" s="16" t="s">
        <v>23</v>
      </c>
      <c r="C309" s="16" t="s">
        <v>271</v>
      </c>
      <c r="D309" s="13">
        <v>446.0</v>
      </c>
      <c r="E309" s="13">
        <v>1142.0</v>
      </c>
      <c r="F309" s="14">
        <f t="shared" si="27"/>
        <v>39.05429072</v>
      </c>
      <c r="G309" s="13">
        <v>247.0</v>
      </c>
      <c r="H309" s="13">
        <v>1294.0</v>
      </c>
      <c r="I309" s="14">
        <f t="shared" si="4"/>
        <v>19.08809892</v>
      </c>
      <c r="P309" s="19"/>
      <c r="Q309" s="19"/>
    </row>
    <row r="310" ht="15.75" customHeight="1">
      <c r="A310" s="15">
        <v>80101.0</v>
      </c>
      <c r="B310" s="16" t="s">
        <v>25</v>
      </c>
      <c r="C310" s="16" t="s">
        <v>327</v>
      </c>
      <c r="D310" s="13">
        <v>3725.0</v>
      </c>
      <c r="E310" s="13">
        <v>12264.0</v>
      </c>
      <c r="F310" s="14">
        <f t="shared" si="27"/>
        <v>30.37345075</v>
      </c>
      <c r="G310" s="13">
        <v>1049.0</v>
      </c>
      <c r="H310" s="13">
        <v>12442.0</v>
      </c>
      <c r="I310" s="14">
        <f t="shared" si="4"/>
        <v>8.431120399</v>
      </c>
      <c r="P310" s="19"/>
      <c r="Q310" s="19"/>
    </row>
    <row r="311" ht="15.75" customHeight="1">
      <c r="A311" s="15">
        <v>80102.0</v>
      </c>
      <c r="B311" s="16" t="s">
        <v>25</v>
      </c>
      <c r="C311" s="16" t="s">
        <v>314</v>
      </c>
      <c r="D311" s="13">
        <v>171.0</v>
      </c>
      <c r="E311" s="13">
        <v>449.0</v>
      </c>
      <c r="F311" s="14">
        <f t="shared" si="27"/>
        <v>38.08463252</v>
      </c>
      <c r="G311" s="13">
        <v>105.0</v>
      </c>
      <c r="H311" s="13">
        <v>632.0</v>
      </c>
      <c r="I311" s="14">
        <f t="shared" si="4"/>
        <v>16.61392405</v>
      </c>
      <c r="P311" s="19"/>
      <c r="Q311" s="19"/>
    </row>
    <row r="312" ht="15.75" customHeight="1">
      <c r="A312" s="15">
        <v>80201.0</v>
      </c>
      <c r="B312" s="16" t="s">
        <v>25</v>
      </c>
      <c r="C312" s="16" t="s">
        <v>328</v>
      </c>
      <c r="D312" s="13">
        <v>2968.0</v>
      </c>
      <c r="E312" s="13">
        <v>9398.0</v>
      </c>
      <c r="F312" s="14">
        <f t="shared" si="27"/>
        <v>31.58118749</v>
      </c>
      <c r="G312" s="13">
        <v>1398.0</v>
      </c>
      <c r="H312" s="13">
        <v>10539.0</v>
      </c>
      <c r="I312" s="14">
        <f t="shared" si="4"/>
        <v>13.26501566</v>
      </c>
      <c r="P312" s="19"/>
      <c r="Q312" s="19"/>
    </row>
    <row r="313" ht="15.75" customHeight="1">
      <c r="A313" s="15">
        <v>80202.0</v>
      </c>
      <c r="B313" s="16" t="s">
        <v>25</v>
      </c>
      <c r="C313" s="16" t="s">
        <v>329</v>
      </c>
      <c r="D313" s="13">
        <v>1261.0</v>
      </c>
      <c r="E313" s="13">
        <v>4281.0</v>
      </c>
      <c r="F313" s="14">
        <f t="shared" si="27"/>
        <v>29.45573464</v>
      </c>
      <c r="G313" s="13">
        <v>474.0</v>
      </c>
      <c r="H313" s="13">
        <v>3510.0</v>
      </c>
      <c r="I313" s="14">
        <f t="shared" si="4"/>
        <v>13.5042735</v>
      </c>
      <c r="P313" s="19"/>
      <c r="Q313" s="19"/>
    </row>
    <row r="314" ht="15.75" customHeight="1">
      <c r="A314" s="15">
        <v>80301.0</v>
      </c>
      <c r="B314" s="16" t="s">
        <v>25</v>
      </c>
      <c r="C314" s="16" t="s">
        <v>330</v>
      </c>
      <c r="D314" s="13">
        <v>403.0</v>
      </c>
      <c r="E314" s="13">
        <v>1275.0</v>
      </c>
      <c r="F314" s="14">
        <f t="shared" si="27"/>
        <v>31.60784314</v>
      </c>
      <c r="G314" s="13">
        <v>157.0</v>
      </c>
      <c r="H314" s="13">
        <v>907.0</v>
      </c>
      <c r="I314" s="14">
        <f t="shared" si="4"/>
        <v>17.30981257</v>
      </c>
      <c r="P314" s="19"/>
      <c r="Q314" s="19"/>
    </row>
    <row r="315" ht="15.75" customHeight="1">
      <c r="A315" s="15">
        <v>80302.0</v>
      </c>
      <c r="B315" s="16" t="s">
        <v>25</v>
      </c>
      <c r="C315" s="16" t="s">
        <v>331</v>
      </c>
      <c r="D315" s="13">
        <v>969.0</v>
      </c>
      <c r="E315" s="13">
        <v>3949.0</v>
      </c>
      <c r="F315" s="14">
        <f t="shared" si="27"/>
        <v>24.53785769</v>
      </c>
      <c r="G315" s="13">
        <v>577.0</v>
      </c>
      <c r="H315" s="13">
        <v>4040.0</v>
      </c>
      <c r="I315" s="14">
        <f t="shared" si="4"/>
        <v>14.28217822</v>
      </c>
      <c r="P315" s="19"/>
      <c r="Q315" s="19"/>
    </row>
    <row r="316" ht="15.75" customHeight="1">
      <c r="A316" s="15">
        <v>80303.0</v>
      </c>
      <c r="B316" s="16" t="s">
        <v>25</v>
      </c>
      <c r="C316" s="16" t="s">
        <v>332</v>
      </c>
      <c r="D316" s="13">
        <v>340.0</v>
      </c>
      <c r="E316" s="13">
        <v>867.0</v>
      </c>
      <c r="F316" s="14">
        <f t="shared" si="27"/>
        <v>39.21568627</v>
      </c>
      <c r="G316" s="13">
        <v>193.0</v>
      </c>
      <c r="H316" s="13">
        <v>887.0</v>
      </c>
      <c r="I316" s="14">
        <f t="shared" si="4"/>
        <v>21.75873732</v>
      </c>
      <c r="P316" s="19"/>
      <c r="Q316" s="19"/>
    </row>
    <row r="317" ht="15.75" customHeight="1">
      <c r="A317" s="15">
        <v>80304.0</v>
      </c>
      <c r="B317" s="16" t="s">
        <v>25</v>
      </c>
      <c r="C317" s="16" t="s">
        <v>333</v>
      </c>
      <c r="D317" s="13">
        <v>526.0</v>
      </c>
      <c r="E317" s="13">
        <v>1860.0</v>
      </c>
      <c r="F317" s="14">
        <f t="shared" si="27"/>
        <v>28.27956989</v>
      </c>
      <c r="G317" s="13">
        <v>225.0</v>
      </c>
      <c r="H317" s="13">
        <v>1734.0</v>
      </c>
      <c r="I317" s="14">
        <f t="shared" si="4"/>
        <v>12.97577855</v>
      </c>
      <c r="P317" s="19"/>
      <c r="Q317" s="19"/>
    </row>
    <row r="318" ht="15.75" customHeight="1">
      <c r="A318" s="15">
        <v>80401.0</v>
      </c>
      <c r="B318" s="16" t="s">
        <v>25</v>
      </c>
      <c r="C318" s="16" t="s">
        <v>334</v>
      </c>
      <c r="D318" s="13">
        <v>476.0</v>
      </c>
      <c r="E318" s="13">
        <v>1706.0</v>
      </c>
      <c r="F318" s="14">
        <f t="shared" si="27"/>
        <v>27.90152403</v>
      </c>
      <c r="G318" s="13">
        <v>269.0</v>
      </c>
      <c r="H318" s="13">
        <v>1495.0</v>
      </c>
      <c r="I318" s="14">
        <f t="shared" si="4"/>
        <v>17.99331104</v>
      </c>
      <c r="P318" s="19"/>
      <c r="Q318" s="19"/>
    </row>
    <row r="319" ht="15.75" customHeight="1">
      <c r="A319" s="15">
        <v>80402.0</v>
      </c>
      <c r="B319" s="16" t="s">
        <v>25</v>
      </c>
      <c r="C319" s="16" t="s">
        <v>335</v>
      </c>
      <c r="D319" s="13">
        <v>234.0</v>
      </c>
      <c r="E319" s="13">
        <v>664.0</v>
      </c>
      <c r="F319" s="14">
        <f t="shared" si="27"/>
        <v>35.24096386</v>
      </c>
      <c r="G319" s="13">
        <v>255.0</v>
      </c>
      <c r="H319" s="13">
        <v>827.0</v>
      </c>
      <c r="I319" s="14">
        <f t="shared" si="4"/>
        <v>30.83434099</v>
      </c>
      <c r="P319" s="19"/>
      <c r="Q319" s="19"/>
    </row>
    <row r="320" ht="15.75" customHeight="1">
      <c r="A320" s="15">
        <v>80501.0</v>
      </c>
      <c r="B320" s="16" t="s">
        <v>25</v>
      </c>
      <c r="C320" s="16" t="s">
        <v>336</v>
      </c>
      <c r="D320" s="13">
        <v>473.0</v>
      </c>
      <c r="E320" s="13">
        <v>1855.0</v>
      </c>
      <c r="F320" s="14">
        <f t="shared" si="27"/>
        <v>25.49865229</v>
      </c>
      <c r="G320" s="13">
        <v>359.0</v>
      </c>
      <c r="H320" s="13">
        <v>1839.0</v>
      </c>
      <c r="I320" s="14">
        <f t="shared" si="4"/>
        <v>19.52147906</v>
      </c>
      <c r="P320" s="19"/>
      <c r="Q320" s="19"/>
    </row>
    <row r="321" ht="15.75" customHeight="1">
      <c r="A321" s="15">
        <v>80601.0</v>
      </c>
      <c r="B321" s="16" t="s">
        <v>25</v>
      </c>
      <c r="C321" s="16" t="s">
        <v>337</v>
      </c>
      <c r="D321" s="13">
        <v>153.0</v>
      </c>
      <c r="E321" s="13">
        <v>329.0</v>
      </c>
      <c r="F321" s="14">
        <f t="shared" si="27"/>
        <v>46.50455927</v>
      </c>
      <c r="G321" s="13">
        <v>89.0</v>
      </c>
      <c r="H321" s="13">
        <v>377.0</v>
      </c>
      <c r="I321" s="14">
        <f t="shared" si="4"/>
        <v>23.60742706</v>
      </c>
      <c r="P321" s="19"/>
      <c r="Q321" s="19"/>
    </row>
    <row r="322" ht="15.75" customHeight="1">
      <c r="A322" s="15">
        <v>80602.0</v>
      </c>
      <c r="B322" s="16" t="s">
        <v>25</v>
      </c>
      <c r="C322" s="16" t="s">
        <v>338</v>
      </c>
      <c r="D322" s="13">
        <v>351.0</v>
      </c>
      <c r="E322" s="13">
        <v>1097.0</v>
      </c>
      <c r="F322" s="14">
        <f t="shared" si="27"/>
        <v>31.99635369</v>
      </c>
      <c r="G322" s="13">
        <v>185.0</v>
      </c>
      <c r="H322" s="13">
        <v>1131.0</v>
      </c>
      <c r="I322" s="14">
        <f t="shared" si="4"/>
        <v>16.35720601</v>
      </c>
      <c r="P322" s="19"/>
      <c r="Q322" s="19"/>
    </row>
    <row r="323" ht="15.75" customHeight="1">
      <c r="A323" s="15">
        <v>80701.0</v>
      </c>
      <c r="B323" s="16" t="s">
        <v>25</v>
      </c>
      <c r="C323" s="16" t="s">
        <v>339</v>
      </c>
      <c r="D323" s="13">
        <v>204.0</v>
      </c>
      <c r="E323" s="13">
        <v>642.0</v>
      </c>
      <c r="F323" s="14">
        <f t="shared" si="27"/>
        <v>31.77570093</v>
      </c>
      <c r="G323" s="13">
        <v>83.0</v>
      </c>
      <c r="H323" s="13">
        <v>529.0</v>
      </c>
      <c r="I323" s="14">
        <f t="shared" si="4"/>
        <v>15.6899811</v>
      </c>
      <c r="P323" s="19"/>
      <c r="Q323" s="19"/>
    </row>
    <row r="324" ht="15.75" customHeight="1">
      <c r="A324" s="15">
        <v>80702.0</v>
      </c>
      <c r="B324" s="16" t="s">
        <v>25</v>
      </c>
      <c r="C324" s="16" t="s">
        <v>315</v>
      </c>
      <c r="D324" s="13">
        <v>136.0</v>
      </c>
      <c r="E324" s="13">
        <v>429.0</v>
      </c>
      <c r="F324" s="14">
        <f t="shared" si="27"/>
        <v>31.7016317</v>
      </c>
      <c r="G324" s="13">
        <v>69.0</v>
      </c>
      <c r="H324" s="13">
        <v>436.0</v>
      </c>
      <c r="I324" s="14">
        <f t="shared" si="4"/>
        <v>15.82568807</v>
      </c>
      <c r="P324" s="19"/>
      <c r="Q324" s="19"/>
    </row>
    <row r="325" ht="15.75" customHeight="1">
      <c r="A325" s="15">
        <v>80703.0</v>
      </c>
      <c r="B325" s="16" t="s">
        <v>25</v>
      </c>
      <c r="C325" s="16" t="s">
        <v>340</v>
      </c>
      <c r="D325" s="13">
        <v>28.0</v>
      </c>
      <c r="E325" s="13">
        <v>73.0</v>
      </c>
      <c r="F325" s="14">
        <f t="shared" si="27"/>
        <v>38.35616438</v>
      </c>
      <c r="G325" s="13">
        <v>31.0</v>
      </c>
      <c r="H325" s="13">
        <v>90.0</v>
      </c>
      <c r="I325" s="14">
        <f t="shared" si="4"/>
        <v>34.44444444</v>
      </c>
      <c r="P325" s="19"/>
      <c r="Q325" s="19"/>
    </row>
    <row r="326" ht="15.75" customHeight="1">
      <c r="A326" s="15">
        <v>80801.0</v>
      </c>
      <c r="B326" s="16" t="s">
        <v>25</v>
      </c>
      <c r="C326" s="16" t="s">
        <v>341</v>
      </c>
      <c r="D326" s="13">
        <v>358.0</v>
      </c>
      <c r="E326" s="13">
        <v>1052.0</v>
      </c>
      <c r="F326" s="14">
        <f t="shared" si="27"/>
        <v>34.03041825</v>
      </c>
      <c r="G326" s="13">
        <v>121.0</v>
      </c>
      <c r="H326" s="13">
        <v>917.0</v>
      </c>
      <c r="I326" s="14">
        <f t="shared" si="4"/>
        <v>13.19520174</v>
      </c>
      <c r="P326" s="19"/>
      <c r="Q326" s="19"/>
    </row>
    <row r="327" ht="15.75" customHeight="1">
      <c r="A327" s="15">
        <v>80802.0</v>
      </c>
      <c r="B327" s="16" t="s">
        <v>25</v>
      </c>
      <c r="C327" s="16" t="s">
        <v>342</v>
      </c>
      <c r="D327" s="13">
        <v>153.0</v>
      </c>
      <c r="E327" s="13">
        <v>498.0</v>
      </c>
      <c r="F327" s="14">
        <f t="shared" si="27"/>
        <v>30.72289157</v>
      </c>
      <c r="G327" s="13">
        <v>90.0</v>
      </c>
      <c r="H327" s="13">
        <v>510.0</v>
      </c>
      <c r="I327" s="14">
        <f t="shared" si="4"/>
        <v>17.64705882</v>
      </c>
      <c r="P327" s="19"/>
      <c r="Q327" s="19"/>
    </row>
    <row r="328" ht="15.75" customHeight="1">
      <c r="A328" s="15">
        <v>80803.0</v>
      </c>
      <c r="B328" s="16" t="s">
        <v>25</v>
      </c>
      <c r="C328" s="16" t="s">
        <v>343</v>
      </c>
      <c r="D328" s="13">
        <v>178.0</v>
      </c>
      <c r="E328" s="13">
        <v>376.0</v>
      </c>
      <c r="F328" s="14">
        <f t="shared" si="27"/>
        <v>47.34042553</v>
      </c>
      <c r="G328" s="13">
        <v>81.0</v>
      </c>
      <c r="H328" s="13">
        <v>316.0</v>
      </c>
      <c r="I328" s="14">
        <f t="shared" si="4"/>
        <v>25.63291139</v>
      </c>
      <c r="P328" s="19"/>
      <c r="Q328" s="19"/>
    </row>
    <row r="329" ht="15.75" customHeight="1">
      <c r="A329" s="15">
        <v>80901.0</v>
      </c>
      <c r="B329" s="16" t="s">
        <v>25</v>
      </c>
      <c r="C329" s="16" t="s">
        <v>344</v>
      </c>
      <c r="D329" s="13">
        <v>89.0</v>
      </c>
      <c r="E329" s="13">
        <v>246.0</v>
      </c>
      <c r="F329" s="21">
        <f>(F318+F320)/2</f>
        <v>26.70008816</v>
      </c>
      <c r="G329" s="13">
        <v>86.0</v>
      </c>
      <c r="H329" s="13">
        <v>322.0</v>
      </c>
      <c r="I329" s="14">
        <f t="shared" si="4"/>
        <v>26.70807453</v>
      </c>
      <c r="P329" s="19"/>
      <c r="Q329" s="19"/>
    </row>
    <row r="330" ht="15.75" customHeight="1">
      <c r="A330" s="15">
        <v>90101.0</v>
      </c>
      <c r="B330" s="16" t="s">
        <v>27</v>
      </c>
      <c r="C330" s="16" t="s">
        <v>345</v>
      </c>
      <c r="D330" s="13">
        <v>1435.0</v>
      </c>
      <c r="E330" s="13">
        <v>4941.0</v>
      </c>
      <c r="F330" s="14">
        <f t="shared" ref="F330:F345" si="28">(D330/E330)*100</f>
        <v>29.04270391</v>
      </c>
      <c r="G330" s="13">
        <v>480.0</v>
      </c>
      <c r="H330" s="13">
        <v>5420.0</v>
      </c>
      <c r="I330" s="14">
        <f t="shared" si="4"/>
        <v>8.856088561</v>
      </c>
      <c r="P330" s="19"/>
      <c r="Q330" s="19"/>
    </row>
    <row r="331" ht="15.75" customHeight="1">
      <c r="A331" s="15">
        <v>90102.0</v>
      </c>
      <c r="B331" s="16" t="s">
        <v>27</v>
      </c>
      <c r="C331" s="16" t="s">
        <v>346</v>
      </c>
      <c r="D331" s="13">
        <v>288.0</v>
      </c>
      <c r="E331" s="13">
        <v>782.0</v>
      </c>
      <c r="F331" s="14">
        <f t="shared" si="28"/>
        <v>36.8286445</v>
      </c>
      <c r="G331" s="13">
        <v>73.0</v>
      </c>
      <c r="H331" s="13">
        <v>941.0</v>
      </c>
      <c r="I331" s="14">
        <f t="shared" si="4"/>
        <v>7.75770457</v>
      </c>
      <c r="P331" s="19"/>
      <c r="Q331" s="19"/>
    </row>
    <row r="332" ht="15.75" customHeight="1">
      <c r="A332" s="15">
        <v>90103.0</v>
      </c>
      <c r="B332" s="16" t="s">
        <v>27</v>
      </c>
      <c r="C332" s="16" t="s">
        <v>347</v>
      </c>
      <c r="D332" s="13">
        <v>78.0</v>
      </c>
      <c r="E332" s="13">
        <v>169.0</v>
      </c>
      <c r="F332" s="14">
        <f t="shared" si="28"/>
        <v>46.15384615</v>
      </c>
      <c r="G332" s="13">
        <v>18.0</v>
      </c>
      <c r="H332" s="13">
        <v>162.0</v>
      </c>
      <c r="I332" s="14">
        <f t="shared" si="4"/>
        <v>11.11111111</v>
      </c>
      <c r="P332" s="19"/>
      <c r="Q332" s="19"/>
    </row>
    <row r="333" ht="15.75" customHeight="1">
      <c r="A333" s="15">
        <v>90104.0</v>
      </c>
      <c r="B333" s="16" t="s">
        <v>27</v>
      </c>
      <c r="C333" s="16" t="s">
        <v>348</v>
      </c>
      <c r="D333" s="13">
        <v>129.0</v>
      </c>
      <c r="E333" s="13">
        <v>385.0</v>
      </c>
      <c r="F333" s="14">
        <f t="shared" si="28"/>
        <v>33.50649351</v>
      </c>
      <c r="G333" s="13">
        <v>50.0</v>
      </c>
      <c r="H333" s="13">
        <v>272.0</v>
      </c>
      <c r="I333" s="14">
        <f t="shared" si="4"/>
        <v>18.38235294</v>
      </c>
      <c r="P333" s="19"/>
      <c r="Q333" s="19"/>
    </row>
    <row r="334" ht="15.75" customHeight="1">
      <c r="A334" s="15">
        <v>90201.0</v>
      </c>
      <c r="B334" s="16" t="s">
        <v>27</v>
      </c>
      <c r="C334" s="16" t="s">
        <v>349</v>
      </c>
      <c r="D334" s="13">
        <v>207.0</v>
      </c>
      <c r="E334" s="13">
        <v>554.0</v>
      </c>
      <c r="F334" s="14">
        <f t="shared" si="28"/>
        <v>37.36462094</v>
      </c>
      <c r="G334" s="13">
        <v>137.0</v>
      </c>
      <c r="H334" s="13">
        <v>723.0</v>
      </c>
      <c r="I334" s="14">
        <f t="shared" si="4"/>
        <v>18.94882434</v>
      </c>
      <c r="M334" s="17" t="s">
        <v>350</v>
      </c>
      <c r="P334" s="19"/>
      <c r="Q334" s="19"/>
    </row>
    <row r="335" ht="15.75" customHeight="1">
      <c r="A335" s="15">
        <v>90202.0</v>
      </c>
      <c r="B335" s="16" t="s">
        <v>27</v>
      </c>
      <c r="C335" s="16" t="s">
        <v>312</v>
      </c>
      <c r="D335" s="13">
        <v>127.0</v>
      </c>
      <c r="E335" s="13">
        <v>340.0</v>
      </c>
      <c r="F335" s="14">
        <f t="shared" si="28"/>
        <v>37.35294118</v>
      </c>
      <c r="G335" s="13">
        <v>70.0</v>
      </c>
      <c r="H335" s="13">
        <v>349.0</v>
      </c>
      <c r="I335" s="14">
        <f t="shared" si="4"/>
        <v>20.05730659</v>
      </c>
      <c r="P335" s="19"/>
      <c r="Q335" s="19"/>
    </row>
    <row r="336" ht="15.75" customHeight="1">
      <c r="A336" s="15">
        <v>90203.0</v>
      </c>
      <c r="B336" s="16" t="s">
        <v>27</v>
      </c>
      <c r="C336" s="16" t="s">
        <v>351</v>
      </c>
      <c r="D336" s="13">
        <v>227.0</v>
      </c>
      <c r="E336" s="13">
        <v>504.0</v>
      </c>
      <c r="F336" s="14">
        <f t="shared" si="28"/>
        <v>45.03968254</v>
      </c>
      <c r="G336" s="13">
        <v>166.0</v>
      </c>
      <c r="H336" s="13">
        <v>667.0</v>
      </c>
      <c r="I336" s="14">
        <f t="shared" si="4"/>
        <v>24.88755622</v>
      </c>
      <c r="P336" s="19"/>
      <c r="Q336" s="19"/>
    </row>
    <row r="337" ht="15.75" customHeight="1">
      <c r="A337" s="15">
        <v>90301.0</v>
      </c>
      <c r="B337" s="16" t="s">
        <v>27</v>
      </c>
      <c r="C337" s="16" t="s">
        <v>352</v>
      </c>
      <c r="D337" s="13">
        <v>249.0</v>
      </c>
      <c r="E337" s="13">
        <v>857.0</v>
      </c>
      <c r="F337" s="14">
        <f t="shared" si="28"/>
        <v>29.05484247</v>
      </c>
      <c r="G337" s="13">
        <v>182.0</v>
      </c>
      <c r="H337" s="13">
        <v>1050.0</v>
      </c>
      <c r="I337" s="14">
        <f t="shared" si="4"/>
        <v>17.33333333</v>
      </c>
      <c r="P337" s="19"/>
      <c r="Q337" s="19"/>
    </row>
    <row r="338" ht="15.75" customHeight="1">
      <c r="A338" s="15">
        <v>90302.0</v>
      </c>
      <c r="B338" s="16" t="s">
        <v>27</v>
      </c>
      <c r="C338" s="16" t="s">
        <v>353</v>
      </c>
      <c r="D338" s="13">
        <v>246.0</v>
      </c>
      <c r="E338" s="13">
        <v>704.0</v>
      </c>
      <c r="F338" s="14">
        <f t="shared" si="28"/>
        <v>34.94318182</v>
      </c>
      <c r="G338" s="13">
        <v>166.0</v>
      </c>
      <c r="H338" s="13">
        <v>926.0</v>
      </c>
      <c r="I338" s="14">
        <f t="shared" si="4"/>
        <v>17.92656587</v>
      </c>
      <c r="P338" s="19"/>
      <c r="Q338" s="19"/>
    </row>
    <row r="339" ht="15.75" customHeight="1">
      <c r="A339" s="15">
        <v>90303.0</v>
      </c>
      <c r="B339" s="16" t="s">
        <v>27</v>
      </c>
      <c r="C339" s="16" t="s">
        <v>354</v>
      </c>
      <c r="D339" s="13">
        <v>330.0</v>
      </c>
      <c r="E339" s="13">
        <v>824.0</v>
      </c>
      <c r="F339" s="14">
        <f t="shared" si="28"/>
        <v>40.04854369</v>
      </c>
      <c r="G339" s="13">
        <v>204.0</v>
      </c>
      <c r="H339" s="13">
        <v>909.0</v>
      </c>
      <c r="I339" s="14">
        <f t="shared" si="4"/>
        <v>22.44224422</v>
      </c>
      <c r="P339" s="19"/>
      <c r="Q339" s="19"/>
    </row>
    <row r="340" ht="15.75" customHeight="1">
      <c r="A340" s="15">
        <v>90401.0</v>
      </c>
      <c r="B340" s="16" t="s">
        <v>27</v>
      </c>
      <c r="C340" s="16" t="s">
        <v>355</v>
      </c>
      <c r="D340" s="13">
        <v>83.0</v>
      </c>
      <c r="E340" s="13">
        <v>208.0</v>
      </c>
      <c r="F340" s="14">
        <f t="shared" si="28"/>
        <v>39.90384615</v>
      </c>
      <c r="G340" s="13">
        <v>65.0</v>
      </c>
      <c r="H340" s="13">
        <v>226.0</v>
      </c>
      <c r="I340" s="14">
        <f t="shared" si="4"/>
        <v>28.76106195</v>
      </c>
      <c r="P340" s="19"/>
      <c r="Q340" s="19"/>
    </row>
    <row r="341" ht="15.75" customHeight="1">
      <c r="A341" s="15">
        <v>90402.0</v>
      </c>
      <c r="B341" s="16" t="s">
        <v>27</v>
      </c>
      <c r="C341" s="16" t="s">
        <v>356</v>
      </c>
      <c r="D341" s="13">
        <v>71.0</v>
      </c>
      <c r="E341" s="13">
        <v>146.0</v>
      </c>
      <c r="F341" s="14">
        <f t="shared" si="28"/>
        <v>48.63013699</v>
      </c>
      <c r="G341" s="13">
        <v>55.0</v>
      </c>
      <c r="H341" s="13">
        <v>223.0</v>
      </c>
      <c r="I341" s="14">
        <f t="shared" si="4"/>
        <v>24.66367713</v>
      </c>
      <c r="P341" s="19"/>
      <c r="Q341" s="19"/>
    </row>
    <row r="342" ht="15.75" customHeight="1">
      <c r="A342" s="15">
        <v>90501.0</v>
      </c>
      <c r="B342" s="16" t="s">
        <v>27</v>
      </c>
      <c r="C342" s="16" t="s">
        <v>357</v>
      </c>
      <c r="D342" s="13">
        <v>66.0</v>
      </c>
      <c r="E342" s="13">
        <v>157.0</v>
      </c>
      <c r="F342" s="14">
        <f t="shared" si="28"/>
        <v>42.03821656</v>
      </c>
      <c r="G342" s="13">
        <v>24.0</v>
      </c>
      <c r="H342" s="13">
        <v>117.0</v>
      </c>
      <c r="I342" s="14">
        <f t="shared" si="4"/>
        <v>20.51282051</v>
      </c>
      <c r="P342" s="19"/>
      <c r="Q342" s="19"/>
    </row>
    <row r="343" ht="15.75" customHeight="1">
      <c r="A343" s="15">
        <v>90502.0</v>
      </c>
      <c r="B343" s="16" t="s">
        <v>27</v>
      </c>
      <c r="C343" s="16" t="s">
        <v>358</v>
      </c>
      <c r="D343" s="13">
        <v>108.0</v>
      </c>
      <c r="E343" s="13">
        <v>237.0</v>
      </c>
      <c r="F343" s="14">
        <f t="shared" si="28"/>
        <v>45.56962025</v>
      </c>
      <c r="G343" s="13">
        <v>51.0</v>
      </c>
      <c r="H343" s="13">
        <v>253.0</v>
      </c>
      <c r="I343" s="14">
        <f t="shared" si="4"/>
        <v>20.15810277</v>
      </c>
      <c r="P343" s="19"/>
      <c r="Q343" s="19"/>
    </row>
    <row r="344" ht="15.75" customHeight="1">
      <c r="A344" s="15">
        <v>90503.0</v>
      </c>
      <c r="B344" s="16" t="s">
        <v>27</v>
      </c>
      <c r="C344" s="16" t="s">
        <v>359</v>
      </c>
      <c r="D344" s="13">
        <v>87.0</v>
      </c>
      <c r="E344" s="13">
        <v>172.0</v>
      </c>
      <c r="F344" s="14">
        <f t="shared" si="28"/>
        <v>50.58139535</v>
      </c>
      <c r="G344" s="13">
        <v>30.0</v>
      </c>
      <c r="H344" s="13">
        <v>203.0</v>
      </c>
      <c r="I344" s="14">
        <f t="shared" si="4"/>
        <v>14.77832512</v>
      </c>
      <c r="P344" s="19"/>
      <c r="Q344" s="19"/>
    </row>
    <row r="345" ht="15.75" customHeight="1">
      <c r="A345" s="22"/>
      <c r="B345" s="15"/>
      <c r="C345" s="16" t="s">
        <v>29</v>
      </c>
      <c r="D345" s="13">
        <f t="shared" ref="D345:E345" si="29">SUM(D246:D248)</f>
        <v>3854</v>
      </c>
      <c r="E345" s="13">
        <f t="shared" si="29"/>
        <v>14329</v>
      </c>
      <c r="F345" s="14">
        <f t="shared" si="28"/>
        <v>26.89650359</v>
      </c>
      <c r="G345" s="13">
        <f t="shared" ref="G345:H345" si="30">SUM(G246:G248)</f>
        <v>1599</v>
      </c>
      <c r="H345" s="13">
        <f t="shared" si="30"/>
        <v>12241</v>
      </c>
      <c r="I345" s="14">
        <f t="shared" si="4"/>
        <v>13.06265828</v>
      </c>
      <c r="P345" s="19"/>
      <c r="Q345" s="19"/>
    </row>
    <row r="346" ht="15.75" customHeight="1">
      <c r="A346" s="22"/>
      <c r="B346" s="23"/>
      <c r="C346" s="23"/>
      <c r="D346" s="19"/>
      <c r="E346" s="19"/>
      <c r="F346" s="18"/>
      <c r="G346" s="19"/>
      <c r="H346" s="19"/>
      <c r="I346" s="18"/>
      <c r="P346" s="19"/>
      <c r="Q346" s="19"/>
    </row>
    <row r="347" ht="15.75" customHeight="1">
      <c r="A347" s="22"/>
      <c r="B347" s="23"/>
      <c r="C347" s="23"/>
      <c r="D347" s="19"/>
      <c r="E347" s="19"/>
      <c r="F347" s="18"/>
      <c r="G347" s="19"/>
      <c r="H347" s="19"/>
      <c r="I347" s="18"/>
      <c r="P347" s="19"/>
      <c r="Q347" s="19"/>
    </row>
    <row r="348" ht="15.75" customHeight="1">
      <c r="A348" s="22"/>
      <c r="B348" s="23"/>
      <c r="C348" s="23"/>
      <c r="D348" s="19"/>
      <c r="E348" s="19"/>
      <c r="F348" s="18"/>
      <c r="G348" s="19"/>
      <c r="H348" s="19"/>
      <c r="I348" s="18"/>
      <c r="P348" s="19"/>
      <c r="Q348" s="19"/>
    </row>
    <row r="349" ht="15.75" customHeight="1">
      <c r="A349" s="22"/>
      <c r="B349" s="23"/>
      <c r="C349" s="23"/>
      <c r="D349" s="19"/>
      <c r="E349" s="19"/>
      <c r="F349" s="18"/>
      <c r="G349" s="19"/>
      <c r="H349" s="19"/>
      <c r="I349" s="18"/>
      <c r="P349" s="19"/>
      <c r="Q349" s="19"/>
    </row>
    <row r="350" ht="15.75" customHeight="1">
      <c r="A350" s="22"/>
      <c r="B350" s="23"/>
      <c r="C350" s="23"/>
      <c r="D350" s="19"/>
      <c r="E350" s="19"/>
      <c r="F350" s="18"/>
      <c r="G350" s="19"/>
      <c r="H350" s="19"/>
      <c r="I350" s="18"/>
      <c r="P350" s="19"/>
      <c r="Q350" s="19"/>
    </row>
    <row r="351" ht="15.75" customHeight="1">
      <c r="A351" s="22"/>
      <c r="B351" s="23"/>
      <c r="C351" s="23"/>
      <c r="D351" s="19"/>
      <c r="E351" s="19"/>
      <c r="F351" s="18"/>
      <c r="G351" s="19"/>
      <c r="H351" s="19"/>
      <c r="I351" s="18"/>
      <c r="P351" s="19"/>
      <c r="Q351" s="19"/>
    </row>
    <row r="352" ht="15.75" customHeight="1">
      <c r="A352" s="22"/>
      <c r="B352" s="23"/>
      <c r="C352" s="23"/>
      <c r="D352" s="19"/>
      <c r="E352" s="19"/>
      <c r="F352" s="18"/>
      <c r="G352" s="19"/>
      <c r="H352" s="19"/>
      <c r="I352" s="18"/>
      <c r="P352" s="19"/>
      <c r="Q352" s="19"/>
    </row>
    <row r="353" ht="15.75" customHeight="1">
      <c r="A353" s="22"/>
      <c r="B353" s="23"/>
      <c r="C353" s="23"/>
      <c r="D353" s="19"/>
      <c r="E353" s="19"/>
      <c r="F353" s="18"/>
      <c r="G353" s="19"/>
      <c r="H353" s="19"/>
      <c r="I353" s="18"/>
      <c r="P353" s="19"/>
      <c r="Q353" s="19"/>
    </row>
    <row r="354" ht="15.75" customHeight="1">
      <c r="A354" s="22"/>
      <c r="B354" s="23"/>
      <c r="C354" s="23"/>
      <c r="D354" s="19"/>
      <c r="E354" s="19"/>
      <c r="F354" s="18"/>
      <c r="G354" s="19"/>
      <c r="H354" s="19"/>
      <c r="I354" s="18"/>
      <c r="P354" s="19"/>
      <c r="Q354" s="19"/>
    </row>
    <row r="355" ht="15.75" customHeight="1">
      <c r="A355" s="22"/>
      <c r="B355" s="23"/>
      <c r="C355" s="23"/>
      <c r="D355" s="19"/>
      <c r="E355" s="19"/>
      <c r="F355" s="18"/>
      <c r="G355" s="19"/>
      <c r="H355" s="19"/>
      <c r="I355" s="18"/>
      <c r="P355" s="19"/>
      <c r="Q355" s="19"/>
    </row>
    <row r="356" ht="15.75" customHeight="1">
      <c r="A356" s="22"/>
      <c r="B356" s="23"/>
      <c r="C356" s="23"/>
      <c r="D356" s="19"/>
      <c r="E356" s="19"/>
      <c r="F356" s="18"/>
      <c r="G356" s="19"/>
      <c r="H356" s="19"/>
      <c r="I356" s="18"/>
      <c r="P356" s="19"/>
      <c r="Q356" s="19"/>
    </row>
    <row r="357" ht="15.75" customHeight="1">
      <c r="A357" s="22"/>
      <c r="B357" s="23"/>
      <c r="C357" s="23"/>
      <c r="D357" s="19"/>
      <c r="E357" s="19"/>
      <c r="F357" s="18"/>
      <c r="G357" s="19"/>
      <c r="H357" s="19"/>
      <c r="I357" s="18"/>
      <c r="P357" s="19"/>
      <c r="Q357" s="19"/>
    </row>
    <row r="358" ht="15.75" customHeight="1">
      <c r="A358" s="22"/>
      <c r="B358" s="23"/>
      <c r="C358" s="23"/>
      <c r="D358" s="19"/>
      <c r="E358" s="19"/>
      <c r="F358" s="18"/>
      <c r="G358" s="19"/>
      <c r="H358" s="19"/>
      <c r="I358" s="18"/>
      <c r="P358" s="19"/>
      <c r="Q358" s="19"/>
    </row>
    <row r="359" ht="15.75" customHeight="1">
      <c r="A359" s="22"/>
      <c r="B359" s="23"/>
      <c r="C359" s="23"/>
      <c r="D359" s="19"/>
      <c r="E359" s="19"/>
      <c r="F359" s="18"/>
      <c r="G359" s="19"/>
      <c r="H359" s="19"/>
      <c r="I359" s="18"/>
      <c r="P359" s="19"/>
      <c r="Q359" s="19"/>
    </row>
    <row r="360" ht="15.75" customHeight="1">
      <c r="A360" s="22"/>
      <c r="B360" s="23"/>
      <c r="C360" s="23"/>
      <c r="D360" s="19"/>
      <c r="E360" s="19"/>
      <c r="F360" s="18"/>
      <c r="G360" s="19"/>
      <c r="H360" s="19"/>
      <c r="I360" s="18"/>
      <c r="P360" s="19"/>
      <c r="Q360" s="19"/>
    </row>
    <row r="361" ht="15.75" customHeight="1">
      <c r="A361" s="22"/>
      <c r="B361" s="23"/>
      <c r="C361" s="23"/>
      <c r="D361" s="19"/>
      <c r="E361" s="19"/>
      <c r="F361" s="18"/>
      <c r="G361" s="19"/>
      <c r="H361" s="19"/>
      <c r="I361" s="18"/>
      <c r="P361" s="19"/>
      <c r="Q361" s="19"/>
    </row>
    <row r="362" ht="15.75" customHeight="1">
      <c r="A362" s="22"/>
      <c r="B362" s="23"/>
      <c r="C362" s="23"/>
      <c r="D362" s="19"/>
      <c r="E362" s="19"/>
      <c r="F362" s="18"/>
      <c r="G362" s="19"/>
      <c r="H362" s="19"/>
      <c r="I362" s="18"/>
      <c r="P362" s="19"/>
      <c r="Q362" s="19"/>
    </row>
    <row r="363" ht="15.75" customHeight="1">
      <c r="A363" s="22"/>
      <c r="B363" s="23"/>
      <c r="C363" s="23"/>
      <c r="D363" s="19"/>
      <c r="E363" s="19"/>
      <c r="F363" s="18"/>
      <c r="G363" s="19"/>
      <c r="H363" s="19"/>
      <c r="I363" s="18"/>
      <c r="P363" s="19"/>
      <c r="Q363" s="19"/>
    </row>
    <row r="364" ht="15.75" customHeight="1">
      <c r="A364" s="22"/>
      <c r="B364" s="23"/>
      <c r="C364" s="23"/>
      <c r="D364" s="19"/>
      <c r="E364" s="19"/>
      <c r="F364" s="18"/>
      <c r="G364" s="19"/>
      <c r="H364" s="19"/>
      <c r="I364" s="18"/>
      <c r="P364" s="19"/>
      <c r="Q364" s="19"/>
    </row>
    <row r="365" ht="15.75" customHeight="1">
      <c r="A365" s="22"/>
      <c r="B365" s="23"/>
      <c r="C365" s="23"/>
      <c r="D365" s="19"/>
      <c r="E365" s="19"/>
      <c r="F365" s="18"/>
      <c r="G365" s="19"/>
      <c r="H365" s="19"/>
      <c r="I365" s="18"/>
      <c r="P365" s="19"/>
      <c r="Q365" s="19"/>
    </row>
    <row r="366" ht="15.75" customHeight="1">
      <c r="A366" s="22"/>
      <c r="B366" s="23"/>
      <c r="C366" s="23"/>
      <c r="D366" s="19"/>
      <c r="E366" s="19"/>
      <c r="F366" s="18"/>
      <c r="G366" s="19"/>
      <c r="H366" s="19"/>
      <c r="I366" s="18"/>
      <c r="P366" s="19"/>
      <c r="Q366" s="19"/>
    </row>
    <row r="367" ht="15.75" customHeight="1">
      <c r="A367" s="22"/>
      <c r="B367" s="23"/>
      <c r="C367" s="23"/>
      <c r="D367" s="19"/>
      <c r="E367" s="19"/>
      <c r="F367" s="18"/>
      <c r="G367" s="19"/>
      <c r="H367" s="19"/>
      <c r="I367" s="18"/>
      <c r="P367" s="19"/>
      <c r="Q367" s="19"/>
    </row>
    <row r="368" ht="15.75" customHeight="1">
      <c r="A368" s="22"/>
      <c r="B368" s="23"/>
      <c r="C368" s="23"/>
      <c r="D368" s="19"/>
      <c r="E368" s="19"/>
      <c r="F368" s="18"/>
      <c r="G368" s="19"/>
      <c r="H368" s="19"/>
      <c r="I368" s="18"/>
      <c r="P368" s="19"/>
      <c r="Q368" s="19"/>
    </row>
    <row r="369" ht="15.75" customHeight="1">
      <c r="A369" s="22"/>
      <c r="B369" s="23"/>
      <c r="C369" s="23"/>
      <c r="D369" s="19"/>
      <c r="E369" s="19"/>
      <c r="F369" s="18"/>
      <c r="G369" s="19"/>
      <c r="H369" s="19"/>
      <c r="I369" s="18"/>
      <c r="P369" s="19"/>
      <c r="Q369" s="19"/>
    </row>
    <row r="370" ht="15.75" customHeight="1">
      <c r="A370" s="22"/>
      <c r="B370" s="23"/>
      <c r="C370" s="23"/>
      <c r="D370" s="19"/>
      <c r="E370" s="19"/>
      <c r="F370" s="18"/>
      <c r="G370" s="19"/>
      <c r="H370" s="19"/>
      <c r="I370" s="18"/>
      <c r="P370" s="19"/>
      <c r="Q370" s="19"/>
    </row>
    <row r="371" ht="15.75" customHeight="1">
      <c r="A371" s="22"/>
      <c r="B371" s="23"/>
      <c r="C371" s="23"/>
      <c r="D371" s="19"/>
      <c r="E371" s="19"/>
      <c r="F371" s="18"/>
      <c r="G371" s="19"/>
      <c r="H371" s="19"/>
      <c r="I371" s="18"/>
      <c r="P371" s="19"/>
      <c r="Q371" s="19"/>
    </row>
    <row r="372" ht="15.75" customHeight="1">
      <c r="A372" s="22"/>
      <c r="B372" s="23"/>
      <c r="C372" s="23"/>
      <c r="D372" s="19"/>
      <c r="E372" s="19"/>
      <c r="F372" s="18"/>
      <c r="G372" s="19"/>
      <c r="H372" s="19"/>
      <c r="I372" s="18"/>
      <c r="P372" s="19"/>
      <c r="Q372" s="19"/>
    </row>
    <row r="373" ht="15.75" customHeight="1">
      <c r="A373" s="22"/>
      <c r="B373" s="23"/>
      <c r="C373" s="23"/>
      <c r="D373" s="19"/>
      <c r="E373" s="19"/>
      <c r="F373" s="18"/>
      <c r="G373" s="19"/>
      <c r="H373" s="19"/>
      <c r="I373" s="18"/>
      <c r="P373" s="19"/>
      <c r="Q373" s="19"/>
    </row>
    <row r="374" ht="15.75" customHeight="1">
      <c r="A374" s="22"/>
      <c r="B374" s="23"/>
      <c r="C374" s="23"/>
      <c r="D374" s="19"/>
      <c r="E374" s="19"/>
      <c r="F374" s="18"/>
      <c r="G374" s="19"/>
      <c r="H374" s="19"/>
      <c r="I374" s="18"/>
      <c r="P374" s="19"/>
      <c r="Q374" s="19"/>
    </row>
    <row r="375" ht="15.75" customHeight="1">
      <c r="A375" s="22"/>
      <c r="B375" s="23"/>
      <c r="C375" s="23"/>
      <c r="D375" s="19"/>
      <c r="E375" s="19"/>
      <c r="F375" s="18"/>
      <c r="G375" s="19"/>
      <c r="H375" s="19"/>
      <c r="I375" s="18"/>
      <c r="P375" s="19"/>
      <c r="Q375" s="19"/>
    </row>
    <row r="376" ht="15.75" customHeight="1">
      <c r="A376" s="22"/>
      <c r="B376" s="23"/>
      <c r="C376" s="23"/>
      <c r="D376" s="19"/>
      <c r="E376" s="19"/>
      <c r="F376" s="18"/>
      <c r="G376" s="19"/>
      <c r="H376" s="19"/>
      <c r="I376" s="18"/>
      <c r="P376" s="19"/>
      <c r="Q376" s="19"/>
    </row>
    <row r="377" ht="15.75" customHeight="1">
      <c r="A377" s="22"/>
      <c r="B377" s="23"/>
      <c r="C377" s="23"/>
      <c r="D377" s="19"/>
      <c r="E377" s="19"/>
      <c r="F377" s="18"/>
      <c r="G377" s="19"/>
      <c r="H377" s="19"/>
      <c r="I377" s="18"/>
      <c r="P377" s="19"/>
      <c r="Q377" s="19"/>
    </row>
    <row r="378" ht="15.75" customHeight="1">
      <c r="A378" s="22"/>
      <c r="B378" s="23"/>
      <c r="C378" s="23"/>
      <c r="D378" s="19"/>
      <c r="E378" s="19"/>
      <c r="F378" s="18"/>
      <c r="G378" s="19"/>
      <c r="H378" s="19"/>
      <c r="I378" s="18"/>
      <c r="P378" s="19"/>
      <c r="Q378" s="19"/>
    </row>
    <row r="379" ht="15.75" customHeight="1">
      <c r="A379" s="22"/>
      <c r="B379" s="23"/>
      <c r="C379" s="23"/>
      <c r="D379" s="19"/>
      <c r="E379" s="19"/>
      <c r="F379" s="18"/>
      <c r="G379" s="19"/>
      <c r="H379" s="19"/>
      <c r="I379" s="18"/>
      <c r="P379" s="19"/>
      <c r="Q379" s="19"/>
    </row>
    <row r="380" ht="15.75" customHeight="1">
      <c r="A380" s="22"/>
      <c r="B380" s="23"/>
      <c r="C380" s="23"/>
      <c r="D380" s="19"/>
      <c r="E380" s="19"/>
      <c r="F380" s="18"/>
      <c r="G380" s="19"/>
      <c r="H380" s="19"/>
      <c r="I380" s="18"/>
      <c r="P380" s="19"/>
      <c r="Q380" s="19"/>
    </row>
    <row r="381" ht="15.75" customHeight="1">
      <c r="A381" s="22"/>
      <c r="B381" s="23"/>
      <c r="C381" s="23"/>
      <c r="D381" s="19"/>
      <c r="E381" s="19"/>
      <c r="F381" s="18"/>
      <c r="G381" s="19"/>
      <c r="H381" s="19"/>
      <c r="I381" s="18"/>
      <c r="P381" s="19"/>
      <c r="Q381" s="19"/>
    </row>
    <row r="382" ht="15.75" customHeight="1">
      <c r="A382" s="22"/>
      <c r="B382" s="23"/>
      <c r="C382" s="23"/>
      <c r="D382" s="19"/>
      <c r="E382" s="19"/>
      <c r="F382" s="18"/>
      <c r="G382" s="19"/>
      <c r="H382" s="19"/>
      <c r="I382" s="18"/>
      <c r="P382" s="19"/>
      <c r="Q382" s="19"/>
    </row>
    <row r="383" ht="15.75" customHeight="1">
      <c r="A383" s="22"/>
      <c r="B383" s="23"/>
      <c r="C383" s="23"/>
      <c r="D383" s="19"/>
      <c r="E383" s="19"/>
      <c r="F383" s="18"/>
      <c r="G383" s="19"/>
      <c r="H383" s="19"/>
      <c r="I383" s="18"/>
      <c r="P383" s="19"/>
      <c r="Q383" s="19"/>
    </row>
    <row r="384" ht="15.75" customHeight="1">
      <c r="A384" s="22"/>
      <c r="B384" s="23"/>
      <c r="C384" s="23"/>
      <c r="D384" s="19"/>
      <c r="E384" s="19"/>
      <c r="F384" s="18"/>
      <c r="G384" s="19"/>
      <c r="H384" s="19"/>
      <c r="I384" s="18"/>
      <c r="P384" s="19"/>
      <c r="Q384" s="19"/>
    </row>
    <row r="385" ht="15.75" customHeight="1">
      <c r="A385" s="22"/>
      <c r="B385" s="23"/>
      <c r="C385" s="23"/>
      <c r="D385" s="19"/>
      <c r="E385" s="19"/>
      <c r="F385" s="18"/>
      <c r="G385" s="19"/>
      <c r="H385" s="19"/>
      <c r="I385" s="18"/>
      <c r="P385" s="19"/>
      <c r="Q385" s="19"/>
    </row>
    <row r="386" ht="15.75" customHeight="1">
      <c r="A386" s="22"/>
      <c r="B386" s="23"/>
      <c r="C386" s="23"/>
      <c r="D386" s="19"/>
      <c r="E386" s="19"/>
      <c r="F386" s="18"/>
      <c r="G386" s="19"/>
      <c r="H386" s="19"/>
      <c r="I386" s="18"/>
      <c r="P386" s="19"/>
      <c r="Q386" s="19"/>
    </row>
    <row r="387" ht="15.75" customHeight="1">
      <c r="A387" s="22"/>
      <c r="B387" s="23"/>
      <c r="C387" s="23"/>
      <c r="D387" s="19"/>
      <c r="E387" s="19"/>
      <c r="F387" s="18"/>
      <c r="G387" s="19"/>
      <c r="H387" s="19"/>
      <c r="I387" s="18"/>
      <c r="P387" s="19"/>
      <c r="Q387" s="19"/>
    </row>
    <row r="388" ht="15.75" customHeight="1">
      <c r="A388" s="22"/>
      <c r="B388" s="23"/>
      <c r="C388" s="23"/>
      <c r="D388" s="19"/>
      <c r="E388" s="19"/>
      <c r="F388" s="18"/>
      <c r="G388" s="19"/>
      <c r="H388" s="19"/>
      <c r="I388" s="18"/>
      <c r="P388" s="19"/>
      <c r="Q388" s="19"/>
    </row>
    <row r="389" ht="15.75" customHeight="1">
      <c r="A389" s="22"/>
      <c r="B389" s="23"/>
      <c r="C389" s="23"/>
      <c r="D389" s="19"/>
      <c r="E389" s="19"/>
      <c r="F389" s="18"/>
      <c r="G389" s="19"/>
      <c r="H389" s="19"/>
      <c r="I389" s="18"/>
      <c r="P389" s="19"/>
      <c r="Q389" s="19"/>
    </row>
    <row r="390" ht="15.75" customHeight="1">
      <c r="A390" s="22"/>
      <c r="B390" s="23"/>
      <c r="C390" s="23"/>
      <c r="D390" s="19"/>
      <c r="E390" s="19"/>
      <c r="F390" s="18"/>
      <c r="G390" s="19"/>
      <c r="H390" s="19"/>
      <c r="I390" s="18"/>
      <c r="P390" s="19"/>
      <c r="Q390" s="19"/>
    </row>
    <row r="391" ht="15.75" customHeight="1">
      <c r="A391" s="22"/>
      <c r="B391" s="23"/>
      <c r="C391" s="23"/>
      <c r="D391" s="19"/>
      <c r="E391" s="19"/>
      <c r="F391" s="18"/>
      <c r="G391" s="19"/>
      <c r="H391" s="19"/>
      <c r="I391" s="18"/>
      <c r="P391" s="19"/>
      <c r="Q391" s="19"/>
    </row>
    <row r="392" ht="15.75" customHeight="1">
      <c r="A392" s="22"/>
      <c r="B392" s="23"/>
      <c r="C392" s="23"/>
      <c r="D392" s="19"/>
      <c r="E392" s="19"/>
      <c r="F392" s="18"/>
      <c r="G392" s="19"/>
      <c r="H392" s="19"/>
      <c r="I392" s="18"/>
      <c r="P392" s="19"/>
      <c r="Q392" s="19"/>
    </row>
    <row r="393" ht="15.75" customHeight="1">
      <c r="A393" s="22"/>
      <c r="B393" s="23"/>
      <c r="C393" s="23"/>
      <c r="D393" s="19"/>
      <c r="E393" s="19"/>
      <c r="F393" s="18"/>
      <c r="G393" s="19"/>
      <c r="H393" s="19"/>
      <c r="I393" s="18"/>
      <c r="P393" s="19"/>
      <c r="Q393" s="19"/>
    </row>
    <row r="394" ht="15.75" customHeight="1">
      <c r="A394" s="22"/>
      <c r="B394" s="23"/>
      <c r="C394" s="23"/>
      <c r="D394" s="19"/>
      <c r="E394" s="19"/>
      <c r="F394" s="18"/>
      <c r="G394" s="19"/>
      <c r="H394" s="19"/>
      <c r="I394" s="18"/>
      <c r="P394" s="19"/>
      <c r="Q394" s="19"/>
    </row>
    <row r="395" ht="15.75" customHeight="1">
      <c r="A395" s="22"/>
      <c r="B395" s="23"/>
      <c r="C395" s="23"/>
      <c r="D395" s="19"/>
      <c r="E395" s="19"/>
      <c r="F395" s="18"/>
      <c r="G395" s="19"/>
      <c r="H395" s="19"/>
      <c r="I395" s="18"/>
      <c r="P395" s="19"/>
      <c r="Q395" s="19"/>
    </row>
    <row r="396" ht="15.75" customHeight="1">
      <c r="A396" s="22"/>
      <c r="B396" s="23"/>
      <c r="C396" s="23"/>
      <c r="D396" s="19"/>
      <c r="E396" s="19"/>
      <c r="F396" s="18"/>
      <c r="G396" s="19"/>
      <c r="H396" s="19"/>
      <c r="I396" s="18"/>
      <c r="P396" s="19"/>
      <c r="Q396" s="19"/>
    </row>
    <row r="397" ht="15.75" customHeight="1">
      <c r="A397" s="22"/>
      <c r="B397" s="23"/>
      <c r="C397" s="23"/>
      <c r="D397" s="19"/>
      <c r="E397" s="19"/>
      <c r="F397" s="18"/>
      <c r="G397" s="19"/>
      <c r="H397" s="19"/>
      <c r="I397" s="18"/>
      <c r="P397" s="19"/>
      <c r="Q397" s="19"/>
    </row>
    <row r="398" ht="15.75" customHeight="1">
      <c r="A398" s="22"/>
      <c r="B398" s="23"/>
      <c r="C398" s="23"/>
      <c r="D398" s="19"/>
      <c r="E398" s="19"/>
      <c r="F398" s="18"/>
      <c r="G398" s="19"/>
      <c r="H398" s="19"/>
      <c r="I398" s="18"/>
      <c r="P398" s="19"/>
      <c r="Q398" s="19"/>
    </row>
    <row r="399" ht="15.75" customHeight="1">
      <c r="A399" s="22"/>
      <c r="B399" s="23"/>
      <c r="C399" s="23"/>
      <c r="D399" s="19"/>
      <c r="E399" s="19"/>
      <c r="F399" s="18"/>
      <c r="G399" s="19"/>
      <c r="H399" s="19"/>
      <c r="I399" s="18"/>
      <c r="P399" s="19"/>
      <c r="Q399" s="19"/>
    </row>
    <row r="400" ht="15.75" customHeight="1">
      <c r="A400" s="22"/>
      <c r="B400" s="23"/>
      <c r="C400" s="23"/>
      <c r="D400" s="19"/>
      <c r="E400" s="19"/>
      <c r="F400" s="18"/>
      <c r="G400" s="19"/>
      <c r="H400" s="19"/>
      <c r="I400" s="18"/>
      <c r="P400" s="19"/>
      <c r="Q400" s="19"/>
    </row>
    <row r="401" ht="15.75" customHeight="1">
      <c r="A401" s="22"/>
      <c r="B401" s="23"/>
      <c r="C401" s="23"/>
      <c r="D401" s="19"/>
      <c r="E401" s="19"/>
      <c r="F401" s="18"/>
      <c r="G401" s="19"/>
      <c r="H401" s="19"/>
      <c r="I401" s="18"/>
      <c r="P401" s="19"/>
      <c r="Q401" s="19"/>
    </row>
    <row r="402" ht="15.75" customHeight="1">
      <c r="A402" s="22"/>
      <c r="B402" s="23"/>
      <c r="C402" s="23"/>
      <c r="D402" s="19"/>
      <c r="E402" s="19"/>
      <c r="F402" s="18"/>
      <c r="G402" s="19"/>
      <c r="H402" s="19"/>
      <c r="I402" s="18"/>
      <c r="P402" s="19"/>
      <c r="Q402" s="19"/>
    </row>
    <row r="403" ht="15.75" customHeight="1">
      <c r="A403" s="22"/>
      <c r="B403" s="23"/>
      <c r="C403" s="23"/>
      <c r="D403" s="19"/>
      <c r="E403" s="19"/>
      <c r="F403" s="18"/>
      <c r="G403" s="19"/>
      <c r="H403" s="19"/>
      <c r="I403" s="18"/>
      <c r="P403" s="19"/>
      <c r="Q403" s="19"/>
    </row>
    <row r="404" ht="15.75" customHeight="1">
      <c r="A404" s="22"/>
      <c r="B404" s="23"/>
      <c r="C404" s="23"/>
      <c r="D404" s="19"/>
      <c r="E404" s="19"/>
      <c r="F404" s="18"/>
      <c r="G404" s="19"/>
      <c r="H404" s="19"/>
      <c r="I404" s="18"/>
      <c r="P404" s="19"/>
      <c r="Q404" s="19"/>
    </row>
    <row r="405" ht="15.75" customHeight="1">
      <c r="A405" s="22"/>
      <c r="B405" s="23"/>
      <c r="C405" s="23"/>
      <c r="D405" s="19"/>
      <c r="E405" s="19"/>
      <c r="F405" s="18"/>
      <c r="G405" s="19"/>
      <c r="H405" s="19"/>
      <c r="I405" s="18"/>
      <c r="P405" s="19"/>
      <c r="Q405" s="19"/>
    </row>
    <row r="406" ht="15.75" customHeight="1">
      <c r="A406" s="22"/>
      <c r="B406" s="23"/>
      <c r="C406" s="23"/>
      <c r="D406" s="19"/>
      <c r="E406" s="19"/>
      <c r="F406" s="18"/>
      <c r="G406" s="19"/>
      <c r="H406" s="19"/>
      <c r="I406" s="18"/>
      <c r="P406" s="19"/>
      <c r="Q406" s="19"/>
    </row>
    <row r="407" ht="15.75" customHeight="1">
      <c r="A407" s="22"/>
      <c r="B407" s="23"/>
      <c r="C407" s="23"/>
      <c r="D407" s="19"/>
      <c r="E407" s="19"/>
      <c r="F407" s="18"/>
      <c r="G407" s="19"/>
      <c r="H407" s="19"/>
      <c r="I407" s="18"/>
      <c r="P407" s="19"/>
      <c r="Q407" s="19"/>
    </row>
    <row r="408" ht="15.75" customHeight="1">
      <c r="A408" s="22"/>
      <c r="B408" s="23"/>
      <c r="C408" s="23"/>
      <c r="D408" s="19"/>
      <c r="E408" s="19"/>
      <c r="F408" s="18"/>
      <c r="G408" s="19"/>
      <c r="H408" s="19"/>
      <c r="I408" s="18"/>
      <c r="P408" s="19"/>
      <c r="Q408" s="19"/>
    </row>
    <row r="409" ht="15.75" customHeight="1">
      <c r="A409" s="22"/>
      <c r="B409" s="23"/>
      <c r="C409" s="23"/>
      <c r="D409" s="19"/>
      <c r="E409" s="19"/>
      <c r="F409" s="18"/>
      <c r="G409" s="19"/>
      <c r="H409" s="19"/>
      <c r="I409" s="18"/>
      <c r="P409" s="19"/>
      <c r="Q409" s="19"/>
    </row>
    <row r="410" ht="15.75" customHeight="1">
      <c r="A410" s="22"/>
      <c r="B410" s="23"/>
      <c r="C410" s="23"/>
      <c r="D410" s="19"/>
      <c r="E410" s="19"/>
      <c r="F410" s="18"/>
      <c r="G410" s="19"/>
      <c r="H410" s="19"/>
      <c r="I410" s="18"/>
      <c r="P410" s="19"/>
      <c r="Q410" s="19"/>
    </row>
    <row r="411" ht="15.75" customHeight="1">
      <c r="A411" s="22"/>
      <c r="B411" s="23"/>
      <c r="C411" s="23"/>
      <c r="D411" s="19"/>
      <c r="E411" s="19"/>
      <c r="F411" s="18"/>
      <c r="G411" s="19"/>
      <c r="H411" s="19"/>
      <c r="I411" s="18"/>
      <c r="P411" s="19"/>
      <c r="Q411" s="19"/>
    </row>
    <row r="412" ht="15.75" customHeight="1">
      <c r="A412" s="22"/>
      <c r="B412" s="23"/>
      <c r="C412" s="23"/>
      <c r="D412" s="19"/>
      <c r="E412" s="19"/>
      <c r="F412" s="18"/>
      <c r="G412" s="19"/>
      <c r="H412" s="19"/>
      <c r="I412" s="18"/>
      <c r="P412" s="19"/>
      <c r="Q412" s="19"/>
    </row>
    <row r="413" ht="15.75" customHeight="1">
      <c r="A413" s="22"/>
      <c r="B413" s="23"/>
      <c r="C413" s="23"/>
      <c r="D413" s="19"/>
      <c r="E413" s="19"/>
      <c r="F413" s="18"/>
      <c r="G413" s="19"/>
      <c r="H413" s="19"/>
      <c r="I413" s="18"/>
      <c r="P413" s="19"/>
      <c r="Q413" s="19"/>
    </row>
    <row r="414" ht="15.75" customHeight="1">
      <c r="A414" s="22"/>
      <c r="B414" s="23"/>
      <c r="C414" s="23"/>
      <c r="D414" s="19"/>
      <c r="E414" s="19"/>
      <c r="F414" s="18"/>
      <c r="G414" s="19"/>
      <c r="H414" s="19"/>
      <c r="I414" s="18"/>
      <c r="P414" s="19"/>
      <c r="Q414" s="19"/>
    </row>
    <row r="415" ht="15.75" customHeight="1">
      <c r="A415" s="22"/>
      <c r="B415" s="23"/>
      <c r="C415" s="23"/>
      <c r="D415" s="19"/>
      <c r="E415" s="19"/>
      <c r="F415" s="18"/>
      <c r="G415" s="19"/>
      <c r="H415" s="19"/>
      <c r="I415" s="18"/>
      <c r="P415" s="19"/>
      <c r="Q415" s="19"/>
    </row>
    <row r="416" ht="15.75" customHeight="1">
      <c r="A416" s="22"/>
      <c r="B416" s="23"/>
      <c r="C416" s="23"/>
      <c r="D416" s="19"/>
      <c r="E416" s="19"/>
      <c r="F416" s="18"/>
      <c r="G416" s="19"/>
      <c r="H416" s="19"/>
      <c r="I416" s="18"/>
      <c r="P416" s="19"/>
      <c r="Q416" s="19"/>
    </row>
    <row r="417" ht="15.75" customHeight="1">
      <c r="A417" s="22"/>
      <c r="B417" s="23"/>
      <c r="C417" s="23"/>
      <c r="D417" s="19"/>
      <c r="E417" s="19"/>
      <c r="F417" s="18"/>
      <c r="G417" s="19"/>
      <c r="H417" s="19"/>
      <c r="I417" s="18"/>
      <c r="P417" s="19"/>
      <c r="Q417" s="19"/>
    </row>
    <row r="418" ht="15.75" customHeight="1">
      <c r="A418" s="22"/>
      <c r="B418" s="23"/>
      <c r="C418" s="23"/>
      <c r="D418" s="19"/>
      <c r="E418" s="19"/>
      <c r="F418" s="18"/>
      <c r="G418" s="19"/>
      <c r="H418" s="19"/>
      <c r="I418" s="18"/>
      <c r="P418" s="19"/>
      <c r="Q418" s="19"/>
    </row>
    <row r="419" ht="15.75" customHeight="1">
      <c r="A419" s="22"/>
      <c r="B419" s="23"/>
      <c r="C419" s="23"/>
      <c r="D419" s="19"/>
      <c r="E419" s="19"/>
      <c r="F419" s="18"/>
      <c r="G419" s="19"/>
      <c r="H419" s="19"/>
      <c r="I419" s="18"/>
      <c r="P419" s="19"/>
      <c r="Q419" s="19"/>
    </row>
    <row r="420" ht="15.75" customHeight="1">
      <c r="A420" s="22"/>
      <c r="B420" s="23"/>
      <c r="C420" s="23"/>
      <c r="D420" s="19"/>
      <c r="E420" s="19"/>
      <c r="F420" s="18"/>
      <c r="G420" s="19"/>
      <c r="H420" s="19"/>
      <c r="I420" s="18"/>
      <c r="P420" s="19"/>
      <c r="Q420" s="19"/>
    </row>
    <row r="421" ht="15.75" customHeight="1">
      <c r="A421" s="22"/>
      <c r="B421" s="23"/>
      <c r="C421" s="23"/>
      <c r="D421" s="19"/>
      <c r="E421" s="19"/>
      <c r="F421" s="18"/>
      <c r="G421" s="19"/>
      <c r="H421" s="19"/>
      <c r="I421" s="18"/>
      <c r="P421" s="19"/>
      <c r="Q421" s="19"/>
    </row>
    <row r="422" ht="15.75" customHeight="1">
      <c r="A422" s="22"/>
      <c r="B422" s="23"/>
      <c r="C422" s="23"/>
      <c r="D422" s="19"/>
      <c r="E422" s="19"/>
      <c r="F422" s="18"/>
      <c r="G422" s="19"/>
      <c r="H422" s="19"/>
      <c r="I422" s="18"/>
      <c r="P422" s="19"/>
      <c r="Q422" s="19"/>
    </row>
    <row r="423" ht="15.75" customHeight="1">
      <c r="A423" s="22"/>
      <c r="B423" s="23"/>
      <c r="C423" s="23"/>
      <c r="D423" s="19"/>
      <c r="E423" s="19"/>
      <c r="F423" s="18"/>
      <c r="G423" s="19"/>
      <c r="H423" s="19"/>
      <c r="I423" s="18"/>
      <c r="P423" s="19"/>
      <c r="Q423" s="19"/>
    </row>
    <row r="424" ht="15.75" customHeight="1">
      <c r="A424" s="22"/>
      <c r="B424" s="23"/>
      <c r="C424" s="23"/>
      <c r="D424" s="19"/>
      <c r="E424" s="19"/>
      <c r="F424" s="18"/>
      <c r="G424" s="19"/>
      <c r="H424" s="19"/>
      <c r="I424" s="18"/>
      <c r="P424" s="19"/>
      <c r="Q424" s="19"/>
    </row>
    <row r="425" ht="15.75" customHeight="1">
      <c r="A425" s="22"/>
      <c r="B425" s="23"/>
      <c r="C425" s="23"/>
      <c r="D425" s="19"/>
      <c r="E425" s="19"/>
      <c r="F425" s="18"/>
      <c r="G425" s="19"/>
      <c r="H425" s="19"/>
      <c r="I425" s="18"/>
      <c r="P425" s="19"/>
      <c r="Q425" s="19"/>
    </row>
    <row r="426" ht="15.75" customHeight="1">
      <c r="A426" s="22"/>
      <c r="B426" s="23"/>
      <c r="C426" s="23"/>
      <c r="D426" s="19"/>
      <c r="E426" s="19"/>
      <c r="F426" s="18"/>
      <c r="G426" s="19"/>
      <c r="H426" s="19"/>
      <c r="I426" s="18"/>
      <c r="P426" s="19"/>
      <c r="Q426" s="19"/>
    </row>
    <row r="427" ht="15.75" customHeight="1">
      <c r="A427" s="22"/>
      <c r="B427" s="23"/>
      <c r="C427" s="23"/>
      <c r="D427" s="19"/>
      <c r="E427" s="19"/>
      <c r="F427" s="18"/>
      <c r="G427" s="19"/>
      <c r="H427" s="19"/>
      <c r="I427" s="18"/>
      <c r="P427" s="19"/>
      <c r="Q427" s="19"/>
    </row>
    <row r="428" ht="15.75" customHeight="1">
      <c r="A428" s="22"/>
      <c r="B428" s="23"/>
      <c r="C428" s="23"/>
      <c r="D428" s="19"/>
      <c r="E428" s="19"/>
      <c r="F428" s="18"/>
      <c r="G428" s="19"/>
      <c r="H428" s="19"/>
      <c r="I428" s="18"/>
      <c r="P428" s="19"/>
      <c r="Q428" s="19"/>
    </row>
    <row r="429" ht="15.75" customHeight="1">
      <c r="A429" s="22"/>
      <c r="B429" s="23"/>
      <c r="C429" s="23"/>
      <c r="D429" s="19"/>
      <c r="E429" s="19"/>
      <c r="F429" s="18"/>
      <c r="G429" s="19"/>
      <c r="H429" s="19"/>
      <c r="I429" s="18"/>
      <c r="P429" s="19"/>
      <c r="Q429" s="19"/>
    </row>
    <row r="430" ht="15.75" customHeight="1">
      <c r="A430" s="22"/>
      <c r="B430" s="23"/>
      <c r="C430" s="23"/>
      <c r="D430" s="19"/>
      <c r="E430" s="19"/>
      <c r="F430" s="18"/>
      <c r="G430" s="19"/>
      <c r="H430" s="19"/>
      <c r="I430" s="18"/>
      <c r="P430" s="19"/>
      <c r="Q430" s="19"/>
    </row>
    <row r="431" ht="15.75" customHeight="1">
      <c r="A431" s="22"/>
      <c r="B431" s="23"/>
      <c r="C431" s="23"/>
      <c r="D431" s="19"/>
      <c r="E431" s="19"/>
      <c r="F431" s="18"/>
      <c r="G431" s="19"/>
      <c r="H431" s="19"/>
      <c r="I431" s="18"/>
      <c r="P431" s="19"/>
      <c r="Q431" s="19"/>
    </row>
    <row r="432" ht="15.75" customHeight="1">
      <c r="A432" s="22"/>
      <c r="B432" s="23"/>
      <c r="C432" s="23"/>
      <c r="D432" s="19"/>
      <c r="E432" s="19"/>
      <c r="F432" s="18"/>
      <c r="G432" s="19"/>
      <c r="H432" s="19"/>
      <c r="I432" s="18"/>
      <c r="P432" s="19"/>
      <c r="Q432" s="19"/>
    </row>
    <row r="433" ht="15.75" customHeight="1">
      <c r="A433" s="22"/>
      <c r="B433" s="23"/>
      <c r="C433" s="23"/>
      <c r="D433" s="19"/>
      <c r="E433" s="19"/>
      <c r="F433" s="18"/>
      <c r="G433" s="19"/>
      <c r="H433" s="19"/>
      <c r="I433" s="18"/>
      <c r="P433" s="19"/>
      <c r="Q433" s="19"/>
    </row>
    <row r="434" ht="15.75" customHeight="1">
      <c r="A434" s="22"/>
      <c r="B434" s="23"/>
      <c r="C434" s="23"/>
      <c r="D434" s="19"/>
      <c r="E434" s="19"/>
      <c r="F434" s="18"/>
      <c r="G434" s="19"/>
      <c r="H434" s="19"/>
      <c r="I434" s="18"/>
      <c r="P434" s="19"/>
      <c r="Q434" s="19"/>
    </row>
    <row r="435" ht="15.75" customHeight="1">
      <c r="A435" s="22"/>
      <c r="B435" s="23"/>
      <c r="C435" s="23"/>
      <c r="D435" s="19"/>
      <c r="E435" s="19"/>
      <c r="F435" s="18"/>
      <c r="G435" s="19"/>
      <c r="H435" s="19"/>
      <c r="I435" s="18"/>
      <c r="P435" s="19"/>
      <c r="Q435" s="19"/>
    </row>
    <row r="436" ht="15.75" customHeight="1">
      <c r="A436" s="22"/>
      <c r="B436" s="23"/>
      <c r="C436" s="23"/>
      <c r="D436" s="19"/>
      <c r="E436" s="19"/>
      <c r="F436" s="18"/>
      <c r="G436" s="19"/>
      <c r="H436" s="19"/>
      <c r="I436" s="18"/>
      <c r="P436" s="19"/>
      <c r="Q436" s="19"/>
    </row>
    <row r="437" ht="15.75" customHeight="1">
      <c r="A437" s="22"/>
      <c r="B437" s="23"/>
      <c r="C437" s="23"/>
      <c r="D437" s="19"/>
      <c r="E437" s="19"/>
      <c r="F437" s="18"/>
      <c r="G437" s="19"/>
      <c r="H437" s="19"/>
      <c r="I437" s="18"/>
      <c r="P437" s="19"/>
      <c r="Q437" s="19"/>
    </row>
    <row r="438" ht="15.75" customHeight="1">
      <c r="A438" s="22"/>
      <c r="B438" s="23"/>
      <c r="C438" s="23"/>
      <c r="D438" s="19"/>
      <c r="E438" s="19"/>
      <c r="F438" s="18"/>
      <c r="G438" s="19"/>
      <c r="H438" s="19"/>
      <c r="I438" s="18"/>
      <c r="P438" s="19"/>
      <c r="Q438" s="19"/>
    </row>
    <row r="439" ht="15.75" customHeight="1">
      <c r="A439" s="22"/>
      <c r="B439" s="23"/>
      <c r="C439" s="23"/>
      <c r="D439" s="19"/>
      <c r="E439" s="19"/>
      <c r="F439" s="18"/>
      <c r="G439" s="19"/>
      <c r="H439" s="19"/>
      <c r="I439" s="18"/>
      <c r="P439" s="19"/>
      <c r="Q439" s="19"/>
    </row>
    <row r="440" ht="15.75" customHeight="1">
      <c r="A440" s="22"/>
      <c r="B440" s="23"/>
      <c r="C440" s="23"/>
      <c r="D440" s="19"/>
      <c r="E440" s="19"/>
      <c r="F440" s="18"/>
      <c r="G440" s="19"/>
      <c r="H440" s="19"/>
      <c r="I440" s="18"/>
      <c r="P440" s="19"/>
      <c r="Q440" s="19"/>
    </row>
    <row r="441" ht="15.75" customHeight="1">
      <c r="A441" s="22"/>
      <c r="B441" s="23"/>
      <c r="C441" s="23"/>
      <c r="D441" s="19"/>
      <c r="E441" s="19"/>
      <c r="F441" s="18"/>
      <c r="G441" s="19"/>
      <c r="H441" s="19"/>
      <c r="I441" s="18"/>
      <c r="P441" s="19"/>
      <c r="Q441" s="19"/>
    </row>
    <row r="442" ht="15.75" customHeight="1">
      <c r="A442" s="22"/>
      <c r="B442" s="23"/>
      <c r="C442" s="23"/>
      <c r="D442" s="19"/>
      <c r="E442" s="19"/>
      <c r="F442" s="18"/>
      <c r="G442" s="19"/>
      <c r="H442" s="19"/>
      <c r="I442" s="18"/>
      <c r="P442" s="19"/>
      <c r="Q442" s="19"/>
    </row>
    <row r="443" ht="15.75" customHeight="1">
      <c r="A443" s="22"/>
      <c r="B443" s="23"/>
      <c r="C443" s="23"/>
      <c r="D443" s="19"/>
      <c r="E443" s="19"/>
      <c r="F443" s="18"/>
      <c r="G443" s="19"/>
      <c r="H443" s="19"/>
      <c r="I443" s="18"/>
      <c r="P443" s="19"/>
      <c r="Q443" s="19"/>
    </row>
    <row r="444" ht="15.75" customHeight="1">
      <c r="A444" s="22"/>
      <c r="B444" s="23"/>
      <c r="C444" s="23"/>
      <c r="D444" s="19"/>
      <c r="E444" s="19"/>
      <c r="F444" s="18"/>
      <c r="G444" s="19"/>
      <c r="H444" s="19"/>
      <c r="I444" s="18"/>
      <c r="P444" s="19"/>
      <c r="Q444" s="19"/>
    </row>
    <row r="445" ht="15.75" customHeight="1">
      <c r="A445" s="22"/>
      <c r="B445" s="23"/>
      <c r="C445" s="23"/>
      <c r="D445" s="19"/>
      <c r="E445" s="19"/>
      <c r="F445" s="18"/>
      <c r="G445" s="19"/>
      <c r="H445" s="19"/>
      <c r="I445" s="18"/>
      <c r="P445" s="19"/>
      <c r="Q445" s="19"/>
    </row>
    <row r="446" ht="15.75" customHeight="1">
      <c r="A446" s="22"/>
      <c r="B446" s="23"/>
      <c r="C446" s="23"/>
      <c r="D446" s="19"/>
      <c r="E446" s="19"/>
      <c r="F446" s="18"/>
      <c r="G446" s="19"/>
      <c r="H446" s="19"/>
      <c r="I446" s="18"/>
      <c r="P446" s="19"/>
      <c r="Q446" s="19"/>
    </row>
    <row r="447" ht="15.75" customHeight="1">
      <c r="A447" s="22"/>
      <c r="B447" s="23"/>
      <c r="C447" s="23"/>
      <c r="D447" s="19"/>
      <c r="E447" s="19"/>
      <c r="F447" s="18"/>
      <c r="G447" s="19"/>
      <c r="H447" s="19"/>
      <c r="I447" s="18"/>
      <c r="P447" s="19"/>
      <c r="Q447" s="19"/>
    </row>
    <row r="448" ht="15.75" customHeight="1">
      <c r="A448" s="22"/>
      <c r="B448" s="23"/>
      <c r="C448" s="23"/>
      <c r="D448" s="19"/>
      <c r="E448" s="19"/>
      <c r="F448" s="18"/>
      <c r="G448" s="19"/>
      <c r="H448" s="19"/>
      <c r="I448" s="18"/>
      <c r="P448" s="19"/>
      <c r="Q448" s="19"/>
    </row>
    <row r="449" ht="15.75" customHeight="1">
      <c r="A449" s="22"/>
      <c r="B449" s="23"/>
      <c r="C449" s="23"/>
      <c r="D449" s="19"/>
      <c r="E449" s="19"/>
      <c r="F449" s="18"/>
      <c r="G449" s="19"/>
      <c r="H449" s="19"/>
      <c r="I449" s="18"/>
      <c r="P449" s="19"/>
      <c r="Q449" s="19"/>
    </row>
    <row r="450" ht="15.75" customHeight="1">
      <c r="A450" s="22"/>
      <c r="B450" s="23"/>
      <c r="C450" s="23"/>
      <c r="D450" s="19"/>
      <c r="E450" s="19"/>
      <c r="F450" s="18"/>
      <c r="G450" s="19"/>
      <c r="H450" s="19"/>
      <c r="I450" s="18"/>
      <c r="P450" s="19"/>
      <c r="Q450" s="19"/>
    </row>
    <row r="451" ht="15.75" customHeight="1">
      <c r="A451" s="22"/>
      <c r="B451" s="23"/>
      <c r="C451" s="23"/>
      <c r="D451" s="19"/>
      <c r="E451" s="19"/>
      <c r="F451" s="18"/>
      <c r="G451" s="19"/>
      <c r="H451" s="19"/>
      <c r="I451" s="18"/>
      <c r="P451" s="19"/>
      <c r="Q451" s="19"/>
    </row>
    <row r="452" ht="15.75" customHeight="1">
      <c r="A452" s="22"/>
      <c r="B452" s="23"/>
      <c r="C452" s="23"/>
      <c r="D452" s="19"/>
      <c r="E452" s="19"/>
      <c r="F452" s="18"/>
      <c r="G452" s="19"/>
      <c r="H452" s="19"/>
      <c r="I452" s="18"/>
      <c r="P452" s="19"/>
      <c r="Q452" s="19"/>
    </row>
    <row r="453" ht="15.75" customHeight="1">
      <c r="A453" s="22"/>
      <c r="B453" s="23"/>
      <c r="C453" s="23"/>
      <c r="D453" s="19"/>
      <c r="E453" s="19"/>
      <c r="F453" s="18"/>
      <c r="G453" s="19"/>
      <c r="H453" s="19"/>
      <c r="I453" s="18"/>
      <c r="P453" s="19"/>
      <c r="Q453" s="19"/>
    </row>
    <row r="454" ht="15.75" customHeight="1">
      <c r="A454" s="22"/>
      <c r="B454" s="23"/>
      <c r="C454" s="23"/>
      <c r="D454" s="19"/>
      <c r="E454" s="19"/>
      <c r="F454" s="18"/>
      <c r="G454" s="19"/>
      <c r="H454" s="19"/>
      <c r="I454" s="18"/>
      <c r="P454" s="19"/>
      <c r="Q454" s="19"/>
    </row>
    <row r="455" ht="15.75" customHeight="1">
      <c r="A455" s="22"/>
      <c r="B455" s="23"/>
      <c r="C455" s="23"/>
      <c r="D455" s="19"/>
      <c r="E455" s="19"/>
      <c r="F455" s="18"/>
      <c r="G455" s="19"/>
      <c r="H455" s="19"/>
      <c r="I455" s="18"/>
      <c r="P455" s="19"/>
      <c r="Q455" s="19"/>
    </row>
    <row r="456" ht="15.75" customHeight="1">
      <c r="A456" s="22"/>
      <c r="B456" s="23"/>
      <c r="C456" s="23"/>
      <c r="D456" s="19"/>
      <c r="E456" s="19"/>
      <c r="F456" s="18"/>
      <c r="G456" s="19"/>
      <c r="H456" s="19"/>
      <c r="I456" s="18"/>
      <c r="P456" s="19"/>
      <c r="Q456" s="19"/>
    </row>
    <row r="457" ht="15.75" customHeight="1">
      <c r="A457" s="22"/>
      <c r="B457" s="23"/>
      <c r="C457" s="23"/>
      <c r="D457" s="19"/>
      <c r="E457" s="19"/>
      <c r="F457" s="18"/>
      <c r="G457" s="19"/>
      <c r="H457" s="19"/>
      <c r="I457" s="18"/>
      <c r="P457" s="19"/>
      <c r="Q457" s="19"/>
    </row>
    <row r="458" ht="15.75" customHeight="1">
      <c r="A458" s="22"/>
      <c r="B458" s="23"/>
      <c r="C458" s="23"/>
      <c r="D458" s="19"/>
      <c r="E458" s="19"/>
      <c r="F458" s="18"/>
      <c r="G458" s="19"/>
      <c r="H458" s="19"/>
      <c r="I458" s="18"/>
      <c r="P458" s="19"/>
      <c r="Q458" s="19"/>
    </row>
    <row r="459" ht="15.75" customHeight="1">
      <c r="A459" s="22"/>
      <c r="B459" s="23"/>
      <c r="C459" s="23"/>
      <c r="D459" s="19"/>
      <c r="E459" s="19"/>
      <c r="F459" s="18"/>
      <c r="G459" s="19"/>
      <c r="H459" s="19"/>
      <c r="I459" s="18"/>
      <c r="P459" s="19"/>
      <c r="Q459" s="19"/>
    </row>
    <row r="460" ht="15.75" customHeight="1">
      <c r="A460" s="22"/>
      <c r="B460" s="23"/>
      <c r="C460" s="23"/>
      <c r="D460" s="19"/>
      <c r="E460" s="19"/>
      <c r="F460" s="18"/>
      <c r="G460" s="19"/>
      <c r="H460" s="19"/>
      <c r="I460" s="18"/>
      <c r="P460" s="19"/>
      <c r="Q460" s="19"/>
    </row>
    <row r="461" ht="15.75" customHeight="1">
      <c r="A461" s="22"/>
      <c r="B461" s="23"/>
      <c r="C461" s="23"/>
      <c r="D461" s="19"/>
      <c r="E461" s="19"/>
      <c r="F461" s="18"/>
      <c r="G461" s="19"/>
      <c r="H461" s="19"/>
      <c r="I461" s="18"/>
      <c r="P461" s="19"/>
      <c r="Q461" s="19"/>
    </row>
    <row r="462" ht="15.75" customHeight="1">
      <c r="A462" s="22"/>
      <c r="B462" s="23"/>
      <c r="C462" s="23"/>
      <c r="D462" s="19"/>
      <c r="E462" s="19"/>
      <c r="F462" s="18"/>
      <c r="G462" s="19"/>
      <c r="H462" s="19"/>
      <c r="I462" s="18"/>
      <c r="P462" s="19"/>
      <c r="Q462" s="19"/>
    </row>
    <row r="463" ht="15.75" customHeight="1">
      <c r="A463" s="22"/>
      <c r="B463" s="23"/>
      <c r="C463" s="23"/>
      <c r="D463" s="19"/>
      <c r="E463" s="19"/>
      <c r="F463" s="18"/>
      <c r="G463" s="19"/>
      <c r="H463" s="19"/>
      <c r="I463" s="18"/>
      <c r="P463" s="19"/>
      <c r="Q463" s="19"/>
    </row>
    <row r="464" ht="15.75" customHeight="1">
      <c r="A464" s="22"/>
      <c r="B464" s="23"/>
      <c r="C464" s="23"/>
      <c r="D464" s="19"/>
      <c r="E464" s="19"/>
      <c r="F464" s="18"/>
      <c r="G464" s="19"/>
      <c r="H464" s="19"/>
      <c r="I464" s="18"/>
      <c r="P464" s="19"/>
      <c r="Q464" s="19"/>
    </row>
    <row r="465" ht="15.75" customHeight="1">
      <c r="A465" s="22"/>
      <c r="B465" s="23"/>
      <c r="C465" s="23"/>
      <c r="D465" s="19"/>
      <c r="E465" s="19"/>
      <c r="F465" s="18"/>
      <c r="G465" s="19"/>
      <c r="H465" s="19"/>
      <c r="I465" s="18"/>
      <c r="P465" s="19"/>
      <c r="Q465" s="19"/>
    </row>
    <row r="466" ht="15.75" customHeight="1">
      <c r="A466" s="22"/>
      <c r="B466" s="23"/>
      <c r="C466" s="23"/>
      <c r="D466" s="19"/>
      <c r="E466" s="19"/>
      <c r="F466" s="18"/>
      <c r="G466" s="19"/>
      <c r="H466" s="19"/>
      <c r="I466" s="18"/>
      <c r="P466" s="19"/>
      <c r="Q466" s="19"/>
    </row>
    <row r="467" ht="15.75" customHeight="1">
      <c r="A467" s="22"/>
      <c r="B467" s="23"/>
      <c r="C467" s="23"/>
      <c r="D467" s="19"/>
      <c r="E467" s="19"/>
      <c r="F467" s="18"/>
      <c r="G467" s="19"/>
      <c r="H467" s="19"/>
      <c r="I467" s="18"/>
      <c r="P467" s="19"/>
      <c r="Q467" s="19"/>
    </row>
    <row r="468" ht="15.75" customHeight="1">
      <c r="A468" s="22"/>
      <c r="B468" s="23"/>
      <c r="C468" s="23"/>
      <c r="D468" s="19"/>
      <c r="E468" s="19"/>
      <c r="F468" s="18"/>
      <c r="G468" s="19"/>
      <c r="H468" s="19"/>
      <c r="I468" s="18"/>
      <c r="P468" s="19"/>
      <c r="Q468" s="19"/>
    </row>
    <row r="469" ht="15.75" customHeight="1">
      <c r="A469" s="22"/>
      <c r="B469" s="23"/>
      <c r="C469" s="23"/>
      <c r="D469" s="19"/>
      <c r="E469" s="19"/>
      <c r="F469" s="18"/>
      <c r="G469" s="19"/>
      <c r="H469" s="19"/>
      <c r="I469" s="18"/>
      <c r="P469" s="19"/>
      <c r="Q469" s="19"/>
    </row>
    <row r="470" ht="15.75" customHeight="1">
      <c r="A470" s="22"/>
      <c r="B470" s="23"/>
      <c r="C470" s="23"/>
      <c r="D470" s="19"/>
      <c r="E470" s="19"/>
      <c r="F470" s="18"/>
      <c r="G470" s="19"/>
      <c r="H470" s="19"/>
      <c r="I470" s="18"/>
      <c r="P470" s="19"/>
      <c r="Q470" s="19"/>
    </row>
    <row r="471" ht="15.75" customHeight="1">
      <c r="A471" s="22"/>
      <c r="B471" s="23"/>
      <c r="C471" s="23"/>
      <c r="D471" s="19"/>
      <c r="E471" s="19"/>
      <c r="F471" s="18"/>
      <c r="G471" s="19"/>
      <c r="H471" s="19"/>
      <c r="I471" s="18"/>
      <c r="P471" s="19"/>
      <c r="Q471" s="19"/>
    </row>
    <row r="472" ht="15.75" customHeight="1">
      <c r="A472" s="22"/>
      <c r="B472" s="23"/>
      <c r="C472" s="23"/>
      <c r="D472" s="19"/>
      <c r="E472" s="19"/>
      <c r="F472" s="18"/>
      <c r="G472" s="19"/>
      <c r="H472" s="19"/>
      <c r="I472" s="18"/>
      <c r="P472" s="19"/>
      <c r="Q472" s="19"/>
    </row>
    <row r="473" ht="15.75" customHeight="1">
      <c r="A473" s="22"/>
      <c r="B473" s="23"/>
      <c r="C473" s="23"/>
      <c r="D473" s="19"/>
      <c r="E473" s="19"/>
      <c r="F473" s="18"/>
      <c r="G473" s="19"/>
      <c r="H473" s="19"/>
      <c r="I473" s="18"/>
      <c r="P473" s="19"/>
      <c r="Q473" s="19"/>
    </row>
    <row r="474" ht="15.75" customHeight="1">
      <c r="A474" s="22"/>
      <c r="B474" s="23"/>
      <c r="C474" s="23"/>
      <c r="D474" s="19"/>
      <c r="E474" s="19"/>
      <c r="F474" s="18"/>
      <c r="G474" s="19"/>
      <c r="H474" s="19"/>
      <c r="I474" s="18"/>
      <c r="P474" s="19"/>
      <c r="Q474" s="19"/>
    </row>
    <row r="475" ht="15.75" customHeight="1">
      <c r="A475" s="22"/>
      <c r="B475" s="23"/>
      <c r="C475" s="23"/>
      <c r="D475" s="19"/>
      <c r="E475" s="19"/>
      <c r="F475" s="18"/>
      <c r="G475" s="19"/>
      <c r="H475" s="19"/>
      <c r="I475" s="18"/>
      <c r="P475" s="19"/>
      <c r="Q475" s="19"/>
    </row>
    <row r="476" ht="15.75" customHeight="1">
      <c r="A476" s="22"/>
      <c r="B476" s="23"/>
      <c r="C476" s="23"/>
      <c r="D476" s="19"/>
      <c r="E476" s="19"/>
      <c r="F476" s="18"/>
      <c r="G476" s="19"/>
      <c r="H476" s="19"/>
      <c r="I476" s="18"/>
      <c r="P476" s="19"/>
      <c r="Q476" s="19"/>
    </row>
    <row r="477" ht="15.75" customHeight="1">
      <c r="A477" s="22"/>
      <c r="B477" s="23"/>
      <c r="C477" s="23"/>
      <c r="D477" s="19"/>
      <c r="E477" s="19"/>
      <c r="F477" s="18"/>
      <c r="G477" s="19"/>
      <c r="H477" s="19"/>
      <c r="I477" s="18"/>
      <c r="P477" s="19"/>
      <c r="Q477" s="19"/>
    </row>
    <row r="478" ht="15.75" customHeight="1">
      <c r="A478" s="22"/>
      <c r="B478" s="23"/>
      <c r="C478" s="23"/>
      <c r="D478" s="19"/>
      <c r="E478" s="19"/>
      <c r="F478" s="18"/>
      <c r="G478" s="19"/>
      <c r="H478" s="19"/>
      <c r="I478" s="18"/>
      <c r="P478" s="19"/>
      <c r="Q478" s="19"/>
    </row>
    <row r="479" ht="15.75" customHeight="1">
      <c r="A479" s="22"/>
      <c r="B479" s="23"/>
      <c r="C479" s="23"/>
      <c r="D479" s="19"/>
      <c r="E479" s="19"/>
      <c r="F479" s="18"/>
      <c r="G479" s="19"/>
      <c r="H479" s="19"/>
      <c r="I479" s="18"/>
      <c r="P479" s="19"/>
      <c r="Q479" s="19"/>
    </row>
    <row r="480" ht="15.75" customHeight="1">
      <c r="A480" s="22"/>
      <c r="B480" s="23"/>
      <c r="C480" s="23"/>
      <c r="D480" s="19"/>
      <c r="E480" s="19"/>
      <c r="F480" s="18"/>
      <c r="G480" s="19"/>
      <c r="H480" s="19"/>
      <c r="I480" s="18"/>
      <c r="P480" s="19"/>
      <c r="Q480" s="19"/>
    </row>
    <row r="481" ht="15.75" customHeight="1">
      <c r="A481" s="22"/>
      <c r="B481" s="23"/>
      <c r="C481" s="23"/>
      <c r="D481" s="19"/>
      <c r="E481" s="19"/>
      <c r="F481" s="18"/>
      <c r="G481" s="19"/>
      <c r="H481" s="19"/>
      <c r="I481" s="18"/>
      <c r="P481" s="19"/>
      <c r="Q481" s="19"/>
    </row>
    <row r="482" ht="15.75" customHeight="1">
      <c r="A482" s="22"/>
      <c r="B482" s="23"/>
      <c r="C482" s="23"/>
      <c r="D482" s="19"/>
      <c r="E482" s="19"/>
      <c r="F482" s="18"/>
      <c r="G482" s="19"/>
      <c r="H482" s="19"/>
      <c r="I482" s="18"/>
      <c r="P482" s="19"/>
      <c r="Q482" s="19"/>
    </row>
    <row r="483" ht="15.75" customHeight="1">
      <c r="A483" s="22"/>
      <c r="B483" s="23"/>
      <c r="C483" s="23"/>
      <c r="D483" s="19"/>
      <c r="E483" s="19"/>
      <c r="F483" s="18"/>
      <c r="G483" s="19"/>
      <c r="H483" s="19"/>
      <c r="I483" s="18"/>
      <c r="P483" s="19"/>
      <c r="Q483" s="19"/>
    </row>
    <row r="484" ht="15.75" customHeight="1">
      <c r="A484" s="22"/>
      <c r="B484" s="23"/>
      <c r="C484" s="23"/>
      <c r="D484" s="19"/>
      <c r="E484" s="19"/>
      <c r="F484" s="18"/>
      <c r="G484" s="19"/>
      <c r="H484" s="19"/>
      <c r="I484" s="18"/>
      <c r="P484" s="19"/>
      <c r="Q484" s="19"/>
    </row>
    <row r="485" ht="15.75" customHeight="1">
      <c r="A485" s="22"/>
      <c r="B485" s="23"/>
      <c r="C485" s="23"/>
      <c r="D485" s="19"/>
      <c r="E485" s="19"/>
      <c r="F485" s="18"/>
      <c r="G485" s="19"/>
      <c r="H485" s="19"/>
      <c r="I485" s="18"/>
      <c r="P485" s="19"/>
      <c r="Q485" s="19"/>
    </row>
    <row r="486" ht="15.75" customHeight="1">
      <c r="A486" s="22"/>
      <c r="B486" s="23"/>
      <c r="C486" s="23"/>
      <c r="D486" s="19"/>
      <c r="E486" s="19"/>
      <c r="F486" s="18"/>
      <c r="G486" s="19"/>
      <c r="H486" s="19"/>
      <c r="I486" s="18"/>
      <c r="P486" s="19"/>
      <c r="Q486" s="19"/>
    </row>
    <row r="487" ht="15.75" customHeight="1">
      <c r="A487" s="22"/>
      <c r="B487" s="23"/>
      <c r="C487" s="23"/>
      <c r="D487" s="19"/>
      <c r="E487" s="19"/>
      <c r="F487" s="18"/>
      <c r="G487" s="19"/>
      <c r="H487" s="19"/>
      <c r="I487" s="18"/>
      <c r="P487" s="19"/>
      <c r="Q487" s="19"/>
    </row>
    <row r="488" ht="15.75" customHeight="1">
      <c r="A488" s="22"/>
      <c r="B488" s="23"/>
      <c r="C488" s="23"/>
      <c r="D488" s="19"/>
      <c r="E488" s="19"/>
      <c r="F488" s="18"/>
      <c r="G488" s="19"/>
      <c r="H488" s="19"/>
      <c r="I488" s="18"/>
      <c r="P488" s="19"/>
      <c r="Q488" s="19"/>
    </row>
    <row r="489" ht="15.75" customHeight="1">
      <c r="A489" s="22"/>
      <c r="B489" s="23"/>
      <c r="C489" s="23"/>
      <c r="D489" s="19"/>
      <c r="E489" s="19"/>
      <c r="F489" s="18"/>
      <c r="G489" s="19"/>
      <c r="H489" s="19"/>
      <c r="I489" s="18"/>
      <c r="P489" s="19"/>
      <c r="Q489" s="19"/>
    </row>
    <row r="490" ht="15.75" customHeight="1">
      <c r="A490" s="22"/>
      <c r="B490" s="23"/>
      <c r="C490" s="23"/>
      <c r="D490" s="19"/>
      <c r="E490" s="19"/>
      <c r="F490" s="18"/>
      <c r="G490" s="19"/>
      <c r="H490" s="19"/>
      <c r="I490" s="18"/>
      <c r="P490" s="19"/>
      <c r="Q490" s="19"/>
    </row>
    <row r="491" ht="15.75" customHeight="1">
      <c r="A491" s="22"/>
      <c r="B491" s="23"/>
      <c r="C491" s="23"/>
      <c r="D491" s="19"/>
      <c r="E491" s="19"/>
      <c r="F491" s="18"/>
      <c r="G491" s="19"/>
      <c r="H491" s="19"/>
      <c r="I491" s="18"/>
      <c r="P491" s="19"/>
      <c r="Q491" s="19"/>
    </row>
    <row r="492" ht="15.75" customHeight="1">
      <c r="A492" s="22"/>
      <c r="B492" s="23"/>
      <c r="C492" s="23"/>
      <c r="D492" s="19"/>
      <c r="E492" s="19"/>
      <c r="F492" s="18"/>
      <c r="G492" s="19"/>
      <c r="H492" s="19"/>
      <c r="I492" s="18"/>
      <c r="P492" s="19"/>
      <c r="Q492" s="19"/>
    </row>
    <row r="493" ht="15.75" customHeight="1">
      <c r="A493" s="22"/>
      <c r="B493" s="23"/>
      <c r="C493" s="23"/>
      <c r="D493" s="19"/>
      <c r="E493" s="19"/>
      <c r="F493" s="18"/>
      <c r="G493" s="19"/>
      <c r="H493" s="19"/>
      <c r="I493" s="18"/>
      <c r="P493" s="19"/>
      <c r="Q493" s="19"/>
    </row>
    <row r="494" ht="15.75" customHeight="1">
      <c r="A494" s="22"/>
      <c r="B494" s="23"/>
      <c r="C494" s="23"/>
      <c r="D494" s="19"/>
      <c r="E494" s="19"/>
      <c r="F494" s="18"/>
      <c r="G494" s="19"/>
      <c r="H494" s="19"/>
      <c r="I494" s="18"/>
      <c r="P494" s="19"/>
      <c r="Q494" s="19"/>
    </row>
    <row r="495" ht="15.75" customHeight="1">
      <c r="A495" s="22"/>
      <c r="B495" s="23"/>
      <c r="C495" s="23"/>
      <c r="D495" s="19"/>
      <c r="E495" s="19"/>
      <c r="F495" s="18"/>
      <c r="G495" s="19"/>
      <c r="H495" s="19"/>
      <c r="I495" s="18"/>
      <c r="P495" s="19"/>
      <c r="Q495" s="19"/>
    </row>
    <row r="496" ht="15.75" customHeight="1">
      <c r="A496" s="22"/>
      <c r="B496" s="23"/>
      <c r="C496" s="23"/>
      <c r="D496" s="19"/>
      <c r="E496" s="19"/>
      <c r="F496" s="18"/>
      <c r="G496" s="19"/>
      <c r="H496" s="19"/>
      <c r="I496" s="18"/>
      <c r="P496" s="19"/>
      <c r="Q496" s="19"/>
    </row>
    <row r="497" ht="15.75" customHeight="1">
      <c r="A497" s="22"/>
      <c r="B497" s="23"/>
      <c r="C497" s="23"/>
      <c r="D497" s="19"/>
      <c r="E497" s="19"/>
      <c r="F497" s="18"/>
      <c r="G497" s="19"/>
      <c r="H497" s="19"/>
      <c r="I497" s="18"/>
      <c r="P497" s="19"/>
      <c r="Q497" s="19"/>
    </row>
    <row r="498" ht="15.75" customHeight="1">
      <c r="A498" s="22"/>
      <c r="B498" s="23"/>
      <c r="C498" s="23"/>
      <c r="D498" s="19"/>
      <c r="E498" s="19"/>
      <c r="F498" s="18"/>
      <c r="G498" s="19"/>
      <c r="H498" s="19"/>
      <c r="I498" s="18"/>
      <c r="P498" s="19"/>
      <c r="Q498" s="19"/>
    </row>
    <row r="499" ht="15.75" customHeight="1">
      <c r="A499" s="22"/>
      <c r="B499" s="23"/>
      <c r="C499" s="23"/>
      <c r="D499" s="19"/>
      <c r="E499" s="19"/>
      <c r="F499" s="18"/>
      <c r="G499" s="19"/>
      <c r="H499" s="19"/>
      <c r="I499" s="18"/>
      <c r="P499" s="19"/>
      <c r="Q499" s="19"/>
    </row>
    <row r="500" ht="15.75" customHeight="1">
      <c r="A500" s="22"/>
      <c r="B500" s="23"/>
      <c r="C500" s="23"/>
      <c r="D500" s="19"/>
      <c r="E500" s="19"/>
      <c r="F500" s="18"/>
      <c r="G500" s="19"/>
      <c r="H500" s="19"/>
      <c r="I500" s="18"/>
      <c r="P500" s="19"/>
      <c r="Q500" s="19"/>
    </row>
    <row r="501" ht="15.75" customHeight="1">
      <c r="A501" s="22"/>
      <c r="B501" s="23"/>
      <c r="C501" s="23"/>
      <c r="D501" s="19"/>
      <c r="E501" s="19"/>
      <c r="F501" s="18"/>
      <c r="G501" s="19"/>
      <c r="H501" s="19"/>
      <c r="I501" s="18"/>
      <c r="P501" s="19"/>
      <c r="Q501" s="19"/>
    </row>
    <row r="502" ht="15.75" customHeight="1">
      <c r="A502" s="22"/>
      <c r="B502" s="23"/>
      <c r="C502" s="23"/>
      <c r="D502" s="19"/>
      <c r="E502" s="19"/>
      <c r="F502" s="18"/>
      <c r="G502" s="19"/>
      <c r="H502" s="19"/>
      <c r="I502" s="18"/>
      <c r="P502" s="19"/>
      <c r="Q502" s="19"/>
    </row>
    <row r="503" ht="15.75" customHeight="1">
      <c r="A503" s="22"/>
      <c r="B503" s="23"/>
      <c r="C503" s="23"/>
      <c r="D503" s="19"/>
      <c r="E503" s="19"/>
      <c r="F503" s="18"/>
      <c r="G503" s="19"/>
      <c r="H503" s="19"/>
      <c r="I503" s="18"/>
      <c r="P503" s="19"/>
      <c r="Q503" s="19"/>
    </row>
    <row r="504" ht="15.75" customHeight="1">
      <c r="A504" s="22"/>
      <c r="B504" s="23"/>
      <c r="C504" s="23"/>
      <c r="D504" s="19"/>
      <c r="E504" s="19"/>
      <c r="F504" s="18"/>
      <c r="G504" s="19"/>
      <c r="H504" s="19"/>
      <c r="I504" s="18"/>
      <c r="P504" s="19"/>
      <c r="Q504" s="19"/>
    </row>
    <row r="505" ht="15.75" customHeight="1">
      <c r="A505" s="22"/>
      <c r="B505" s="23"/>
      <c r="C505" s="23"/>
      <c r="D505" s="19"/>
      <c r="E505" s="19"/>
      <c r="F505" s="18"/>
      <c r="G505" s="19"/>
      <c r="H505" s="19"/>
      <c r="I505" s="18"/>
      <c r="P505" s="19"/>
      <c r="Q505" s="19"/>
    </row>
    <row r="506" ht="15.75" customHeight="1">
      <c r="A506" s="22"/>
      <c r="B506" s="23"/>
      <c r="C506" s="23"/>
      <c r="D506" s="19"/>
      <c r="E506" s="19"/>
      <c r="F506" s="18"/>
      <c r="G506" s="19"/>
      <c r="H506" s="19"/>
      <c r="I506" s="18"/>
      <c r="P506" s="19"/>
      <c r="Q506" s="19"/>
    </row>
    <row r="507" ht="15.75" customHeight="1">
      <c r="A507" s="22"/>
      <c r="B507" s="23"/>
      <c r="C507" s="23"/>
      <c r="D507" s="19"/>
      <c r="E507" s="19"/>
      <c r="F507" s="18"/>
      <c r="G507" s="19"/>
      <c r="H507" s="19"/>
      <c r="I507" s="18"/>
      <c r="P507" s="19"/>
      <c r="Q507" s="19"/>
    </row>
    <row r="508" ht="15.75" customHeight="1">
      <c r="A508" s="22"/>
      <c r="B508" s="23"/>
      <c r="C508" s="23"/>
      <c r="D508" s="19"/>
      <c r="E508" s="19"/>
      <c r="F508" s="18"/>
      <c r="G508" s="19"/>
      <c r="H508" s="19"/>
      <c r="I508" s="18"/>
      <c r="P508" s="19"/>
      <c r="Q508" s="19"/>
    </row>
    <row r="509" ht="15.75" customHeight="1">
      <c r="A509" s="22"/>
      <c r="B509" s="23"/>
      <c r="C509" s="23"/>
      <c r="D509" s="19"/>
      <c r="E509" s="19"/>
      <c r="F509" s="18"/>
      <c r="G509" s="19"/>
      <c r="H509" s="19"/>
      <c r="I509" s="18"/>
      <c r="P509" s="19"/>
      <c r="Q509" s="19"/>
    </row>
    <row r="510" ht="15.75" customHeight="1">
      <c r="A510" s="22"/>
      <c r="B510" s="23"/>
      <c r="C510" s="23"/>
      <c r="D510" s="19"/>
      <c r="E510" s="19"/>
      <c r="F510" s="18"/>
      <c r="G510" s="19"/>
      <c r="H510" s="19"/>
      <c r="I510" s="18"/>
      <c r="P510" s="19"/>
      <c r="Q510" s="19"/>
    </row>
    <row r="511" ht="15.75" customHeight="1">
      <c r="A511" s="22"/>
      <c r="B511" s="23"/>
      <c r="C511" s="23"/>
      <c r="D511" s="19"/>
      <c r="E511" s="19"/>
      <c r="F511" s="18"/>
      <c r="G511" s="19"/>
      <c r="H511" s="19"/>
      <c r="I511" s="18"/>
      <c r="P511" s="19"/>
      <c r="Q511" s="19"/>
    </row>
    <row r="512" ht="15.75" customHeight="1">
      <c r="A512" s="22"/>
      <c r="B512" s="23"/>
      <c r="C512" s="23"/>
      <c r="D512" s="19"/>
      <c r="E512" s="19"/>
      <c r="F512" s="18"/>
      <c r="G512" s="19"/>
      <c r="H512" s="19"/>
      <c r="I512" s="18"/>
      <c r="P512" s="19"/>
      <c r="Q512" s="19"/>
    </row>
    <row r="513" ht="15.75" customHeight="1">
      <c r="A513" s="22"/>
      <c r="B513" s="23"/>
      <c r="C513" s="23"/>
      <c r="D513" s="19"/>
      <c r="E513" s="19"/>
      <c r="F513" s="18"/>
      <c r="G513" s="19"/>
      <c r="H513" s="19"/>
      <c r="I513" s="18"/>
      <c r="P513" s="19"/>
      <c r="Q513" s="19"/>
    </row>
    <row r="514" ht="15.75" customHeight="1">
      <c r="A514" s="22"/>
      <c r="B514" s="23"/>
      <c r="C514" s="23"/>
      <c r="D514" s="19"/>
      <c r="E514" s="19"/>
      <c r="F514" s="18"/>
      <c r="G514" s="19"/>
      <c r="H514" s="19"/>
      <c r="I514" s="18"/>
      <c r="P514" s="19"/>
      <c r="Q514" s="19"/>
    </row>
    <row r="515" ht="15.75" customHeight="1">
      <c r="A515" s="22"/>
      <c r="B515" s="23"/>
      <c r="C515" s="23"/>
      <c r="D515" s="19"/>
      <c r="E515" s="19"/>
      <c r="F515" s="18"/>
      <c r="G515" s="19"/>
      <c r="H515" s="19"/>
      <c r="I515" s="18"/>
      <c r="P515" s="19"/>
      <c r="Q515" s="19"/>
    </row>
    <row r="516" ht="15.75" customHeight="1">
      <c r="A516" s="22"/>
      <c r="B516" s="23"/>
      <c r="C516" s="23"/>
      <c r="D516" s="19"/>
      <c r="E516" s="19"/>
      <c r="F516" s="18"/>
      <c r="G516" s="19"/>
      <c r="H516" s="19"/>
      <c r="I516" s="18"/>
      <c r="P516" s="19"/>
      <c r="Q516" s="19"/>
    </row>
    <row r="517" ht="15.75" customHeight="1">
      <c r="A517" s="22"/>
      <c r="B517" s="23"/>
      <c r="C517" s="23"/>
      <c r="D517" s="19"/>
      <c r="E517" s="19"/>
      <c r="F517" s="18"/>
      <c r="G517" s="19"/>
      <c r="H517" s="19"/>
      <c r="I517" s="18"/>
      <c r="P517" s="19"/>
      <c r="Q517" s="19"/>
    </row>
    <row r="518" ht="15.75" customHeight="1">
      <c r="A518" s="22"/>
      <c r="B518" s="23"/>
      <c r="C518" s="23"/>
      <c r="D518" s="19"/>
      <c r="E518" s="19"/>
      <c r="F518" s="18"/>
      <c r="G518" s="19"/>
      <c r="H518" s="19"/>
      <c r="I518" s="18"/>
      <c r="P518" s="19"/>
      <c r="Q518" s="19"/>
    </row>
    <row r="519" ht="15.75" customHeight="1">
      <c r="A519" s="22"/>
      <c r="B519" s="23"/>
      <c r="C519" s="23"/>
      <c r="D519" s="19"/>
      <c r="E519" s="19"/>
      <c r="F519" s="18"/>
      <c r="G519" s="19"/>
      <c r="H519" s="19"/>
      <c r="I519" s="18"/>
      <c r="P519" s="19"/>
      <c r="Q519" s="19"/>
    </row>
    <row r="520" ht="15.75" customHeight="1">
      <c r="A520" s="22"/>
      <c r="B520" s="23"/>
      <c r="C520" s="23"/>
      <c r="D520" s="19"/>
      <c r="E520" s="19"/>
      <c r="F520" s="18"/>
      <c r="G520" s="19"/>
      <c r="H520" s="19"/>
      <c r="I520" s="18"/>
      <c r="P520" s="19"/>
      <c r="Q520" s="19"/>
    </row>
    <row r="521" ht="15.75" customHeight="1">
      <c r="A521" s="22"/>
      <c r="B521" s="23"/>
      <c r="C521" s="23"/>
      <c r="D521" s="19"/>
      <c r="E521" s="19"/>
      <c r="F521" s="18"/>
      <c r="G521" s="19"/>
      <c r="H521" s="19"/>
      <c r="I521" s="18"/>
      <c r="P521" s="19"/>
      <c r="Q521" s="19"/>
    </row>
    <row r="522" ht="15.75" customHeight="1">
      <c r="A522" s="22"/>
      <c r="B522" s="23"/>
      <c r="C522" s="23"/>
      <c r="D522" s="19"/>
      <c r="E522" s="19"/>
      <c r="F522" s="18"/>
      <c r="G522" s="19"/>
      <c r="H522" s="19"/>
      <c r="I522" s="18"/>
      <c r="P522" s="19"/>
      <c r="Q522" s="19"/>
    </row>
    <row r="523" ht="15.75" customHeight="1">
      <c r="A523" s="22"/>
      <c r="B523" s="23"/>
      <c r="C523" s="23"/>
      <c r="D523" s="19"/>
      <c r="E523" s="19"/>
      <c r="F523" s="18"/>
      <c r="G523" s="19"/>
      <c r="H523" s="19"/>
      <c r="I523" s="18"/>
      <c r="P523" s="19"/>
      <c r="Q523" s="19"/>
    </row>
    <row r="524" ht="15.75" customHeight="1">
      <c r="A524" s="22"/>
      <c r="B524" s="23"/>
      <c r="C524" s="23"/>
      <c r="D524" s="19"/>
      <c r="E524" s="19"/>
      <c r="F524" s="18"/>
      <c r="G524" s="19"/>
      <c r="H524" s="19"/>
      <c r="I524" s="18"/>
      <c r="P524" s="19"/>
      <c r="Q524" s="19"/>
    </row>
    <row r="525" ht="15.75" customHeight="1">
      <c r="A525" s="22"/>
      <c r="B525" s="23"/>
      <c r="C525" s="23"/>
      <c r="D525" s="19"/>
      <c r="E525" s="19"/>
      <c r="F525" s="18"/>
      <c r="G525" s="19"/>
      <c r="H525" s="19"/>
      <c r="I525" s="18"/>
      <c r="P525" s="19"/>
      <c r="Q525" s="19"/>
    </row>
    <row r="526" ht="15.75" customHeight="1">
      <c r="A526" s="22"/>
      <c r="B526" s="23"/>
      <c r="C526" s="23"/>
      <c r="D526" s="19"/>
      <c r="E526" s="19"/>
      <c r="F526" s="18"/>
      <c r="G526" s="19"/>
      <c r="H526" s="19"/>
      <c r="I526" s="18"/>
      <c r="P526" s="19"/>
      <c r="Q526" s="19"/>
    </row>
    <row r="527" ht="15.75" customHeight="1">
      <c r="A527" s="22"/>
      <c r="B527" s="23"/>
      <c r="C527" s="23"/>
      <c r="D527" s="19"/>
      <c r="E527" s="19"/>
      <c r="F527" s="18"/>
      <c r="G527" s="19"/>
      <c r="H527" s="19"/>
      <c r="I527" s="18"/>
      <c r="P527" s="19"/>
      <c r="Q527" s="19"/>
    </row>
    <row r="528" ht="15.75" customHeight="1">
      <c r="A528" s="22"/>
      <c r="B528" s="23"/>
      <c r="C528" s="23"/>
      <c r="D528" s="19"/>
      <c r="E528" s="19"/>
      <c r="F528" s="18"/>
      <c r="G528" s="19"/>
      <c r="H528" s="19"/>
      <c r="I528" s="18"/>
      <c r="P528" s="19"/>
      <c r="Q528" s="19"/>
    </row>
    <row r="529" ht="15.75" customHeight="1">
      <c r="A529" s="22"/>
      <c r="B529" s="23"/>
      <c r="C529" s="23"/>
      <c r="D529" s="19"/>
      <c r="E529" s="19"/>
      <c r="F529" s="18"/>
      <c r="G529" s="19"/>
      <c r="H529" s="19"/>
      <c r="I529" s="18"/>
      <c r="P529" s="19"/>
      <c r="Q529" s="19"/>
    </row>
    <row r="530" ht="15.75" customHeight="1">
      <c r="A530" s="22"/>
      <c r="B530" s="23"/>
      <c r="C530" s="23"/>
      <c r="D530" s="19"/>
      <c r="E530" s="19"/>
      <c r="F530" s="18"/>
      <c r="G530" s="19"/>
      <c r="H530" s="19"/>
      <c r="I530" s="18"/>
      <c r="P530" s="19"/>
      <c r="Q530" s="19"/>
    </row>
    <row r="531" ht="15.75" customHeight="1">
      <c r="A531" s="22"/>
      <c r="B531" s="23"/>
      <c r="C531" s="23"/>
      <c r="D531" s="19"/>
      <c r="E531" s="19"/>
      <c r="F531" s="18"/>
      <c r="G531" s="19"/>
      <c r="H531" s="19"/>
      <c r="I531" s="18"/>
      <c r="P531" s="19"/>
      <c r="Q531" s="19"/>
    </row>
    <row r="532" ht="15.75" customHeight="1">
      <c r="A532" s="22"/>
      <c r="B532" s="23"/>
      <c r="C532" s="23"/>
      <c r="D532" s="19"/>
      <c r="E532" s="19"/>
      <c r="F532" s="18"/>
      <c r="G532" s="19"/>
      <c r="H532" s="19"/>
      <c r="I532" s="18"/>
      <c r="P532" s="19"/>
      <c r="Q532" s="19"/>
    </row>
    <row r="533" ht="15.75" customHeight="1">
      <c r="A533" s="22"/>
      <c r="B533" s="23"/>
      <c r="C533" s="23"/>
      <c r="D533" s="19"/>
      <c r="E533" s="19"/>
      <c r="F533" s="18"/>
      <c r="G533" s="19"/>
      <c r="H533" s="19"/>
      <c r="I533" s="18"/>
      <c r="P533" s="19"/>
      <c r="Q533" s="19"/>
    </row>
    <row r="534" ht="15.75" customHeight="1">
      <c r="A534" s="22"/>
      <c r="B534" s="23"/>
      <c r="C534" s="23"/>
      <c r="D534" s="19"/>
      <c r="E534" s="19"/>
      <c r="F534" s="18"/>
      <c r="G534" s="19"/>
      <c r="H534" s="19"/>
      <c r="I534" s="18"/>
      <c r="P534" s="19"/>
      <c r="Q534" s="19"/>
    </row>
    <row r="535" ht="15.75" customHeight="1">
      <c r="A535" s="22"/>
      <c r="B535" s="23"/>
      <c r="C535" s="23"/>
      <c r="D535" s="19"/>
      <c r="E535" s="19"/>
      <c r="F535" s="18"/>
      <c r="G535" s="19"/>
      <c r="H535" s="19"/>
      <c r="I535" s="18"/>
      <c r="P535" s="19"/>
      <c r="Q535" s="19"/>
    </row>
    <row r="536" ht="15.75" customHeight="1">
      <c r="A536" s="22"/>
      <c r="B536" s="23"/>
      <c r="C536" s="23"/>
      <c r="D536" s="19"/>
      <c r="E536" s="19"/>
      <c r="F536" s="18"/>
      <c r="G536" s="19"/>
      <c r="H536" s="19"/>
      <c r="I536" s="18"/>
      <c r="P536" s="19"/>
      <c r="Q536" s="19"/>
    </row>
    <row r="537" ht="15.75" customHeight="1">
      <c r="A537" s="22"/>
      <c r="B537" s="23"/>
      <c r="C537" s="23"/>
      <c r="D537" s="19"/>
      <c r="E537" s="19"/>
      <c r="F537" s="18"/>
      <c r="G537" s="19"/>
      <c r="H537" s="19"/>
      <c r="I537" s="18"/>
      <c r="P537" s="19"/>
      <c r="Q537" s="19"/>
    </row>
    <row r="538" ht="15.75" customHeight="1">
      <c r="A538" s="22"/>
      <c r="B538" s="23"/>
      <c r="C538" s="23"/>
      <c r="D538" s="19"/>
      <c r="E538" s="19"/>
      <c r="F538" s="18"/>
      <c r="G538" s="19"/>
      <c r="H538" s="19"/>
      <c r="I538" s="18"/>
      <c r="P538" s="19"/>
      <c r="Q538" s="19"/>
    </row>
    <row r="539" ht="15.75" customHeight="1">
      <c r="A539" s="22"/>
      <c r="B539" s="23"/>
      <c r="C539" s="23"/>
      <c r="D539" s="19"/>
      <c r="E539" s="19"/>
      <c r="F539" s="18"/>
      <c r="G539" s="19"/>
      <c r="H539" s="19"/>
      <c r="I539" s="18"/>
      <c r="P539" s="19"/>
      <c r="Q539" s="19"/>
    </row>
    <row r="540" ht="15.75" customHeight="1">
      <c r="A540" s="22"/>
      <c r="B540" s="23"/>
      <c r="C540" s="23"/>
      <c r="D540" s="19"/>
      <c r="E540" s="19"/>
      <c r="F540" s="18"/>
      <c r="G540" s="19"/>
      <c r="H540" s="19"/>
      <c r="I540" s="18"/>
      <c r="P540" s="19"/>
      <c r="Q540" s="19"/>
    </row>
    <row r="541" ht="15.75" customHeight="1">
      <c r="A541" s="22"/>
      <c r="B541" s="23"/>
      <c r="C541" s="23"/>
      <c r="D541" s="19"/>
      <c r="E541" s="19"/>
      <c r="F541" s="18"/>
      <c r="G541" s="19"/>
      <c r="H541" s="19"/>
      <c r="I541" s="18"/>
      <c r="P541" s="19"/>
      <c r="Q541" s="19"/>
    </row>
    <row r="542" ht="15.75" customHeight="1">
      <c r="A542" s="22"/>
      <c r="B542" s="23"/>
      <c r="C542" s="23"/>
      <c r="D542" s="19"/>
      <c r="E542" s="19"/>
      <c r="F542" s="18"/>
      <c r="G542" s="19"/>
      <c r="H542" s="19"/>
      <c r="I542" s="18"/>
      <c r="P542" s="19"/>
      <c r="Q542" s="19"/>
    </row>
    <row r="543" ht="15.75" customHeight="1">
      <c r="A543" s="22"/>
      <c r="B543" s="23"/>
      <c r="C543" s="23"/>
      <c r="D543" s="19"/>
      <c r="E543" s="19"/>
      <c r="F543" s="18"/>
      <c r="G543" s="19"/>
      <c r="H543" s="19"/>
      <c r="I543" s="18"/>
      <c r="P543" s="19"/>
      <c r="Q543" s="19"/>
    </row>
    <row r="544" ht="15.75" customHeight="1">
      <c r="A544" s="22"/>
      <c r="B544" s="23"/>
      <c r="C544" s="23"/>
      <c r="D544" s="19"/>
      <c r="E544" s="19"/>
      <c r="F544" s="18"/>
      <c r="G544" s="19"/>
      <c r="H544" s="19"/>
      <c r="I544" s="18"/>
      <c r="P544" s="19"/>
      <c r="Q544" s="19"/>
    </row>
    <row r="545" ht="15.75" customHeight="1">
      <c r="A545" s="22"/>
      <c r="B545" s="24"/>
      <c r="C545" s="24"/>
      <c r="D545" s="19"/>
      <c r="E545" s="19"/>
      <c r="F545" s="18"/>
      <c r="G545" s="19"/>
      <c r="H545" s="19"/>
      <c r="I545" s="18"/>
      <c r="P545" s="19"/>
      <c r="Q545" s="19"/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38"/>
    <col customWidth="1" min="4" max="4" width="22.63"/>
    <col customWidth="1" min="5" max="6" width="12.63"/>
  </cols>
  <sheetData>
    <row r="1" ht="66.75" customHeight="1">
      <c r="A1" s="25" t="s">
        <v>0</v>
      </c>
      <c r="B1" s="26" t="s">
        <v>2</v>
      </c>
      <c r="C1" s="27" t="s">
        <v>5</v>
      </c>
      <c r="D1" s="27" t="s">
        <v>8</v>
      </c>
    </row>
    <row r="2" ht="15.75" customHeight="1">
      <c r="A2" s="15">
        <v>10101.0</v>
      </c>
      <c r="B2" s="16" t="s">
        <v>11</v>
      </c>
      <c r="C2" s="28">
        <v>32.403706113848344</v>
      </c>
      <c r="D2" s="28">
        <v>6.124566352170671</v>
      </c>
    </row>
    <row r="3" ht="15.75" customHeight="1">
      <c r="A3" s="15">
        <v>10102.0</v>
      </c>
      <c r="B3" s="16" t="s">
        <v>12</v>
      </c>
      <c r="C3" s="28">
        <v>25.82216808769793</v>
      </c>
      <c r="D3" s="28">
        <v>7.114093959731544</v>
      </c>
    </row>
    <row r="4" ht="15.75" customHeight="1">
      <c r="A4" s="15">
        <v>10103.0</v>
      </c>
      <c r="B4" s="16" t="s">
        <v>14</v>
      </c>
      <c r="C4" s="28">
        <v>29.40074906367041</v>
      </c>
      <c r="D4" s="28">
        <v>12.237442922374429</v>
      </c>
    </row>
    <row r="5" ht="15.75" customHeight="1">
      <c r="A5" s="15">
        <v>10201.0</v>
      </c>
      <c r="B5" s="16" t="s">
        <v>16</v>
      </c>
      <c r="C5" s="28">
        <v>38.69209809264305</v>
      </c>
      <c r="D5" s="28">
        <v>15.658362989323843</v>
      </c>
    </row>
    <row r="6" ht="15.75" customHeight="1">
      <c r="A6" s="15">
        <v>10202.0</v>
      </c>
      <c r="B6" s="16" t="s">
        <v>18</v>
      </c>
      <c r="C6" s="28">
        <v>27.32919254658385</v>
      </c>
      <c r="D6" s="28">
        <v>11.052322163433274</v>
      </c>
    </row>
    <row r="7" ht="15.75" customHeight="1">
      <c r="A7" s="15">
        <v>10301.0</v>
      </c>
      <c r="B7" s="16" t="s">
        <v>20</v>
      </c>
      <c r="C7" s="28">
        <v>31.90909090909091</v>
      </c>
      <c r="D7" s="28">
        <v>12.550607287449392</v>
      </c>
    </row>
    <row r="8" ht="15.75" customHeight="1">
      <c r="A8" s="15">
        <v>10302.0</v>
      </c>
      <c r="B8" s="16" t="s">
        <v>22</v>
      </c>
      <c r="C8" s="28">
        <v>34.49222323879231</v>
      </c>
      <c r="D8" s="28">
        <v>13.459879206212252</v>
      </c>
    </row>
    <row r="9" ht="15.75" customHeight="1">
      <c r="A9" s="15">
        <v>10303.0</v>
      </c>
      <c r="B9" s="16" t="s">
        <v>24</v>
      </c>
      <c r="C9" s="28">
        <v>23.838080959520237</v>
      </c>
      <c r="D9" s="28">
        <v>11.330698287220025</v>
      </c>
    </row>
    <row r="10" ht="15.75" customHeight="1">
      <c r="A10" s="15">
        <v>10304.0</v>
      </c>
      <c r="B10" s="16" t="s">
        <v>26</v>
      </c>
      <c r="C10" s="28">
        <v>28.670120898100173</v>
      </c>
      <c r="D10" s="28">
        <v>13.75422773393461</v>
      </c>
    </row>
    <row r="11" ht="15.75" customHeight="1">
      <c r="A11" s="15">
        <v>10401.0</v>
      </c>
      <c r="B11" s="16" t="s">
        <v>28</v>
      </c>
      <c r="C11" s="28">
        <v>23.181257706535142</v>
      </c>
      <c r="D11" s="28">
        <v>11.73974540311174</v>
      </c>
    </row>
    <row r="12" ht="15.75" customHeight="1">
      <c r="A12" s="15">
        <v>10402.0</v>
      </c>
      <c r="B12" s="16" t="s">
        <v>30</v>
      </c>
      <c r="C12" s="28">
        <v>30.520393811533054</v>
      </c>
      <c r="D12" s="28">
        <v>12.578616352201259</v>
      </c>
    </row>
    <row r="13" ht="15.75" customHeight="1">
      <c r="A13" s="15">
        <v>10403.0</v>
      </c>
      <c r="B13" s="16" t="s">
        <v>32</v>
      </c>
      <c r="C13" s="28">
        <v>35.543278084714544</v>
      </c>
      <c r="D13" s="28">
        <v>15.993537964458804</v>
      </c>
    </row>
    <row r="14" ht="15.75" customHeight="1">
      <c r="A14" s="15">
        <v>10404.0</v>
      </c>
      <c r="B14" s="16" t="s">
        <v>34</v>
      </c>
      <c r="C14" s="28">
        <v>28.06236080178174</v>
      </c>
      <c r="D14" s="28">
        <v>12.0</v>
      </c>
    </row>
    <row r="15" ht="15.75" customHeight="1">
      <c r="A15" s="15">
        <v>10405.0</v>
      </c>
      <c r="B15" s="16" t="s">
        <v>36</v>
      </c>
      <c r="C15" s="28">
        <v>24.20212765957447</v>
      </c>
      <c r="D15" s="28">
        <v>15.11111111111111</v>
      </c>
    </row>
    <row r="16" ht="15.75" customHeight="1">
      <c r="A16" s="15">
        <v>10501.0</v>
      </c>
      <c r="B16" s="16" t="s">
        <v>37</v>
      </c>
      <c r="C16" s="28">
        <v>25.205479452054796</v>
      </c>
      <c r="D16" s="28">
        <v>9.327548806941431</v>
      </c>
    </row>
    <row r="17" ht="15.75" customHeight="1">
      <c r="A17" s="15">
        <v>10502.0</v>
      </c>
      <c r="B17" s="16" t="s">
        <v>39</v>
      </c>
      <c r="C17" s="28">
        <v>30.729166666666668</v>
      </c>
      <c r="D17" s="28">
        <v>16.6270783847981</v>
      </c>
    </row>
    <row r="18" ht="15.75" customHeight="1">
      <c r="A18" s="15">
        <v>10601.0</v>
      </c>
      <c r="B18" s="16" t="s">
        <v>41</v>
      </c>
      <c r="C18" s="28">
        <v>29.747899159663866</v>
      </c>
      <c r="D18" s="28">
        <v>10.69609507640068</v>
      </c>
    </row>
    <row r="19" ht="15.75" customHeight="1">
      <c r="A19" s="15">
        <v>10602.0</v>
      </c>
      <c r="B19" s="16" t="s">
        <v>42</v>
      </c>
      <c r="C19" s="28">
        <v>29.585798816568047</v>
      </c>
      <c r="D19" s="28">
        <v>9.787928221859707</v>
      </c>
    </row>
    <row r="20" ht="15.75" customHeight="1">
      <c r="A20" s="15">
        <v>10701.0</v>
      </c>
      <c r="B20" s="16" t="s">
        <v>43</v>
      </c>
      <c r="C20" s="28">
        <v>30.919003115264797</v>
      </c>
      <c r="D20" s="28">
        <v>7.996406109613657</v>
      </c>
    </row>
    <row r="21" ht="15.75" customHeight="1">
      <c r="A21" s="15">
        <v>10702.0</v>
      </c>
      <c r="B21" s="16" t="s">
        <v>44</v>
      </c>
      <c r="C21" s="28">
        <v>24.654286843145</v>
      </c>
      <c r="D21" s="28">
        <v>11.383161512027492</v>
      </c>
    </row>
    <row r="22" ht="15.75" customHeight="1">
      <c r="A22" s="15">
        <v>10703.0</v>
      </c>
      <c r="B22" s="16" t="s">
        <v>45</v>
      </c>
      <c r="C22" s="28">
        <v>32.44979919678715</v>
      </c>
      <c r="D22" s="28">
        <v>12.985274431057563</v>
      </c>
    </row>
    <row r="23" ht="15.75" customHeight="1">
      <c r="A23" s="15">
        <v>10704.0</v>
      </c>
      <c r="B23" s="16" t="s">
        <v>46</v>
      </c>
      <c r="C23" s="28">
        <v>38.107928047968024</v>
      </c>
      <c r="D23" s="28">
        <v>13.418745785569792</v>
      </c>
    </row>
    <row r="24" ht="15.75" customHeight="1">
      <c r="A24" s="15">
        <v>10801.0</v>
      </c>
      <c r="B24" s="16" t="s">
        <v>47</v>
      </c>
      <c r="C24" s="28">
        <v>28.37837837837838</v>
      </c>
      <c r="D24" s="28">
        <v>10.304789550072568</v>
      </c>
    </row>
    <row r="25" ht="15.75" customHeight="1">
      <c r="A25" s="15">
        <v>10901.0</v>
      </c>
      <c r="B25" s="16" t="s">
        <v>48</v>
      </c>
      <c r="C25" s="28">
        <v>30.89171974522293</v>
      </c>
      <c r="D25" s="28">
        <v>14.380530973451327</v>
      </c>
    </row>
    <row r="26" ht="15.75" customHeight="1">
      <c r="A26" s="15">
        <v>10902.0</v>
      </c>
      <c r="B26" s="16" t="s">
        <v>49</v>
      </c>
      <c r="C26" s="28">
        <v>31.582537517053204</v>
      </c>
      <c r="D26" s="28">
        <v>11.356209150326798</v>
      </c>
    </row>
    <row r="27" ht="15.75" customHeight="1">
      <c r="A27" s="15">
        <v>10903.0</v>
      </c>
      <c r="B27" s="16" t="s">
        <v>50</v>
      </c>
      <c r="C27" s="28">
        <v>28.34890965732087</v>
      </c>
      <c r="D27" s="28">
        <v>16.193181818181817</v>
      </c>
    </row>
    <row r="28" ht="15.75" customHeight="1">
      <c r="A28" s="15">
        <v>11001.0</v>
      </c>
      <c r="B28" s="16" t="s">
        <v>51</v>
      </c>
      <c r="C28" s="28">
        <v>34.355828220858896</v>
      </c>
      <c r="D28" s="28">
        <v>9.630818619582666</v>
      </c>
    </row>
    <row r="29" ht="15.75" customHeight="1">
      <c r="A29" s="15">
        <v>11002.0</v>
      </c>
      <c r="B29" s="16" t="s">
        <v>52</v>
      </c>
      <c r="C29" s="28">
        <v>30.392156862745097</v>
      </c>
      <c r="D29" s="28">
        <v>14.009661835748794</v>
      </c>
    </row>
    <row r="30" ht="15.75" customHeight="1">
      <c r="A30" s="15">
        <v>11003.0</v>
      </c>
      <c r="B30" s="16" t="s">
        <v>53</v>
      </c>
      <c r="C30" s="28">
        <v>30.971993410214164</v>
      </c>
      <c r="D30" s="28">
        <v>15.384615384615385</v>
      </c>
    </row>
    <row r="31" ht="15.75" customHeight="1">
      <c r="A31" s="15">
        <v>20101.0</v>
      </c>
      <c r="B31" s="16" t="s">
        <v>54</v>
      </c>
      <c r="C31" s="28">
        <v>27.036515912897823</v>
      </c>
      <c r="D31" s="28">
        <v>5.042755924749573</v>
      </c>
    </row>
    <row r="32" ht="15.75" customHeight="1">
      <c r="A32" s="15">
        <v>20102.0</v>
      </c>
      <c r="B32" s="16" t="s">
        <v>55</v>
      </c>
      <c r="C32" s="28">
        <v>16.887417218543046</v>
      </c>
      <c r="D32" s="28">
        <v>8.010610079575597</v>
      </c>
    </row>
    <row r="33" ht="15.75" customHeight="1">
      <c r="A33" s="15">
        <v>20103.0</v>
      </c>
      <c r="B33" s="16" t="s">
        <v>56</v>
      </c>
      <c r="C33" s="28">
        <v>11.243851018973999</v>
      </c>
      <c r="D33" s="28">
        <v>5.318450426789232</v>
      </c>
    </row>
    <row r="34" ht="15.75" customHeight="1">
      <c r="A34" s="15">
        <v>20104.0</v>
      </c>
      <c r="B34" s="16" t="s">
        <v>57</v>
      </c>
      <c r="C34" s="28">
        <v>18.623290900518626</v>
      </c>
      <c r="D34" s="28">
        <v>8.25364871665828</v>
      </c>
    </row>
    <row r="35" ht="15.75" customHeight="1">
      <c r="A35" s="15">
        <v>20105.0</v>
      </c>
      <c r="B35" s="16" t="s">
        <v>58</v>
      </c>
      <c r="C35" s="28">
        <v>24.756977939851378</v>
      </c>
      <c r="D35" s="28">
        <v>7.198132907505221</v>
      </c>
    </row>
    <row r="36" ht="15.75" customHeight="1">
      <c r="A36" s="15">
        <v>20201.0</v>
      </c>
      <c r="B36" s="16" t="s">
        <v>59</v>
      </c>
      <c r="C36" s="28">
        <v>15.670103092783505</v>
      </c>
      <c r="D36" s="28">
        <v>5.898566703417861</v>
      </c>
    </row>
    <row r="37" ht="15.75" customHeight="1">
      <c r="A37" s="15">
        <v>20202.0</v>
      </c>
      <c r="B37" s="16" t="s">
        <v>60</v>
      </c>
      <c r="C37" s="28">
        <v>9.223744292237443</v>
      </c>
      <c r="D37" s="28">
        <v>7.201458523245215</v>
      </c>
    </row>
    <row r="38" ht="15.75" customHeight="1">
      <c r="A38" s="15">
        <v>20203.0</v>
      </c>
      <c r="B38" s="16" t="s">
        <v>61</v>
      </c>
      <c r="C38" s="28">
        <v>12.101910828025478</v>
      </c>
      <c r="D38" s="28">
        <v>9.056603773584905</v>
      </c>
    </row>
    <row r="39" ht="15.75" customHeight="1">
      <c r="A39" s="15">
        <v>20204.0</v>
      </c>
      <c r="B39" s="16" t="s">
        <v>62</v>
      </c>
      <c r="C39" s="28">
        <v>20.66246056782334</v>
      </c>
      <c r="D39" s="28">
        <v>4.914933837429111</v>
      </c>
    </row>
    <row r="40" ht="15.75" customHeight="1">
      <c r="A40" s="15">
        <v>20205.0</v>
      </c>
      <c r="B40" s="16" t="s">
        <v>63</v>
      </c>
      <c r="C40" s="28">
        <v>29.225352112676056</v>
      </c>
      <c r="D40" s="28">
        <v>6.282722513089005</v>
      </c>
    </row>
    <row r="41" ht="15.75" customHeight="1">
      <c r="A41" s="15">
        <v>20206.0</v>
      </c>
      <c r="B41" s="16" t="s">
        <v>64</v>
      </c>
      <c r="C41" s="28">
        <v>20.43010752688172</v>
      </c>
      <c r="D41" s="28">
        <v>4.761904761904762</v>
      </c>
    </row>
    <row r="42" ht="15.75" customHeight="1">
      <c r="A42" s="15">
        <v>20301.0</v>
      </c>
      <c r="B42" s="16" t="s">
        <v>65</v>
      </c>
      <c r="C42" s="28">
        <v>12.469135802469136</v>
      </c>
      <c r="D42" s="28">
        <v>5.717367853290183</v>
      </c>
    </row>
    <row r="43" ht="15.75" customHeight="1">
      <c r="A43" s="15">
        <v>20302.0</v>
      </c>
      <c r="B43" s="16" t="s">
        <v>66</v>
      </c>
      <c r="C43" s="28">
        <v>12.129380053908356</v>
      </c>
      <c r="D43" s="28">
        <v>5.223171889838556</v>
      </c>
    </row>
    <row r="44" ht="15.75" customHeight="1">
      <c r="A44" s="15">
        <v>20303.0</v>
      </c>
      <c r="B44" s="16" t="s">
        <v>67</v>
      </c>
      <c r="C44" s="28">
        <v>10.3988603988604</v>
      </c>
      <c r="D44" s="28">
        <v>8.18639798488665</v>
      </c>
    </row>
    <row r="45" ht="15.75" customHeight="1">
      <c r="A45" s="15">
        <v>20304.0</v>
      </c>
      <c r="B45" s="16" t="s">
        <v>68</v>
      </c>
      <c r="C45" s="28">
        <v>15.0</v>
      </c>
      <c r="D45" s="28">
        <v>5.989583333333334</v>
      </c>
    </row>
    <row r="46" ht="15.75" customHeight="1">
      <c r="A46" s="15">
        <v>20305.0</v>
      </c>
      <c r="B46" s="16" t="s">
        <v>69</v>
      </c>
      <c r="C46" s="28">
        <v>25.352112676056336</v>
      </c>
      <c r="D46" s="28">
        <v>9.49367088607595</v>
      </c>
    </row>
    <row r="47" ht="15.75" customHeight="1">
      <c r="A47" s="15">
        <v>20306.0</v>
      </c>
      <c r="B47" s="16" t="s">
        <v>70</v>
      </c>
      <c r="C47" s="28">
        <v>15.963302752293579</v>
      </c>
      <c r="D47" s="28">
        <v>5.537459283387622</v>
      </c>
    </row>
    <row r="48" ht="15.75" customHeight="1">
      <c r="A48" s="15">
        <v>20307.0</v>
      </c>
      <c r="B48" s="16" t="s">
        <v>71</v>
      </c>
      <c r="C48" s="28">
        <v>27.11864406779661</v>
      </c>
      <c r="D48" s="28">
        <v>5.985915492957746</v>
      </c>
    </row>
    <row r="49" ht="15.75" customHeight="1">
      <c r="A49" s="15">
        <v>20308.0</v>
      </c>
      <c r="B49" s="16" t="s">
        <v>72</v>
      </c>
      <c r="C49" s="28">
        <v>12.747252747252746</v>
      </c>
      <c r="D49" s="28">
        <v>6.41025641025641</v>
      </c>
    </row>
    <row r="50" ht="15.75" customHeight="1">
      <c r="A50" s="15">
        <v>20401.0</v>
      </c>
      <c r="B50" s="16" t="s">
        <v>73</v>
      </c>
      <c r="C50" s="28">
        <v>8.044554455445544</v>
      </c>
      <c r="D50" s="28">
        <v>7.44297719087635</v>
      </c>
    </row>
    <row r="51" ht="15.75" customHeight="1">
      <c r="A51" s="15">
        <v>20402.0</v>
      </c>
      <c r="B51" s="16" t="s">
        <v>74</v>
      </c>
      <c r="C51" s="28">
        <v>9.60067969413764</v>
      </c>
      <c r="D51" s="28">
        <v>6.354249404289118</v>
      </c>
    </row>
    <row r="52" ht="15.75" customHeight="1">
      <c r="A52" s="15">
        <v>20403.0</v>
      </c>
      <c r="B52" s="16" t="s">
        <v>75</v>
      </c>
      <c r="C52" s="28">
        <v>11.889400921658986</v>
      </c>
      <c r="D52" s="28">
        <v>9.31899641577061</v>
      </c>
    </row>
    <row r="53" ht="15.75" customHeight="1">
      <c r="A53" s="15">
        <v>20404.0</v>
      </c>
      <c r="B53" s="16" t="s">
        <v>76</v>
      </c>
      <c r="C53" s="28">
        <v>7.081545064377683</v>
      </c>
      <c r="D53" s="28">
        <v>6.733167082294264</v>
      </c>
    </row>
    <row r="54" ht="15.75" customHeight="1">
      <c r="A54" s="15">
        <v>20405.0</v>
      </c>
      <c r="B54" s="16" t="s">
        <v>77</v>
      </c>
      <c r="C54" s="28">
        <v>14.139344262295081</v>
      </c>
      <c r="D54" s="28">
        <v>5.244122965641953</v>
      </c>
    </row>
    <row r="55" ht="15.75" customHeight="1">
      <c r="A55" s="15">
        <v>20501.0</v>
      </c>
      <c r="B55" s="16" t="s">
        <v>78</v>
      </c>
      <c r="C55" s="28">
        <v>7.291666666666667</v>
      </c>
      <c r="D55" s="28">
        <v>8.333333333333332</v>
      </c>
    </row>
    <row r="56" ht="15.75" customHeight="1">
      <c r="A56" s="15">
        <v>20502.0</v>
      </c>
      <c r="B56" s="16" t="s">
        <v>79</v>
      </c>
      <c r="C56" s="28">
        <v>8.333333333333332</v>
      </c>
      <c r="D56" s="28">
        <v>9.058402860548272</v>
      </c>
    </row>
    <row r="57" ht="15.75" customHeight="1">
      <c r="A57" s="15">
        <v>20503.0</v>
      </c>
      <c r="B57" s="16" t="s">
        <v>80</v>
      </c>
      <c r="C57" s="28">
        <v>21.11801242236025</v>
      </c>
      <c r="D57" s="28">
        <v>13.003663003663005</v>
      </c>
    </row>
    <row r="58" ht="15.75" customHeight="1">
      <c r="A58" s="15">
        <v>20601.0</v>
      </c>
      <c r="B58" s="16" t="s">
        <v>81</v>
      </c>
      <c r="C58" s="28">
        <v>22.92250233426704</v>
      </c>
      <c r="D58" s="28">
        <v>11.30784708249497</v>
      </c>
    </row>
    <row r="59" ht="15.75" customHeight="1">
      <c r="A59" s="15">
        <v>20602.0</v>
      </c>
      <c r="B59" s="16" t="s">
        <v>82</v>
      </c>
      <c r="C59" s="28">
        <v>26.426426426426424</v>
      </c>
      <c r="D59" s="28">
        <v>15.565345080763581</v>
      </c>
    </row>
    <row r="60" ht="15.75" customHeight="1">
      <c r="A60" s="15">
        <v>20603.0</v>
      </c>
      <c r="B60" s="16" t="s">
        <v>83</v>
      </c>
      <c r="C60" s="28">
        <v>26.560424966799467</v>
      </c>
      <c r="D60" s="28">
        <v>16.78743961352657</v>
      </c>
    </row>
    <row r="61" ht="15.75" customHeight="1">
      <c r="A61" s="15">
        <v>20604.0</v>
      </c>
      <c r="B61" s="16" t="s">
        <v>84</v>
      </c>
      <c r="C61" s="28">
        <v>10.894941634241246</v>
      </c>
      <c r="D61" s="28">
        <v>15.025906735751295</v>
      </c>
    </row>
    <row r="62" ht="15.75" customHeight="1">
      <c r="A62" s="15">
        <v>20605.0</v>
      </c>
      <c r="B62" s="16" t="s">
        <v>85</v>
      </c>
      <c r="C62" s="28">
        <v>7.6158940397351</v>
      </c>
      <c r="D62" s="28">
        <v>6.306306306306306</v>
      </c>
    </row>
    <row r="63" ht="15.75" customHeight="1">
      <c r="A63" s="15">
        <v>20606.0</v>
      </c>
      <c r="B63" s="16" t="s">
        <v>86</v>
      </c>
      <c r="C63" s="28">
        <v>29.042224510813597</v>
      </c>
      <c r="D63" s="28">
        <v>17.490494296577946</v>
      </c>
    </row>
    <row r="64" ht="15.75" customHeight="1">
      <c r="A64" s="15">
        <v>20607.0</v>
      </c>
      <c r="B64" s="16" t="s">
        <v>87</v>
      </c>
      <c r="C64" s="28">
        <v>33.23485967503693</v>
      </c>
      <c r="D64" s="28">
        <v>18.85330578512397</v>
      </c>
    </row>
    <row r="65" ht="15.75" customHeight="1">
      <c r="A65" s="15">
        <v>20608.0</v>
      </c>
      <c r="B65" s="16" t="s">
        <v>88</v>
      </c>
      <c r="C65" s="28">
        <v>17.17062634989201</v>
      </c>
      <c r="D65" s="28">
        <v>14.666666666666666</v>
      </c>
    </row>
    <row r="66" ht="15.75" customHeight="1">
      <c r="A66" s="15">
        <v>20701.0</v>
      </c>
      <c r="B66" s="16" t="s">
        <v>89</v>
      </c>
      <c r="C66" s="28">
        <v>20.227765726681127</v>
      </c>
      <c r="D66" s="28">
        <v>14.108425865447419</v>
      </c>
    </row>
    <row r="67" ht="15.75" customHeight="1">
      <c r="A67" s="15">
        <v>20702.0</v>
      </c>
      <c r="B67" s="16" t="s">
        <v>90</v>
      </c>
      <c r="C67" s="28">
        <v>24.27843803056027</v>
      </c>
      <c r="D67" s="28">
        <v>13.069908814589665</v>
      </c>
    </row>
    <row r="68" ht="15.75" customHeight="1">
      <c r="A68" s="15">
        <v>20801.0</v>
      </c>
      <c r="B68" s="16" t="s">
        <v>91</v>
      </c>
      <c r="C68" s="28">
        <v>24.311986435372376</v>
      </c>
      <c r="D68" s="28">
        <v>8.231032400885491</v>
      </c>
    </row>
    <row r="69" ht="15.75" customHeight="1">
      <c r="A69" s="15">
        <v>20802.0</v>
      </c>
      <c r="B69" s="16" t="s">
        <v>92</v>
      </c>
      <c r="C69" s="28">
        <v>13.333333333333334</v>
      </c>
      <c r="D69" s="28">
        <v>4.417670682730924</v>
      </c>
    </row>
    <row r="70" ht="15.75" customHeight="1">
      <c r="A70" s="15">
        <v>20803.0</v>
      </c>
      <c r="B70" s="16" t="s">
        <v>93</v>
      </c>
      <c r="C70" s="28">
        <v>21.68284789644013</v>
      </c>
      <c r="D70" s="28">
        <v>5.446009389671361</v>
      </c>
    </row>
    <row r="71" ht="15.75" customHeight="1">
      <c r="A71" s="15">
        <v>20804.0</v>
      </c>
      <c r="B71" s="16" t="s">
        <v>94</v>
      </c>
      <c r="C71" s="28">
        <v>24.781849912739965</v>
      </c>
      <c r="D71" s="28">
        <v>8.876811594202898</v>
      </c>
    </row>
    <row r="72" ht="15.75" customHeight="1">
      <c r="A72" s="15">
        <v>20805.0</v>
      </c>
      <c r="B72" s="16" t="s">
        <v>95</v>
      </c>
      <c r="C72" s="28">
        <v>12.803532008830022</v>
      </c>
      <c r="D72" s="28">
        <v>5.293005671077505</v>
      </c>
    </row>
    <row r="73" ht="15.75" customHeight="1">
      <c r="A73" s="15">
        <v>20806.0</v>
      </c>
      <c r="B73" s="16" t="s">
        <v>96</v>
      </c>
      <c r="C73" s="28">
        <v>11.7820324005891</v>
      </c>
      <c r="D73" s="28">
        <v>3.634826711749789</v>
      </c>
    </row>
    <row r="74" ht="15.75" customHeight="1">
      <c r="A74" s="15">
        <v>20807.0</v>
      </c>
      <c r="B74" s="16" t="s">
        <v>97</v>
      </c>
      <c r="C74" s="28">
        <v>10.321100917431194</v>
      </c>
      <c r="D74" s="28">
        <v>7.855626326963907</v>
      </c>
    </row>
    <row r="75" ht="15.75" customHeight="1">
      <c r="A75" s="15">
        <v>20901.0</v>
      </c>
      <c r="B75" s="16" t="s">
        <v>98</v>
      </c>
      <c r="C75" s="28">
        <v>12.134344528710725</v>
      </c>
      <c r="D75" s="28">
        <v>7.101449275362319</v>
      </c>
    </row>
    <row r="76" ht="15.75" customHeight="1">
      <c r="A76" s="15">
        <v>20902.0</v>
      </c>
      <c r="B76" s="16" t="s">
        <v>99</v>
      </c>
      <c r="C76" s="28">
        <v>7.883817427385892</v>
      </c>
      <c r="D76" s="28">
        <v>4.7658175842235</v>
      </c>
    </row>
    <row r="77" ht="15.75" customHeight="1">
      <c r="A77" s="15">
        <v>20903.0</v>
      </c>
      <c r="B77" s="16" t="s">
        <v>100</v>
      </c>
      <c r="C77" s="28">
        <v>11.813643926788686</v>
      </c>
      <c r="D77" s="28">
        <v>10.245901639344263</v>
      </c>
    </row>
    <row r="78" ht="15.75" customHeight="1">
      <c r="A78" s="15">
        <v>20904.0</v>
      </c>
      <c r="B78" s="16" t="s">
        <v>101</v>
      </c>
      <c r="C78" s="28">
        <v>20.907297830374755</v>
      </c>
      <c r="D78" s="28">
        <v>11.789473684210526</v>
      </c>
    </row>
    <row r="79" ht="15.75" customHeight="1">
      <c r="A79" s="15">
        <v>20905.0</v>
      </c>
      <c r="B79" s="16" t="s">
        <v>102</v>
      </c>
      <c r="C79" s="28">
        <v>15.254237288135593</v>
      </c>
      <c r="D79" s="28">
        <v>11.141552511415526</v>
      </c>
    </row>
    <row r="80" ht="15.75" customHeight="1">
      <c r="A80" s="15">
        <v>21001.0</v>
      </c>
      <c r="B80" s="16" t="s">
        <v>103</v>
      </c>
      <c r="C80" s="28">
        <v>19.251824817518248</v>
      </c>
      <c r="D80" s="28">
        <v>12.046543463381246</v>
      </c>
    </row>
    <row r="81" ht="15.75" customHeight="1">
      <c r="A81" s="15">
        <v>21002.0</v>
      </c>
      <c r="B81" s="16" t="s">
        <v>104</v>
      </c>
      <c r="C81" s="28">
        <v>32.56172839506173</v>
      </c>
      <c r="D81" s="28">
        <v>16.452074391988557</v>
      </c>
    </row>
    <row r="82" ht="15.75" customHeight="1">
      <c r="A82" s="15">
        <v>21003.0</v>
      </c>
      <c r="B82" s="16" t="s">
        <v>105</v>
      </c>
      <c r="C82" s="28">
        <v>14.120126448893572</v>
      </c>
      <c r="D82" s="28">
        <v>9.436722750548647</v>
      </c>
    </row>
    <row r="83" ht="15.75" customHeight="1">
      <c r="A83" s="15">
        <v>21004.0</v>
      </c>
      <c r="B83" s="16" t="s">
        <v>106</v>
      </c>
      <c r="C83" s="28">
        <v>28.544423440453688</v>
      </c>
      <c r="D83" s="28">
        <v>13.179916317991633</v>
      </c>
    </row>
    <row r="84" ht="15.75" customHeight="1">
      <c r="A84" s="15">
        <v>21005.0</v>
      </c>
      <c r="B84" s="16" t="s">
        <v>107</v>
      </c>
      <c r="C84" s="28">
        <v>12.682215743440233</v>
      </c>
      <c r="D84" s="28">
        <v>11.813842482100238</v>
      </c>
    </row>
    <row r="85" ht="15.75" customHeight="1">
      <c r="A85" s="15">
        <v>21006.0</v>
      </c>
      <c r="B85" s="16" t="s">
        <v>108</v>
      </c>
      <c r="C85" s="28">
        <v>19.18876755070203</v>
      </c>
      <c r="D85" s="28">
        <v>11.3997113997114</v>
      </c>
    </row>
    <row r="86" ht="15.75" customHeight="1">
      <c r="A86" s="15">
        <v>21101.0</v>
      </c>
      <c r="B86" s="16" t="s">
        <v>109</v>
      </c>
      <c r="C86" s="28">
        <v>8.80466472303207</v>
      </c>
      <c r="D86" s="28">
        <v>3.8567493112947657</v>
      </c>
    </row>
    <row r="87" ht="15.75" customHeight="1">
      <c r="A87" s="15">
        <v>21102.0</v>
      </c>
      <c r="B87" s="16" t="s">
        <v>110</v>
      </c>
      <c r="C87" s="28">
        <v>14.295580110497239</v>
      </c>
      <c r="D87" s="28">
        <v>7.06713780918728</v>
      </c>
    </row>
    <row r="88" ht="15.75" customHeight="1">
      <c r="A88" s="15">
        <v>21103.0</v>
      </c>
      <c r="B88" s="16" t="s">
        <v>111</v>
      </c>
      <c r="C88" s="28">
        <v>24.2</v>
      </c>
      <c r="D88" s="28">
        <v>9.20353982300885</v>
      </c>
    </row>
    <row r="89" ht="15.75" customHeight="1">
      <c r="A89" s="15">
        <v>21104.0</v>
      </c>
      <c r="B89" s="16" t="s">
        <v>112</v>
      </c>
      <c r="C89" s="28">
        <v>16.237541528239202</v>
      </c>
      <c r="D89" s="28">
        <v>8.39630562552477</v>
      </c>
    </row>
    <row r="90" ht="15.75" customHeight="1">
      <c r="A90" s="15">
        <v>21105.0</v>
      </c>
      <c r="B90" s="16" t="s">
        <v>113</v>
      </c>
      <c r="C90" s="28">
        <v>4.5738045738045745</v>
      </c>
      <c r="D90" s="28">
        <v>4.888888888888889</v>
      </c>
    </row>
    <row r="91" ht="15.75" customHeight="1">
      <c r="A91" s="15">
        <v>21201.0</v>
      </c>
      <c r="B91" s="16" t="s">
        <v>114</v>
      </c>
      <c r="C91" s="28">
        <v>18.48767488341106</v>
      </c>
      <c r="D91" s="28">
        <v>8.461909353905495</v>
      </c>
    </row>
    <row r="92" ht="15.75" customHeight="1">
      <c r="A92" s="15">
        <v>21202.0</v>
      </c>
      <c r="B92" s="16" t="s">
        <v>115</v>
      </c>
      <c r="C92" s="28">
        <v>17.167755991285404</v>
      </c>
      <c r="D92" s="28">
        <v>8.60906862745098</v>
      </c>
    </row>
    <row r="93" ht="15.75" customHeight="1">
      <c r="A93" s="15">
        <v>21203.0</v>
      </c>
      <c r="B93" s="16" t="s">
        <v>116</v>
      </c>
      <c r="C93" s="28">
        <v>14.466546112115733</v>
      </c>
      <c r="D93" s="28">
        <v>6.5627030539311235</v>
      </c>
    </row>
    <row r="94" ht="15.75" customHeight="1">
      <c r="A94" s="15">
        <v>21204.0</v>
      </c>
      <c r="B94" s="16" t="s">
        <v>117</v>
      </c>
      <c r="C94" s="28">
        <v>20.758483033932134</v>
      </c>
      <c r="D94" s="28">
        <v>10.666666666666668</v>
      </c>
    </row>
    <row r="95" ht="15.75" customHeight="1">
      <c r="A95" s="15">
        <v>21301.0</v>
      </c>
      <c r="B95" s="16" t="s">
        <v>118</v>
      </c>
      <c r="C95" s="28">
        <v>19.304115088658413</v>
      </c>
      <c r="D95" s="28">
        <v>9.021246952281436</v>
      </c>
    </row>
    <row r="96" ht="15.75" customHeight="1">
      <c r="A96" s="15">
        <v>21302.0</v>
      </c>
      <c r="B96" s="16" t="s">
        <v>119</v>
      </c>
      <c r="C96" s="28">
        <v>6.885758998435055</v>
      </c>
      <c r="D96" s="28">
        <v>5.084745762711865</v>
      </c>
    </row>
    <row r="97" ht="15.75" customHeight="1">
      <c r="A97" s="15">
        <v>21303.0</v>
      </c>
      <c r="B97" s="16" t="s">
        <v>120</v>
      </c>
      <c r="C97" s="28">
        <v>8.734939759036145</v>
      </c>
      <c r="D97" s="28">
        <v>7.967667436489608</v>
      </c>
    </row>
    <row r="98" ht="15.75" customHeight="1">
      <c r="A98" s="15">
        <v>21304.0</v>
      </c>
      <c r="B98" s="16" t="s">
        <v>121</v>
      </c>
      <c r="C98" s="28">
        <v>14.432989690721648</v>
      </c>
      <c r="D98" s="28">
        <v>7.154882154882154</v>
      </c>
    </row>
    <row r="99" ht="15.75" customHeight="1">
      <c r="A99" s="15">
        <v>21305.0</v>
      </c>
      <c r="B99" s="16" t="s">
        <v>122</v>
      </c>
      <c r="C99" s="28">
        <v>16.76352257487707</v>
      </c>
      <c r="D99" s="28">
        <v>7.838795394154118</v>
      </c>
    </row>
    <row r="100" ht="15.75" customHeight="1">
      <c r="A100" s="15">
        <v>21306.0</v>
      </c>
      <c r="B100" s="16" t="s">
        <v>123</v>
      </c>
      <c r="C100" s="28">
        <v>17.395833333333332</v>
      </c>
      <c r="D100" s="28">
        <v>10.973282442748092</v>
      </c>
    </row>
    <row r="101" ht="15.75" customHeight="1">
      <c r="A101" s="15">
        <v>21307.0</v>
      </c>
      <c r="B101" s="16" t="s">
        <v>124</v>
      </c>
      <c r="C101" s="28">
        <v>16.338582677165352</v>
      </c>
      <c r="D101" s="28">
        <v>11.83574879227053</v>
      </c>
    </row>
    <row r="102" ht="15.75" customHeight="1">
      <c r="A102" s="15">
        <v>21401.0</v>
      </c>
      <c r="B102" s="16" t="s">
        <v>125</v>
      </c>
      <c r="C102" s="28">
        <v>12.513542795232935</v>
      </c>
      <c r="D102" s="28">
        <v>5.695948656237465</v>
      </c>
    </row>
    <row r="103" ht="15.75" customHeight="1">
      <c r="A103" s="15">
        <v>21402.0</v>
      </c>
      <c r="B103" s="16" t="s">
        <v>126</v>
      </c>
      <c r="C103" s="28">
        <v>5.197132616487455</v>
      </c>
      <c r="D103" s="28">
        <v>3.597497393117831</v>
      </c>
    </row>
    <row r="104" ht="15.75" customHeight="1">
      <c r="A104" s="15">
        <v>21501.0</v>
      </c>
      <c r="B104" s="16" t="s">
        <v>127</v>
      </c>
      <c r="C104" s="28">
        <v>33.53437876960193</v>
      </c>
      <c r="D104" s="28">
        <v>14.511041009463725</v>
      </c>
    </row>
    <row r="105" ht="15.75" customHeight="1">
      <c r="A105" s="15">
        <v>21502.0</v>
      </c>
      <c r="B105" s="16" t="s">
        <v>128</v>
      </c>
      <c r="C105" s="28">
        <v>30.495552731893266</v>
      </c>
      <c r="D105" s="28">
        <v>14.452214452214452</v>
      </c>
    </row>
    <row r="106" ht="15.75" customHeight="1">
      <c r="A106" s="15">
        <v>21601.0</v>
      </c>
      <c r="B106" s="16" t="s">
        <v>129</v>
      </c>
      <c r="C106" s="28">
        <v>12.785774767146485</v>
      </c>
      <c r="D106" s="28">
        <v>8.810888252148997</v>
      </c>
    </row>
    <row r="107" ht="15.75" customHeight="1">
      <c r="A107" s="15">
        <v>21602.0</v>
      </c>
      <c r="B107" s="16" t="s">
        <v>130</v>
      </c>
      <c r="C107" s="28">
        <v>18.088737201365188</v>
      </c>
      <c r="D107" s="28">
        <v>17.488076311605724</v>
      </c>
    </row>
    <row r="108" ht="15.75" customHeight="1">
      <c r="A108" s="15">
        <v>21701.0</v>
      </c>
      <c r="B108" s="16" t="s">
        <v>131</v>
      </c>
      <c r="C108" s="28">
        <v>11.62988115449915</v>
      </c>
      <c r="D108" s="28">
        <v>7.84789644012945</v>
      </c>
    </row>
    <row r="109" ht="15.75" customHeight="1">
      <c r="A109" s="15">
        <v>21702.0</v>
      </c>
      <c r="B109" s="16" t="s">
        <v>132</v>
      </c>
      <c r="C109" s="28">
        <v>22.99168975069252</v>
      </c>
      <c r="D109" s="28">
        <v>5.86080586080586</v>
      </c>
    </row>
    <row r="110" ht="15.75" customHeight="1">
      <c r="A110" s="15">
        <v>21703.0</v>
      </c>
      <c r="B110" s="16" t="s">
        <v>133</v>
      </c>
      <c r="C110" s="28">
        <v>15.169366715758468</v>
      </c>
      <c r="D110" s="28">
        <v>9.5703125</v>
      </c>
    </row>
    <row r="111" ht="15.75" customHeight="1">
      <c r="A111" s="15">
        <v>21801.0</v>
      </c>
      <c r="B111" s="16" t="s">
        <v>134</v>
      </c>
      <c r="C111" s="28">
        <v>10.199296600234467</v>
      </c>
      <c r="D111" s="28">
        <v>6.656101426307448</v>
      </c>
    </row>
    <row r="112" ht="15.75" customHeight="1">
      <c r="A112" s="15">
        <v>21802.0</v>
      </c>
      <c r="B112" s="16" t="s">
        <v>135</v>
      </c>
      <c r="C112" s="28">
        <v>14.94661921708185</v>
      </c>
      <c r="D112" s="28">
        <v>6.118143459915612</v>
      </c>
    </row>
    <row r="113" ht="15.75" customHeight="1">
      <c r="A113" s="15">
        <v>21803.0</v>
      </c>
      <c r="B113" s="16" t="s">
        <v>136</v>
      </c>
      <c r="C113" s="28">
        <v>7.741935483870968</v>
      </c>
      <c r="D113" s="28">
        <v>8.275862068965518</v>
      </c>
    </row>
    <row r="114" ht="15.75" customHeight="1">
      <c r="A114" s="15">
        <v>21901.0</v>
      </c>
      <c r="B114" s="16" t="s">
        <v>137</v>
      </c>
      <c r="C114" s="28">
        <v>17.341040462427745</v>
      </c>
      <c r="D114" s="28">
        <v>5.803571428571429</v>
      </c>
    </row>
    <row r="115" ht="15.75" customHeight="1">
      <c r="A115" s="15">
        <v>21902.0</v>
      </c>
      <c r="B115" s="16" t="s">
        <v>138</v>
      </c>
      <c r="C115" s="28">
        <v>12.658227848101266</v>
      </c>
      <c r="D115" s="28">
        <v>7.036247334754798</v>
      </c>
    </row>
    <row r="116" ht="15.75" customHeight="1">
      <c r="A116" s="15">
        <v>22001.0</v>
      </c>
      <c r="B116" s="16" t="s">
        <v>139</v>
      </c>
      <c r="C116" s="28">
        <v>11.071226147742301</v>
      </c>
      <c r="D116" s="28">
        <v>6.733885487936623</v>
      </c>
    </row>
    <row r="117" ht="15.75" customHeight="1">
      <c r="A117" s="15">
        <v>22002.0</v>
      </c>
      <c r="B117" s="16" t="s">
        <v>140</v>
      </c>
      <c r="C117" s="28">
        <v>12.05607476635514</v>
      </c>
      <c r="D117" s="28">
        <v>6.892655367231638</v>
      </c>
    </row>
    <row r="118" ht="15.75" customHeight="1">
      <c r="A118" s="15">
        <v>30101.0</v>
      </c>
      <c r="B118" s="16" t="s">
        <v>15</v>
      </c>
      <c r="C118" s="28">
        <v>28.96609999570342</v>
      </c>
      <c r="D118" s="28">
        <v>6.967458251830777</v>
      </c>
    </row>
    <row r="119" ht="15.75" customHeight="1">
      <c r="A119" s="15">
        <v>30201.0</v>
      </c>
      <c r="B119" s="16" t="s">
        <v>141</v>
      </c>
      <c r="C119" s="28">
        <v>30.0328227571116</v>
      </c>
      <c r="D119" s="28">
        <v>10.019940179461615</v>
      </c>
    </row>
    <row r="120" ht="15.75" customHeight="1">
      <c r="A120" s="15">
        <v>30202.0</v>
      </c>
      <c r="B120" s="16" t="s">
        <v>142</v>
      </c>
      <c r="C120" s="28">
        <v>23.366013071895424</v>
      </c>
      <c r="D120" s="28">
        <v>11.353711790393014</v>
      </c>
    </row>
    <row r="121" ht="15.75" customHeight="1">
      <c r="A121" s="15">
        <v>30203.0</v>
      </c>
      <c r="B121" s="16" t="s">
        <v>143</v>
      </c>
      <c r="C121" s="28">
        <v>21.414538310412574</v>
      </c>
      <c r="D121" s="28">
        <v>13.139931740614335</v>
      </c>
    </row>
    <row r="122" ht="15.75" customHeight="1">
      <c r="A122" s="15">
        <v>30301.0</v>
      </c>
      <c r="B122" s="16" t="s">
        <v>144</v>
      </c>
      <c r="C122" s="28">
        <v>25.0258531540848</v>
      </c>
      <c r="D122" s="28">
        <v>13.876221498371336</v>
      </c>
    </row>
    <row r="123" ht="15.75" customHeight="1">
      <c r="A123" s="15">
        <v>30302.0</v>
      </c>
      <c r="B123" s="16" t="s">
        <v>145</v>
      </c>
      <c r="C123" s="28">
        <v>22.375690607734807</v>
      </c>
      <c r="D123" s="28">
        <v>11.739864864864865</v>
      </c>
    </row>
    <row r="124" ht="15.75" customHeight="1">
      <c r="A124" s="15">
        <v>30303.0</v>
      </c>
      <c r="B124" s="16" t="s">
        <v>146</v>
      </c>
      <c r="C124" s="28">
        <v>21.518987341772153</v>
      </c>
      <c r="D124" s="28">
        <v>11.95457262402869</v>
      </c>
    </row>
    <row r="125" ht="15.75" customHeight="1">
      <c r="A125" s="15">
        <v>30401.0</v>
      </c>
      <c r="B125" s="16" t="s">
        <v>147</v>
      </c>
      <c r="C125" s="28">
        <v>30.693069306930692</v>
      </c>
      <c r="D125" s="28">
        <v>10.65651760228354</v>
      </c>
    </row>
    <row r="126" ht="15.75" customHeight="1">
      <c r="A126" s="15">
        <v>30402.0</v>
      </c>
      <c r="B126" s="16" t="s">
        <v>148</v>
      </c>
      <c r="C126" s="28">
        <v>24.087591240875913</v>
      </c>
      <c r="D126" s="28">
        <v>7.913669064748201</v>
      </c>
    </row>
    <row r="127" ht="15.75" customHeight="1">
      <c r="A127" s="15">
        <v>30403.0</v>
      </c>
      <c r="B127" s="16" t="s">
        <v>149</v>
      </c>
      <c r="C127" s="28">
        <v>27.53712871287129</v>
      </c>
      <c r="D127" s="28">
        <v>14.38177063877475</v>
      </c>
    </row>
    <row r="128" ht="15.75" customHeight="1">
      <c r="A128" s="15">
        <v>30404.0</v>
      </c>
      <c r="B128" s="16" t="s">
        <v>150</v>
      </c>
      <c r="C128" s="28">
        <v>16.434540389972145</v>
      </c>
      <c r="D128" s="28">
        <v>7.712082262210797</v>
      </c>
    </row>
    <row r="129" ht="15.75" customHeight="1">
      <c r="A129" s="15">
        <v>30501.0</v>
      </c>
      <c r="B129" s="16" t="s">
        <v>151</v>
      </c>
      <c r="C129" s="28">
        <v>26.124197002141326</v>
      </c>
      <c r="D129" s="28">
        <v>8.044692737430168</v>
      </c>
    </row>
    <row r="130" ht="15.75" customHeight="1">
      <c r="A130" s="15">
        <v>30502.0</v>
      </c>
      <c r="B130" s="16" t="s">
        <v>152</v>
      </c>
      <c r="C130" s="28">
        <v>13.37142857142857</v>
      </c>
      <c r="D130" s="28">
        <v>5.813953488372093</v>
      </c>
    </row>
    <row r="131" ht="15.75" customHeight="1">
      <c r="A131" s="15">
        <v>30601.0</v>
      </c>
      <c r="B131" s="16" t="s">
        <v>153</v>
      </c>
      <c r="C131" s="28">
        <v>19.15983606557377</v>
      </c>
      <c r="D131" s="28">
        <v>10.907127429805616</v>
      </c>
    </row>
    <row r="132" ht="15.75" customHeight="1">
      <c r="A132" s="15">
        <v>30602.0</v>
      </c>
      <c r="B132" s="16" t="s">
        <v>154</v>
      </c>
      <c r="C132" s="28">
        <v>10.232067510548523</v>
      </c>
      <c r="D132" s="28">
        <v>11.045828437132785</v>
      </c>
    </row>
    <row r="133" ht="15.75" customHeight="1">
      <c r="A133" s="15">
        <v>30701.0</v>
      </c>
      <c r="B133" s="16" t="s">
        <v>155</v>
      </c>
      <c r="C133" s="28">
        <v>23.712871287128714</v>
      </c>
      <c r="D133" s="28">
        <v>10.569105691056912</v>
      </c>
    </row>
    <row r="134" ht="15.75" customHeight="1">
      <c r="A134" s="15">
        <v>30702.0</v>
      </c>
      <c r="B134" s="16" t="s">
        <v>156</v>
      </c>
      <c r="C134" s="28">
        <v>26.586102719033235</v>
      </c>
      <c r="D134" s="28">
        <v>16.63619744058501</v>
      </c>
    </row>
    <row r="135" ht="15.75" customHeight="1">
      <c r="A135" s="15">
        <v>30703.0</v>
      </c>
      <c r="B135" s="16" t="s">
        <v>157</v>
      </c>
      <c r="C135" s="28">
        <v>23.49397590361446</v>
      </c>
      <c r="D135" s="28">
        <v>16.119402985074625</v>
      </c>
    </row>
    <row r="136" ht="15.75" customHeight="1">
      <c r="A136" s="15">
        <v>30801.0</v>
      </c>
      <c r="B136" s="16" t="s">
        <v>158</v>
      </c>
      <c r="C136" s="28">
        <v>27.423167848699766</v>
      </c>
      <c r="D136" s="28">
        <v>9.392575928008998</v>
      </c>
    </row>
    <row r="137" ht="15.75" customHeight="1">
      <c r="A137" s="15">
        <v>30802.0</v>
      </c>
      <c r="B137" s="16" t="s">
        <v>159</v>
      </c>
      <c r="C137" s="28">
        <v>26.876876876876878</v>
      </c>
      <c r="D137" s="28">
        <v>13.068181818181818</v>
      </c>
    </row>
    <row r="138" ht="15.75" customHeight="1">
      <c r="A138" s="15">
        <v>30803.0</v>
      </c>
      <c r="B138" s="16" t="s">
        <v>160</v>
      </c>
      <c r="C138" s="28">
        <v>29.927007299270077</v>
      </c>
      <c r="D138" s="28">
        <v>11.484593837535014</v>
      </c>
    </row>
    <row r="139" ht="15.75" customHeight="1">
      <c r="A139" s="15">
        <v>30901.0</v>
      </c>
      <c r="B139" s="16" t="s">
        <v>161</v>
      </c>
      <c r="C139" s="28">
        <v>28.024193548387093</v>
      </c>
      <c r="D139" s="28">
        <v>8.422703041705864</v>
      </c>
    </row>
    <row r="140" ht="15.75" customHeight="1">
      <c r="A140" s="15">
        <v>30902.0</v>
      </c>
      <c r="B140" s="16" t="s">
        <v>162</v>
      </c>
      <c r="C140" s="28">
        <v>26.36663007683864</v>
      </c>
      <c r="D140" s="28">
        <v>13.028734606460823</v>
      </c>
    </row>
    <row r="141" ht="15.75" customHeight="1">
      <c r="A141" s="15">
        <v>30903.0</v>
      </c>
      <c r="B141" s="16" t="s">
        <v>163</v>
      </c>
      <c r="C141" s="28">
        <v>26.383851127582403</v>
      </c>
      <c r="D141" s="28">
        <v>6.03605093434761</v>
      </c>
    </row>
    <row r="142" ht="15.75" customHeight="1">
      <c r="A142" s="15">
        <v>30904.0</v>
      </c>
      <c r="B142" s="16" t="s">
        <v>164</v>
      </c>
      <c r="C142" s="28">
        <v>28.753517629531533</v>
      </c>
      <c r="D142" s="28">
        <v>9.978991596638656</v>
      </c>
    </row>
    <row r="143" ht="15.75" customHeight="1">
      <c r="A143" s="15">
        <v>30905.0</v>
      </c>
      <c r="B143" s="16" t="s">
        <v>165</v>
      </c>
      <c r="C143" s="28">
        <v>30.222767935449923</v>
      </c>
      <c r="D143" s="28">
        <v>6.504201680672268</v>
      </c>
    </row>
    <row r="144" ht="15.75" customHeight="1">
      <c r="A144" s="15">
        <v>31001.0</v>
      </c>
      <c r="B144" s="16" t="s">
        <v>166</v>
      </c>
      <c r="C144" s="28">
        <v>29.40779220779221</v>
      </c>
      <c r="D144" s="28">
        <v>7.387899051893922</v>
      </c>
    </row>
    <row r="145" ht="15.75" customHeight="1">
      <c r="A145" s="15">
        <v>31002.0</v>
      </c>
      <c r="B145" s="16" t="s">
        <v>167</v>
      </c>
      <c r="C145" s="28">
        <v>16.008004002001</v>
      </c>
      <c r="D145" s="28">
        <v>7.669760625305325</v>
      </c>
    </row>
    <row r="146" ht="15.75" customHeight="1">
      <c r="A146" s="15">
        <v>31003.0</v>
      </c>
      <c r="B146" s="16" t="s">
        <v>168</v>
      </c>
      <c r="C146" s="28">
        <v>23.265852932420366</v>
      </c>
      <c r="D146" s="28">
        <v>12.50456593205893</v>
      </c>
    </row>
    <row r="147" ht="15.75" customHeight="1">
      <c r="A147" s="15">
        <v>31101.0</v>
      </c>
      <c r="B147" s="16" t="s">
        <v>169</v>
      </c>
      <c r="C147" s="28">
        <v>18.58719646799117</v>
      </c>
      <c r="D147" s="28">
        <v>11.247443762781186</v>
      </c>
    </row>
    <row r="148" ht="15.75" customHeight="1">
      <c r="A148" s="15">
        <v>31201.0</v>
      </c>
      <c r="B148" s="16" t="s">
        <v>170</v>
      </c>
      <c r="C148" s="28">
        <v>18.64530225782957</v>
      </c>
      <c r="D148" s="28">
        <v>6.874095513748191</v>
      </c>
    </row>
    <row r="149" ht="15.75" customHeight="1">
      <c r="A149" s="15">
        <v>31202.0</v>
      </c>
      <c r="B149" s="16" t="s">
        <v>171</v>
      </c>
      <c r="C149" s="28">
        <v>16.38115631691649</v>
      </c>
      <c r="D149" s="28">
        <v>8.304195804195805</v>
      </c>
    </row>
    <row r="150" ht="15.75" customHeight="1">
      <c r="A150" s="15">
        <v>31203.0</v>
      </c>
      <c r="B150" s="16" t="s">
        <v>172</v>
      </c>
      <c r="C150" s="28">
        <v>13.828786453433677</v>
      </c>
      <c r="D150" s="28">
        <v>9.933774834437086</v>
      </c>
    </row>
    <row r="151" ht="15.75" customHeight="1">
      <c r="A151" s="15">
        <v>31204.0</v>
      </c>
      <c r="B151" s="16" t="s">
        <v>173</v>
      </c>
      <c r="C151" s="28">
        <v>21.25984251968504</v>
      </c>
      <c r="D151" s="28">
        <v>11.86046511627907</v>
      </c>
    </row>
    <row r="152" ht="15.75" customHeight="1">
      <c r="A152" s="15">
        <v>31205.0</v>
      </c>
      <c r="B152" s="16" t="s">
        <v>174</v>
      </c>
      <c r="C152" s="28">
        <v>23.891129032258064</v>
      </c>
      <c r="D152" s="28">
        <v>13.430394241779814</v>
      </c>
    </row>
    <row r="153" ht="15.75" customHeight="1">
      <c r="A153" s="15">
        <v>31206.0</v>
      </c>
      <c r="B153" s="16" t="s">
        <v>175</v>
      </c>
      <c r="C153" s="28">
        <v>25.720943780949607</v>
      </c>
      <c r="D153" s="28">
        <v>15.31798495555049</v>
      </c>
    </row>
    <row r="154" ht="15.75" customHeight="1">
      <c r="A154" s="15">
        <v>31301.0</v>
      </c>
      <c r="B154" s="16" t="s">
        <v>176</v>
      </c>
      <c r="C154" s="28">
        <v>23.00518134715026</v>
      </c>
      <c r="D154" s="28">
        <v>10.575793184488838</v>
      </c>
    </row>
    <row r="155" ht="15.75" customHeight="1">
      <c r="A155" s="15">
        <v>31302.0</v>
      </c>
      <c r="B155" s="16" t="s">
        <v>177</v>
      </c>
      <c r="C155" s="28">
        <v>18.36327345309381</v>
      </c>
      <c r="D155" s="28">
        <v>16.017316017316016</v>
      </c>
    </row>
    <row r="156" ht="15.75" customHeight="1">
      <c r="A156" s="15">
        <v>31303.0</v>
      </c>
      <c r="B156" s="16" t="s">
        <v>178</v>
      </c>
      <c r="C156" s="28">
        <v>21.153846153846153</v>
      </c>
      <c r="D156" s="28">
        <v>13.398692810457517</v>
      </c>
    </row>
    <row r="157" ht="15.75" customHeight="1">
      <c r="A157" s="15">
        <v>31304.0</v>
      </c>
      <c r="B157" s="16" t="s">
        <v>179</v>
      </c>
      <c r="C157" s="21">
        <v>23.00518134715026</v>
      </c>
      <c r="D157" s="28">
        <v>12.616201859229747</v>
      </c>
    </row>
    <row r="158" ht="15.75" customHeight="1">
      <c r="A158" s="15">
        <v>31401.0</v>
      </c>
      <c r="B158" s="16" t="s">
        <v>180</v>
      </c>
      <c r="C158" s="28">
        <v>25.79390797148412</v>
      </c>
      <c r="D158" s="28">
        <v>8.419993290842</v>
      </c>
    </row>
    <row r="159" ht="15.75" customHeight="1">
      <c r="A159" s="15">
        <v>31402.0</v>
      </c>
      <c r="B159" s="16" t="s">
        <v>181</v>
      </c>
      <c r="C159" s="28">
        <v>26.507713884992988</v>
      </c>
      <c r="D159" s="28">
        <v>11.126373626373626</v>
      </c>
    </row>
    <row r="160" ht="15.75" customHeight="1">
      <c r="A160" s="15">
        <v>31403.0</v>
      </c>
      <c r="B160" s="16" t="s">
        <v>182</v>
      </c>
      <c r="C160" s="28">
        <v>25.749817117776153</v>
      </c>
      <c r="D160" s="28">
        <v>9.209302325581396</v>
      </c>
    </row>
    <row r="161" ht="15.75" customHeight="1">
      <c r="A161" s="15">
        <v>31404.0</v>
      </c>
      <c r="B161" s="16" t="s">
        <v>183</v>
      </c>
      <c r="C161" s="28">
        <v>29.545454545454547</v>
      </c>
      <c r="D161" s="28">
        <v>10.1010101010101</v>
      </c>
    </row>
    <row r="162" ht="15.75" customHeight="1">
      <c r="A162" s="15">
        <v>31405.0</v>
      </c>
      <c r="B162" s="16" t="s">
        <v>184</v>
      </c>
      <c r="C162" s="28">
        <v>20.242914979757085</v>
      </c>
      <c r="D162" s="28">
        <v>8.143322475570033</v>
      </c>
    </row>
    <row r="163" ht="15.75" customHeight="1">
      <c r="A163" s="15">
        <v>31501.0</v>
      </c>
      <c r="B163" s="16" t="s">
        <v>185</v>
      </c>
      <c r="C163" s="28">
        <v>11.71303074670571</v>
      </c>
      <c r="D163" s="28">
        <v>10.732538330494037</v>
      </c>
    </row>
    <row r="164" ht="15.75" customHeight="1">
      <c r="A164" s="15">
        <v>31601.0</v>
      </c>
      <c r="B164" s="16" t="s">
        <v>186</v>
      </c>
      <c r="C164" s="28">
        <v>14.195736434108527</v>
      </c>
      <c r="D164" s="28">
        <v>7.22291407222914</v>
      </c>
    </row>
    <row r="165" ht="15.75" customHeight="1">
      <c r="A165" s="15">
        <v>31602.0</v>
      </c>
      <c r="B165" s="16" t="s">
        <v>187</v>
      </c>
      <c r="C165" s="28">
        <v>25.079799361605108</v>
      </c>
      <c r="D165" s="28">
        <v>12.67175572519084</v>
      </c>
    </row>
    <row r="166" ht="15.75" customHeight="1">
      <c r="A166" s="15">
        <v>40101.0</v>
      </c>
      <c r="B166" s="16" t="s">
        <v>17</v>
      </c>
      <c r="C166" s="28">
        <v>32.56392536281963</v>
      </c>
      <c r="D166" s="28">
        <v>8.095104305682376</v>
      </c>
    </row>
    <row r="167" ht="15.75" customHeight="1">
      <c r="A167" s="15">
        <v>40102.0</v>
      </c>
      <c r="B167" s="16" t="s">
        <v>188</v>
      </c>
      <c r="C167" s="28">
        <v>23.125564588979223</v>
      </c>
      <c r="D167" s="28">
        <v>8.066083576287658</v>
      </c>
    </row>
    <row r="168" ht="15.75" customHeight="1">
      <c r="A168" s="15">
        <v>40103.0</v>
      </c>
      <c r="B168" s="16" t="s">
        <v>189</v>
      </c>
      <c r="C168" s="28">
        <v>14.196762141967623</v>
      </c>
      <c r="D168" s="28">
        <v>6.743185078909613</v>
      </c>
    </row>
    <row r="169" ht="15.75" customHeight="1">
      <c r="A169" s="15">
        <v>40104.0</v>
      </c>
      <c r="B169" s="16" t="s">
        <v>190</v>
      </c>
      <c r="C169" s="28">
        <v>19.11894273127753</v>
      </c>
      <c r="D169" s="28">
        <v>7.056936647955093</v>
      </c>
    </row>
    <row r="170" ht="15.75" customHeight="1">
      <c r="A170" s="15">
        <v>40201.0</v>
      </c>
      <c r="B170" s="16" t="s">
        <v>191</v>
      </c>
      <c r="C170" s="28">
        <v>21.383399209486164</v>
      </c>
      <c r="D170" s="28">
        <v>11.569148936170212</v>
      </c>
    </row>
    <row r="171" ht="15.75" customHeight="1">
      <c r="A171" s="15">
        <v>40202.0</v>
      </c>
      <c r="B171" s="16" t="s">
        <v>192</v>
      </c>
      <c r="C171" s="28">
        <v>15.413533834586465</v>
      </c>
      <c r="D171" s="28">
        <v>8.695652173913043</v>
      </c>
    </row>
    <row r="172" ht="15.75" customHeight="1">
      <c r="A172" s="15">
        <v>40301.0</v>
      </c>
      <c r="B172" s="16" t="s">
        <v>193</v>
      </c>
      <c r="C172" s="28">
        <v>28.771384136858476</v>
      </c>
      <c r="D172" s="28">
        <v>7.829181494661921</v>
      </c>
    </row>
    <row r="173" ht="15.75" customHeight="1">
      <c r="A173" s="15">
        <v>40302.0</v>
      </c>
      <c r="B173" s="16" t="s">
        <v>194</v>
      </c>
      <c r="C173" s="28">
        <v>19.078947368421055</v>
      </c>
      <c r="D173" s="28">
        <v>5.681818181818182</v>
      </c>
    </row>
    <row r="174" ht="15.75" customHeight="1">
      <c r="A174" s="15">
        <v>40401.0</v>
      </c>
      <c r="B174" s="16" t="s">
        <v>195</v>
      </c>
      <c r="C174" s="28">
        <v>24.096385542168676</v>
      </c>
      <c r="D174" s="28">
        <v>7.991360691144708</v>
      </c>
    </row>
    <row r="175" ht="15.75" customHeight="1">
      <c r="A175" s="15">
        <v>40402.0</v>
      </c>
      <c r="B175" s="16" t="s">
        <v>196</v>
      </c>
      <c r="C175" s="28">
        <v>17.027027027027028</v>
      </c>
      <c r="D175" s="28">
        <v>7.107843137254902</v>
      </c>
    </row>
    <row r="176" ht="15.75" customHeight="1">
      <c r="A176" s="15">
        <v>40501.0</v>
      </c>
      <c r="B176" s="16" t="s">
        <v>197</v>
      </c>
      <c r="C176" s="28">
        <v>23.52941176470588</v>
      </c>
      <c r="D176" s="28">
        <v>7.6923076923076925</v>
      </c>
    </row>
    <row r="177" ht="15.75" customHeight="1">
      <c r="A177" s="15">
        <v>40502.0</v>
      </c>
      <c r="B177" s="16" t="s">
        <v>198</v>
      </c>
      <c r="C177" s="28">
        <v>23.604060913705585</v>
      </c>
      <c r="D177" s="28">
        <v>8.974358974358974</v>
      </c>
    </row>
    <row r="178" ht="15.75" customHeight="1">
      <c r="A178" s="15">
        <v>40503.0</v>
      </c>
      <c r="B178" s="16" t="s">
        <v>199</v>
      </c>
      <c r="C178" s="28">
        <v>45.14285714285714</v>
      </c>
      <c r="D178" s="28">
        <v>5.673758865248227</v>
      </c>
    </row>
    <row r="179" ht="15.75" customHeight="1">
      <c r="A179" s="15">
        <v>40504.0</v>
      </c>
      <c r="B179" s="16" t="s">
        <v>200</v>
      </c>
      <c r="C179" s="28">
        <v>22.22222222222222</v>
      </c>
      <c r="D179" s="28">
        <v>14.473684210526317</v>
      </c>
    </row>
    <row r="180" ht="15.75" customHeight="1">
      <c r="A180" s="15">
        <v>40505.0</v>
      </c>
      <c r="B180" s="16" t="s">
        <v>201</v>
      </c>
      <c r="C180" s="28">
        <v>30.141843971631204</v>
      </c>
      <c r="D180" s="28">
        <v>10.355029585798817</v>
      </c>
    </row>
    <row r="181" ht="15.75" customHeight="1">
      <c r="A181" s="15">
        <v>40601.0</v>
      </c>
      <c r="B181" s="16" t="s">
        <v>202</v>
      </c>
      <c r="C181" s="28">
        <v>30.831973898858074</v>
      </c>
      <c r="D181" s="28">
        <v>11.229135053110774</v>
      </c>
    </row>
    <row r="182" ht="15.75" customHeight="1">
      <c r="A182" s="15">
        <v>40602.0</v>
      </c>
      <c r="B182" s="16" t="s">
        <v>203</v>
      </c>
      <c r="C182" s="28">
        <v>29.904306220095695</v>
      </c>
      <c r="D182" s="28">
        <v>8.015267175572518</v>
      </c>
    </row>
    <row r="183" ht="15.75" customHeight="1">
      <c r="A183" s="15">
        <v>40603.0</v>
      </c>
      <c r="B183" s="16" t="s">
        <v>204</v>
      </c>
      <c r="C183" s="28">
        <v>27.896995708154503</v>
      </c>
      <c r="D183" s="28">
        <v>10.424710424710424</v>
      </c>
    </row>
    <row r="184" ht="15.75" customHeight="1">
      <c r="A184" s="15">
        <v>40701.0</v>
      </c>
      <c r="B184" s="16" t="s">
        <v>205</v>
      </c>
      <c r="C184" s="28">
        <v>33.16719528772089</v>
      </c>
      <c r="D184" s="28">
        <v>8.031914893617023</v>
      </c>
    </row>
    <row r="185" ht="15.75" customHeight="1">
      <c r="A185" s="15">
        <v>40702.0</v>
      </c>
      <c r="B185" s="16" t="s">
        <v>206</v>
      </c>
      <c r="C185" s="28">
        <v>29.797979797979796</v>
      </c>
      <c r="D185" s="28">
        <v>12.555066079295155</v>
      </c>
    </row>
    <row r="186" ht="15.75" customHeight="1">
      <c r="A186" s="15">
        <v>40801.0</v>
      </c>
      <c r="B186" s="16" t="s">
        <v>207</v>
      </c>
      <c r="C186" s="28">
        <v>19.316688567674113</v>
      </c>
      <c r="D186" s="28">
        <v>8.52575488454707</v>
      </c>
    </row>
    <row r="187" ht="15.75" customHeight="1">
      <c r="A187" s="15">
        <v>40802.0</v>
      </c>
      <c r="B187" s="16" t="s">
        <v>208</v>
      </c>
      <c r="C187" s="28">
        <v>23.67149758454106</v>
      </c>
      <c r="D187" s="28">
        <v>9.333333333333334</v>
      </c>
    </row>
    <row r="188" ht="15.75" customHeight="1">
      <c r="A188" s="15">
        <v>40901.0</v>
      </c>
      <c r="B188" s="16" t="s">
        <v>209</v>
      </c>
      <c r="C188" s="28">
        <v>28.551136363636363</v>
      </c>
      <c r="D188" s="28">
        <v>9.739826551034023</v>
      </c>
    </row>
    <row r="189" ht="15.75" customHeight="1">
      <c r="A189" s="15">
        <v>40902.0</v>
      </c>
      <c r="B189" s="16" t="s">
        <v>210</v>
      </c>
      <c r="C189" s="28">
        <v>23.655913978494624</v>
      </c>
      <c r="D189" s="28">
        <v>8.411214953271028</v>
      </c>
    </row>
    <row r="190" ht="15.75" customHeight="1">
      <c r="A190" s="15">
        <v>40903.0</v>
      </c>
      <c r="B190" s="16" t="s">
        <v>211</v>
      </c>
      <c r="C190" s="28">
        <v>29.361702127659573</v>
      </c>
      <c r="D190" s="28">
        <v>20.869565217391305</v>
      </c>
    </row>
    <row r="191" ht="15.75" customHeight="1">
      <c r="A191" s="15">
        <v>41001.0</v>
      </c>
      <c r="B191" s="16" t="s">
        <v>212</v>
      </c>
      <c r="C191" s="28">
        <v>15.803452855245684</v>
      </c>
      <c r="D191" s="28">
        <v>9.316037735849056</v>
      </c>
    </row>
    <row r="192" ht="15.75" customHeight="1">
      <c r="A192" s="15">
        <v>41101.0</v>
      </c>
      <c r="B192" s="16" t="s">
        <v>213</v>
      </c>
      <c r="C192" s="28">
        <v>21.666666666666668</v>
      </c>
      <c r="D192" s="28">
        <v>10.256410256410255</v>
      </c>
    </row>
    <row r="193" ht="15.75" customHeight="1">
      <c r="A193" s="15">
        <v>41201.0</v>
      </c>
      <c r="B193" s="16" t="s">
        <v>214</v>
      </c>
      <c r="C193" s="28">
        <v>25.525525525525527</v>
      </c>
      <c r="D193" s="28">
        <v>5.85480093676815</v>
      </c>
    </row>
    <row r="194" ht="15.75" customHeight="1">
      <c r="A194" s="15">
        <v>41202.0</v>
      </c>
      <c r="B194" s="16" t="s">
        <v>215</v>
      </c>
      <c r="C194" s="28">
        <v>24.166666666666668</v>
      </c>
      <c r="D194" s="28">
        <v>8.108108108108109</v>
      </c>
    </row>
    <row r="195" ht="15.75" customHeight="1">
      <c r="A195" s="15">
        <v>41301.0</v>
      </c>
      <c r="B195" s="16" t="s">
        <v>216</v>
      </c>
      <c r="C195" s="28">
        <v>14.777327935222672</v>
      </c>
      <c r="D195" s="28">
        <v>10.15801354401806</v>
      </c>
    </row>
    <row r="196" ht="15.75" customHeight="1">
      <c r="A196" s="15">
        <v>41401.0</v>
      </c>
      <c r="B196" s="16" t="s">
        <v>217</v>
      </c>
      <c r="C196" s="28">
        <v>24.356435643564357</v>
      </c>
      <c r="D196" s="28">
        <v>7.505285412262157</v>
      </c>
    </row>
    <row r="197" ht="15.75" customHeight="1">
      <c r="A197" s="15">
        <v>41501.0</v>
      </c>
      <c r="B197" s="16" t="s">
        <v>218</v>
      </c>
      <c r="C197" s="28">
        <v>31.372549019607842</v>
      </c>
      <c r="D197" s="28">
        <v>13.392857142857142</v>
      </c>
    </row>
    <row r="198" ht="15.75" customHeight="1">
      <c r="A198" s="15">
        <v>41502.0</v>
      </c>
      <c r="B198" s="16" t="s">
        <v>219</v>
      </c>
      <c r="C198" s="28">
        <v>23.333333333333332</v>
      </c>
      <c r="D198" s="28">
        <v>6.493506493506493</v>
      </c>
    </row>
    <row r="199" ht="15.75" customHeight="1">
      <c r="A199" s="15">
        <v>41503.0</v>
      </c>
      <c r="B199" s="16" t="s">
        <v>220</v>
      </c>
      <c r="C199" s="28">
        <v>32.075471698113205</v>
      </c>
      <c r="D199" s="28">
        <v>10.81081081081081</v>
      </c>
    </row>
    <row r="200" ht="15.75" customHeight="1">
      <c r="A200" s="15">
        <v>41601.0</v>
      </c>
      <c r="B200" s="16" t="s">
        <v>221</v>
      </c>
      <c r="C200" s="28">
        <v>17.008797653958943</v>
      </c>
      <c r="D200" s="28">
        <v>6.956521739130435</v>
      </c>
    </row>
    <row r="201" ht="15.75" customHeight="1">
      <c r="A201" s="15">
        <v>50101.0</v>
      </c>
      <c r="B201" s="16" t="s">
        <v>19</v>
      </c>
      <c r="C201" s="28">
        <v>34.496051147047766</v>
      </c>
      <c r="D201" s="28">
        <v>10.209695603156709</v>
      </c>
    </row>
    <row r="202" ht="15.75" customHeight="1">
      <c r="A202" s="15">
        <v>50102.0</v>
      </c>
      <c r="B202" s="16" t="s">
        <v>222</v>
      </c>
      <c r="C202" s="28">
        <v>24.466571834992887</v>
      </c>
      <c r="D202" s="28">
        <v>16.92876965772433</v>
      </c>
    </row>
    <row r="203" ht="15.75" customHeight="1">
      <c r="A203" s="15">
        <v>50103.0</v>
      </c>
      <c r="B203" s="16" t="s">
        <v>223</v>
      </c>
      <c r="C203" s="28">
        <v>27.05530642750374</v>
      </c>
      <c r="D203" s="28">
        <v>10.955414012738855</v>
      </c>
    </row>
    <row r="204" ht="15.75" customHeight="1">
      <c r="A204" s="15">
        <v>50104.0</v>
      </c>
      <c r="B204" s="16" t="s">
        <v>224</v>
      </c>
      <c r="C204" s="28">
        <v>30.80357142857143</v>
      </c>
      <c r="D204" s="28">
        <v>15.384615384615385</v>
      </c>
    </row>
    <row r="205" ht="15.75" customHeight="1">
      <c r="A205" s="15">
        <v>50201.0</v>
      </c>
      <c r="B205" s="16" t="s">
        <v>225</v>
      </c>
      <c r="C205" s="28">
        <v>23.74821173104435</v>
      </c>
      <c r="D205" s="28">
        <v>9.613428280773144</v>
      </c>
    </row>
    <row r="206" ht="15.75" customHeight="1">
      <c r="A206" s="15">
        <v>50202.0</v>
      </c>
      <c r="B206" s="16" t="s">
        <v>226</v>
      </c>
      <c r="C206" s="28">
        <v>21.637426900584796</v>
      </c>
      <c r="D206" s="28">
        <v>10.639777468706537</v>
      </c>
    </row>
    <row r="207" ht="15.75" customHeight="1">
      <c r="A207" s="15">
        <v>50203.0</v>
      </c>
      <c r="B207" s="16" t="s">
        <v>227</v>
      </c>
      <c r="C207" s="28">
        <v>31.34483475368946</v>
      </c>
      <c r="D207" s="28">
        <v>7.240156745661504</v>
      </c>
    </row>
    <row r="208" ht="15.75" customHeight="1">
      <c r="A208" s="15">
        <v>50204.0</v>
      </c>
      <c r="B208" s="16" t="s">
        <v>228</v>
      </c>
      <c r="C208" s="28">
        <v>39.25081433224756</v>
      </c>
      <c r="D208" s="28">
        <v>18.523878437047756</v>
      </c>
    </row>
    <row r="209" ht="15.75" customHeight="1">
      <c r="A209" s="15">
        <v>50301.0</v>
      </c>
      <c r="B209" s="16" t="s">
        <v>229</v>
      </c>
      <c r="C209" s="28">
        <v>20.159611380985424</v>
      </c>
      <c r="D209" s="28">
        <v>11.342229199372056</v>
      </c>
    </row>
    <row r="210" ht="15.75" customHeight="1">
      <c r="A210" s="15">
        <v>50302.0</v>
      </c>
      <c r="B210" s="16" t="s">
        <v>230</v>
      </c>
      <c r="C210" s="28">
        <v>26.432291666666668</v>
      </c>
      <c r="D210" s="28">
        <v>12.73006134969325</v>
      </c>
    </row>
    <row r="211" ht="15.75" customHeight="1">
      <c r="A211" s="15">
        <v>50303.0</v>
      </c>
      <c r="B211" s="16" t="s">
        <v>231</v>
      </c>
      <c r="C211" s="28">
        <v>19.82475355969332</v>
      </c>
      <c r="D211" s="28">
        <v>11.34020618556701</v>
      </c>
    </row>
    <row r="212" ht="15.75" customHeight="1">
      <c r="A212" s="15">
        <v>50401.0</v>
      </c>
      <c r="B212" s="16" t="s">
        <v>232</v>
      </c>
      <c r="C212" s="28">
        <v>23.724696356275306</v>
      </c>
      <c r="D212" s="28">
        <v>18.878357030015795</v>
      </c>
    </row>
    <row r="213" ht="15.75" customHeight="1">
      <c r="A213" s="15">
        <v>50402.0</v>
      </c>
      <c r="B213" s="16" t="s">
        <v>233</v>
      </c>
      <c r="C213" s="28">
        <v>21.4960058097313</v>
      </c>
      <c r="D213" s="28">
        <v>10.934579439252337</v>
      </c>
    </row>
    <row r="214" ht="15.75" customHeight="1">
      <c r="A214" s="15">
        <v>50403.0</v>
      </c>
      <c r="B214" s="16" t="s">
        <v>234</v>
      </c>
      <c r="C214" s="28">
        <v>19.810379241516966</v>
      </c>
      <c r="D214" s="28">
        <v>11.351947097722263</v>
      </c>
    </row>
    <row r="215" ht="15.75" customHeight="1">
      <c r="A215" s="15">
        <v>50404.0</v>
      </c>
      <c r="B215" s="16" t="s">
        <v>235</v>
      </c>
      <c r="C215" s="28">
        <v>22.589052997393573</v>
      </c>
      <c r="D215" s="28">
        <v>12.759643916913946</v>
      </c>
    </row>
    <row r="216" ht="15.75" customHeight="1">
      <c r="A216" s="15">
        <v>50405.0</v>
      </c>
      <c r="B216" s="16" t="s">
        <v>236</v>
      </c>
      <c r="C216" s="21">
        <v>23.724696356275306</v>
      </c>
      <c r="D216" s="28">
        <v>11.152647975077882</v>
      </c>
    </row>
    <row r="217" ht="15.75" customHeight="1">
      <c r="A217" s="15">
        <v>50501.0</v>
      </c>
      <c r="B217" s="16" t="s">
        <v>237</v>
      </c>
      <c r="C217" s="28">
        <v>20.6792777300086</v>
      </c>
      <c r="D217" s="28">
        <v>12.041116005873716</v>
      </c>
    </row>
    <row r="218" ht="15.75" customHeight="1">
      <c r="A218" s="15">
        <v>50502.0</v>
      </c>
      <c r="B218" s="16" t="s">
        <v>238</v>
      </c>
      <c r="C218" s="28">
        <v>26.646706586826348</v>
      </c>
      <c r="D218" s="28">
        <v>10.050251256281408</v>
      </c>
    </row>
    <row r="219" ht="15.75" customHeight="1">
      <c r="A219" s="15">
        <v>50601.0</v>
      </c>
      <c r="B219" s="16" t="s">
        <v>239</v>
      </c>
      <c r="C219" s="28">
        <v>25.97357440890125</v>
      </c>
      <c r="D219" s="28">
        <v>9.991079393398751</v>
      </c>
    </row>
    <row r="220" ht="15.75" customHeight="1">
      <c r="A220" s="15">
        <v>50602.0</v>
      </c>
      <c r="B220" s="16" t="s">
        <v>240</v>
      </c>
      <c r="C220" s="28">
        <v>26.27406568516421</v>
      </c>
      <c r="D220" s="28">
        <v>12.40506329113924</v>
      </c>
    </row>
    <row r="221" ht="15.75" customHeight="1">
      <c r="A221" s="15">
        <v>50701.0</v>
      </c>
      <c r="B221" s="16" t="s">
        <v>241</v>
      </c>
      <c r="C221" s="28">
        <v>15.645371577574968</v>
      </c>
      <c r="D221" s="28">
        <v>8.862745098039216</v>
      </c>
    </row>
    <row r="222" ht="15.75" customHeight="1">
      <c r="A222" s="15">
        <v>50702.0</v>
      </c>
      <c r="B222" s="16" t="s">
        <v>242</v>
      </c>
      <c r="C222" s="28">
        <v>9.89399293286219</v>
      </c>
      <c r="D222" s="28">
        <v>12.811387900355871</v>
      </c>
    </row>
    <row r="223" ht="15.75" customHeight="1">
      <c r="A223" s="15">
        <v>50801.0</v>
      </c>
      <c r="B223" s="16" t="s">
        <v>243</v>
      </c>
      <c r="C223" s="28">
        <v>25.36416184971098</v>
      </c>
      <c r="D223" s="28">
        <v>11.642050390964378</v>
      </c>
    </row>
    <row r="224" ht="15.75" customHeight="1">
      <c r="A224" s="15">
        <v>50802.0</v>
      </c>
      <c r="B224" s="16" t="s">
        <v>244</v>
      </c>
      <c r="C224" s="28">
        <v>31.746031746031743</v>
      </c>
      <c r="D224" s="28">
        <v>15.868263473053892</v>
      </c>
    </row>
    <row r="225" ht="15.75" customHeight="1">
      <c r="A225" s="15">
        <v>50901.0</v>
      </c>
      <c r="B225" s="16" t="s">
        <v>245</v>
      </c>
      <c r="C225" s="28">
        <v>29.654510556621883</v>
      </c>
      <c r="D225" s="28">
        <v>14.23570595099183</v>
      </c>
    </row>
    <row r="226" ht="15.75" customHeight="1">
      <c r="A226" s="15">
        <v>50902.0</v>
      </c>
      <c r="B226" s="16" t="s">
        <v>246</v>
      </c>
      <c r="C226" s="28">
        <v>17.105263157894736</v>
      </c>
      <c r="D226" s="28">
        <v>12.121212121212121</v>
      </c>
    </row>
    <row r="227" ht="15.75" customHeight="1">
      <c r="A227" s="15">
        <v>51001.0</v>
      </c>
      <c r="B227" s="16" t="s">
        <v>247</v>
      </c>
      <c r="C227" s="28">
        <v>30.76923076923077</v>
      </c>
      <c r="D227" s="28">
        <v>16.532258064516128</v>
      </c>
    </row>
    <row r="228" ht="15.75" customHeight="1">
      <c r="A228" s="15">
        <v>51002.0</v>
      </c>
      <c r="B228" s="16" t="s">
        <v>248</v>
      </c>
      <c r="C228" s="28">
        <v>44.44444444444444</v>
      </c>
      <c r="D228" s="28">
        <v>12.82051282051282</v>
      </c>
    </row>
    <row r="229" ht="15.75" customHeight="1">
      <c r="A229" s="15">
        <v>51003.0</v>
      </c>
      <c r="B229" s="16" t="s">
        <v>249</v>
      </c>
      <c r="C229" s="28">
        <v>27.604166666666668</v>
      </c>
      <c r="D229" s="28">
        <v>23.756906077348066</v>
      </c>
    </row>
    <row r="230" ht="15.75" customHeight="1">
      <c r="A230" s="15">
        <v>51101.0</v>
      </c>
      <c r="B230" s="16" t="s">
        <v>250</v>
      </c>
      <c r="C230" s="28">
        <v>24.44922084900591</v>
      </c>
      <c r="D230" s="28">
        <v>8.88888888888889</v>
      </c>
    </row>
    <row r="231" ht="15.75" customHeight="1">
      <c r="A231" s="15">
        <v>51102.0</v>
      </c>
      <c r="B231" s="16" t="s">
        <v>251</v>
      </c>
      <c r="C231" s="28">
        <v>27.77777777777778</v>
      </c>
      <c r="D231" s="28">
        <v>12.941176470588237</v>
      </c>
    </row>
    <row r="232" ht="15.75" customHeight="1">
      <c r="A232" s="15">
        <v>51103.0</v>
      </c>
      <c r="B232" s="16" t="s">
        <v>252</v>
      </c>
      <c r="C232" s="28">
        <v>25.723221266614544</v>
      </c>
      <c r="D232" s="28">
        <v>17.475728155339805</v>
      </c>
    </row>
    <row r="233" ht="15.75" customHeight="1">
      <c r="A233" s="15">
        <v>51201.0</v>
      </c>
      <c r="B233" s="16" t="s">
        <v>253</v>
      </c>
      <c r="C233" s="28">
        <v>25.6542572797641</v>
      </c>
      <c r="D233" s="28">
        <v>9.837763203313774</v>
      </c>
    </row>
    <row r="234" ht="15.75" customHeight="1">
      <c r="A234" s="15">
        <v>51202.0</v>
      </c>
      <c r="B234" s="16" t="s">
        <v>254</v>
      </c>
      <c r="C234" s="28">
        <v>25.78241430700447</v>
      </c>
      <c r="D234" s="28">
        <v>9.108159392789373</v>
      </c>
    </row>
    <row r="235" ht="15.75" customHeight="1">
      <c r="A235" s="15">
        <v>51203.0</v>
      </c>
      <c r="B235" s="16" t="s">
        <v>255</v>
      </c>
      <c r="C235" s="28">
        <v>45.90163934426229</v>
      </c>
      <c r="D235" s="28">
        <v>23.832923832923832</v>
      </c>
    </row>
    <row r="236" ht="15.75" customHeight="1">
      <c r="A236" s="15">
        <v>51204.0</v>
      </c>
      <c r="B236" s="16" t="s">
        <v>256</v>
      </c>
      <c r="C236" s="21">
        <v>25.78241430700447</v>
      </c>
      <c r="D236" s="28">
        <v>13.118279569892474</v>
      </c>
    </row>
    <row r="237" ht="15.75" customHeight="1">
      <c r="A237" s="15">
        <v>51301.0</v>
      </c>
      <c r="B237" s="16" t="s">
        <v>257</v>
      </c>
      <c r="C237" s="28">
        <v>28.947368421052634</v>
      </c>
      <c r="D237" s="28">
        <v>12.313432835820896</v>
      </c>
    </row>
    <row r="238" ht="15.75" customHeight="1">
      <c r="A238" s="15">
        <v>51302.0</v>
      </c>
      <c r="B238" s="16" t="s">
        <v>258</v>
      </c>
      <c r="C238" s="28">
        <v>21.603563474387528</v>
      </c>
      <c r="D238" s="28">
        <v>6.129032258064516</v>
      </c>
    </row>
    <row r="239" ht="15.75" customHeight="1">
      <c r="A239" s="15">
        <v>51401.0</v>
      </c>
      <c r="B239" s="16" t="s">
        <v>259</v>
      </c>
      <c r="C239" s="28">
        <v>18.028169014084508</v>
      </c>
      <c r="D239" s="28">
        <v>7.643312101910828</v>
      </c>
    </row>
    <row r="240" ht="15.75" customHeight="1">
      <c r="A240" s="15">
        <v>51402.0</v>
      </c>
      <c r="B240" s="16" t="s">
        <v>260</v>
      </c>
      <c r="C240" s="28">
        <v>23.88059701492537</v>
      </c>
      <c r="D240" s="28">
        <v>14.678899082568808</v>
      </c>
    </row>
    <row r="241" ht="15.75" customHeight="1">
      <c r="A241" s="15">
        <v>51501.0</v>
      </c>
      <c r="B241" s="16" t="s">
        <v>261</v>
      </c>
      <c r="C241" s="28">
        <v>21.59406858202039</v>
      </c>
      <c r="D241" s="28">
        <v>9.382151029748284</v>
      </c>
    </row>
    <row r="242" ht="15.75" customHeight="1">
      <c r="A242" s="15">
        <v>51601.0</v>
      </c>
      <c r="B242" s="16" t="s">
        <v>262</v>
      </c>
      <c r="C242" s="28">
        <v>29.86111111111111</v>
      </c>
      <c r="D242" s="28">
        <v>12.352941176470589</v>
      </c>
    </row>
    <row r="243" ht="15.75" customHeight="1">
      <c r="A243" s="15">
        <v>60101.0</v>
      </c>
      <c r="B243" s="16" t="s">
        <v>21</v>
      </c>
      <c r="C243" s="28">
        <v>28.050978372811535</v>
      </c>
      <c r="D243" s="28">
        <v>6.756954969931062</v>
      </c>
    </row>
    <row r="244" ht="15.75" customHeight="1">
      <c r="A244" s="15">
        <v>60201.0</v>
      </c>
      <c r="B244" s="16" t="s">
        <v>263</v>
      </c>
      <c r="C244" s="28">
        <v>28.25342465753425</v>
      </c>
      <c r="D244" s="28">
        <v>13.769941225860622</v>
      </c>
    </row>
    <row r="245" ht="15.75" customHeight="1">
      <c r="A245" s="15">
        <v>60202.0</v>
      </c>
      <c r="B245" s="16" t="s">
        <v>264</v>
      </c>
      <c r="C245" s="28">
        <v>24.39380660239556</v>
      </c>
      <c r="D245" s="28">
        <v>9.799554565701559</v>
      </c>
    </row>
    <row r="246" ht="15.75" customHeight="1">
      <c r="A246" s="15">
        <v>60301.0</v>
      </c>
      <c r="B246" s="16" t="s">
        <v>265</v>
      </c>
      <c r="C246" s="28">
        <v>25.797353004990235</v>
      </c>
      <c r="D246" s="28">
        <v>12.573443008225619</v>
      </c>
    </row>
    <row r="247" ht="15.75" customHeight="1">
      <c r="A247" s="15">
        <v>60302.0</v>
      </c>
      <c r="B247" s="16" t="s">
        <v>266</v>
      </c>
      <c r="C247" s="28">
        <v>28.205128205128204</v>
      </c>
      <c r="D247" s="28">
        <v>12.937062937062937</v>
      </c>
    </row>
    <row r="248" ht="15.75" customHeight="1">
      <c r="A248" s="15">
        <v>60303.0</v>
      </c>
      <c r="B248" s="16" t="s">
        <v>267</v>
      </c>
      <c r="C248" s="28">
        <v>29.087647360328038</v>
      </c>
      <c r="D248" s="28">
        <v>14.194299011052939</v>
      </c>
    </row>
    <row r="249" ht="15.75" customHeight="1">
      <c r="A249" s="15">
        <v>60401.0</v>
      </c>
      <c r="B249" s="16" t="s">
        <v>268</v>
      </c>
      <c r="C249" s="28">
        <v>22.7125243348475</v>
      </c>
      <c r="D249" s="28">
        <v>11.066559743384122</v>
      </c>
    </row>
    <row r="250" ht="15.75" customHeight="1">
      <c r="A250" s="15">
        <v>60402.0</v>
      </c>
      <c r="B250" s="16" t="s">
        <v>269</v>
      </c>
      <c r="C250" s="28">
        <v>22.362869198312236</v>
      </c>
      <c r="D250" s="28">
        <v>13.192612137203167</v>
      </c>
    </row>
    <row r="251" ht="15.75" customHeight="1">
      <c r="A251" s="15">
        <v>60501.0</v>
      </c>
      <c r="B251" s="16" t="s">
        <v>270</v>
      </c>
      <c r="C251" s="28">
        <v>25.66173171825931</v>
      </c>
      <c r="D251" s="28">
        <v>10.751784964300715</v>
      </c>
    </row>
    <row r="252" ht="15.75" customHeight="1">
      <c r="A252" s="15">
        <v>60502.0</v>
      </c>
      <c r="B252" s="16" t="s">
        <v>271</v>
      </c>
      <c r="C252" s="28">
        <v>28.512820512820515</v>
      </c>
      <c r="D252" s="28">
        <v>9.331259720062208</v>
      </c>
    </row>
    <row r="253" ht="15.75" customHeight="1">
      <c r="A253" s="15">
        <v>60601.0</v>
      </c>
      <c r="B253" s="16" t="s">
        <v>175</v>
      </c>
      <c r="C253" s="28">
        <v>30.46875</v>
      </c>
      <c r="D253" s="28">
        <v>12.402551381998581</v>
      </c>
    </row>
    <row r="254" ht="15.75" customHeight="1">
      <c r="A254" s="15">
        <v>70101.0</v>
      </c>
      <c r="B254" s="16" t="s">
        <v>272</v>
      </c>
      <c r="C254" s="28">
        <v>26.953264147806884</v>
      </c>
      <c r="D254" s="28">
        <v>8.63441136267442</v>
      </c>
    </row>
    <row r="255" ht="15.75" customHeight="1">
      <c r="A255" s="15">
        <v>70102.0</v>
      </c>
      <c r="B255" s="16" t="s">
        <v>273</v>
      </c>
      <c r="C255" s="28">
        <v>32.166867781417</v>
      </c>
      <c r="D255" s="28">
        <v>13.890924316968492</v>
      </c>
    </row>
    <row r="256" ht="15.75" customHeight="1">
      <c r="A256" s="15">
        <v>70103.0</v>
      </c>
      <c r="B256" s="16" t="s">
        <v>274</v>
      </c>
      <c r="C256" s="28">
        <v>28.42998585572843</v>
      </c>
      <c r="D256" s="28">
        <v>9.451901565995525</v>
      </c>
    </row>
    <row r="257" ht="15.75" customHeight="1">
      <c r="A257" s="15">
        <v>70104.0</v>
      </c>
      <c r="B257" s="16" t="s">
        <v>275</v>
      </c>
      <c r="C257" s="28">
        <v>27.024331870761863</v>
      </c>
      <c r="D257" s="28">
        <v>10.808403236582288</v>
      </c>
    </row>
    <row r="258" ht="15.75" customHeight="1">
      <c r="A258" s="15">
        <v>70105.0</v>
      </c>
      <c r="B258" s="16" t="s">
        <v>276</v>
      </c>
      <c r="C258" s="28">
        <v>26.12792172495017</v>
      </c>
      <c r="D258" s="28">
        <v>11.778006166495375</v>
      </c>
    </row>
    <row r="259" ht="15.75" customHeight="1">
      <c r="A259" s="15">
        <v>70201.0</v>
      </c>
      <c r="B259" s="16" t="s">
        <v>277</v>
      </c>
      <c r="C259" s="28">
        <v>31.955516189351442</v>
      </c>
      <c r="D259" s="28">
        <v>13.0</v>
      </c>
    </row>
    <row r="260" ht="15.75" customHeight="1">
      <c r="A260" s="15">
        <v>70202.0</v>
      </c>
      <c r="B260" s="16" t="s">
        <v>278</v>
      </c>
      <c r="C260" s="28">
        <v>33.15669947009841</v>
      </c>
      <c r="D260" s="28">
        <v>17.888888888888886</v>
      </c>
    </row>
    <row r="261" ht="15.75" customHeight="1">
      <c r="A261" s="15">
        <v>70301.0</v>
      </c>
      <c r="B261" s="16" t="s">
        <v>279</v>
      </c>
      <c r="C261" s="28">
        <v>33.2529151588259</v>
      </c>
      <c r="D261" s="28">
        <v>21.1864406779661</v>
      </c>
    </row>
    <row r="262" ht="15.75" customHeight="1">
      <c r="A262" s="15">
        <v>70302.0</v>
      </c>
      <c r="B262" s="16" t="s">
        <v>280</v>
      </c>
      <c r="C262" s="28">
        <v>33.48623853211009</v>
      </c>
      <c r="D262" s="28">
        <v>15.993121238177126</v>
      </c>
    </row>
    <row r="263" ht="15.75" customHeight="1">
      <c r="A263" s="15">
        <v>70303.0</v>
      </c>
      <c r="B263" s="16" t="s">
        <v>281</v>
      </c>
      <c r="C263" s="28">
        <v>35.231316725978644</v>
      </c>
      <c r="D263" s="28">
        <v>22.431259044862518</v>
      </c>
    </row>
    <row r="264" ht="15.75" customHeight="1">
      <c r="A264" s="15">
        <v>70401.0</v>
      </c>
      <c r="B264" s="16" t="s">
        <v>282</v>
      </c>
      <c r="C264" s="28">
        <v>33.050127442650805</v>
      </c>
      <c r="D264" s="28">
        <v>15.056818181818182</v>
      </c>
    </row>
    <row r="265" ht="15.75" customHeight="1">
      <c r="A265" s="15">
        <v>70402.0</v>
      </c>
      <c r="B265" s="16" t="s">
        <v>283</v>
      </c>
      <c r="C265" s="28">
        <v>29.270588235294113</v>
      </c>
      <c r="D265" s="28">
        <v>14.888337468982629</v>
      </c>
    </row>
    <row r="266" ht="15.75" customHeight="1">
      <c r="A266" s="15">
        <v>70403.0</v>
      </c>
      <c r="B266" s="16" t="s">
        <v>284</v>
      </c>
      <c r="C266" s="28">
        <v>30.206766917293233</v>
      </c>
      <c r="D266" s="28">
        <v>12.004089979550102</v>
      </c>
    </row>
    <row r="267" ht="15.75" customHeight="1">
      <c r="A267" s="15">
        <v>70404.0</v>
      </c>
      <c r="B267" s="16" t="s">
        <v>285</v>
      </c>
      <c r="C267" s="28">
        <v>32.05128205128205</v>
      </c>
      <c r="D267" s="28">
        <v>14.236509758897819</v>
      </c>
    </row>
    <row r="268" ht="15.75" customHeight="1">
      <c r="A268" s="15">
        <v>70501.0</v>
      </c>
      <c r="B268" s="16" t="s">
        <v>286</v>
      </c>
      <c r="C268" s="28">
        <v>39.822325222093475</v>
      </c>
      <c r="D268" s="28">
        <v>22.899850523168908</v>
      </c>
    </row>
    <row r="269" ht="15.75" customHeight="1">
      <c r="A269" s="15">
        <v>70502.0</v>
      </c>
      <c r="B269" s="16" t="s">
        <v>287</v>
      </c>
      <c r="C269" s="28">
        <v>31.348600508905854</v>
      </c>
      <c r="D269" s="28">
        <v>27.94208893485005</v>
      </c>
    </row>
    <row r="270" ht="15.75" customHeight="1">
      <c r="A270" s="15">
        <v>70503.0</v>
      </c>
      <c r="B270" s="16" t="s">
        <v>288</v>
      </c>
      <c r="C270" s="28">
        <v>27.400140154169588</v>
      </c>
      <c r="D270" s="28">
        <v>20.0</v>
      </c>
    </row>
    <row r="271" ht="15.75" customHeight="1">
      <c r="A271" s="15">
        <v>70601.0</v>
      </c>
      <c r="B271" s="16" t="s">
        <v>289</v>
      </c>
      <c r="C271" s="28">
        <v>30.822281167108756</v>
      </c>
      <c r="D271" s="28">
        <v>12.897727272727272</v>
      </c>
    </row>
    <row r="272" ht="15.75" customHeight="1">
      <c r="A272" s="15">
        <v>70602.0</v>
      </c>
      <c r="B272" s="16" t="s">
        <v>290</v>
      </c>
      <c r="C272" s="28">
        <v>37.87207093096897</v>
      </c>
      <c r="D272" s="28">
        <v>17.718940936863543</v>
      </c>
    </row>
    <row r="273" ht="15.75" customHeight="1">
      <c r="A273" s="15">
        <v>70603.0</v>
      </c>
      <c r="B273" s="16" t="s">
        <v>291</v>
      </c>
      <c r="C273" s="28">
        <v>36.36363636363637</v>
      </c>
      <c r="D273" s="28">
        <v>17.261904761904763</v>
      </c>
    </row>
    <row r="274" ht="15.75" customHeight="1">
      <c r="A274" s="15">
        <v>70701.0</v>
      </c>
      <c r="B274" s="16" t="s">
        <v>292</v>
      </c>
      <c r="C274" s="28">
        <v>42.093023255813954</v>
      </c>
      <c r="D274" s="28">
        <v>21.45922746781116</v>
      </c>
    </row>
    <row r="275" ht="15.75" customHeight="1">
      <c r="A275" s="15">
        <v>70702.0</v>
      </c>
      <c r="B275" s="16" t="s">
        <v>293</v>
      </c>
      <c r="C275" s="28">
        <v>41.553465691396724</v>
      </c>
      <c r="D275" s="28">
        <v>25.870646766169152</v>
      </c>
    </row>
    <row r="276" ht="15.75" customHeight="1">
      <c r="A276" s="15">
        <v>70703.0</v>
      </c>
      <c r="B276" s="16" t="s">
        <v>294</v>
      </c>
      <c r="C276" s="28">
        <v>35.053235053235056</v>
      </c>
      <c r="D276" s="28">
        <v>26.4196675900277</v>
      </c>
    </row>
    <row r="277" ht="15.75" customHeight="1">
      <c r="A277" s="15">
        <v>70704.0</v>
      </c>
      <c r="B277" s="16" t="s">
        <v>295</v>
      </c>
      <c r="C277" s="28">
        <v>28.832951945080094</v>
      </c>
      <c r="D277" s="28">
        <v>13.053097345132745</v>
      </c>
    </row>
    <row r="278" ht="15.75" customHeight="1">
      <c r="A278" s="15">
        <v>70705.0</v>
      </c>
      <c r="B278" s="16" t="s">
        <v>296</v>
      </c>
      <c r="C278" s="28">
        <v>36.166365280289334</v>
      </c>
      <c r="D278" s="28">
        <v>17.15652768284347</v>
      </c>
    </row>
    <row r="279" ht="15.75" customHeight="1">
      <c r="A279" s="15">
        <v>70706.0</v>
      </c>
      <c r="B279" s="16" t="s">
        <v>297</v>
      </c>
      <c r="C279" s="28">
        <v>32.382198952879584</v>
      </c>
      <c r="D279" s="28">
        <v>9.08159781495391</v>
      </c>
    </row>
    <row r="280" ht="15.75" customHeight="1">
      <c r="A280" s="15">
        <v>70707.0</v>
      </c>
      <c r="B280" s="16" t="s">
        <v>298</v>
      </c>
      <c r="C280" s="28">
        <v>34.95145631067961</v>
      </c>
      <c r="D280" s="28">
        <v>13.901345291479823</v>
      </c>
    </row>
    <row r="281" ht="15.75" customHeight="1">
      <c r="A281" s="15">
        <v>70801.0</v>
      </c>
      <c r="B281" s="16" t="s">
        <v>299</v>
      </c>
      <c r="C281" s="28">
        <v>24.072778166550034</v>
      </c>
      <c r="D281" s="28">
        <v>7.451312447078746</v>
      </c>
    </row>
    <row r="282" ht="15.75" customHeight="1">
      <c r="A282" s="15">
        <v>70802.0</v>
      </c>
      <c r="B282" s="16" t="s">
        <v>300</v>
      </c>
      <c r="C282" s="28">
        <v>26.229508196721312</v>
      </c>
      <c r="D282" s="28">
        <v>12.258064516129032</v>
      </c>
    </row>
    <row r="283" ht="15.75" customHeight="1">
      <c r="A283" s="15">
        <v>70803.0</v>
      </c>
      <c r="B283" s="16" t="s">
        <v>301</v>
      </c>
      <c r="C283" s="28">
        <v>20.103092783505154</v>
      </c>
      <c r="D283" s="28">
        <v>8.108108108108109</v>
      </c>
    </row>
    <row r="284" ht="15.75" customHeight="1">
      <c r="A284" s="15">
        <v>70804.0</v>
      </c>
      <c r="B284" s="16" t="s">
        <v>302</v>
      </c>
      <c r="C284" s="28">
        <v>33.146067415730336</v>
      </c>
      <c r="D284" s="28">
        <v>11.570247933884298</v>
      </c>
    </row>
    <row r="285" ht="15.75" customHeight="1">
      <c r="A285" s="15">
        <v>70805.0</v>
      </c>
      <c r="B285" s="16" t="s">
        <v>303</v>
      </c>
      <c r="C285" s="28">
        <v>23.89937106918239</v>
      </c>
      <c r="D285" s="28">
        <v>20.454545454545457</v>
      </c>
    </row>
    <row r="286" ht="15.75" customHeight="1">
      <c r="A286" s="15">
        <v>70901.0</v>
      </c>
      <c r="B286" s="16" t="s">
        <v>304</v>
      </c>
      <c r="C286" s="28">
        <v>23.69727047146402</v>
      </c>
      <c r="D286" s="28">
        <v>9.723889555822328</v>
      </c>
    </row>
    <row r="287" ht="15.75" customHeight="1">
      <c r="A287" s="15">
        <v>70902.0</v>
      </c>
      <c r="B287" s="16" t="s">
        <v>305</v>
      </c>
      <c r="C287" s="28">
        <v>27.103960396039607</v>
      </c>
      <c r="D287" s="28">
        <v>12.516129032258064</v>
      </c>
    </row>
    <row r="288" ht="15.75" customHeight="1">
      <c r="A288" s="15">
        <v>70903.0</v>
      </c>
      <c r="B288" s="16" t="s">
        <v>306</v>
      </c>
      <c r="C288" s="28">
        <v>26.769911504424783</v>
      </c>
      <c r="D288" s="28">
        <v>14.618249534450653</v>
      </c>
    </row>
    <row r="289" ht="15.75" customHeight="1">
      <c r="A289" s="15">
        <v>70904.0</v>
      </c>
      <c r="B289" s="16" t="s">
        <v>307</v>
      </c>
      <c r="C289" s="28">
        <v>22.02797202797203</v>
      </c>
      <c r="D289" s="28">
        <v>22.535211267605636</v>
      </c>
    </row>
    <row r="290" ht="15.75" customHeight="1">
      <c r="A290" s="15">
        <v>71001.0</v>
      </c>
      <c r="B290" s="16" t="s">
        <v>308</v>
      </c>
      <c r="C290" s="28">
        <v>30.00856497703029</v>
      </c>
      <c r="D290" s="28">
        <v>11.110158594084869</v>
      </c>
    </row>
    <row r="291" ht="15.75" customHeight="1">
      <c r="A291" s="15">
        <v>71002.0</v>
      </c>
      <c r="B291" s="16" t="s">
        <v>309</v>
      </c>
      <c r="C291" s="28">
        <v>37.10021321961621</v>
      </c>
      <c r="D291" s="28">
        <v>22.842310188189487</v>
      </c>
    </row>
    <row r="292" ht="15.75" customHeight="1">
      <c r="A292" s="15">
        <v>71003.0</v>
      </c>
      <c r="B292" s="16" t="s">
        <v>310</v>
      </c>
      <c r="C292" s="28">
        <v>37.0003957261575</v>
      </c>
      <c r="D292" s="28">
        <v>18.138424821002385</v>
      </c>
    </row>
    <row r="293" ht="15.75" customHeight="1">
      <c r="A293" s="15">
        <v>71004.0</v>
      </c>
      <c r="B293" s="16" t="s">
        <v>311</v>
      </c>
      <c r="C293" s="28">
        <v>35.460040295500335</v>
      </c>
      <c r="D293" s="28">
        <v>14.738646101113966</v>
      </c>
    </row>
    <row r="294" ht="15.75" customHeight="1">
      <c r="A294" s="15">
        <v>71005.0</v>
      </c>
      <c r="B294" s="16" t="s">
        <v>312</v>
      </c>
      <c r="C294" s="28">
        <v>30.786904078116024</v>
      </c>
      <c r="D294" s="28">
        <v>14.38953488372093</v>
      </c>
    </row>
    <row r="295" ht="15.75" customHeight="1">
      <c r="A295" s="15">
        <v>71101.0</v>
      </c>
      <c r="B295" s="16" t="s">
        <v>313</v>
      </c>
      <c r="C295" s="28">
        <v>32.161687170474515</v>
      </c>
      <c r="D295" s="28">
        <v>21.15531752104055</v>
      </c>
    </row>
    <row r="296" ht="15.75" customHeight="1">
      <c r="A296" s="15">
        <v>71102.0</v>
      </c>
      <c r="B296" s="16" t="s">
        <v>314</v>
      </c>
      <c r="C296" s="28">
        <v>34.65346534653465</v>
      </c>
      <c r="D296" s="28">
        <v>21.27659574468085</v>
      </c>
    </row>
    <row r="297" ht="15.75" customHeight="1">
      <c r="A297" s="15">
        <v>71103.0</v>
      </c>
      <c r="B297" s="16" t="s">
        <v>315</v>
      </c>
      <c r="C297" s="28">
        <v>30.94300518134715</v>
      </c>
      <c r="D297" s="28">
        <v>20.79470198675497</v>
      </c>
    </row>
    <row r="298" ht="15.75" customHeight="1">
      <c r="A298" s="15">
        <v>71104.0</v>
      </c>
      <c r="B298" s="16" t="s">
        <v>316</v>
      </c>
      <c r="C298" s="28">
        <v>26.240000000000002</v>
      </c>
      <c r="D298" s="28">
        <v>15.159206275957546</v>
      </c>
    </row>
    <row r="299" ht="15.75" customHeight="1">
      <c r="A299" s="15">
        <v>71105.0</v>
      </c>
      <c r="B299" s="16" t="s">
        <v>317</v>
      </c>
      <c r="C299" s="28">
        <v>34.22103861517976</v>
      </c>
      <c r="D299" s="28">
        <v>16.727272727272727</v>
      </c>
    </row>
    <row r="300" ht="15.75" customHeight="1">
      <c r="A300" s="15">
        <v>71106.0</v>
      </c>
      <c r="B300" s="16" t="s">
        <v>318</v>
      </c>
      <c r="C300" s="28">
        <v>35.68</v>
      </c>
      <c r="D300" s="28">
        <v>24.744897959183675</v>
      </c>
    </row>
    <row r="301" ht="15.75" customHeight="1">
      <c r="A301" s="15">
        <v>71201.0</v>
      </c>
      <c r="B301" s="16" t="s">
        <v>319</v>
      </c>
      <c r="C301" s="28">
        <v>35.294117647058826</v>
      </c>
      <c r="D301" s="28">
        <v>25.49019607843137</v>
      </c>
    </row>
    <row r="302" ht="15.75" customHeight="1">
      <c r="A302" s="15">
        <v>71301.0</v>
      </c>
      <c r="B302" s="16" t="s">
        <v>320</v>
      </c>
      <c r="C302" s="28">
        <v>21.086490350250177</v>
      </c>
      <c r="D302" s="28">
        <v>8.851499634235552</v>
      </c>
    </row>
    <row r="303" ht="15.75" customHeight="1">
      <c r="A303" s="15">
        <v>71302.0</v>
      </c>
      <c r="B303" s="16" t="s">
        <v>321</v>
      </c>
      <c r="C303" s="28">
        <v>22.076023391812864</v>
      </c>
      <c r="D303" s="28">
        <v>12.553191489361701</v>
      </c>
    </row>
    <row r="304" ht="15.75" customHeight="1">
      <c r="A304" s="15">
        <v>71401.0</v>
      </c>
      <c r="B304" s="16" t="s">
        <v>322</v>
      </c>
      <c r="C304" s="28">
        <v>27.86802030456853</v>
      </c>
      <c r="D304" s="28">
        <v>14.826498422712934</v>
      </c>
    </row>
    <row r="305" ht="15.75" customHeight="1">
      <c r="A305" s="15">
        <v>71402.0</v>
      </c>
      <c r="B305" s="16" t="s">
        <v>323</v>
      </c>
      <c r="C305" s="28">
        <v>23.893805309734514</v>
      </c>
      <c r="D305" s="28">
        <v>10.844976713240188</v>
      </c>
    </row>
    <row r="306" ht="15.75" customHeight="1">
      <c r="A306" s="15">
        <v>71403.0</v>
      </c>
      <c r="B306" s="16" t="s">
        <v>324</v>
      </c>
      <c r="C306" s="28">
        <v>40.92465753424658</v>
      </c>
      <c r="D306" s="28">
        <v>21.647819063004846</v>
      </c>
    </row>
    <row r="307" ht="15.75" customHeight="1">
      <c r="A307" s="15">
        <v>71501.0</v>
      </c>
      <c r="B307" s="16" t="s">
        <v>325</v>
      </c>
      <c r="C307" s="28">
        <v>30.393237780227857</v>
      </c>
      <c r="D307" s="28">
        <v>19.718309859154928</v>
      </c>
    </row>
    <row r="308" ht="15.75" customHeight="1">
      <c r="A308" s="15">
        <v>71502.0</v>
      </c>
      <c r="B308" s="16" t="s">
        <v>326</v>
      </c>
      <c r="C308" s="28">
        <v>29.923664122137406</v>
      </c>
      <c r="D308" s="28">
        <v>19.24342105263158</v>
      </c>
    </row>
    <row r="309" ht="15.75" customHeight="1">
      <c r="A309" s="15">
        <v>71503.0</v>
      </c>
      <c r="B309" s="16" t="s">
        <v>271</v>
      </c>
      <c r="C309" s="28">
        <v>39.05429071803853</v>
      </c>
      <c r="D309" s="28">
        <v>19.088098918083464</v>
      </c>
    </row>
    <row r="310" ht="15.75" customHeight="1">
      <c r="A310" s="15">
        <v>80101.0</v>
      </c>
      <c r="B310" s="16" t="s">
        <v>327</v>
      </c>
      <c r="C310" s="28">
        <v>30.373450750163077</v>
      </c>
      <c r="D310" s="28">
        <v>8.431120398649734</v>
      </c>
    </row>
    <row r="311" ht="15.75" customHeight="1">
      <c r="A311" s="15">
        <v>80102.0</v>
      </c>
      <c r="B311" s="16" t="s">
        <v>314</v>
      </c>
      <c r="C311" s="28">
        <v>38.084632516703785</v>
      </c>
      <c r="D311" s="28">
        <v>16.61392405063291</v>
      </c>
    </row>
    <row r="312" ht="15.75" customHeight="1">
      <c r="A312" s="15">
        <v>80201.0</v>
      </c>
      <c r="B312" s="16" t="s">
        <v>328</v>
      </c>
      <c r="C312" s="28">
        <v>31.581187486699296</v>
      </c>
      <c r="D312" s="28">
        <v>13.265015656134358</v>
      </c>
    </row>
    <row r="313" ht="15.75" customHeight="1">
      <c r="A313" s="15">
        <v>80202.0</v>
      </c>
      <c r="B313" s="16" t="s">
        <v>329</v>
      </c>
      <c r="C313" s="28">
        <v>29.45573464143892</v>
      </c>
      <c r="D313" s="28">
        <v>13.504273504273504</v>
      </c>
    </row>
    <row r="314" ht="15.75" customHeight="1">
      <c r="A314" s="15">
        <v>80301.0</v>
      </c>
      <c r="B314" s="16" t="s">
        <v>330</v>
      </c>
      <c r="C314" s="28">
        <v>31.607843137254903</v>
      </c>
      <c r="D314" s="28">
        <v>17.30981256890849</v>
      </c>
    </row>
    <row r="315" ht="15.75" customHeight="1">
      <c r="A315" s="15">
        <v>80302.0</v>
      </c>
      <c r="B315" s="16" t="s">
        <v>331</v>
      </c>
      <c r="C315" s="28">
        <v>24.537857685489996</v>
      </c>
      <c r="D315" s="28">
        <v>14.28217821782178</v>
      </c>
    </row>
    <row r="316" ht="15.75" customHeight="1">
      <c r="A316" s="15">
        <v>80303.0</v>
      </c>
      <c r="B316" s="16" t="s">
        <v>332</v>
      </c>
      <c r="C316" s="28">
        <v>39.21568627450981</v>
      </c>
      <c r="D316" s="28">
        <v>21.758737316798197</v>
      </c>
    </row>
    <row r="317" ht="15.75" customHeight="1">
      <c r="A317" s="15">
        <v>80304.0</v>
      </c>
      <c r="B317" s="16" t="s">
        <v>333</v>
      </c>
      <c r="C317" s="28">
        <v>28.279569892473116</v>
      </c>
      <c r="D317" s="28">
        <v>12.975778546712801</v>
      </c>
    </row>
    <row r="318" ht="15.75" customHeight="1">
      <c r="A318" s="15">
        <v>80401.0</v>
      </c>
      <c r="B318" s="16" t="s">
        <v>334</v>
      </c>
      <c r="C318" s="28">
        <v>27.90152403282532</v>
      </c>
      <c r="D318" s="28">
        <v>17.993311036789297</v>
      </c>
    </row>
    <row r="319" ht="15.75" customHeight="1">
      <c r="A319" s="15">
        <v>80402.0</v>
      </c>
      <c r="B319" s="16" t="s">
        <v>335</v>
      </c>
      <c r="C319" s="28">
        <v>35.24096385542169</v>
      </c>
      <c r="D319" s="28">
        <v>30.83434099153567</v>
      </c>
    </row>
    <row r="320" ht="15.75" customHeight="1">
      <c r="A320" s="15">
        <v>80501.0</v>
      </c>
      <c r="B320" s="16" t="s">
        <v>336</v>
      </c>
      <c r="C320" s="28">
        <v>25.498652291105124</v>
      </c>
      <c r="D320" s="28">
        <v>19.52147906470908</v>
      </c>
    </row>
    <row r="321" ht="15.75" customHeight="1">
      <c r="A321" s="15">
        <v>80601.0</v>
      </c>
      <c r="B321" s="16" t="s">
        <v>337</v>
      </c>
      <c r="C321" s="28">
        <v>46.504559270516715</v>
      </c>
      <c r="D321" s="28">
        <v>23.607427055702917</v>
      </c>
    </row>
    <row r="322" ht="15.75" customHeight="1">
      <c r="A322" s="15">
        <v>80602.0</v>
      </c>
      <c r="B322" s="16" t="s">
        <v>338</v>
      </c>
      <c r="C322" s="28">
        <v>31.996353691886963</v>
      </c>
      <c r="D322" s="28">
        <v>16.357206012378427</v>
      </c>
    </row>
    <row r="323" ht="15.75" customHeight="1">
      <c r="A323" s="15">
        <v>80701.0</v>
      </c>
      <c r="B323" s="16" t="s">
        <v>339</v>
      </c>
      <c r="C323" s="28">
        <v>31.775700934579437</v>
      </c>
      <c r="D323" s="28">
        <v>15.689981096408317</v>
      </c>
    </row>
    <row r="324" ht="15.75" customHeight="1">
      <c r="A324" s="15">
        <v>80702.0</v>
      </c>
      <c r="B324" s="16" t="s">
        <v>315</v>
      </c>
      <c r="C324" s="28">
        <v>31.7016317016317</v>
      </c>
      <c r="D324" s="28">
        <v>15.825688073394495</v>
      </c>
    </row>
    <row r="325" ht="15.75" customHeight="1">
      <c r="A325" s="15">
        <v>80703.0</v>
      </c>
      <c r="B325" s="16" t="s">
        <v>340</v>
      </c>
      <c r="C325" s="28">
        <v>38.35616438356164</v>
      </c>
      <c r="D325" s="28">
        <v>34.44444444444444</v>
      </c>
    </row>
    <row r="326" ht="15.75" customHeight="1">
      <c r="A326" s="15">
        <v>80801.0</v>
      </c>
      <c r="B326" s="16" t="s">
        <v>341</v>
      </c>
      <c r="C326" s="28">
        <v>34.030418250950575</v>
      </c>
      <c r="D326" s="28">
        <v>13.195201744820064</v>
      </c>
    </row>
    <row r="327" ht="15.75" customHeight="1">
      <c r="A327" s="15">
        <v>80802.0</v>
      </c>
      <c r="B327" s="16" t="s">
        <v>342</v>
      </c>
      <c r="C327" s="28">
        <v>30.72289156626506</v>
      </c>
      <c r="D327" s="28">
        <v>17.647058823529413</v>
      </c>
    </row>
    <row r="328" ht="15.75" customHeight="1">
      <c r="A328" s="15">
        <v>80803.0</v>
      </c>
      <c r="B328" s="16" t="s">
        <v>343</v>
      </c>
      <c r="C328" s="28">
        <v>47.340425531914896</v>
      </c>
      <c r="D328" s="28">
        <v>25.63291139240506</v>
      </c>
    </row>
    <row r="329" ht="15.75" customHeight="1">
      <c r="A329" s="15">
        <v>80901.0</v>
      </c>
      <c r="B329" s="16" t="s">
        <v>344</v>
      </c>
      <c r="C329" s="21">
        <v>26.700088161965223</v>
      </c>
      <c r="D329" s="28">
        <v>26.70807453416149</v>
      </c>
    </row>
    <row r="330" ht="15.75" customHeight="1">
      <c r="A330" s="15">
        <v>90101.0</v>
      </c>
      <c r="B330" s="16" t="s">
        <v>345</v>
      </c>
      <c r="C330" s="28">
        <v>29.042703906091884</v>
      </c>
      <c r="D330" s="28">
        <v>8.856088560885608</v>
      </c>
    </row>
    <row r="331" ht="15.75" customHeight="1">
      <c r="A331" s="15">
        <v>90102.0</v>
      </c>
      <c r="B331" s="16" t="s">
        <v>346</v>
      </c>
      <c r="C331" s="28">
        <v>36.828644501278774</v>
      </c>
      <c r="D331" s="28">
        <v>7.7577045696068</v>
      </c>
    </row>
    <row r="332" ht="15.75" customHeight="1">
      <c r="A332" s="15">
        <v>90103.0</v>
      </c>
      <c r="B332" s="16" t="s">
        <v>347</v>
      </c>
      <c r="C332" s="28">
        <v>46.15384615384615</v>
      </c>
      <c r="D332" s="28">
        <v>11.11111111111111</v>
      </c>
    </row>
    <row r="333" ht="15.75" customHeight="1">
      <c r="A333" s="15">
        <v>90104.0</v>
      </c>
      <c r="B333" s="16" t="s">
        <v>348</v>
      </c>
      <c r="C333" s="28">
        <v>33.506493506493506</v>
      </c>
      <c r="D333" s="28">
        <v>18.38235294117647</v>
      </c>
    </row>
    <row r="334" ht="15.75" customHeight="1">
      <c r="A334" s="15">
        <v>90201.0</v>
      </c>
      <c r="B334" s="16" t="s">
        <v>349</v>
      </c>
      <c r="C334" s="28">
        <v>37.36462093862816</v>
      </c>
      <c r="D334" s="28">
        <v>18.948824343015215</v>
      </c>
    </row>
    <row r="335" ht="15.75" customHeight="1">
      <c r="A335" s="15">
        <v>90202.0</v>
      </c>
      <c r="B335" s="16" t="s">
        <v>312</v>
      </c>
      <c r="C335" s="28">
        <v>37.35294117647059</v>
      </c>
      <c r="D335" s="28">
        <v>20.057306590257877</v>
      </c>
    </row>
    <row r="336" ht="15.75" customHeight="1">
      <c r="A336" s="15">
        <v>90203.0</v>
      </c>
      <c r="B336" s="16" t="s">
        <v>351</v>
      </c>
      <c r="C336" s="28">
        <v>45.03968253968254</v>
      </c>
      <c r="D336" s="28">
        <v>24.887556221889056</v>
      </c>
    </row>
    <row r="337" ht="15.75" customHeight="1">
      <c r="A337" s="15">
        <v>90301.0</v>
      </c>
      <c r="B337" s="16" t="s">
        <v>352</v>
      </c>
      <c r="C337" s="28">
        <v>29.054842473745623</v>
      </c>
      <c r="D337" s="28">
        <v>17.333333333333336</v>
      </c>
    </row>
    <row r="338" ht="15.75" customHeight="1">
      <c r="A338" s="15">
        <v>90302.0</v>
      </c>
      <c r="B338" s="16" t="s">
        <v>353</v>
      </c>
      <c r="C338" s="28">
        <v>34.94318181818182</v>
      </c>
      <c r="D338" s="28">
        <v>17.92656587473002</v>
      </c>
    </row>
    <row r="339" ht="15.75" customHeight="1">
      <c r="A339" s="15">
        <v>90303.0</v>
      </c>
      <c r="B339" s="16" t="s">
        <v>354</v>
      </c>
      <c r="C339" s="28">
        <v>40.04854368932039</v>
      </c>
      <c r="D339" s="28">
        <v>22.442244224422442</v>
      </c>
    </row>
    <row r="340" ht="15.75" customHeight="1">
      <c r="A340" s="15">
        <v>90401.0</v>
      </c>
      <c r="B340" s="16" t="s">
        <v>355</v>
      </c>
      <c r="C340" s="28">
        <v>39.90384615384615</v>
      </c>
      <c r="D340" s="28">
        <v>28.761061946902654</v>
      </c>
    </row>
    <row r="341" ht="15.75" customHeight="1">
      <c r="A341" s="15">
        <v>90402.0</v>
      </c>
      <c r="B341" s="16" t="s">
        <v>356</v>
      </c>
      <c r="C341" s="28">
        <v>48.63013698630137</v>
      </c>
      <c r="D341" s="28">
        <v>24.663677130044842</v>
      </c>
    </row>
    <row r="342" ht="15.75" customHeight="1">
      <c r="A342" s="15">
        <v>90501.0</v>
      </c>
      <c r="B342" s="16" t="s">
        <v>357</v>
      </c>
      <c r="C342" s="28">
        <v>42.038216560509554</v>
      </c>
      <c r="D342" s="28">
        <v>20.51282051282051</v>
      </c>
    </row>
    <row r="343" ht="15.75" customHeight="1">
      <c r="A343" s="15">
        <v>90502.0</v>
      </c>
      <c r="B343" s="16" t="s">
        <v>358</v>
      </c>
      <c r="C343" s="28">
        <v>45.56962025316456</v>
      </c>
      <c r="D343" s="28">
        <v>20.158102766798418</v>
      </c>
    </row>
    <row r="344" ht="15.75" customHeight="1">
      <c r="A344" s="15">
        <v>90503.0</v>
      </c>
      <c r="B344" s="16" t="s">
        <v>359</v>
      </c>
      <c r="C344" s="28">
        <v>50.58139534883721</v>
      </c>
      <c r="D344" s="28">
        <v>14.77832512315271</v>
      </c>
    </row>
    <row r="345" ht="15.75" customHeight="1">
      <c r="A345" s="29"/>
      <c r="B345" s="30"/>
      <c r="C345" s="18"/>
      <c r="D345" s="18"/>
    </row>
    <row r="346" ht="15.75" customHeight="1">
      <c r="A346" s="29"/>
      <c r="B346" s="30"/>
      <c r="C346" s="18"/>
      <c r="D346" s="18"/>
    </row>
    <row r="347" ht="15.75" customHeight="1">
      <c r="A347" s="29"/>
      <c r="B347" s="30"/>
      <c r="C347" s="18"/>
      <c r="D347" s="18"/>
    </row>
    <row r="348" ht="15.75" customHeight="1">
      <c r="A348" s="29"/>
      <c r="B348" s="30"/>
      <c r="C348" s="18"/>
      <c r="D348" s="18"/>
    </row>
    <row r="349" ht="15.75" customHeight="1">
      <c r="A349" s="29"/>
      <c r="B349" s="30"/>
      <c r="C349" s="18"/>
      <c r="D349" s="18"/>
    </row>
    <row r="350" ht="15.75" customHeight="1">
      <c r="A350" s="29"/>
      <c r="B350" s="30"/>
      <c r="C350" s="18"/>
      <c r="D350" s="18"/>
    </row>
    <row r="351" ht="15.75" customHeight="1">
      <c r="A351" s="29"/>
      <c r="B351" s="30"/>
      <c r="C351" s="18"/>
      <c r="D351" s="18"/>
    </row>
    <row r="352" ht="15.75" customHeight="1">
      <c r="A352" s="29"/>
      <c r="B352" s="30"/>
      <c r="C352" s="18"/>
      <c r="D352" s="18"/>
    </row>
    <row r="353" ht="15.75" customHeight="1">
      <c r="A353" s="29"/>
      <c r="B353" s="30"/>
      <c r="C353" s="18"/>
      <c r="D353" s="18"/>
    </row>
    <row r="354" ht="15.75" customHeight="1">
      <c r="A354" s="29"/>
      <c r="B354" s="30"/>
      <c r="C354" s="18"/>
      <c r="D354" s="18"/>
    </row>
    <row r="355" ht="15.75" customHeight="1">
      <c r="A355" s="29"/>
      <c r="B355" s="30"/>
      <c r="C355" s="18"/>
      <c r="D355" s="18"/>
    </row>
    <row r="356" ht="15.75" customHeight="1">
      <c r="A356" s="29"/>
      <c r="B356" s="30"/>
      <c r="C356" s="18"/>
      <c r="D356" s="18"/>
    </row>
    <row r="357" ht="15.75" customHeight="1">
      <c r="A357" s="29"/>
      <c r="B357" s="30"/>
      <c r="C357" s="18"/>
      <c r="D357" s="18"/>
    </row>
    <row r="358" ht="15.75" customHeight="1">
      <c r="A358" s="29"/>
      <c r="B358" s="30"/>
      <c r="C358" s="18"/>
      <c r="D358" s="18"/>
    </row>
    <row r="359" ht="15.75" customHeight="1">
      <c r="A359" s="29"/>
      <c r="B359" s="30"/>
      <c r="C359" s="18"/>
      <c r="D359" s="18"/>
    </row>
    <row r="360" ht="15.75" customHeight="1">
      <c r="A360" s="29"/>
      <c r="B360" s="30"/>
      <c r="C360" s="18"/>
      <c r="D360" s="18"/>
    </row>
    <row r="361" ht="15.75" customHeight="1">
      <c r="A361" s="29"/>
      <c r="B361" s="30"/>
      <c r="C361" s="18"/>
      <c r="D361" s="18"/>
    </row>
    <row r="362" ht="15.75" customHeight="1">
      <c r="A362" s="29"/>
      <c r="B362" s="30"/>
      <c r="C362" s="18"/>
      <c r="D362" s="18"/>
    </row>
    <row r="363" ht="15.75" customHeight="1">
      <c r="A363" s="29"/>
      <c r="B363" s="30"/>
      <c r="C363" s="18"/>
      <c r="D363" s="18"/>
    </row>
    <row r="364" ht="15.75" customHeight="1">
      <c r="A364" s="29"/>
      <c r="B364" s="30"/>
      <c r="C364" s="18"/>
      <c r="D364" s="18"/>
    </row>
    <row r="365" ht="15.75" customHeight="1">
      <c r="A365" s="29"/>
      <c r="B365" s="30"/>
      <c r="C365" s="18"/>
      <c r="D365" s="18"/>
    </row>
    <row r="366" ht="15.75" customHeight="1">
      <c r="A366" s="29"/>
      <c r="B366" s="30"/>
      <c r="C366" s="18"/>
      <c r="D366" s="18"/>
    </row>
    <row r="367" ht="15.75" customHeight="1">
      <c r="A367" s="29"/>
      <c r="B367" s="30"/>
      <c r="C367" s="18"/>
      <c r="D367" s="18"/>
    </row>
    <row r="368" ht="15.75" customHeight="1">
      <c r="A368" s="29"/>
      <c r="B368" s="30"/>
      <c r="C368" s="18"/>
      <c r="D368" s="18"/>
    </row>
    <row r="369" ht="15.75" customHeight="1">
      <c r="A369" s="29"/>
      <c r="B369" s="30"/>
      <c r="C369" s="18"/>
      <c r="D369" s="18"/>
    </row>
    <row r="370" ht="15.75" customHeight="1">
      <c r="A370" s="29"/>
      <c r="B370" s="30"/>
      <c r="C370" s="18"/>
      <c r="D370" s="18"/>
    </row>
    <row r="371" ht="15.75" customHeight="1">
      <c r="A371" s="29"/>
      <c r="B371" s="30"/>
      <c r="C371" s="18"/>
      <c r="D371" s="18"/>
    </row>
    <row r="372" ht="15.75" customHeight="1">
      <c r="A372" s="29"/>
      <c r="B372" s="30"/>
      <c r="C372" s="18"/>
      <c r="D372" s="18"/>
    </row>
    <row r="373" ht="15.75" customHeight="1">
      <c r="A373" s="29"/>
      <c r="B373" s="30"/>
      <c r="C373" s="18"/>
      <c r="D373" s="18"/>
    </row>
    <row r="374" ht="15.75" customHeight="1">
      <c r="A374" s="29"/>
      <c r="B374" s="30"/>
      <c r="C374" s="18"/>
      <c r="D374" s="18"/>
    </row>
    <row r="375" ht="15.75" customHeight="1">
      <c r="A375" s="29"/>
      <c r="B375" s="30"/>
      <c r="C375" s="18"/>
      <c r="D375" s="18"/>
    </row>
    <row r="376" ht="15.75" customHeight="1">
      <c r="A376" s="29"/>
      <c r="B376" s="30"/>
      <c r="C376" s="18"/>
      <c r="D376" s="18"/>
    </row>
    <row r="377" ht="15.75" customHeight="1">
      <c r="A377" s="29"/>
      <c r="B377" s="30"/>
      <c r="C377" s="18"/>
      <c r="D377" s="18"/>
    </row>
    <row r="378" ht="15.75" customHeight="1">
      <c r="A378" s="29"/>
      <c r="B378" s="30"/>
      <c r="C378" s="18"/>
      <c r="D378" s="18"/>
    </row>
    <row r="379" ht="15.75" customHeight="1">
      <c r="A379" s="29"/>
      <c r="B379" s="30"/>
      <c r="C379" s="18"/>
      <c r="D379" s="18"/>
    </row>
    <row r="380" ht="15.75" customHeight="1">
      <c r="A380" s="29"/>
      <c r="B380" s="30"/>
      <c r="C380" s="18"/>
      <c r="D380" s="18"/>
    </row>
    <row r="381" ht="15.75" customHeight="1">
      <c r="A381" s="29"/>
      <c r="B381" s="30"/>
      <c r="C381" s="18"/>
      <c r="D381" s="18"/>
    </row>
    <row r="382" ht="15.75" customHeight="1">
      <c r="A382" s="29"/>
      <c r="B382" s="30"/>
      <c r="C382" s="18"/>
      <c r="D382" s="18"/>
    </row>
    <row r="383" ht="15.75" customHeight="1">
      <c r="A383" s="29"/>
      <c r="B383" s="30"/>
      <c r="C383" s="18"/>
      <c r="D383" s="18"/>
    </row>
    <row r="384" ht="15.75" customHeight="1">
      <c r="A384" s="29"/>
      <c r="B384" s="30"/>
      <c r="C384" s="18"/>
      <c r="D384" s="18"/>
    </row>
    <row r="385" ht="15.75" customHeight="1">
      <c r="A385" s="29"/>
      <c r="B385" s="30"/>
      <c r="C385" s="18"/>
      <c r="D385" s="18"/>
    </row>
    <row r="386" ht="15.75" customHeight="1">
      <c r="A386" s="29"/>
      <c r="B386" s="30"/>
      <c r="C386" s="18"/>
      <c r="D386" s="18"/>
    </row>
    <row r="387" ht="15.75" customHeight="1">
      <c r="A387" s="29"/>
      <c r="B387" s="30"/>
      <c r="C387" s="18"/>
      <c r="D387" s="18"/>
    </row>
    <row r="388" ht="15.75" customHeight="1">
      <c r="A388" s="29"/>
      <c r="B388" s="30"/>
      <c r="C388" s="18"/>
      <c r="D388" s="18"/>
    </row>
    <row r="389" ht="15.75" customHeight="1">
      <c r="A389" s="29"/>
      <c r="B389" s="30"/>
      <c r="C389" s="18"/>
      <c r="D389" s="18"/>
    </row>
    <row r="390" ht="15.75" customHeight="1">
      <c r="A390" s="29"/>
      <c r="B390" s="30"/>
      <c r="C390" s="18"/>
      <c r="D390" s="18"/>
    </row>
    <row r="391" ht="15.75" customHeight="1">
      <c r="A391" s="29"/>
      <c r="B391" s="30"/>
      <c r="C391" s="18"/>
      <c r="D391" s="18"/>
    </row>
    <row r="392" ht="15.75" customHeight="1">
      <c r="A392" s="29"/>
      <c r="B392" s="30"/>
      <c r="C392" s="18"/>
      <c r="D392" s="18"/>
    </row>
    <row r="393" ht="15.75" customHeight="1">
      <c r="A393" s="29"/>
      <c r="B393" s="30"/>
      <c r="C393" s="18"/>
      <c r="D393" s="18"/>
    </row>
    <row r="394" ht="15.75" customHeight="1">
      <c r="A394" s="29"/>
      <c r="B394" s="30"/>
      <c r="C394" s="18"/>
      <c r="D394" s="18"/>
    </row>
    <row r="395" ht="15.75" customHeight="1">
      <c r="A395" s="29"/>
      <c r="B395" s="30"/>
      <c r="C395" s="18"/>
      <c r="D395" s="18"/>
    </row>
    <row r="396" ht="15.75" customHeight="1">
      <c r="A396" s="29"/>
      <c r="B396" s="30"/>
      <c r="C396" s="18"/>
      <c r="D396" s="18"/>
    </row>
    <row r="397" ht="15.75" customHeight="1">
      <c r="A397" s="29"/>
      <c r="B397" s="30"/>
      <c r="C397" s="18"/>
      <c r="D397" s="18"/>
    </row>
    <row r="398" ht="15.75" customHeight="1">
      <c r="A398" s="29"/>
      <c r="B398" s="30"/>
      <c r="C398" s="18"/>
      <c r="D398" s="18"/>
    </row>
    <row r="399" ht="15.75" customHeight="1">
      <c r="A399" s="29"/>
      <c r="B399" s="30"/>
      <c r="C399" s="18"/>
      <c r="D399" s="18"/>
    </row>
    <row r="400" ht="15.75" customHeight="1">
      <c r="A400" s="29"/>
      <c r="B400" s="30"/>
      <c r="C400" s="18"/>
      <c r="D400" s="18"/>
    </row>
    <row r="401" ht="15.75" customHeight="1">
      <c r="A401" s="29"/>
      <c r="B401" s="30"/>
      <c r="C401" s="18"/>
      <c r="D401" s="18"/>
    </row>
    <row r="402" ht="15.75" customHeight="1">
      <c r="A402" s="29"/>
      <c r="B402" s="30"/>
      <c r="C402" s="18"/>
      <c r="D402" s="18"/>
    </row>
    <row r="403" ht="15.75" customHeight="1">
      <c r="A403" s="29"/>
      <c r="B403" s="30"/>
      <c r="C403" s="18"/>
      <c r="D403" s="18"/>
    </row>
    <row r="404" ht="15.75" customHeight="1">
      <c r="A404" s="29"/>
      <c r="B404" s="30"/>
      <c r="C404" s="18"/>
      <c r="D404" s="18"/>
    </row>
    <row r="405" ht="15.75" customHeight="1">
      <c r="A405" s="29"/>
      <c r="B405" s="30"/>
      <c r="C405" s="18"/>
      <c r="D405" s="18"/>
    </row>
    <row r="406" ht="15.75" customHeight="1">
      <c r="A406" s="29"/>
      <c r="B406" s="30"/>
      <c r="C406" s="18"/>
      <c r="D406" s="18"/>
    </row>
    <row r="407" ht="15.75" customHeight="1">
      <c r="A407" s="29"/>
      <c r="B407" s="30"/>
      <c r="C407" s="18"/>
      <c r="D407" s="18"/>
    </row>
    <row r="408" ht="15.75" customHeight="1">
      <c r="A408" s="29"/>
      <c r="B408" s="30"/>
      <c r="C408" s="18"/>
      <c r="D408" s="18"/>
    </row>
    <row r="409" ht="15.75" customHeight="1">
      <c r="A409" s="29"/>
      <c r="B409" s="30"/>
      <c r="C409" s="18"/>
      <c r="D409" s="18"/>
    </row>
    <row r="410" ht="15.75" customHeight="1">
      <c r="A410" s="29"/>
      <c r="B410" s="30"/>
      <c r="C410" s="18"/>
      <c r="D410" s="18"/>
    </row>
    <row r="411" ht="15.75" customHeight="1">
      <c r="A411" s="29"/>
      <c r="B411" s="30"/>
      <c r="C411" s="18"/>
      <c r="D411" s="18"/>
    </row>
    <row r="412" ht="15.75" customHeight="1">
      <c r="A412" s="29"/>
      <c r="B412" s="30"/>
      <c r="C412" s="18"/>
      <c r="D412" s="18"/>
    </row>
    <row r="413" ht="15.75" customHeight="1">
      <c r="A413" s="29"/>
      <c r="B413" s="30"/>
      <c r="C413" s="18"/>
      <c r="D413" s="18"/>
    </row>
    <row r="414" ht="15.75" customHeight="1">
      <c r="A414" s="29"/>
      <c r="B414" s="30"/>
      <c r="C414" s="18"/>
      <c r="D414" s="18"/>
    </row>
    <row r="415" ht="15.75" customHeight="1">
      <c r="A415" s="29"/>
      <c r="B415" s="30"/>
      <c r="C415" s="18"/>
      <c r="D415" s="18"/>
    </row>
    <row r="416" ht="15.75" customHeight="1">
      <c r="A416" s="29"/>
      <c r="B416" s="30"/>
      <c r="C416" s="18"/>
      <c r="D416" s="18"/>
    </row>
    <row r="417" ht="15.75" customHeight="1">
      <c r="A417" s="29"/>
      <c r="B417" s="30"/>
      <c r="C417" s="18"/>
      <c r="D417" s="18"/>
    </row>
    <row r="418" ht="15.75" customHeight="1">
      <c r="A418" s="29"/>
      <c r="B418" s="30"/>
      <c r="C418" s="18"/>
      <c r="D418" s="18"/>
    </row>
    <row r="419" ht="15.75" customHeight="1">
      <c r="A419" s="29"/>
      <c r="B419" s="30"/>
      <c r="C419" s="18"/>
      <c r="D419" s="18"/>
    </row>
    <row r="420" ht="15.75" customHeight="1">
      <c r="A420" s="29"/>
      <c r="B420" s="30"/>
      <c r="C420" s="18"/>
      <c r="D420" s="18"/>
    </row>
    <row r="421" ht="15.75" customHeight="1">
      <c r="A421" s="29"/>
      <c r="B421" s="30"/>
      <c r="C421" s="18"/>
      <c r="D421" s="18"/>
    </row>
    <row r="422" ht="15.75" customHeight="1">
      <c r="A422" s="29"/>
      <c r="B422" s="30"/>
      <c r="C422" s="18"/>
      <c r="D422" s="18"/>
    </row>
    <row r="423" ht="15.75" customHeight="1">
      <c r="A423" s="29"/>
      <c r="B423" s="30"/>
      <c r="C423" s="18"/>
      <c r="D423" s="18"/>
    </row>
    <row r="424" ht="15.75" customHeight="1">
      <c r="A424" s="29"/>
      <c r="B424" s="30"/>
      <c r="C424" s="18"/>
      <c r="D424" s="18"/>
    </row>
    <row r="425" ht="15.75" customHeight="1">
      <c r="A425" s="29"/>
      <c r="B425" s="30"/>
      <c r="C425" s="18"/>
      <c r="D425" s="18"/>
    </row>
    <row r="426" ht="15.75" customHeight="1">
      <c r="A426" s="29"/>
      <c r="B426" s="30"/>
      <c r="C426" s="18"/>
      <c r="D426" s="18"/>
    </row>
    <row r="427" ht="15.75" customHeight="1">
      <c r="A427" s="29"/>
      <c r="B427" s="30"/>
      <c r="C427" s="18"/>
      <c r="D427" s="18"/>
    </row>
    <row r="428" ht="15.75" customHeight="1">
      <c r="A428" s="29"/>
      <c r="B428" s="30"/>
      <c r="C428" s="18"/>
      <c r="D428" s="18"/>
    </row>
    <row r="429" ht="15.75" customHeight="1">
      <c r="A429" s="29"/>
      <c r="B429" s="30"/>
      <c r="C429" s="18"/>
      <c r="D429" s="18"/>
    </row>
    <row r="430" ht="15.75" customHeight="1">
      <c r="A430" s="29"/>
      <c r="B430" s="30"/>
      <c r="C430" s="18"/>
      <c r="D430" s="18"/>
    </row>
    <row r="431" ht="15.75" customHeight="1">
      <c r="A431" s="29"/>
      <c r="B431" s="30"/>
      <c r="C431" s="18"/>
      <c r="D431" s="18"/>
    </row>
    <row r="432" ht="15.75" customHeight="1">
      <c r="A432" s="29"/>
      <c r="B432" s="30"/>
      <c r="C432" s="18"/>
      <c r="D432" s="18"/>
    </row>
    <row r="433" ht="15.75" customHeight="1">
      <c r="A433" s="29"/>
      <c r="B433" s="30"/>
      <c r="C433" s="18"/>
      <c r="D433" s="18"/>
    </row>
    <row r="434" ht="15.75" customHeight="1">
      <c r="A434" s="29"/>
      <c r="B434" s="30"/>
      <c r="C434" s="18"/>
      <c r="D434" s="18"/>
    </row>
    <row r="435" ht="15.75" customHeight="1">
      <c r="A435" s="29"/>
      <c r="B435" s="30"/>
      <c r="C435" s="18"/>
      <c r="D435" s="18"/>
    </row>
    <row r="436" ht="15.75" customHeight="1">
      <c r="A436" s="29"/>
      <c r="B436" s="30"/>
      <c r="C436" s="18"/>
      <c r="D436" s="18"/>
    </row>
    <row r="437" ht="15.75" customHeight="1">
      <c r="A437" s="29"/>
      <c r="B437" s="30"/>
      <c r="C437" s="18"/>
      <c r="D437" s="18"/>
    </row>
    <row r="438" ht="15.75" customHeight="1">
      <c r="A438" s="29"/>
      <c r="B438" s="30"/>
      <c r="C438" s="18"/>
      <c r="D438" s="18"/>
    </row>
    <row r="439" ht="15.75" customHeight="1">
      <c r="A439" s="29"/>
      <c r="B439" s="30"/>
      <c r="C439" s="18"/>
      <c r="D439" s="18"/>
    </row>
    <row r="440" ht="15.75" customHeight="1">
      <c r="A440" s="29"/>
      <c r="B440" s="30"/>
      <c r="C440" s="18"/>
      <c r="D440" s="18"/>
    </row>
    <row r="441" ht="15.75" customHeight="1">
      <c r="A441" s="29"/>
      <c r="B441" s="30"/>
      <c r="C441" s="18"/>
      <c r="D441" s="18"/>
    </row>
    <row r="442" ht="15.75" customHeight="1">
      <c r="A442" s="29"/>
      <c r="B442" s="30"/>
      <c r="C442" s="18"/>
      <c r="D442" s="18"/>
    </row>
    <row r="443" ht="15.75" customHeight="1">
      <c r="A443" s="29"/>
      <c r="B443" s="30"/>
      <c r="C443" s="18"/>
      <c r="D443" s="18"/>
    </row>
    <row r="444" ht="15.75" customHeight="1">
      <c r="A444" s="29"/>
      <c r="B444" s="30"/>
      <c r="C444" s="18"/>
      <c r="D444" s="18"/>
    </row>
    <row r="445" ht="15.75" customHeight="1">
      <c r="A445" s="29"/>
      <c r="B445" s="30"/>
      <c r="C445" s="18"/>
      <c r="D445" s="18"/>
    </row>
    <row r="446" ht="15.75" customHeight="1">
      <c r="A446" s="29"/>
      <c r="B446" s="30"/>
      <c r="C446" s="18"/>
      <c r="D446" s="18"/>
    </row>
    <row r="447" ht="15.75" customHeight="1">
      <c r="A447" s="29"/>
      <c r="B447" s="30"/>
      <c r="C447" s="18"/>
      <c r="D447" s="18"/>
    </row>
    <row r="448" ht="15.75" customHeight="1">
      <c r="A448" s="29"/>
      <c r="B448" s="30"/>
      <c r="C448" s="18"/>
      <c r="D448" s="18"/>
    </row>
    <row r="449" ht="15.75" customHeight="1">
      <c r="A449" s="29"/>
      <c r="B449" s="30"/>
      <c r="C449" s="18"/>
      <c r="D449" s="18"/>
    </row>
    <row r="450" ht="15.75" customHeight="1">
      <c r="A450" s="29"/>
      <c r="B450" s="30"/>
      <c r="C450" s="18"/>
      <c r="D450" s="18"/>
    </row>
    <row r="451" ht="15.75" customHeight="1">
      <c r="A451" s="29"/>
      <c r="B451" s="30"/>
      <c r="C451" s="18"/>
      <c r="D451" s="18"/>
    </row>
    <row r="452" ht="15.75" customHeight="1">
      <c r="A452" s="29"/>
      <c r="B452" s="30"/>
      <c r="C452" s="18"/>
      <c r="D452" s="18"/>
    </row>
    <row r="453" ht="15.75" customHeight="1">
      <c r="A453" s="29"/>
      <c r="B453" s="30"/>
      <c r="C453" s="18"/>
      <c r="D453" s="18"/>
    </row>
    <row r="454" ht="15.75" customHeight="1">
      <c r="A454" s="29"/>
      <c r="B454" s="30"/>
      <c r="C454" s="18"/>
      <c r="D454" s="18"/>
    </row>
    <row r="455" ht="15.75" customHeight="1">
      <c r="A455" s="29"/>
      <c r="B455" s="30"/>
      <c r="C455" s="18"/>
      <c r="D455" s="18"/>
    </row>
    <row r="456" ht="15.75" customHeight="1">
      <c r="A456" s="29"/>
      <c r="B456" s="30"/>
      <c r="C456" s="18"/>
      <c r="D456" s="18"/>
    </row>
    <row r="457" ht="15.75" customHeight="1">
      <c r="A457" s="29"/>
      <c r="B457" s="30"/>
      <c r="C457" s="18"/>
      <c r="D457" s="18"/>
    </row>
    <row r="458" ht="15.75" customHeight="1">
      <c r="A458" s="29"/>
      <c r="B458" s="30"/>
      <c r="C458" s="18"/>
      <c r="D458" s="18"/>
    </row>
    <row r="459" ht="15.75" customHeight="1">
      <c r="A459" s="29"/>
      <c r="B459" s="30"/>
      <c r="C459" s="18"/>
      <c r="D459" s="18"/>
    </row>
    <row r="460" ht="15.75" customHeight="1">
      <c r="A460" s="29"/>
      <c r="B460" s="30"/>
      <c r="C460" s="18"/>
      <c r="D460" s="18"/>
    </row>
    <row r="461" ht="15.75" customHeight="1">
      <c r="A461" s="29"/>
      <c r="B461" s="30"/>
      <c r="C461" s="18"/>
      <c r="D461" s="18"/>
    </row>
    <row r="462" ht="15.75" customHeight="1">
      <c r="A462" s="29"/>
      <c r="B462" s="30"/>
      <c r="C462" s="18"/>
      <c r="D462" s="18"/>
    </row>
    <row r="463" ht="15.75" customHeight="1">
      <c r="A463" s="29"/>
      <c r="B463" s="30"/>
      <c r="C463" s="18"/>
      <c r="D463" s="18"/>
    </row>
    <row r="464" ht="15.75" customHeight="1">
      <c r="A464" s="29"/>
      <c r="B464" s="30"/>
      <c r="C464" s="18"/>
      <c r="D464" s="18"/>
    </row>
    <row r="465" ht="15.75" customHeight="1">
      <c r="A465" s="29"/>
      <c r="B465" s="30"/>
      <c r="C465" s="18"/>
      <c r="D465" s="18"/>
    </row>
    <row r="466" ht="15.75" customHeight="1">
      <c r="A466" s="29"/>
      <c r="B466" s="30"/>
      <c r="C466" s="18"/>
      <c r="D466" s="18"/>
    </row>
    <row r="467" ht="15.75" customHeight="1">
      <c r="A467" s="29"/>
      <c r="B467" s="30"/>
      <c r="C467" s="18"/>
      <c r="D467" s="18"/>
    </row>
    <row r="468" ht="15.75" customHeight="1">
      <c r="A468" s="29"/>
      <c r="B468" s="30"/>
      <c r="C468" s="18"/>
      <c r="D468" s="18"/>
    </row>
    <row r="469" ht="15.75" customHeight="1">
      <c r="A469" s="29"/>
      <c r="B469" s="30"/>
      <c r="C469" s="18"/>
      <c r="D469" s="18"/>
    </row>
    <row r="470" ht="15.75" customHeight="1">
      <c r="A470" s="29"/>
      <c r="B470" s="30"/>
      <c r="C470" s="18"/>
      <c r="D470" s="18"/>
    </row>
    <row r="471" ht="15.75" customHeight="1">
      <c r="A471" s="29"/>
      <c r="B471" s="30"/>
      <c r="C471" s="18"/>
      <c r="D471" s="18"/>
    </row>
    <row r="472" ht="15.75" customHeight="1">
      <c r="A472" s="29"/>
      <c r="B472" s="30"/>
      <c r="C472" s="18"/>
      <c r="D472" s="18"/>
    </row>
    <row r="473" ht="15.75" customHeight="1">
      <c r="A473" s="29"/>
      <c r="B473" s="30"/>
      <c r="C473" s="18"/>
      <c r="D473" s="18"/>
    </row>
    <row r="474" ht="15.75" customHeight="1">
      <c r="A474" s="29"/>
      <c r="B474" s="30"/>
      <c r="C474" s="18"/>
      <c r="D474" s="18"/>
    </row>
    <row r="475" ht="15.75" customHeight="1">
      <c r="A475" s="29"/>
      <c r="B475" s="30"/>
      <c r="C475" s="18"/>
      <c r="D475" s="18"/>
    </row>
    <row r="476" ht="15.75" customHeight="1">
      <c r="A476" s="29"/>
      <c r="B476" s="30"/>
      <c r="C476" s="18"/>
      <c r="D476" s="18"/>
    </row>
    <row r="477" ht="15.75" customHeight="1">
      <c r="A477" s="29"/>
      <c r="B477" s="30"/>
      <c r="C477" s="18"/>
      <c r="D477" s="18"/>
    </row>
    <row r="478" ht="15.75" customHeight="1">
      <c r="A478" s="29"/>
      <c r="B478" s="30"/>
      <c r="C478" s="18"/>
      <c r="D478" s="18"/>
    </row>
    <row r="479" ht="15.75" customHeight="1">
      <c r="A479" s="29"/>
      <c r="B479" s="30"/>
      <c r="C479" s="18"/>
      <c r="D479" s="18"/>
    </row>
    <row r="480" ht="15.75" customHeight="1">
      <c r="A480" s="29"/>
      <c r="B480" s="30"/>
      <c r="C480" s="18"/>
      <c r="D480" s="18"/>
    </row>
    <row r="481" ht="15.75" customHeight="1">
      <c r="A481" s="29"/>
      <c r="B481" s="30"/>
      <c r="C481" s="18"/>
      <c r="D481" s="18"/>
    </row>
    <row r="482" ht="15.75" customHeight="1">
      <c r="A482" s="29"/>
      <c r="B482" s="30"/>
      <c r="C482" s="18"/>
      <c r="D482" s="18"/>
    </row>
    <row r="483" ht="15.75" customHeight="1">
      <c r="A483" s="29"/>
      <c r="B483" s="30"/>
      <c r="C483" s="18"/>
      <c r="D483" s="18"/>
    </row>
    <row r="484" ht="15.75" customHeight="1">
      <c r="A484" s="29"/>
      <c r="B484" s="30"/>
      <c r="C484" s="18"/>
      <c r="D484" s="18"/>
    </row>
    <row r="485" ht="15.75" customHeight="1">
      <c r="A485" s="29"/>
      <c r="B485" s="30"/>
      <c r="C485" s="18"/>
      <c r="D485" s="18"/>
    </row>
    <row r="486" ht="15.75" customHeight="1">
      <c r="A486" s="29"/>
      <c r="B486" s="30"/>
      <c r="C486" s="18"/>
      <c r="D486" s="18"/>
    </row>
    <row r="487" ht="15.75" customHeight="1">
      <c r="A487" s="29"/>
      <c r="B487" s="30"/>
      <c r="C487" s="18"/>
      <c r="D487" s="18"/>
    </row>
    <row r="488" ht="15.75" customHeight="1">
      <c r="A488" s="29"/>
      <c r="B488" s="30"/>
      <c r="C488" s="18"/>
      <c r="D488" s="18"/>
    </row>
    <row r="489" ht="15.75" customHeight="1">
      <c r="A489" s="29"/>
      <c r="B489" s="30"/>
      <c r="C489" s="18"/>
      <c r="D489" s="18"/>
    </row>
    <row r="490" ht="15.75" customHeight="1">
      <c r="A490" s="29"/>
      <c r="B490" s="30"/>
      <c r="C490" s="18"/>
      <c r="D490" s="18"/>
    </row>
    <row r="491" ht="15.75" customHeight="1">
      <c r="A491" s="29"/>
      <c r="B491" s="30"/>
      <c r="C491" s="18"/>
      <c r="D491" s="18"/>
    </row>
    <row r="492" ht="15.75" customHeight="1">
      <c r="A492" s="29"/>
      <c r="B492" s="30"/>
      <c r="C492" s="18"/>
      <c r="D492" s="18"/>
    </row>
    <row r="493" ht="15.75" customHeight="1">
      <c r="A493" s="29"/>
      <c r="B493" s="30"/>
      <c r="C493" s="18"/>
      <c r="D493" s="18"/>
    </row>
    <row r="494" ht="15.75" customHeight="1">
      <c r="A494" s="29"/>
      <c r="B494" s="30"/>
      <c r="C494" s="18"/>
      <c r="D494" s="18"/>
    </row>
    <row r="495" ht="15.75" customHeight="1">
      <c r="A495" s="29"/>
      <c r="B495" s="30"/>
      <c r="C495" s="18"/>
      <c r="D495" s="18"/>
    </row>
    <row r="496" ht="15.75" customHeight="1">
      <c r="A496" s="29"/>
      <c r="B496" s="30"/>
      <c r="C496" s="18"/>
      <c r="D496" s="18"/>
    </row>
    <row r="497" ht="15.75" customHeight="1">
      <c r="A497" s="29"/>
      <c r="B497" s="30"/>
      <c r="C497" s="18"/>
      <c r="D497" s="18"/>
    </row>
    <row r="498" ht="15.75" customHeight="1">
      <c r="A498" s="29"/>
      <c r="B498" s="30"/>
      <c r="C498" s="18"/>
      <c r="D498" s="18"/>
    </row>
    <row r="499" ht="15.75" customHeight="1">
      <c r="A499" s="29"/>
      <c r="B499" s="30"/>
      <c r="C499" s="18"/>
      <c r="D499" s="18"/>
    </row>
    <row r="500" ht="15.75" customHeight="1">
      <c r="A500" s="29"/>
      <c r="B500" s="30"/>
      <c r="C500" s="18"/>
      <c r="D500" s="18"/>
    </row>
    <row r="501" ht="15.75" customHeight="1">
      <c r="A501" s="29"/>
      <c r="B501" s="30"/>
      <c r="C501" s="18"/>
      <c r="D501" s="18"/>
    </row>
    <row r="502" ht="15.75" customHeight="1">
      <c r="A502" s="29"/>
      <c r="B502" s="30"/>
      <c r="C502" s="18"/>
      <c r="D502" s="18"/>
    </row>
    <row r="503" ht="15.75" customHeight="1">
      <c r="A503" s="29"/>
      <c r="B503" s="30"/>
      <c r="C503" s="18"/>
      <c r="D503" s="18"/>
    </row>
    <row r="504" ht="15.75" customHeight="1">
      <c r="A504" s="29"/>
      <c r="B504" s="30"/>
      <c r="C504" s="18"/>
      <c r="D504" s="18"/>
    </row>
    <row r="505" ht="15.75" customHeight="1">
      <c r="A505" s="29"/>
      <c r="B505" s="30"/>
      <c r="C505" s="18"/>
      <c r="D505" s="18"/>
    </row>
    <row r="506" ht="15.75" customHeight="1">
      <c r="A506" s="29"/>
      <c r="B506" s="30"/>
      <c r="C506" s="18"/>
      <c r="D506" s="18"/>
    </row>
    <row r="507" ht="15.75" customHeight="1">
      <c r="A507" s="29"/>
      <c r="B507" s="30"/>
      <c r="C507" s="18"/>
      <c r="D507" s="18"/>
    </row>
    <row r="508" ht="15.75" customHeight="1">
      <c r="A508" s="29"/>
      <c r="B508" s="30"/>
      <c r="C508" s="18"/>
      <c r="D508" s="18"/>
    </row>
    <row r="509" ht="15.75" customHeight="1">
      <c r="A509" s="29"/>
      <c r="B509" s="30"/>
      <c r="C509" s="18"/>
      <c r="D509" s="18"/>
    </row>
    <row r="510" ht="15.75" customHeight="1">
      <c r="A510" s="29"/>
      <c r="B510" s="30"/>
      <c r="C510" s="18"/>
      <c r="D510" s="18"/>
    </row>
    <row r="511" ht="15.75" customHeight="1">
      <c r="A511" s="29"/>
      <c r="B511" s="30"/>
      <c r="C511" s="18"/>
      <c r="D511" s="18"/>
    </row>
    <row r="512" ht="15.75" customHeight="1">
      <c r="A512" s="29"/>
      <c r="B512" s="30"/>
      <c r="C512" s="18"/>
      <c r="D512" s="18"/>
    </row>
    <row r="513" ht="15.75" customHeight="1">
      <c r="A513" s="29"/>
      <c r="B513" s="30"/>
      <c r="C513" s="18"/>
      <c r="D513" s="18"/>
    </row>
    <row r="514" ht="15.75" customHeight="1">
      <c r="A514" s="29"/>
      <c r="B514" s="30"/>
      <c r="C514" s="18"/>
      <c r="D514" s="18"/>
    </row>
    <row r="515" ht="15.75" customHeight="1">
      <c r="A515" s="29"/>
      <c r="B515" s="30"/>
      <c r="C515" s="18"/>
      <c r="D515" s="18"/>
    </row>
    <row r="516" ht="15.75" customHeight="1">
      <c r="A516" s="29"/>
      <c r="B516" s="30"/>
      <c r="C516" s="18"/>
      <c r="D516" s="18"/>
    </row>
    <row r="517" ht="15.75" customHeight="1">
      <c r="A517" s="29"/>
      <c r="B517" s="30"/>
      <c r="C517" s="18"/>
      <c r="D517" s="18"/>
    </row>
    <row r="518" ht="15.75" customHeight="1">
      <c r="A518" s="29"/>
      <c r="B518" s="30"/>
      <c r="C518" s="18"/>
      <c r="D518" s="18"/>
    </row>
    <row r="519" ht="15.75" customHeight="1">
      <c r="A519" s="29"/>
      <c r="B519" s="30"/>
      <c r="C519" s="18"/>
      <c r="D519" s="18"/>
    </row>
    <row r="520" ht="15.75" customHeight="1">
      <c r="A520" s="29"/>
      <c r="B520" s="30"/>
      <c r="C520" s="18"/>
      <c r="D520" s="18"/>
    </row>
    <row r="521" ht="15.75" customHeight="1">
      <c r="A521" s="29"/>
      <c r="B521" s="30"/>
      <c r="C521" s="18"/>
      <c r="D521" s="18"/>
    </row>
    <row r="522" ht="15.75" customHeight="1">
      <c r="A522" s="29"/>
      <c r="B522" s="30"/>
      <c r="C522" s="18"/>
      <c r="D522" s="18"/>
    </row>
    <row r="523" ht="15.75" customHeight="1">
      <c r="A523" s="29"/>
      <c r="B523" s="30"/>
      <c r="C523" s="18"/>
      <c r="D523" s="18"/>
    </row>
    <row r="524" ht="15.75" customHeight="1">
      <c r="A524" s="29"/>
      <c r="B524" s="30"/>
      <c r="C524" s="18"/>
      <c r="D524" s="18"/>
    </row>
    <row r="525" ht="15.75" customHeight="1">
      <c r="A525" s="29"/>
      <c r="B525" s="30"/>
      <c r="C525" s="18"/>
      <c r="D525" s="18"/>
    </row>
    <row r="526" ht="15.75" customHeight="1">
      <c r="A526" s="29"/>
      <c r="B526" s="30"/>
      <c r="C526" s="18"/>
      <c r="D526" s="18"/>
    </row>
    <row r="527" ht="15.75" customHeight="1">
      <c r="A527" s="29"/>
      <c r="B527" s="30"/>
      <c r="C527" s="18"/>
      <c r="D527" s="18"/>
    </row>
    <row r="528" ht="15.75" customHeight="1">
      <c r="A528" s="29"/>
      <c r="B528" s="30"/>
      <c r="C528" s="18"/>
      <c r="D528" s="18"/>
    </row>
    <row r="529" ht="15.75" customHeight="1">
      <c r="A529" s="29"/>
      <c r="B529" s="30"/>
      <c r="C529" s="18"/>
      <c r="D529" s="18"/>
    </row>
    <row r="530" ht="15.75" customHeight="1">
      <c r="A530" s="29"/>
      <c r="B530" s="30"/>
      <c r="C530" s="18"/>
      <c r="D530" s="18"/>
    </row>
    <row r="531" ht="15.75" customHeight="1">
      <c r="A531" s="29"/>
      <c r="B531" s="30"/>
      <c r="C531" s="18"/>
      <c r="D531" s="18"/>
    </row>
    <row r="532" ht="15.75" customHeight="1">
      <c r="A532" s="29"/>
      <c r="B532" s="30"/>
      <c r="C532" s="18"/>
      <c r="D532" s="18"/>
    </row>
    <row r="533" ht="15.75" customHeight="1">
      <c r="A533" s="29"/>
      <c r="B533" s="30"/>
      <c r="C533" s="18"/>
      <c r="D533" s="18"/>
    </row>
    <row r="534" ht="15.75" customHeight="1">
      <c r="A534" s="29"/>
      <c r="B534" s="30"/>
      <c r="C534" s="18"/>
      <c r="D534" s="18"/>
    </row>
    <row r="535" ht="15.75" customHeight="1">
      <c r="A535" s="29"/>
      <c r="B535" s="30"/>
      <c r="C535" s="18"/>
      <c r="D535" s="18"/>
    </row>
    <row r="536" ht="15.75" customHeight="1">
      <c r="A536" s="29"/>
      <c r="B536" s="30"/>
      <c r="C536" s="18"/>
      <c r="D536" s="18"/>
    </row>
    <row r="537" ht="15.75" customHeight="1">
      <c r="A537" s="29"/>
      <c r="B537" s="30"/>
      <c r="C537" s="18"/>
      <c r="D537" s="18"/>
    </row>
    <row r="538" ht="15.75" customHeight="1">
      <c r="A538" s="29"/>
      <c r="B538" s="30"/>
      <c r="C538" s="18"/>
      <c r="D538" s="18"/>
    </row>
    <row r="539" ht="15.75" customHeight="1">
      <c r="A539" s="29"/>
      <c r="B539" s="30"/>
      <c r="C539" s="18"/>
      <c r="D539" s="18"/>
    </row>
    <row r="540" ht="15.75" customHeight="1">
      <c r="A540" s="29"/>
      <c r="B540" s="30"/>
      <c r="C540" s="18"/>
      <c r="D540" s="18"/>
    </row>
    <row r="541" ht="15.75" customHeight="1">
      <c r="A541" s="29"/>
      <c r="B541" s="30"/>
      <c r="C541" s="18"/>
      <c r="D541" s="18"/>
    </row>
    <row r="542" ht="15.75" customHeight="1">
      <c r="A542" s="29"/>
      <c r="B542" s="30"/>
      <c r="C542" s="18"/>
      <c r="D542" s="18"/>
    </row>
    <row r="543" ht="15.75" customHeight="1">
      <c r="A543" s="29"/>
      <c r="B543" s="30"/>
      <c r="C543" s="18"/>
      <c r="D543" s="18"/>
    </row>
    <row r="544" ht="15.75" customHeight="1">
      <c r="A544" s="29"/>
      <c r="B544" s="30"/>
      <c r="C544" s="18"/>
      <c r="D544" s="18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8.88"/>
    <col customWidth="1" min="4" max="4" width="29.13"/>
    <col customWidth="1" min="5" max="6" width="12.63"/>
  </cols>
  <sheetData>
    <row r="1" ht="61.5" customHeight="1">
      <c r="A1" s="1" t="s">
        <v>0</v>
      </c>
      <c r="B1" s="2" t="s">
        <v>2</v>
      </c>
      <c r="C1" s="27" t="s">
        <v>3</v>
      </c>
      <c r="D1" s="27" t="s">
        <v>6</v>
      </c>
    </row>
    <row r="2" ht="15.75" customHeight="1">
      <c r="A2" s="15">
        <v>10101.0</v>
      </c>
      <c r="B2" s="16" t="s">
        <v>11</v>
      </c>
      <c r="C2" s="13">
        <v>10457.0</v>
      </c>
      <c r="D2" s="13">
        <v>1889.0</v>
      </c>
    </row>
    <row r="3" ht="15.75" customHeight="1">
      <c r="A3" s="15">
        <v>10102.0</v>
      </c>
      <c r="B3" s="16" t="s">
        <v>12</v>
      </c>
      <c r="C3" s="13">
        <v>212.0</v>
      </c>
      <c r="D3" s="13">
        <v>53.0</v>
      </c>
    </row>
    <row r="4" ht="15.75" customHeight="1">
      <c r="A4" s="15">
        <v>10103.0</v>
      </c>
      <c r="B4" s="16" t="s">
        <v>14</v>
      </c>
      <c r="C4" s="13">
        <v>314.0</v>
      </c>
      <c r="D4" s="13">
        <v>134.0</v>
      </c>
    </row>
    <row r="5" ht="15.75" customHeight="1">
      <c r="A5" s="15">
        <v>10201.0</v>
      </c>
      <c r="B5" s="16" t="s">
        <v>16</v>
      </c>
      <c r="C5" s="13">
        <v>284.0</v>
      </c>
      <c r="D5" s="13">
        <v>88.0</v>
      </c>
    </row>
    <row r="6" ht="15.75" customHeight="1">
      <c r="A6" s="15">
        <v>10202.0</v>
      </c>
      <c r="B6" s="16" t="s">
        <v>18</v>
      </c>
      <c r="C6" s="13">
        <v>264.0</v>
      </c>
      <c r="D6" s="13">
        <v>188.0</v>
      </c>
    </row>
    <row r="7" ht="15.75" customHeight="1">
      <c r="A7" s="15">
        <v>10301.0</v>
      </c>
      <c r="B7" s="16" t="s">
        <v>20</v>
      </c>
      <c r="C7" s="13">
        <v>351.0</v>
      </c>
      <c r="D7" s="13">
        <v>155.0</v>
      </c>
    </row>
    <row r="8" ht="15.75" customHeight="1">
      <c r="A8" s="15">
        <v>10302.0</v>
      </c>
      <c r="B8" s="16" t="s">
        <v>22</v>
      </c>
      <c r="C8" s="13">
        <v>377.0</v>
      </c>
      <c r="D8" s="13">
        <v>156.0</v>
      </c>
    </row>
    <row r="9" ht="15.75" customHeight="1">
      <c r="A9" s="15">
        <v>10303.0</v>
      </c>
      <c r="B9" s="16" t="s">
        <v>24</v>
      </c>
      <c r="C9" s="13">
        <v>159.0</v>
      </c>
      <c r="D9" s="13">
        <v>86.0</v>
      </c>
    </row>
    <row r="10" ht="15.75" customHeight="1">
      <c r="A10" s="15">
        <v>10304.0</v>
      </c>
      <c r="B10" s="16" t="s">
        <v>26</v>
      </c>
      <c r="C10" s="13">
        <v>166.0</v>
      </c>
      <c r="D10" s="13">
        <v>122.0</v>
      </c>
    </row>
    <row r="11" ht="15.75" customHeight="1">
      <c r="A11" s="15">
        <v>10401.0</v>
      </c>
      <c r="B11" s="16" t="s">
        <v>28</v>
      </c>
      <c r="C11" s="13">
        <v>188.0</v>
      </c>
      <c r="D11" s="13">
        <v>83.0</v>
      </c>
    </row>
    <row r="12" ht="15.75" customHeight="1">
      <c r="A12" s="15">
        <v>10402.0</v>
      </c>
      <c r="B12" s="16" t="s">
        <v>30</v>
      </c>
      <c r="C12" s="13">
        <v>217.0</v>
      </c>
      <c r="D12" s="13">
        <v>100.0</v>
      </c>
    </row>
    <row r="13" ht="15.75" customHeight="1">
      <c r="A13" s="15">
        <v>10403.0</v>
      </c>
      <c r="B13" s="16" t="s">
        <v>32</v>
      </c>
      <c r="C13" s="13">
        <v>193.0</v>
      </c>
      <c r="D13" s="13">
        <v>99.0</v>
      </c>
    </row>
    <row r="14" ht="15.75" customHeight="1">
      <c r="A14" s="15">
        <v>10404.0</v>
      </c>
      <c r="B14" s="16" t="s">
        <v>34</v>
      </c>
      <c r="C14" s="13">
        <v>126.0</v>
      </c>
      <c r="D14" s="13">
        <v>33.0</v>
      </c>
    </row>
    <row r="15" ht="15.75" customHeight="1">
      <c r="A15" s="15">
        <v>10405.0</v>
      </c>
      <c r="B15" s="16" t="s">
        <v>36</v>
      </c>
      <c r="C15" s="13">
        <v>91.0</v>
      </c>
      <c r="D15" s="13">
        <v>68.0</v>
      </c>
    </row>
    <row r="16" ht="15.75" customHeight="1">
      <c r="A16" s="15">
        <v>10501.0</v>
      </c>
      <c r="B16" s="16" t="s">
        <v>37</v>
      </c>
      <c r="C16" s="13">
        <v>552.0</v>
      </c>
      <c r="D16" s="13">
        <v>172.0</v>
      </c>
    </row>
    <row r="17" ht="15.75" customHeight="1">
      <c r="A17" s="15">
        <v>10502.0</v>
      </c>
      <c r="B17" s="16" t="s">
        <v>39</v>
      </c>
      <c r="C17" s="13">
        <v>177.0</v>
      </c>
      <c r="D17" s="13">
        <v>70.0</v>
      </c>
    </row>
    <row r="18" ht="15.75" customHeight="1">
      <c r="A18" s="15">
        <v>10601.0</v>
      </c>
      <c r="B18" s="16" t="s">
        <v>41</v>
      </c>
      <c r="C18" s="13">
        <v>354.0</v>
      </c>
      <c r="D18" s="13">
        <v>126.0</v>
      </c>
    </row>
    <row r="19" ht="15.75" customHeight="1">
      <c r="A19" s="15">
        <v>10602.0</v>
      </c>
      <c r="B19" s="16" t="s">
        <v>42</v>
      </c>
      <c r="C19" s="13">
        <v>200.0</v>
      </c>
      <c r="D19" s="13">
        <v>60.0</v>
      </c>
    </row>
    <row r="20" ht="15.75" customHeight="1">
      <c r="A20" s="15">
        <v>10701.0</v>
      </c>
      <c r="B20" s="16" t="s">
        <v>43</v>
      </c>
      <c r="C20" s="13">
        <v>397.0</v>
      </c>
      <c r="D20" s="13">
        <v>89.0</v>
      </c>
    </row>
    <row r="21" ht="15.75" customHeight="1">
      <c r="A21" s="15">
        <v>10702.0</v>
      </c>
      <c r="B21" s="16" t="s">
        <v>44</v>
      </c>
      <c r="C21" s="13">
        <v>624.0</v>
      </c>
      <c r="D21" s="13">
        <v>265.0</v>
      </c>
    </row>
    <row r="22" ht="15.75" customHeight="1">
      <c r="A22" s="15">
        <v>10703.0</v>
      </c>
      <c r="B22" s="16" t="s">
        <v>45</v>
      </c>
      <c r="C22" s="13">
        <v>404.0</v>
      </c>
      <c r="D22" s="13">
        <v>194.0</v>
      </c>
    </row>
    <row r="23" ht="15.75" customHeight="1">
      <c r="A23" s="15">
        <v>10704.0</v>
      </c>
      <c r="B23" s="16" t="s">
        <v>46</v>
      </c>
      <c r="C23" s="13">
        <v>572.0</v>
      </c>
      <c r="D23" s="13">
        <v>199.0</v>
      </c>
    </row>
    <row r="24" ht="15.75" customHeight="1">
      <c r="A24" s="15">
        <v>10801.0</v>
      </c>
      <c r="B24" s="16" t="s">
        <v>47</v>
      </c>
      <c r="C24" s="13">
        <v>273.0</v>
      </c>
      <c r="D24" s="13">
        <v>71.0</v>
      </c>
    </row>
    <row r="25" ht="15.75" customHeight="1">
      <c r="A25" s="15">
        <v>10901.0</v>
      </c>
      <c r="B25" s="16" t="s">
        <v>48</v>
      </c>
      <c r="C25" s="13">
        <v>97.0</v>
      </c>
      <c r="D25" s="13">
        <v>65.0</v>
      </c>
    </row>
    <row r="26" ht="15.75" customHeight="1">
      <c r="A26" s="15">
        <v>10902.0</v>
      </c>
      <c r="B26" s="16" t="s">
        <v>49</v>
      </c>
      <c r="C26" s="13">
        <v>463.0</v>
      </c>
      <c r="D26" s="13">
        <v>139.0</v>
      </c>
    </row>
    <row r="27" ht="15.75" customHeight="1">
      <c r="A27" s="15">
        <v>10903.0</v>
      </c>
      <c r="B27" s="16" t="s">
        <v>50</v>
      </c>
      <c r="C27" s="13">
        <v>91.0</v>
      </c>
      <c r="D27" s="13">
        <v>57.0</v>
      </c>
    </row>
    <row r="28" ht="15.75" customHeight="1">
      <c r="A28" s="15">
        <v>11001.0</v>
      </c>
      <c r="B28" s="16" t="s">
        <v>51</v>
      </c>
      <c r="C28" s="13">
        <v>280.0</v>
      </c>
      <c r="D28" s="13">
        <v>120.0</v>
      </c>
    </row>
    <row r="29" ht="15.75" customHeight="1">
      <c r="A29" s="15">
        <v>11002.0</v>
      </c>
      <c r="B29" s="16" t="s">
        <v>52</v>
      </c>
      <c r="C29" s="13">
        <v>62.0</v>
      </c>
      <c r="D29" s="13">
        <v>29.0</v>
      </c>
    </row>
    <row r="30" ht="15.75" customHeight="1">
      <c r="A30" s="15">
        <v>11003.0</v>
      </c>
      <c r="B30" s="16" t="s">
        <v>53</v>
      </c>
      <c r="C30" s="13">
        <v>188.0</v>
      </c>
      <c r="D30" s="13">
        <v>96.0</v>
      </c>
    </row>
    <row r="31" ht="15.75" customHeight="1">
      <c r="A31" s="15">
        <v>20101.0</v>
      </c>
      <c r="B31" s="16" t="s">
        <v>54</v>
      </c>
      <c r="C31" s="13">
        <v>20176.0</v>
      </c>
      <c r="D31" s="13">
        <v>3096.0</v>
      </c>
    </row>
    <row r="32" ht="15.75" customHeight="1">
      <c r="A32" s="15">
        <v>20102.0</v>
      </c>
      <c r="B32" s="16" t="s">
        <v>55</v>
      </c>
      <c r="C32" s="13">
        <v>255.0</v>
      </c>
      <c r="D32" s="13">
        <v>151.0</v>
      </c>
    </row>
    <row r="33" ht="15.75" customHeight="1">
      <c r="A33" s="15">
        <v>20103.0</v>
      </c>
      <c r="B33" s="16" t="s">
        <v>56</v>
      </c>
      <c r="C33" s="13">
        <v>160.0</v>
      </c>
      <c r="D33" s="13">
        <v>81.0</v>
      </c>
    </row>
    <row r="34" ht="15.75" customHeight="1">
      <c r="A34" s="15">
        <v>20104.0</v>
      </c>
      <c r="B34" s="16" t="s">
        <v>57</v>
      </c>
      <c r="C34" s="13">
        <v>395.0</v>
      </c>
      <c r="D34" s="13">
        <v>328.0</v>
      </c>
    </row>
    <row r="35" ht="15.75" customHeight="1">
      <c r="A35" s="15">
        <v>20105.0</v>
      </c>
      <c r="B35" s="16" t="s">
        <v>58</v>
      </c>
      <c r="C35" s="13">
        <v>23354.0</v>
      </c>
      <c r="D35" s="13">
        <v>6446.0</v>
      </c>
    </row>
    <row r="36" ht="15.75" customHeight="1">
      <c r="A36" s="15">
        <v>20201.0</v>
      </c>
      <c r="B36" s="16" t="s">
        <v>59</v>
      </c>
      <c r="C36" s="13">
        <v>684.0</v>
      </c>
      <c r="D36" s="13">
        <v>214.0</v>
      </c>
    </row>
    <row r="37" ht="15.75" customHeight="1">
      <c r="A37" s="15">
        <v>20202.0</v>
      </c>
      <c r="B37" s="16" t="s">
        <v>60</v>
      </c>
      <c r="C37" s="13">
        <v>101.0</v>
      </c>
      <c r="D37" s="13">
        <v>79.0</v>
      </c>
    </row>
    <row r="38" ht="15.75" customHeight="1">
      <c r="A38" s="15">
        <v>20203.0</v>
      </c>
      <c r="B38" s="16" t="s">
        <v>61</v>
      </c>
      <c r="C38" s="13">
        <v>76.0</v>
      </c>
      <c r="D38" s="13">
        <v>48.0</v>
      </c>
    </row>
    <row r="39" ht="15.75" customHeight="1">
      <c r="A39" s="15">
        <v>20204.0</v>
      </c>
      <c r="B39" s="16" t="s">
        <v>62</v>
      </c>
      <c r="C39" s="13">
        <v>131.0</v>
      </c>
      <c r="D39" s="13">
        <v>26.0</v>
      </c>
    </row>
    <row r="40" ht="15.75" customHeight="1">
      <c r="A40" s="15">
        <v>20205.0</v>
      </c>
      <c r="B40" s="16" t="s">
        <v>63</v>
      </c>
      <c r="C40" s="13">
        <v>83.0</v>
      </c>
      <c r="D40" s="13">
        <v>36.0</v>
      </c>
    </row>
    <row r="41" ht="15.75" customHeight="1">
      <c r="A41" s="15">
        <v>20206.0</v>
      </c>
      <c r="B41" s="16" t="s">
        <v>64</v>
      </c>
      <c r="C41" s="13">
        <v>76.0</v>
      </c>
      <c r="D41" s="13">
        <v>15.0</v>
      </c>
    </row>
    <row r="42" ht="15.75" customHeight="1">
      <c r="A42" s="15">
        <v>20301.0</v>
      </c>
      <c r="B42" s="16" t="s">
        <v>65</v>
      </c>
      <c r="C42" s="13">
        <v>101.0</v>
      </c>
      <c r="D42" s="13">
        <v>53.0</v>
      </c>
    </row>
    <row r="43" ht="15.75" customHeight="1">
      <c r="A43" s="15">
        <v>20302.0</v>
      </c>
      <c r="B43" s="16" t="s">
        <v>66</v>
      </c>
      <c r="C43" s="13">
        <v>135.0</v>
      </c>
      <c r="D43" s="13">
        <v>55.0</v>
      </c>
    </row>
    <row r="44" ht="15.75" customHeight="1">
      <c r="A44" s="15">
        <v>20303.0</v>
      </c>
      <c r="B44" s="16" t="s">
        <v>67</v>
      </c>
      <c r="C44" s="13">
        <v>73.0</v>
      </c>
      <c r="D44" s="13">
        <v>65.0</v>
      </c>
    </row>
    <row r="45" ht="15.75" customHeight="1">
      <c r="A45" s="15">
        <v>20304.0</v>
      </c>
      <c r="B45" s="16" t="s">
        <v>68</v>
      </c>
      <c r="C45" s="13">
        <v>45.0</v>
      </c>
      <c r="D45" s="13">
        <v>23.0</v>
      </c>
    </row>
    <row r="46" ht="15.75" customHeight="1">
      <c r="A46" s="15">
        <v>20305.0</v>
      </c>
      <c r="B46" s="16" t="s">
        <v>69</v>
      </c>
      <c r="C46" s="13">
        <v>72.0</v>
      </c>
      <c r="D46" s="13">
        <v>30.0</v>
      </c>
    </row>
    <row r="47" ht="15.75" customHeight="1">
      <c r="A47" s="15">
        <v>20306.0</v>
      </c>
      <c r="B47" s="16" t="s">
        <v>70</v>
      </c>
      <c r="C47" s="13">
        <v>87.0</v>
      </c>
      <c r="D47" s="13">
        <v>34.0</v>
      </c>
    </row>
    <row r="48" ht="15.75" customHeight="1">
      <c r="A48" s="15">
        <v>20307.0</v>
      </c>
      <c r="B48" s="16" t="s">
        <v>71</v>
      </c>
      <c r="C48" s="13">
        <v>16.0</v>
      </c>
      <c r="D48" s="13">
        <v>17.0</v>
      </c>
    </row>
    <row r="49" ht="15.75" customHeight="1">
      <c r="A49" s="15">
        <v>20308.0</v>
      </c>
      <c r="B49" s="16" t="s">
        <v>72</v>
      </c>
      <c r="C49" s="13">
        <v>58.0</v>
      </c>
      <c r="D49" s="13">
        <v>30.0</v>
      </c>
    </row>
    <row r="50" ht="15.75" customHeight="1">
      <c r="A50" s="15">
        <v>20401.0</v>
      </c>
      <c r="B50" s="16" t="s">
        <v>73</v>
      </c>
      <c r="C50" s="13">
        <v>65.0</v>
      </c>
      <c r="D50" s="13">
        <v>62.0</v>
      </c>
    </row>
    <row r="51" ht="15.75" customHeight="1">
      <c r="A51" s="15">
        <v>20402.0</v>
      </c>
      <c r="B51" s="16" t="s">
        <v>74</v>
      </c>
      <c r="C51" s="13">
        <v>113.0</v>
      </c>
      <c r="D51" s="13">
        <v>80.0</v>
      </c>
    </row>
    <row r="52" ht="15.75" customHeight="1">
      <c r="A52" s="15">
        <v>20403.0</v>
      </c>
      <c r="B52" s="16" t="s">
        <v>75</v>
      </c>
      <c r="C52" s="13">
        <v>129.0</v>
      </c>
      <c r="D52" s="13">
        <v>104.0</v>
      </c>
    </row>
    <row r="53" ht="15.75" customHeight="1">
      <c r="A53" s="15">
        <v>20404.0</v>
      </c>
      <c r="B53" s="16" t="s">
        <v>76</v>
      </c>
      <c r="C53" s="13">
        <v>33.0</v>
      </c>
      <c r="D53" s="13">
        <v>27.0</v>
      </c>
    </row>
    <row r="54" ht="15.75" customHeight="1">
      <c r="A54" s="15">
        <v>20405.0</v>
      </c>
      <c r="B54" s="16" t="s">
        <v>77</v>
      </c>
      <c r="C54" s="13">
        <v>69.0</v>
      </c>
      <c r="D54" s="13">
        <v>29.0</v>
      </c>
    </row>
    <row r="55" ht="15.75" customHeight="1">
      <c r="A55" s="15">
        <v>20501.0</v>
      </c>
      <c r="B55" s="16" t="s">
        <v>78</v>
      </c>
      <c r="C55" s="13">
        <v>77.0</v>
      </c>
      <c r="D55" s="13">
        <v>117.0</v>
      </c>
    </row>
    <row r="56" ht="15.75" customHeight="1">
      <c r="A56" s="15">
        <v>20502.0</v>
      </c>
      <c r="B56" s="16" t="s">
        <v>79</v>
      </c>
      <c r="C56" s="13">
        <v>61.0</v>
      </c>
      <c r="D56" s="13">
        <v>76.0</v>
      </c>
    </row>
    <row r="57" ht="15.75" customHeight="1">
      <c r="A57" s="15">
        <v>20503.0</v>
      </c>
      <c r="B57" s="16" t="s">
        <v>80</v>
      </c>
      <c r="C57" s="13">
        <v>102.0</v>
      </c>
      <c r="D57" s="13">
        <v>71.0</v>
      </c>
    </row>
    <row r="58" ht="15.75" customHeight="1">
      <c r="A58" s="15">
        <v>20601.0</v>
      </c>
      <c r="B58" s="16" t="s">
        <v>81</v>
      </c>
      <c r="C58" s="13">
        <v>491.0</v>
      </c>
      <c r="D58" s="13">
        <v>281.0</v>
      </c>
    </row>
    <row r="59" ht="15.75" customHeight="1">
      <c r="A59" s="15">
        <v>20602.0</v>
      </c>
      <c r="B59" s="16" t="s">
        <v>82</v>
      </c>
      <c r="C59" s="13">
        <v>352.0</v>
      </c>
      <c r="D59" s="13">
        <v>212.0</v>
      </c>
    </row>
    <row r="60" ht="15.75" customHeight="1">
      <c r="A60" s="15">
        <v>20603.0</v>
      </c>
      <c r="B60" s="16" t="s">
        <v>83</v>
      </c>
      <c r="C60" s="13">
        <v>200.0</v>
      </c>
      <c r="D60" s="13">
        <v>139.0</v>
      </c>
    </row>
    <row r="61" ht="15.75" customHeight="1">
      <c r="A61" s="15">
        <v>20604.0</v>
      </c>
      <c r="B61" s="16" t="s">
        <v>84</v>
      </c>
      <c r="C61" s="13">
        <v>28.0</v>
      </c>
      <c r="D61" s="13">
        <v>58.0</v>
      </c>
    </row>
    <row r="62" ht="15.75" customHeight="1">
      <c r="A62" s="15">
        <v>20605.0</v>
      </c>
      <c r="B62" s="16" t="s">
        <v>85</v>
      </c>
      <c r="C62" s="13">
        <v>23.0</v>
      </c>
      <c r="D62" s="13">
        <v>14.0</v>
      </c>
    </row>
    <row r="63" ht="15.75" customHeight="1">
      <c r="A63" s="15">
        <v>20606.0</v>
      </c>
      <c r="B63" s="16" t="s">
        <v>86</v>
      </c>
      <c r="C63" s="13">
        <v>282.0</v>
      </c>
      <c r="D63" s="13">
        <v>92.0</v>
      </c>
    </row>
    <row r="64" ht="15.75" customHeight="1">
      <c r="A64" s="15">
        <v>20607.0</v>
      </c>
      <c r="B64" s="16" t="s">
        <v>87</v>
      </c>
      <c r="C64" s="13">
        <v>450.0</v>
      </c>
      <c r="D64" s="13">
        <v>365.0</v>
      </c>
    </row>
    <row r="65" ht="15.75" customHeight="1">
      <c r="A65" s="15">
        <v>20608.0</v>
      </c>
      <c r="B65" s="16" t="s">
        <v>88</v>
      </c>
      <c r="C65" s="13">
        <v>159.0</v>
      </c>
      <c r="D65" s="13">
        <v>176.0</v>
      </c>
    </row>
    <row r="66" ht="15.75" customHeight="1">
      <c r="A66" s="15">
        <v>20701.0</v>
      </c>
      <c r="B66" s="16" t="s">
        <v>89</v>
      </c>
      <c r="C66" s="13">
        <v>373.0</v>
      </c>
      <c r="D66" s="13">
        <v>216.0</v>
      </c>
    </row>
    <row r="67" ht="15.75" customHeight="1">
      <c r="A67" s="15">
        <v>20702.0</v>
      </c>
      <c r="B67" s="16" t="s">
        <v>90</v>
      </c>
      <c r="C67" s="13">
        <v>143.0</v>
      </c>
      <c r="D67" s="13">
        <v>86.0</v>
      </c>
    </row>
    <row r="68" ht="15.75" customHeight="1">
      <c r="A68" s="15">
        <v>20801.0</v>
      </c>
      <c r="B68" s="16" t="s">
        <v>91</v>
      </c>
      <c r="C68" s="13">
        <v>1864.0</v>
      </c>
      <c r="D68" s="13">
        <v>818.0</v>
      </c>
    </row>
    <row r="69" ht="15.75" customHeight="1">
      <c r="A69" s="15">
        <v>20802.0</v>
      </c>
      <c r="B69" s="16" t="s">
        <v>92</v>
      </c>
      <c r="C69" s="13">
        <v>70.0</v>
      </c>
      <c r="D69" s="13">
        <v>22.0</v>
      </c>
    </row>
    <row r="70" ht="15.75" customHeight="1">
      <c r="A70" s="15">
        <v>20803.0</v>
      </c>
      <c r="B70" s="16" t="s">
        <v>93</v>
      </c>
      <c r="C70" s="13">
        <v>268.0</v>
      </c>
      <c r="D70" s="13">
        <v>58.0</v>
      </c>
    </row>
    <row r="71" ht="15.75" customHeight="1">
      <c r="A71" s="15">
        <v>20804.0</v>
      </c>
      <c r="B71" s="16" t="s">
        <v>94</v>
      </c>
      <c r="C71" s="13">
        <v>142.0</v>
      </c>
      <c r="D71" s="13">
        <v>49.0</v>
      </c>
    </row>
    <row r="72" ht="15.75" customHeight="1">
      <c r="A72" s="15">
        <v>20805.0</v>
      </c>
      <c r="B72" s="16" t="s">
        <v>95</v>
      </c>
      <c r="C72" s="13">
        <v>58.0</v>
      </c>
      <c r="D72" s="13">
        <v>28.0</v>
      </c>
    </row>
    <row r="73" ht="15.75" customHeight="1">
      <c r="A73" s="15">
        <v>20806.0</v>
      </c>
      <c r="B73" s="16" t="s">
        <v>96</v>
      </c>
      <c r="C73" s="13">
        <v>160.0</v>
      </c>
      <c r="D73" s="13">
        <v>43.0</v>
      </c>
    </row>
    <row r="74" ht="15.75" customHeight="1">
      <c r="A74" s="15">
        <v>20807.0</v>
      </c>
      <c r="B74" s="16" t="s">
        <v>97</v>
      </c>
      <c r="C74" s="13">
        <v>45.0</v>
      </c>
      <c r="D74" s="13">
        <v>37.0</v>
      </c>
    </row>
    <row r="75" ht="15.75" customHeight="1">
      <c r="A75" s="15">
        <v>20901.0</v>
      </c>
      <c r="B75" s="16" t="s">
        <v>98</v>
      </c>
      <c r="C75" s="13">
        <v>112.0</v>
      </c>
      <c r="D75" s="13">
        <v>49.0</v>
      </c>
    </row>
    <row r="76" ht="15.75" customHeight="1">
      <c r="A76" s="15">
        <v>20902.0</v>
      </c>
      <c r="B76" s="16" t="s">
        <v>99</v>
      </c>
      <c r="C76" s="13">
        <v>76.0</v>
      </c>
      <c r="D76" s="13">
        <v>58.0</v>
      </c>
    </row>
    <row r="77" ht="15.75" customHeight="1">
      <c r="A77" s="15">
        <v>20903.0</v>
      </c>
      <c r="B77" s="16" t="s">
        <v>100</v>
      </c>
      <c r="C77" s="13">
        <v>71.0</v>
      </c>
      <c r="D77" s="13">
        <v>100.0</v>
      </c>
    </row>
    <row r="78" ht="15.75" customHeight="1">
      <c r="A78" s="15">
        <v>20904.0</v>
      </c>
      <c r="B78" s="16" t="s">
        <v>101</v>
      </c>
      <c r="C78" s="13">
        <v>106.0</v>
      </c>
      <c r="D78" s="13">
        <v>56.0</v>
      </c>
    </row>
    <row r="79" ht="15.75" customHeight="1">
      <c r="A79" s="15">
        <v>20905.0</v>
      </c>
      <c r="B79" s="16" t="s">
        <v>102</v>
      </c>
      <c r="C79" s="13">
        <v>153.0</v>
      </c>
      <c r="D79" s="13">
        <v>122.0</v>
      </c>
    </row>
    <row r="80" ht="15.75" customHeight="1">
      <c r="A80" s="15">
        <v>21001.0</v>
      </c>
      <c r="B80" s="16" t="s">
        <v>103</v>
      </c>
      <c r="C80" s="13">
        <v>211.0</v>
      </c>
      <c r="D80" s="13">
        <v>176.0</v>
      </c>
    </row>
    <row r="81" ht="15.75" customHeight="1">
      <c r="A81" s="15">
        <v>21002.0</v>
      </c>
      <c r="B81" s="16" t="s">
        <v>104</v>
      </c>
      <c r="C81" s="13">
        <v>211.0</v>
      </c>
      <c r="D81" s="13">
        <v>115.0</v>
      </c>
    </row>
    <row r="82" ht="15.75" customHeight="1">
      <c r="A82" s="15">
        <v>21003.0</v>
      </c>
      <c r="B82" s="16" t="s">
        <v>105</v>
      </c>
      <c r="C82" s="13">
        <v>134.0</v>
      </c>
      <c r="D82" s="13">
        <v>129.0</v>
      </c>
    </row>
    <row r="83" ht="15.75" customHeight="1">
      <c r="A83" s="15">
        <v>21004.0</v>
      </c>
      <c r="B83" s="16" t="s">
        <v>106</v>
      </c>
      <c r="C83" s="13">
        <v>453.0</v>
      </c>
      <c r="D83" s="13">
        <v>252.0</v>
      </c>
    </row>
    <row r="84" ht="15.75" customHeight="1">
      <c r="A84" s="15">
        <v>21005.0</v>
      </c>
      <c r="B84" s="16" t="s">
        <v>107</v>
      </c>
      <c r="C84" s="13">
        <v>87.0</v>
      </c>
      <c r="D84" s="13">
        <v>99.0</v>
      </c>
    </row>
    <row r="85" ht="15.75" customHeight="1">
      <c r="A85" s="15">
        <v>21006.0</v>
      </c>
      <c r="B85" s="16" t="s">
        <v>108</v>
      </c>
      <c r="C85" s="13">
        <v>123.0</v>
      </c>
      <c r="D85" s="13">
        <v>79.0</v>
      </c>
    </row>
    <row r="86" ht="15.75" customHeight="1">
      <c r="A86" s="15">
        <v>21101.0</v>
      </c>
      <c r="B86" s="16" t="s">
        <v>109</v>
      </c>
      <c r="C86" s="13">
        <v>151.0</v>
      </c>
      <c r="D86" s="13">
        <v>56.0</v>
      </c>
    </row>
    <row r="87" ht="15.75" customHeight="1">
      <c r="A87" s="15">
        <v>21102.0</v>
      </c>
      <c r="B87" s="16" t="s">
        <v>110</v>
      </c>
      <c r="C87" s="13">
        <v>207.0</v>
      </c>
      <c r="D87" s="13">
        <v>120.0</v>
      </c>
    </row>
    <row r="88" ht="15.75" customHeight="1">
      <c r="A88" s="15">
        <v>21103.0</v>
      </c>
      <c r="B88" s="16" t="s">
        <v>111</v>
      </c>
      <c r="C88" s="13">
        <v>121.0</v>
      </c>
      <c r="D88" s="13">
        <v>52.0</v>
      </c>
    </row>
    <row r="89" ht="15.75" customHeight="1">
      <c r="A89" s="15">
        <v>21104.0</v>
      </c>
      <c r="B89" s="16" t="s">
        <v>112</v>
      </c>
      <c r="C89" s="13">
        <v>391.0</v>
      </c>
      <c r="D89" s="13">
        <v>200.0</v>
      </c>
    </row>
    <row r="90" ht="15.75" customHeight="1">
      <c r="A90" s="15">
        <v>21105.0</v>
      </c>
      <c r="B90" s="16" t="s">
        <v>113</v>
      </c>
      <c r="C90" s="13">
        <v>198.0</v>
      </c>
      <c r="D90" s="13">
        <v>209.0</v>
      </c>
    </row>
    <row r="91" ht="15.75" customHeight="1">
      <c r="A91" s="15">
        <v>21201.0</v>
      </c>
      <c r="B91" s="16" t="s">
        <v>114</v>
      </c>
      <c r="C91" s="13">
        <v>555.0</v>
      </c>
      <c r="D91" s="13">
        <v>351.0</v>
      </c>
    </row>
    <row r="92" ht="15.75" customHeight="1">
      <c r="A92" s="15">
        <v>21202.0</v>
      </c>
      <c r="B92" s="16" t="s">
        <v>115</v>
      </c>
      <c r="C92" s="13">
        <v>394.0</v>
      </c>
      <c r="D92" s="13">
        <v>281.0</v>
      </c>
    </row>
    <row r="93" ht="15.75" customHeight="1">
      <c r="A93" s="15">
        <v>21203.0</v>
      </c>
      <c r="B93" s="16" t="s">
        <v>116</v>
      </c>
      <c r="C93" s="13">
        <v>240.0</v>
      </c>
      <c r="D93" s="13">
        <v>101.0</v>
      </c>
    </row>
    <row r="94" ht="15.75" customHeight="1">
      <c r="A94" s="15">
        <v>21204.0</v>
      </c>
      <c r="B94" s="16" t="s">
        <v>117</v>
      </c>
      <c r="C94" s="13">
        <v>104.0</v>
      </c>
      <c r="D94" s="13">
        <v>56.0</v>
      </c>
    </row>
    <row r="95" ht="15.75" customHeight="1">
      <c r="A95" s="15">
        <v>21301.0</v>
      </c>
      <c r="B95" s="16" t="s">
        <v>118</v>
      </c>
      <c r="C95" s="13">
        <v>577.0</v>
      </c>
      <c r="D95" s="13">
        <v>259.0</v>
      </c>
    </row>
    <row r="96" ht="15.75" customHeight="1">
      <c r="A96" s="15">
        <v>21302.0</v>
      </c>
      <c r="B96" s="16" t="s">
        <v>119</v>
      </c>
      <c r="C96" s="13">
        <v>44.0</v>
      </c>
      <c r="D96" s="13">
        <v>30.0</v>
      </c>
    </row>
    <row r="97" ht="15.75" customHeight="1">
      <c r="A97" s="15">
        <v>21303.0</v>
      </c>
      <c r="B97" s="16" t="s">
        <v>120</v>
      </c>
      <c r="C97" s="13">
        <v>58.0</v>
      </c>
      <c r="D97" s="13">
        <v>69.0</v>
      </c>
    </row>
    <row r="98" ht="15.75" customHeight="1">
      <c r="A98" s="15">
        <v>21304.0</v>
      </c>
      <c r="B98" s="16" t="s">
        <v>121</v>
      </c>
      <c r="C98" s="13">
        <v>154.0</v>
      </c>
      <c r="D98" s="13">
        <v>85.0</v>
      </c>
    </row>
    <row r="99" ht="15.75" customHeight="1">
      <c r="A99" s="15">
        <v>21305.0</v>
      </c>
      <c r="B99" s="16" t="s">
        <v>122</v>
      </c>
      <c r="C99" s="13">
        <v>375.0</v>
      </c>
      <c r="D99" s="13">
        <v>177.0</v>
      </c>
    </row>
    <row r="100" ht="15.75" customHeight="1">
      <c r="A100" s="15">
        <v>21306.0</v>
      </c>
      <c r="B100" s="16" t="s">
        <v>123</v>
      </c>
      <c r="C100" s="13">
        <v>167.0</v>
      </c>
      <c r="D100" s="13">
        <v>115.0</v>
      </c>
    </row>
    <row r="101" ht="15.75" customHeight="1">
      <c r="A101" s="15">
        <v>21307.0</v>
      </c>
      <c r="B101" s="16" t="s">
        <v>124</v>
      </c>
      <c r="C101" s="13">
        <v>83.0</v>
      </c>
      <c r="D101" s="13">
        <v>49.0</v>
      </c>
    </row>
    <row r="102" ht="15.75" customHeight="1">
      <c r="A102" s="15">
        <v>21401.0</v>
      </c>
      <c r="B102" s="16" t="s">
        <v>125</v>
      </c>
      <c r="C102" s="13">
        <v>231.0</v>
      </c>
      <c r="D102" s="13">
        <v>142.0</v>
      </c>
    </row>
    <row r="103" ht="15.75" customHeight="1">
      <c r="A103" s="15">
        <v>21402.0</v>
      </c>
      <c r="B103" s="16" t="s">
        <v>126</v>
      </c>
      <c r="C103" s="13">
        <v>87.0</v>
      </c>
      <c r="D103" s="13">
        <v>69.0</v>
      </c>
    </row>
    <row r="104" ht="15.75" customHeight="1">
      <c r="A104" s="15">
        <v>21501.0</v>
      </c>
      <c r="B104" s="16" t="s">
        <v>127</v>
      </c>
      <c r="C104" s="13">
        <v>278.0</v>
      </c>
      <c r="D104" s="13">
        <v>138.0</v>
      </c>
    </row>
    <row r="105" ht="15.75" customHeight="1">
      <c r="A105" s="15">
        <v>21502.0</v>
      </c>
      <c r="B105" s="16" t="s">
        <v>128</v>
      </c>
      <c r="C105" s="13">
        <v>240.0</v>
      </c>
      <c r="D105" s="13">
        <v>124.0</v>
      </c>
    </row>
    <row r="106" ht="15.75" customHeight="1">
      <c r="A106" s="15">
        <v>21601.0</v>
      </c>
      <c r="B106" s="16" t="s">
        <v>129</v>
      </c>
      <c r="C106" s="13">
        <v>151.0</v>
      </c>
      <c r="D106" s="13">
        <v>123.0</v>
      </c>
    </row>
    <row r="107" ht="15.75" customHeight="1">
      <c r="A107" s="15">
        <v>21602.0</v>
      </c>
      <c r="B107" s="16" t="s">
        <v>130</v>
      </c>
      <c r="C107" s="13">
        <v>53.0</v>
      </c>
      <c r="D107" s="13">
        <v>110.0</v>
      </c>
    </row>
    <row r="108" ht="15.75" customHeight="1">
      <c r="A108" s="15">
        <v>21701.0</v>
      </c>
      <c r="B108" s="16" t="s">
        <v>131</v>
      </c>
      <c r="C108" s="13">
        <v>137.0</v>
      </c>
      <c r="D108" s="13">
        <v>97.0</v>
      </c>
    </row>
    <row r="109" ht="15.75" customHeight="1">
      <c r="A109" s="15">
        <v>21702.0</v>
      </c>
      <c r="B109" s="16" t="s">
        <v>132</v>
      </c>
      <c r="C109" s="13">
        <v>83.0</v>
      </c>
      <c r="D109" s="13">
        <v>32.0</v>
      </c>
    </row>
    <row r="110" ht="15.75" customHeight="1">
      <c r="A110" s="15">
        <v>21703.0</v>
      </c>
      <c r="B110" s="16" t="s">
        <v>133</v>
      </c>
      <c r="C110" s="13">
        <v>103.0</v>
      </c>
      <c r="D110" s="13">
        <v>49.0</v>
      </c>
    </row>
    <row r="111" ht="15.75" customHeight="1">
      <c r="A111" s="15">
        <v>21801.0</v>
      </c>
      <c r="B111" s="16" t="s">
        <v>134</v>
      </c>
      <c r="C111" s="13">
        <v>87.0</v>
      </c>
      <c r="D111" s="13">
        <v>42.0</v>
      </c>
    </row>
    <row r="112" ht="15.75" customHeight="1">
      <c r="A112" s="15">
        <v>21802.0</v>
      </c>
      <c r="B112" s="16" t="s">
        <v>135</v>
      </c>
      <c r="C112" s="13">
        <v>84.0</v>
      </c>
      <c r="D112" s="13">
        <v>29.0</v>
      </c>
    </row>
    <row r="113" ht="15.75" customHeight="1">
      <c r="A113" s="15">
        <v>21803.0</v>
      </c>
      <c r="B113" s="16" t="s">
        <v>136</v>
      </c>
      <c r="C113" s="13">
        <v>12.0</v>
      </c>
      <c r="D113" s="13">
        <v>12.0</v>
      </c>
    </row>
    <row r="114" ht="15.75" customHeight="1">
      <c r="A114" s="15">
        <v>21901.0</v>
      </c>
      <c r="B114" s="16" t="s">
        <v>137</v>
      </c>
      <c r="C114" s="13">
        <v>60.0</v>
      </c>
      <c r="D114" s="13">
        <v>26.0</v>
      </c>
    </row>
    <row r="115" ht="15.75" customHeight="1">
      <c r="A115" s="15">
        <v>21902.0</v>
      </c>
      <c r="B115" s="16" t="s">
        <v>138</v>
      </c>
      <c r="C115" s="13">
        <v>40.0</v>
      </c>
      <c r="D115" s="13">
        <v>33.0</v>
      </c>
    </row>
    <row r="116" ht="15.75" customHeight="1">
      <c r="A116" s="15">
        <v>22001.0</v>
      </c>
      <c r="B116" s="16" t="s">
        <v>139</v>
      </c>
      <c r="C116" s="13">
        <v>586.0</v>
      </c>
      <c r="D116" s="13">
        <v>374.0</v>
      </c>
    </row>
    <row r="117" ht="15.75" customHeight="1">
      <c r="A117" s="15">
        <v>22002.0</v>
      </c>
      <c r="B117" s="16" t="s">
        <v>140</v>
      </c>
      <c r="C117" s="13">
        <v>129.0</v>
      </c>
      <c r="D117" s="13">
        <v>61.0</v>
      </c>
    </row>
    <row r="118" ht="15.75" customHeight="1">
      <c r="A118" s="15">
        <v>30101.0</v>
      </c>
      <c r="B118" s="16" t="s">
        <v>15</v>
      </c>
      <c r="C118" s="13">
        <v>20225.0</v>
      </c>
      <c r="D118" s="13">
        <v>4310.0</v>
      </c>
    </row>
    <row r="119" ht="15.75" customHeight="1">
      <c r="A119" s="15">
        <v>30201.0</v>
      </c>
      <c r="B119" s="16" t="s">
        <v>141</v>
      </c>
      <c r="C119" s="13">
        <v>549.0</v>
      </c>
      <c r="D119" s="13">
        <v>201.0</v>
      </c>
    </row>
    <row r="120" ht="15.75" customHeight="1">
      <c r="A120" s="15">
        <v>30202.0</v>
      </c>
      <c r="B120" s="16" t="s">
        <v>142</v>
      </c>
      <c r="C120" s="13">
        <v>143.0</v>
      </c>
      <c r="D120" s="13">
        <v>52.0</v>
      </c>
    </row>
    <row r="121" ht="15.75" customHeight="1">
      <c r="A121" s="15">
        <v>30203.0</v>
      </c>
      <c r="B121" s="16" t="s">
        <v>143</v>
      </c>
      <c r="C121" s="13">
        <v>109.0</v>
      </c>
      <c r="D121" s="13">
        <v>77.0</v>
      </c>
    </row>
    <row r="122" ht="15.75" customHeight="1">
      <c r="A122" s="15">
        <v>30301.0</v>
      </c>
      <c r="B122" s="16" t="s">
        <v>144</v>
      </c>
      <c r="C122" s="13">
        <v>484.0</v>
      </c>
      <c r="D122" s="13">
        <v>213.0</v>
      </c>
    </row>
    <row r="123" ht="15.75" customHeight="1">
      <c r="A123" s="15">
        <v>30302.0</v>
      </c>
      <c r="B123" s="16" t="s">
        <v>145</v>
      </c>
      <c r="C123" s="13">
        <v>243.0</v>
      </c>
      <c r="D123" s="13">
        <v>139.0</v>
      </c>
    </row>
    <row r="124" ht="15.75" customHeight="1">
      <c r="A124" s="15">
        <v>30303.0</v>
      </c>
      <c r="B124" s="16" t="s">
        <v>146</v>
      </c>
      <c r="C124" s="13">
        <v>340.0</v>
      </c>
      <c r="D124" s="13">
        <v>200.0</v>
      </c>
    </row>
    <row r="125" ht="15.75" customHeight="1">
      <c r="A125" s="15">
        <v>30401.0</v>
      </c>
      <c r="B125" s="16" t="s">
        <v>147</v>
      </c>
      <c r="C125" s="13">
        <v>248.0</v>
      </c>
      <c r="D125" s="13">
        <v>112.0</v>
      </c>
    </row>
    <row r="126" ht="15.75" customHeight="1">
      <c r="A126" s="15">
        <v>30402.0</v>
      </c>
      <c r="B126" s="16" t="s">
        <v>148</v>
      </c>
      <c r="C126" s="13">
        <v>132.0</v>
      </c>
      <c r="D126" s="13">
        <v>44.0</v>
      </c>
    </row>
    <row r="127" ht="15.75" customHeight="1">
      <c r="A127" s="15">
        <v>30403.0</v>
      </c>
      <c r="B127" s="16" t="s">
        <v>149</v>
      </c>
      <c r="C127" s="13">
        <v>445.0</v>
      </c>
      <c r="D127" s="13">
        <v>385.0</v>
      </c>
    </row>
    <row r="128" ht="15.75" customHeight="1">
      <c r="A128" s="15">
        <v>30404.0</v>
      </c>
      <c r="B128" s="16" t="s">
        <v>150</v>
      </c>
      <c r="C128" s="13">
        <v>59.0</v>
      </c>
      <c r="D128" s="13">
        <v>30.0</v>
      </c>
    </row>
    <row r="129" ht="15.75" customHeight="1">
      <c r="A129" s="15">
        <v>30501.0</v>
      </c>
      <c r="B129" s="16" t="s">
        <v>151</v>
      </c>
      <c r="C129" s="13">
        <v>244.0</v>
      </c>
      <c r="D129" s="13">
        <v>72.0</v>
      </c>
    </row>
    <row r="130" ht="15.75" customHeight="1">
      <c r="A130" s="15">
        <v>30502.0</v>
      </c>
      <c r="B130" s="16" t="s">
        <v>152</v>
      </c>
      <c r="C130" s="13">
        <v>117.0</v>
      </c>
      <c r="D130" s="13">
        <v>40.0</v>
      </c>
    </row>
    <row r="131" ht="15.75" customHeight="1">
      <c r="A131" s="15">
        <v>30601.0</v>
      </c>
      <c r="B131" s="16" t="s">
        <v>153</v>
      </c>
      <c r="C131" s="13">
        <v>187.0</v>
      </c>
      <c r="D131" s="13">
        <v>101.0</v>
      </c>
    </row>
    <row r="132" ht="15.75" customHeight="1">
      <c r="A132" s="15">
        <v>30602.0</v>
      </c>
      <c r="B132" s="16" t="s">
        <v>154</v>
      </c>
      <c r="C132" s="13">
        <v>97.0</v>
      </c>
      <c r="D132" s="13">
        <v>94.0</v>
      </c>
    </row>
    <row r="133" ht="15.75" customHeight="1">
      <c r="A133" s="15">
        <v>30701.0</v>
      </c>
      <c r="B133" s="16" t="s">
        <v>155</v>
      </c>
      <c r="C133" s="13">
        <v>479.0</v>
      </c>
      <c r="D133" s="13">
        <v>182.0</v>
      </c>
    </row>
    <row r="134" ht="15.75" customHeight="1">
      <c r="A134" s="15">
        <v>30702.0</v>
      </c>
      <c r="B134" s="16" t="s">
        <v>156</v>
      </c>
      <c r="C134" s="13">
        <v>176.0</v>
      </c>
      <c r="D134" s="13">
        <v>91.0</v>
      </c>
    </row>
    <row r="135" ht="15.75" customHeight="1">
      <c r="A135" s="15">
        <v>30703.0</v>
      </c>
      <c r="B135" s="16" t="s">
        <v>157</v>
      </c>
      <c r="C135" s="13">
        <v>78.0</v>
      </c>
      <c r="D135" s="13">
        <v>54.0</v>
      </c>
    </row>
    <row r="136" ht="15.75" customHeight="1">
      <c r="A136" s="15">
        <v>30801.0</v>
      </c>
      <c r="B136" s="16" t="s">
        <v>158</v>
      </c>
      <c r="C136" s="13">
        <v>580.0</v>
      </c>
      <c r="D136" s="13">
        <v>167.0</v>
      </c>
    </row>
    <row r="137" ht="15.75" customHeight="1">
      <c r="A137" s="15">
        <v>30802.0</v>
      </c>
      <c r="B137" s="16" t="s">
        <v>159</v>
      </c>
      <c r="C137" s="13">
        <v>179.0</v>
      </c>
      <c r="D137" s="13">
        <v>69.0</v>
      </c>
    </row>
    <row r="138" ht="15.75" customHeight="1">
      <c r="A138" s="15">
        <v>30803.0</v>
      </c>
      <c r="B138" s="16" t="s">
        <v>160</v>
      </c>
      <c r="C138" s="13">
        <v>164.0</v>
      </c>
      <c r="D138" s="13">
        <v>82.0</v>
      </c>
    </row>
    <row r="139" ht="15.75" customHeight="1">
      <c r="A139" s="15">
        <v>30901.0</v>
      </c>
      <c r="B139" s="16" t="s">
        <v>161</v>
      </c>
      <c r="C139" s="13">
        <v>4309.0</v>
      </c>
      <c r="D139" s="13">
        <v>1343.0</v>
      </c>
    </row>
    <row r="140" ht="15.75" customHeight="1">
      <c r="A140" s="15">
        <v>30902.0</v>
      </c>
      <c r="B140" s="16" t="s">
        <v>162</v>
      </c>
      <c r="C140" s="13">
        <v>1201.0</v>
      </c>
      <c r="D140" s="13">
        <v>730.0</v>
      </c>
    </row>
    <row r="141" ht="15.75" customHeight="1">
      <c r="A141" s="15">
        <v>30903.0</v>
      </c>
      <c r="B141" s="16" t="s">
        <v>163</v>
      </c>
      <c r="C141" s="13">
        <v>1673.0</v>
      </c>
      <c r="D141" s="13">
        <v>365.0</v>
      </c>
    </row>
    <row r="142" ht="15.75" customHeight="1">
      <c r="A142" s="15">
        <v>30904.0</v>
      </c>
      <c r="B142" s="16" t="s">
        <v>164</v>
      </c>
      <c r="C142" s="13">
        <v>1737.0</v>
      </c>
      <c r="D142" s="13">
        <v>570.0</v>
      </c>
    </row>
    <row r="143" ht="15.75" customHeight="1">
      <c r="A143" s="15">
        <v>30905.0</v>
      </c>
      <c r="B143" s="16" t="s">
        <v>165</v>
      </c>
      <c r="C143" s="13">
        <v>1723.0</v>
      </c>
      <c r="D143" s="13">
        <v>387.0</v>
      </c>
    </row>
    <row r="144" ht="15.75" customHeight="1">
      <c r="A144" s="15">
        <v>31001.0</v>
      </c>
      <c r="B144" s="16" t="s">
        <v>166</v>
      </c>
      <c r="C144" s="13">
        <v>5661.0</v>
      </c>
      <c r="D144" s="13">
        <v>1613.0</v>
      </c>
    </row>
    <row r="145" ht="15.75" customHeight="1">
      <c r="A145" s="15">
        <v>31002.0</v>
      </c>
      <c r="B145" s="16" t="s">
        <v>167</v>
      </c>
      <c r="C145" s="13">
        <v>320.0</v>
      </c>
      <c r="D145" s="13">
        <v>157.0</v>
      </c>
    </row>
    <row r="146" ht="15.75" customHeight="1">
      <c r="A146" s="15">
        <v>31003.0</v>
      </c>
      <c r="B146" s="16" t="s">
        <v>168</v>
      </c>
      <c r="C146" s="13">
        <v>1563.0</v>
      </c>
      <c r="D146" s="13">
        <v>1027.0</v>
      </c>
    </row>
    <row r="147" ht="15.75" customHeight="1">
      <c r="A147" s="15">
        <v>31101.0</v>
      </c>
      <c r="B147" s="16" t="s">
        <v>169</v>
      </c>
      <c r="C147" s="13">
        <v>421.0</v>
      </c>
      <c r="D147" s="13">
        <v>220.0</v>
      </c>
    </row>
    <row r="148" ht="15.75" customHeight="1">
      <c r="A148" s="15">
        <v>31201.0</v>
      </c>
      <c r="B148" s="16" t="s">
        <v>170</v>
      </c>
      <c r="C148" s="13">
        <v>256.0</v>
      </c>
      <c r="D148" s="13">
        <v>95.0</v>
      </c>
    </row>
    <row r="149" ht="15.75" customHeight="1">
      <c r="A149" s="15">
        <v>31202.0</v>
      </c>
      <c r="B149" s="16" t="s">
        <v>171</v>
      </c>
      <c r="C149" s="13">
        <v>153.0</v>
      </c>
      <c r="D149" s="13">
        <v>95.0</v>
      </c>
    </row>
    <row r="150" ht="15.75" customHeight="1">
      <c r="A150" s="15">
        <v>31203.0</v>
      </c>
      <c r="B150" s="16" t="s">
        <v>172</v>
      </c>
      <c r="C150" s="13">
        <v>147.0</v>
      </c>
      <c r="D150" s="13">
        <v>90.0</v>
      </c>
    </row>
    <row r="151" ht="15.75" customHeight="1">
      <c r="A151" s="15">
        <v>31204.0</v>
      </c>
      <c r="B151" s="16" t="s">
        <v>173</v>
      </c>
      <c r="C151" s="13">
        <v>486.0</v>
      </c>
      <c r="D151" s="13">
        <v>306.0</v>
      </c>
    </row>
    <row r="152" ht="15.75" customHeight="1">
      <c r="A152" s="15">
        <v>31205.0</v>
      </c>
      <c r="B152" s="16" t="s">
        <v>174</v>
      </c>
      <c r="C152" s="13">
        <v>1185.0</v>
      </c>
      <c r="D152" s="13">
        <v>821.0</v>
      </c>
    </row>
    <row r="153" ht="15.75" customHeight="1">
      <c r="A153" s="15">
        <v>31206.0</v>
      </c>
      <c r="B153" s="16" t="s">
        <v>175</v>
      </c>
      <c r="C153" s="13">
        <v>883.0</v>
      </c>
      <c r="D153" s="13">
        <v>672.0</v>
      </c>
    </row>
    <row r="154" ht="15.75" customHeight="1">
      <c r="A154" s="15">
        <v>31301.0</v>
      </c>
      <c r="B154" s="16" t="s">
        <v>176</v>
      </c>
      <c r="C154" s="13">
        <v>444.0</v>
      </c>
      <c r="D154" s="13">
        <v>180.0</v>
      </c>
    </row>
    <row r="155" ht="15.75" customHeight="1">
      <c r="A155" s="15">
        <v>31302.0</v>
      </c>
      <c r="B155" s="16" t="s">
        <v>177</v>
      </c>
      <c r="C155" s="13">
        <v>92.0</v>
      </c>
      <c r="D155" s="13">
        <v>74.0</v>
      </c>
    </row>
    <row r="156" ht="15.75" customHeight="1">
      <c r="A156" s="15">
        <v>31303.0</v>
      </c>
      <c r="B156" s="16" t="s">
        <v>178</v>
      </c>
      <c r="C156" s="13">
        <v>66.0</v>
      </c>
      <c r="D156" s="13">
        <v>41.0</v>
      </c>
    </row>
    <row r="157" ht="15.75" customHeight="1">
      <c r="A157" s="15">
        <v>31304.0</v>
      </c>
      <c r="B157" s="16" t="s">
        <v>179</v>
      </c>
      <c r="C157" s="13">
        <v>90.0</v>
      </c>
      <c r="D157" s="13">
        <v>95.0</v>
      </c>
    </row>
    <row r="158" ht="15.75" customHeight="1">
      <c r="A158" s="15">
        <v>31401.0</v>
      </c>
      <c r="B158" s="16" t="s">
        <v>180</v>
      </c>
      <c r="C158" s="13">
        <v>796.0</v>
      </c>
      <c r="D158" s="13">
        <v>251.0</v>
      </c>
    </row>
    <row r="159" ht="15.75" customHeight="1">
      <c r="A159" s="15">
        <v>31402.0</v>
      </c>
      <c r="B159" s="16" t="s">
        <v>181</v>
      </c>
      <c r="C159" s="13">
        <v>189.0</v>
      </c>
      <c r="D159" s="13">
        <v>81.0</v>
      </c>
    </row>
    <row r="160" ht="15.75" customHeight="1">
      <c r="A160" s="15">
        <v>31403.0</v>
      </c>
      <c r="B160" s="16" t="s">
        <v>182</v>
      </c>
      <c r="C160" s="13">
        <v>352.0</v>
      </c>
      <c r="D160" s="13">
        <v>99.0</v>
      </c>
    </row>
    <row r="161" ht="15.75" customHeight="1">
      <c r="A161" s="15">
        <v>31404.0</v>
      </c>
      <c r="B161" s="16" t="s">
        <v>183</v>
      </c>
      <c r="C161" s="13">
        <v>39.0</v>
      </c>
      <c r="D161" s="13">
        <v>10.0</v>
      </c>
    </row>
    <row r="162" ht="15.75" customHeight="1">
      <c r="A162" s="15">
        <v>31405.0</v>
      </c>
      <c r="B162" s="16" t="s">
        <v>184</v>
      </c>
      <c r="C162" s="13">
        <v>50.0</v>
      </c>
      <c r="D162" s="13">
        <v>25.0</v>
      </c>
    </row>
    <row r="163" ht="15.75" customHeight="1">
      <c r="A163" s="15">
        <v>31501.0</v>
      </c>
      <c r="B163" s="16" t="s">
        <v>185</v>
      </c>
      <c r="C163" s="13">
        <v>80.0</v>
      </c>
      <c r="D163" s="13">
        <v>63.0</v>
      </c>
    </row>
    <row r="164" ht="15.75" customHeight="1">
      <c r="A164" s="15">
        <v>31601.0</v>
      </c>
      <c r="B164" s="16" t="s">
        <v>186</v>
      </c>
      <c r="C164" s="13">
        <v>293.0</v>
      </c>
      <c r="D164" s="13">
        <v>116.0</v>
      </c>
    </row>
    <row r="165" ht="15.75" customHeight="1">
      <c r="A165" s="15">
        <v>31602.0</v>
      </c>
      <c r="B165" s="16" t="s">
        <v>187</v>
      </c>
      <c r="C165" s="13">
        <v>550.0</v>
      </c>
      <c r="D165" s="13">
        <v>332.0</v>
      </c>
    </row>
    <row r="166" ht="15.75" customHeight="1">
      <c r="A166" s="15">
        <v>40101.0</v>
      </c>
      <c r="B166" s="16" t="s">
        <v>17</v>
      </c>
      <c r="C166" s="13">
        <v>9424.0</v>
      </c>
      <c r="D166" s="13">
        <v>2305.0</v>
      </c>
    </row>
    <row r="167" ht="15.75" customHeight="1">
      <c r="A167" s="15">
        <v>40102.0</v>
      </c>
      <c r="B167" s="16" t="s">
        <v>188</v>
      </c>
      <c r="C167" s="13">
        <v>512.0</v>
      </c>
      <c r="D167" s="13">
        <v>166.0</v>
      </c>
    </row>
    <row r="168" ht="15.75" customHeight="1">
      <c r="A168" s="15">
        <v>40103.0</v>
      </c>
      <c r="B168" s="16" t="s">
        <v>189</v>
      </c>
      <c r="C168" s="13">
        <v>114.0</v>
      </c>
      <c r="D168" s="13">
        <v>47.0</v>
      </c>
    </row>
    <row r="169" ht="15.75" customHeight="1">
      <c r="A169" s="15">
        <v>40104.0</v>
      </c>
      <c r="B169" s="16" t="s">
        <v>190</v>
      </c>
      <c r="C169" s="13">
        <v>217.0</v>
      </c>
      <c r="D169" s="13">
        <v>88.0</v>
      </c>
    </row>
    <row r="170" ht="15.75" customHeight="1">
      <c r="A170" s="15">
        <v>40201.0</v>
      </c>
      <c r="B170" s="16" t="s">
        <v>191</v>
      </c>
      <c r="C170" s="13">
        <v>541.0</v>
      </c>
      <c r="D170" s="13">
        <v>348.0</v>
      </c>
    </row>
    <row r="171" ht="15.75" customHeight="1">
      <c r="A171" s="15">
        <v>40202.0</v>
      </c>
      <c r="B171" s="16" t="s">
        <v>192</v>
      </c>
      <c r="C171" s="13">
        <v>41.0</v>
      </c>
      <c r="D171" s="13">
        <v>32.0</v>
      </c>
    </row>
    <row r="172" ht="15.75" customHeight="1">
      <c r="A172" s="15">
        <v>40301.0</v>
      </c>
      <c r="B172" s="16" t="s">
        <v>193</v>
      </c>
      <c r="C172" s="13">
        <v>185.0</v>
      </c>
      <c r="D172" s="13">
        <v>110.0</v>
      </c>
    </row>
    <row r="173" ht="15.75" customHeight="1">
      <c r="A173" s="15">
        <v>40302.0</v>
      </c>
      <c r="B173" s="16" t="s">
        <v>194</v>
      </c>
      <c r="C173" s="13">
        <v>29.0</v>
      </c>
      <c r="D173" s="13">
        <v>10.0</v>
      </c>
    </row>
    <row r="174" ht="15.75" customHeight="1">
      <c r="A174" s="15">
        <v>40401.0</v>
      </c>
      <c r="B174" s="16" t="s">
        <v>195</v>
      </c>
      <c r="C174" s="13">
        <v>80.0</v>
      </c>
      <c r="D174" s="13">
        <v>37.0</v>
      </c>
    </row>
    <row r="175" ht="15.75" customHeight="1">
      <c r="A175" s="15">
        <v>40402.0</v>
      </c>
      <c r="B175" s="16" t="s">
        <v>196</v>
      </c>
      <c r="C175" s="13">
        <v>63.0</v>
      </c>
      <c r="D175" s="13">
        <v>29.0</v>
      </c>
    </row>
    <row r="176" ht="15.75" customHeight="1">
      <c r="A176" s="15">
        <v>40501.0</v>
      </c>
      <c r="B176" s="16" t="s">
        <v>197</v>
      </c>
      <c r="C176" s="13">
        <v>16.0</v>
      </c>
      <c r="D176" s="13">
        <v>26.0</v>
      </c>
    </row>
    <row r="177" ht="15.75" customHeight="1">
      <c r="A177" s="15">
        <v>40502.0</v>
      </c>
      <c r="B177" s="16" t="s">
        <v>198</v>
      </c>
      <c r="C177" s="13">
        <v>93.0</v>
      </c>
      <c r="D177" s="13">
        <v>28.0</v>
      </c>
    </row>
    <row r="178" ht="15.75" customHeight="1">
      <c r="A178" s="15">
        <v>40503.0</v>
      </c>
      <c r="B178" s="16" t="s">
        <v>199</v>
      </c>
      <c r="C178" s="13">
        <v>79.0</v>
      </c>
      <c r="D178" s="13">
        <v>8.0</v>
      </c>
    </row>
    <row r="179" ht="15.75" customHeight="1">
      <c r="A179" s="15">
        <v>40504.0</v>
      </c>
      <c r="B179" s="16" t="s">
        <v>200</v>
      </c>
      <c r="C179" s="13">
        <v>10.0</v>
      </c>
      <c r="D179" s="13">
        <v>11.0</v>
      </c>
    </row>
    <row r="180" ht="15.75" customHeight="1">
      <c r="A180" s="15">
        <v>40505.0</v>
      </c>
      <c r="B180" s="16" t="s">
        <v>201</v>
      </c>
      <c r="C180" s="13">
        <v>85.0</v>
      </c>
      <c r="D180" s="13">
        <v>35.0</v>
      </c>
    </row>
    <row r="181" ht="15.75" customHeight="1">
      <c r="A181" s="15">
        <v>40601.0</v>
      </c>
      <c r="B181" s="16" t="s">
        <v>202</v>
      </c>
      <c r="C181" s="13">
        <v>189.0</v>
      </c>
      <c r="D181" s="13">
        <v>74.0</v>
      </c>
    </row>
    <row r="182" ht="15.75" customHeight="1">
      <c r="A182" s="15">
        <v>40602.0</v>
      </c>
      <c r="B182" s="16" t="s">
        <v>203</v>
      </c>
      <c r="C182" s="13">
        <v>125.0</v>
      </c>
      <c r="D182" s="13">
        <v>21.0</v>
      </c>
    </row>
    <row r="183" ht="15.75" customHeight="1">
      <c r="A183" s="15">
        <v>40603.0</v>
      </c>
      <c r="B183" s="16" t="s">
        <v>204</v>
      </c>
      <c r="C183" s="13">
        <v>65.0</v>
      </c>
      <c r="D183" s="13">
        <v>27.0</v>
      </c>
    </row>
    <row r="184" ht="15.75" customHeight="1">
      <c r="A184" s="15">
        <v>40701.0</v>
      </c>
      <c r="B184" s="16" t="s">
        <v>205</v>
      </c>
      <c r="C184" s="13">
        <v>732.0</v>
      </c>
      <c r="D184" s="13">
        <v>151.0</v>
      </c>
    </row>
    <row r="185" ht="15.75" customHeight="1">
      <c r="A185" s="15">
        <v>40702.0</v>
      </c>
      <c r="B185" s="16" t="s">
        <v>206</v>
      </c>
      <c r="C185" s="13">
        <v>118.0</v>
      </c>
      <c r="D185" s="13">
        <v>57.0</v>
      </c>
    </row>
    <row r="186" ht="15.75" customHeight="1">
      <c r="A186" s="15">
        <v>40801.0</v>
      </c>
      <c r="B186" s="16" t="s">
        <v>207</v>
      </c>
      <c r="C186" s="13">
        <v>147.0</v>
      </c>
      <c r="D186" s="13">
        <v>96.0</v>
      </c>
    </row>
    <row r="187" ht="15.75" customHeight="1">
      <c r="A187" s="15">
        <v>40802.0</v>
      </c>
      <c r="B187" s="16" t="s">
        <v>208</v>
      </c>
      <c r="C187" s="13">
        <v>49.0</v>
      </c>
      <c r="D187" s="13">
        <v>21.0</v>
      </c>
    </row>
    <row r="188" ht="15.75" customHeight="1">
      <c r="A188" s="15">
        <v>40901.0</v>
      </c>
      <c r="B188" s="16" t="s">
        <v>209</v>
      </c>
      <c r="C188" s="13">
        <v>201.0</v>
      </c>
      <c r="D188" s="13">
        <v>146.0</v>
      </c>
    </row>
    <row r="189" ht="15.75" customHeight="1">
      <c r="A189" s="15">
        <v>40902.0</v>
      </c>
      <c r="B189" s="16" t="s">
        <v>210</v>
      </c>
      <c r="C189" s="13">
        <v>22.0</v>
      </c>
      <c r="D189" s="13">
        <v>9.0</v>
      </c>
    </row>
    <row r="190" ht="15.75" customHeight="1">
      <c r="A190" s="15">
        <v>40903.0</v>
      </c>
      <c r="B190" s="16" t="s">
        <v>211</v>
      </c>
      <c r="C190" s="13">
        <v>69.0</v>
      </c>
      <c r="D190" s="13">
        <v>48.0</v>
      </c>
    </row>
    <row r="191" ht="15.75" customHeight="1">
      <c r="A191" s="15">
        <v>41001.0</v>
      </c>
      <c r="B191" s="16" t="s">
        <v>212</v>
      </c>
      <c r="C191" s="13">
        <v>119.0</v>
      </c>
      <c r="D191" s="13">
        <v>79.0</v>
      </c>
    </row>
    <row r="192" ht="15.75" customHeight="1">
      <c r="A192" s="15">
        <v>41101.0</v>
      </c>
      <c r="B192" s="16" t="s">
        <v>213</v>
      </c>
      <c r="C192" s="13">
        <v>104.0</v>
      </c>
      <c r="D192" s="13">
        <v>44.0</v>
      </c>
    </row>
    <row r="193" ht="15.75" customHeight="1">
      <c r="A193" s="15">
        <v>41201.0</v>
      </c>
      <c r="B193" s="16" t="s">
        <v>214</v>
      </c>
      <c r="C193" s="13">
        <v>85.0</v>
      </c>
      <c r="D193" s="13">
        <v>25.0</v>
      </c>
    </row>
    <row r="194" ht="15.75" customHeight="1">
      <c r="A194" s="15">
        <v>41202.0</v>
      </c>
      <c r="B194" s="16" t="s">
        <v>215</v>
      </c>
      <c r="C194" s="13">
        <v>29.0</v>
      </c>
      <c r="D194" s="13">
        <v>18.0</v>
      </c>
    </row>
    <row r="195" ht="15.75" customHeight="1">
      <c r="A195" s="15">
        <v>41301.0</v>
      </c>
      <c r="B195" s="16" t="s">
        <v>216</v>
      </c>
      <c r="C195" s="13">
        <v>73.0</v>
      </c>
      <c r="D195" s="13">
        <v>45.0</v>
      </c>
    </row>
    <row r="196" ht="15.75" customHeight="1">
      <c r="A196" s="15">
        <v>41401.0</v>
      </c>
      <c r="B196" s="16" t="s">
        <v>217</v>
      </c>
      <c r="C196" s="13">
        <v>246.0</v>
      </c>
      <c r="D196" s="13">
        <v>71.0</v>
      </c>
    </row>
    <row r="197" ht="15.75" customHeight="1">
      <c r="A197" s="15">
        <v>41501.0</v>
      </c>
      <c r="B197" s="16" t="s">
        <v>218</v>
      </c>
      <c r="C197" s="13">
        <v>16.0</v>
      </c>
      <c r="D197" s="13">
        <v>15.0</v>
      </c>
    </row>
    <row r="198" ht="15.75" customHeight="1">
      <c r="A198" s="15">
        <v>41502.0</v>
      </c>
      <c r="B198" s="16" t="s">
        <v>219</v>
      </c>
      <c r="C198" s="13">
        <v>14.0</v>
      </c>
      <c r="D198" s="13">
        <v>5.0</v>
      </c>
    </row>
    <row r="199" ht="15.75" customHeight="1">
      <c r="A199" s="15">
        <v>41503.0</v>
      </c>
      <c r="B199" s="16" t="s">
        <v>220</v>
      </c>
      <c r="C199" s="13">
        <v>34.0</v>
      </c>
      <c r="D199" s="13">
        <v>12.0</v>
      </c>
    </row>
    <row r="200" ht="15.75" customHeight="1">
      <c r="A200" s="15">
        <v>41601.0</v>
      </c>
      <c r="B200" s="16" t="s">
        <v>221</v>
      </c>
      <c r="C200" s="13">
        <v>58.0</v>
      </c>
      <c r="D200" s="13">
        <v>24.0</v>
      </c>
    </row>
    <row r="201" ht="15.75" customHeight="1">
      <c r="A201" s="15">
        <v>50101.0</v>
      </c>
      <c r="B201" s="16" t="s">
        <v>19</v>
      </c>
      <c r="C201" s="13">
        <v>7338.0</v>
      </c>
      <c r="D201" s="13">
        <v>2264.0</v>
      </c>
    </row>
    <row r="202" ht="15.75" customHeight="1">
      <c r="A202" s="15">
        <v>50102.0</v>
      </c>
      <c r="B202" s="16" t="s">
        <v>222</v>
      </c>
      <c r="C202" s="13">
        <v>516.0</v>
      </c>
      <c r="D202" s="13">
        <v>366.0</v>
      </c>
    </row>
    <row r="203" ht="15.75" customHeight="1">
      <c r="A203" s="15">
        <v>50103.0</v>
      </c>
      <c r="B203" s="16" t="s">
        <v>223</v>
      </c>
      <c r="C203" s="13">
        <v>181.0</v>
      </c>
      <c r="D203" s="13">
        <v>86.0</v>
      </c>
    </row>
    <row r="204" ht="15.75" customHeight="1">
      <c r="A204" s="15">
        <v>50104.0</v>
      </c>
      <c r="B204" s="16" t="s">
        <v>224</v>
      </c>
      <c r="C204" s="13">
        <v>69.0</v>
      </c>
      <c r="D204" s="13">
        <v>30.0</v>
      </c>
    </row>
    <row r="205" ht="15.75" customHeight="1">
      <c r="A205" s="15">
        <v>50201.0</v>
      </c>
      <c r="B205" s="16" t="s">
        <v>225</v>
      </c>
      <c r="C205" s="13">
        <v>498.0</v>
      </c>
      <c r="D205" s="13">
        <v>189.0</v>
      </c>
    </row>
    <row r="206" ht="15.75" customHeight="1">
      <c r="A206" s="15">
        <v>50202.0</v>
      </c>
      <c r="B206" s="16" t="s">
        <v>226</v>
      </c>
      <c r="C206" s="13">
        <v>296.0</v>
      </c>
      <c r="D206" s="13">
        <v>153.0</v>
      </c>
    </row>
    <row r="207" ht="15.75" customHeight="1">
      <c r="A207" s="15">
        <v>50203.0</v>
      </c>
      <c r="B207" s="16" t="s">
        <v>227</v>
      </c>
      <c r="C207" s="13">
        <v>1508.0</v>
      </c>
      <c r="D207" s="13">
        <v>388.0</v>
      </c>
    </row>
    <row r="208" ht="15.75" customHeight="1">
      <c r="A208" s="15">
        <v>50204.0</v>
      </c>
      <c r="B208" s="16" t="s">
        <v>228</v>
      </c>
      <c r="C208" s="13">
        <v>241.0</v>
      </c>
      <c r="D208" s="13">
        <v>128.0</v>
      </c>
    </row>
    <row r="209" ht="15.75" customHeight="1">
      <c r="A209" s="15">
        <v>50301.0</v>
      </c>
      <c r="B209" s="16" t="s">
        <v>229</v>
      </c>
      <c r="C209" s="13">
        <v>581.0</v>
      </c>
      <c r="D209" s="13">
        <v>289.0</v>
      </c>
    </row>
    <row r="210" ht="15.75" customHeight="1">
      <c r="A210" s="15">
        <v>50302.0</v>
      </c>
      <c r="B210" s="16" t="s">
        <v>230</v>
      </c>
      <c r="C210" s="13">
        <v>203.0</v>
      </c>
      <c r="D210" s="13">
        <v>83.0</v>
      </c>
    </row>
    <row r="211" ht="15.75" customHeight="1">
      <c r="A211" s="15">
        <v>50303.0</v>
      </c>
      <c r="B211" s="16" t="s">
        <v>231</v>
      </c>
      <c r="C211" s="13">
        <v>181.0</v>
      </c>
      <c r="D211" s="13">
        <v>121.0</v>
      </c>
    </row>
    <row r="212" ht="15.75" customHeight="1">
      <c r="A212" s="15">
        <v>50401.0</v>
      </c>
      <c r="B212" s="16" t="s">
        <v>232</v>
      </c>
      <c r="C212" s="13">
        <v>293.0</v>
      </c>
      <c r="D212" s="13">
        <v>239.0</v>
      </c>
    </row>
    <row r="213" ht="15.75" customHeight="1">
      <c r="A213" s="15">
        <v>50402.0</v>
      </c>
      <c r="B213" s="16" t="s">
        <v>233</v>
      </c>
      <c r="C213" s="13">
        <v>296.0</v>
      </c>
      <c r="D213" s="13">
        <v>117.0</v>
      </c>
    </row>
    <row r="214" ht="15.75" customHeight="1">
      <c r="A214" s="15">
        <v>50403.0</v>
      </c>
      <c r="B214" s="16" t="s">
        <v>234</v>
      </c>
      <c r="C214" s="13">
        <v>397.0</v>
      </c>
      <c r="D214" s="13">
        <v>309.0</v>
      </c>
    </row>
    <row r="215" ht="15.75" customHeight="1">
      <c r="A215" s="15">
        <v>50404.0</v>
      </c>
      <c r="B215" s="16" t="s">
        <v>235</v>
      </c>
      <c r="C215" s="13">
        <v>260.0</v>
      </c>
      <c r="D215" s="13">
        <v>129.0</v>
      </c>
    </row>
    <row r="216" ht="15.75" customHeight="1">
      <c r="A216" s="15">
        <v>50405.0</v>
      </c>
      <c r="B216" s="16" t="s">
        <v>236</v>
      </c>
      <c r="C216" s="13">
        <v>320.0</v>
      </c>
      <c r="D216" s="13">
        <v>179.0</v>
      </c>
    </row>
    <row r="217" ht="15.75" customHeight="1">
      <c r="A217" s="15">
        <v>50501.0</v>
      </c>
      <c r="B217" s="16" t="s">
        <v>237</v>
      </c>
      <c r="C217" s="13">
        <v>481.0</v>
      </c>
      <c r="D217" s="13">
        <v>246.0</v>
      </c>
    </row>
    <row r="218" ht="15.75" customHeight="1">
      <c r="A218" s="15">
        <v>50502.0</v>
      </c>
      <c r="B218" s="16" t="s">
        <v>238</v>
      </c>
      <c r="C218" s="13">
        <v>178.0</v>
      </c>
      <c r="D218" s="13">
        <v>80.0</v>
      </c>
    </row>
    <row r="219" ht="15.75" customHeight="1">
      <c r="A219" s="15">
        <v>50601.0</v>
      </c>
      <c r="B219" s="16" t="s">
        <v>239</v>
      </c>
      <c r="C219" s="13">
        <v>747.0</v>
      </c>
      <c r="D219" s="13">
        <v>224.0</v>
      </c>
    </row>
    <row r="220" ht="15.75" customHeight="1">
      <c r="A220" s="15">
        <v>50602.0</v>
      </c>
      <c r="B220" s="16" t="s">
        <v>240</v>
      </c>
      <c r="C220" s="13">
        <v>232.0</v>
      </c>
      <c r="D220" s="13">
        <v>98.0</v>
      </c>
    </row>
    <row r="221" ht="15.75" customHeight="1">
      <c r="A221" s="15">
        <v>50701.0</v>
      </c>
      <c r="B221" s="16" t="s">
        <v>241</v>
      </c>
      <c r="C221" s="13">
        <v>240.0</v>
      </c>
      <c r="D221" s="13">
        <v>113.0</v>
      </c>
    </row>
    <row r="222" ht="15.75" customHeight="1">
      <c r="A222" s="15">
        <v>50702.0</v>
      </c>
      <c r="B222" s="16" t="s">
        <v>242</v>
      </c>
      <c r="C222" s="13">
        <v>56.0</v>
      </c>
      <c r="D222" s="13">
        <v>72.0</v>
      </c>
    </row>
    <row r="223" ht="15.75" customHeight="1">
      <c r="A223" s="15">
        <v>50801.0</v>
      </c>
      <c r="B223" s="16" t="s">
        <v>243</v>
      </c>
      <c r="C223" s="13">
        <v>1097.0</v>
      </c>
      <c r="D223" s="13">
        <v>402.0</v>
      </c>
    </row>
    <row r="224" ht="15.75" customHeight="1">
      <c r="A224" s="15">
        <v>50802.0</v>
      </c>
      <c r="B224" s="16" t="s">
        <v>244</v>
      </c>
      <c r="C224" s="13">
        <v>320.0</v>
      </c>
      <c r="D224" s="13">
        <v>106.0</v>
      </c>
    </row>
    <row r="225" ht="15.75" customHeight="1">
      <c r="A225" s="15">
        <v>50901.0</v>
      </c>
      <c r="B225" s="16" t="s">
        <v>245</v>
      </c>
      <c r="C225" s="13">
        <v>309.0</v>
      </c>
      <c r="D225" s="13">
        <v>122.0</v>
      </c>
    </row>
    <row r="226" ht="15.75" customHeight="1">
      <c r="A226" s="15">
        <v>50902.0</v>
      </c>
      <c r="B226" s="16" t="s">
        <v>246</v>
      </c>
      <c r="C226" s="13">
        <v>13.0</v>
      </c>
      <c r="D226" s="13">
        <v>12.0</v>
      </c>
    </row>
    <row r="227" ht="15.75" customHeight="1">
      <c r="A227" s="15">
        <v>51001.0</v>
      </c>
      <c r="B227" s="16" t="s">
        <v>247</v>
      </c>
      <c r="C227" s="13">
        <v>96.0</v>
      </c>
      <c r="D227" s="13">
        <v>41.0</v>
      </c>
    </row>
    <row r="228" ht="15.75" customHeight="1">
      <c r="A228" s="15">
        <v>51002.0</v>
      </c>
      <c r="B228" s="16" t="s">
        <v>248</v>
      </c>
      <c r="C228" s="13">
        <v>52.0</v>
      </c>
      <c r="D228" s="13">
        <v>10.0</v>
      </c>
    </row>
    <row r="229" ht="15.75" customHeight="1">
      <c r="A229" s="15">
        <v>51003.0</v>
      </c>
      <c r="B229" s="16" t="s">
        <v>249</v>
      </c>
      <c r="C229" s="13">
        <v>53.0</v>
      </c>
      <c r="D229" s="13">
        <v>43.0</v>
      </c>
    </row>
    <row r="230" ht="15.75" customHeight="1">
      <c r="A230" s="15">
        <v>51101.0</v>
      </c>
      <c r="B230" s="16" t="s">
        <v>250</v>
      </c>
      <c r="C230" s="13">
        <v>455.0</v>
      </c>
      <c r="D230" s="13">
        <v>108.0</v>
      </c>
    </row>
    <row r="231" ht="15.75" customHeight="1">
      <c r="A231" s="15">
        <v>51102.0</v>
      </c>
      <c r="B231" s="16" t="s">
        <v>251</v>
      </c>
      <c r="C231" s="13">
        <v>300.0</v>
      </c>
      <c r="D231" s="13">
        <v>132.0</v>
      </c>
    </row>
    <row r="232" ht="15.75" customHeight="1">
      <c r="A232" s="15">
        <v>51103.0</v>
      </c>
      <c r="B232" s="16" t="s">
        <v>252</v>
      </c>
      <c r="C232" s="13">
        <v>329.0</v>
      </c>
      <c r="D232" s="13">
        <v>216.0</v>
      </c>
    </row>
    <row r="233" ht="15.75" customHeight="1">
      <c r="A233" s="15">
        <v>51201.0</v>
      </c>
      <c r="B233" s="16" t="s">
        <v>253</v>
      </c>
      <c r="C233" s="13">
        <v>696.0</v>
      </c>
      <c r="D233" s="13">
        <v>285.0</v>
      </c>
    </row>
    <row r="234" ht="15.75" customHeight="1">
      <c r="A234" s="15">
        <v>51202.0</v>
      </c>
      <c r="B234" s="16" t="s">
        <v>254</v>
      </c>
      <c r="C234" s="13">
        <v>173.0</v>
      </c>
      <c r="D234" s="13">
        <v>48.0</v>
      </c>
    </row>
    <row r="235" ht="15.75" customHeight="1">
      <c r="A235" s="15">
        <v>51203.0</v>
      </c>
      <c r="B235" s="16" t="s">
        <v>255</v>
      </c>
      <c r="C235" s="13">
        <v>420.0</v>
      </c>
      <c r="D235" s="13">
        <v>291.0</v>
      </c>
    </row>
    <row r="236" ht="15.75" customHeight="1">
      <c r="A236" s="15">
        <v>51204.0</v>
      </c>
      <c r="B236" s="16" t="s">
        <v>256</v>
      </c>
      <c r="C236" s="13">
        <v>126.0</v>
      </c>
      <c r="D236" s="13">
        <v>61.0</v>
      </c>
    </row>
    <row r="237" ht="15.75" customHeight="1">
      <c r="A237" s="15">
        <v>51301.0</v>
      </c>
      <c r="B237" s="16" t="s">
        <v>257</v>
      </c>
      <c r="C237" s="13">
        <v>77.0</v>
      </c>
      <c r="D237" s="13">
        <v>33.0</v>
      </c>
    </row>
    <row r="238" ht="15.75" customHeight="1">
      <c r="A238" s="15">
        <v>51302.0</v>
      </c>
      <c r="B238" s="16" t="s">
        <v>258</v>
      </c>
      <c r="C238" s="13">
        <v>97.0</v>
      </c>
      <c r="D238" s="13">
        <v>19.0</v>
      </c>
    </row>
    <row r="239" ht="15.75" customHeight="1">
      <c r="A239" s="15">
        <v>51401.0</v>
      </c>
      <c r="B239" s="16" t="s">
        <v>259</v>
      </c>
      <c r="C239" s="13">
        <v>64.0</v>
      </c>
      <c r="D239" s="13">
        <v>24.0</v>
      </c>
    </row>
    <row r="240" ht="15.75" customHeight="1">
      <c r="A240" s="15">
        <v>51402.0</v>
      </c>
      <c r="B240" s="16" t="s">
        <v>260</v>
      </c>
      <c r="C240" s="13">
        <v>32.0</v>
      </c>
      <c r="D240" s="13">
        <v>16.0</v>
      </c>
    </row>
    <row r="241" ht="15.75" customHeight="1">
      <c r="A241" s="15">
        <v>51501.0</v>
      </c>
      <c r="B241" s="16" t="s">
        <v>261</v>
      </c>
      <c r="C241" s="13">
        <v>932.0</v>
      </c>
      <c r="D241" s="13">
        <v>369.0</v>
      </c>
    </row>
    <row r="242" ht="15.75" customHeight="1">
      <c r="A242" s="15">
        <v>51601.0</v>
      </c>
      <c r="B242" s="16" t="s">
        <v>262</v>
      </c>
      <c r="C242" s="13">
        <v>43.0</v>
      </c>
      <c r="D242" s="13">
        <v>21.0</v>
      </c>
    </row>
    <row r="243" ht="15.75" customHeight="1">
      <c r="A243" s="15">
        <v>60101.0</v>
      </c>
      <c r="B243" s="16" t="s">
        <v>21</v>
      </c>
      <c r="C243" s="13">
        <v>6537.0</v>
      </c>
      <c r="D243" s="13">
        <v>1382.0</v>
      </c>
    </row>
    <row r="244" ht="15.75" customHeight="1">
      <c r="A244" s="15">
        <v>60201.0</v>
      </c>
      <c r="B244" s="16" t="s">
        <v>263</v>
      </c>
      <c r="C244" s="13">
        <v>495.0</v>
      </c>
      <c r="D244" s="13">
        <v>164.0</v>
      </c>
    </row>
    <row r="245" ht="15.75" customHeight="1">
      <c r="A245" s="15">
        <v>60202.0</v>
      </c>
      <c r="B245" s="16" t="s">
        <v>264</v>
      </c>
      <c r="C245" s="13">
        <v>835.0</v>
      </c>
      <c r="D245" s="13">
        <v>264.0</v>
      </c>
    </row>
    <row r="246" ht="15.75" customHeight="1">
      <c r="A246" s="15">
        <v>60301.0</v>
      </c>
      <c r="B246" s="16" t="s">
        <v>265</v>
      </c>
      <c r="C246" s="13">
        <v>2378.0</v>
      </c>
      <c r="D246" s="13">
        <v>963.0</v>
      </c>
    </row>
    <row r="247" ht="15.75" customHeight="1">
      <c r="A247" s="15">
        <v>60302.0</v>
      </c>
      <c r="B247" s="16" t="s">
        <v>266</v>
      </c>
      <c r="C247" s="13">
        <v>341.0</v>
      </c>
      <c r="D247" s="13">
        <v>148.0</v>
      </c>
    </row>
    <row r="248" ht="15.75" customHeight="1">
      <c r="A248" s="15">
        <v>60303.0</v>
      </c>
      <c r="B248" s="16" t="s">
        <v>267</v>
      </c>
      <c r="C248" s="13">
        <v>1135.0</v>
      </c>
      <c r="D248" s="13">
        <v>488.0</v>
      </c>
    </row>
    <row r="249" ht="15.75" customHeight="1">
      <c r="A249" s="15">
        <v>60401.0</v>
      </c>
      <c r="B249" s="16" t="s">
        <v>268</v>
      </c>
      <c r="C249" s="13">
        <v>350.0</v>
      </c>
      <c r="D249" s="13">
        <v>138.0</v>
      </c>
    </row>
    <row r="250" ht="15.75" customHeight="1">
      <c r="A250" s="15">
        <v>60402.0</v>
      </c>
      <c r="B250" s="16" t="s">
        <v>269</v>
      </c>
      <c r="C250" s="13">
        <v>106.0</v>
      </c>
      <c r="D250" s="13">
        <v>50.0</v>
      </c>
    </row>
    <row r="251" ht="15.75" customHeight="1">
      <c r="A251" s="15">
        <v>60501.0</v>
      </c>
      <c r="B251" s="16" t="s">
        <v>270</v>
      </c>
      <c r="C251" s="13">
        <v>572.0</v>
      </c>
      <c r="D251" s="13">
        <v>256.0</v>
      </c>
    </row>
    <row r="252" ht="15.75" customHeight="1">
      <c r="A252" s="15">
        <v>60502.0</v>
      </c>
      <c r="B252" s="16" t="s">
        <v>271</v>
      </c>
      <c r="C252" s="13">
        <v>278.0</v>
      </c>
      <c r="D252" s="13">
        <v>60.0</v>
      </c>
    </row>
    <row r="253" ht="15.75" customHeight="1">
      <c r="A253" s="15">
        <v>60601.0</v>
      </c>
      <c r="B253" s="16" t="s">
        <v>175</v>
      </c>
      <c r="C253" s="13">
        <v>546.0</v>
      </c>
      <c r="D253" s="13">
        <v>175.0</v>
      </c>
    </row>
    <row r="254" ht="15.75" customHeight="1">
      <c r="A254" s="15">
        <v>70101.0</v>
      </c>
      <c r="B254" s="16" t="s">
        <v>272</v>
      </c>
      <c r="C254" s="13">
        <v>45399.0</v>
      </c>
      <c r="D254" s="13">
        <v>12444.0</v>
      </c>
    </row>
    <row r="255" ht="15.75" customHeight="1">
      <c r="A255" s="15">
        <v>70102.0</v>
      </c>
      <c r="B255" s="16" t="s">
        <v>273</v>
      </c>
      <c r="C255" s="13">
        <v>1866.0</v>
      </c>
      <c r="D255" s="13">
        <v>1327.0</v>
      </c>
    </row>
    <row r="256" ht="15.75" customHeight="1">
      <c r="A256" s="15">
        <v>70103.0</v>
      </c>
      <c r="B256" s="16" t="s">
        <v>274</v>
      </c>
      <c r="C256" s="13">
        <v>402.0</v>
      </c>
      <c r="D256" s="13">
        <v>169.0</v>
      </c>
    </row>
    <row r="257" ht="15.75" customHeight="1">
      <c r="A257" s="15">
        <v>70104.0</v>
      </c>
      <c r="B257" s="16" t="s">
        <v>275</v>
      </c>
      <c r="C257" s="13">
        <v>2710.0</v>
      </c>
      <c r="D257" s="13">
        <v>1456.0</v>
      </c>
    </row>
    <row r="258" ht="15.75" customHeight="1">
      <c r="A258" s="15">
        <v>70105.0</v>
      </c>
      <c r="B258" s="16" t="s">
        <v>276</v>
      </c>
      <c r="C258" s="13">
        <v>1442.0</v>
      </c>
      <c r="D258" s="13">
        <v>573.0</v>
      </c>
    </row>
    <row r="259" ht="15.75" customHeight="1">
      <c r="A259" s="15">
        <v>70201.0</v>
      </c>
      <c r="B259" s="16" t="s">
        <v>277</v>
      </c>
      <c r="C259" s="13">
        <v>3247.0</v>
      </c>
      <c r="D259" s="13">
        <v>1820.0</v>
      </c>
    </row>
    <row r="260" ht="15.75" customHeight="1">
      <c r="A260" s="15">
        <v>70202.0</v>
      </c>
      <c r="B260" s="16" t="s">
        <v>278</v>
      </c>
      <c r="C260" s="13">
        <v>438.0</v>
      </c>
      <c r="D260" s="13">
        <v>161.0</v>
      </c>
    </row>
    <row r="261" ht="15.75" customHeight="1">
      <c r="A261" s="15">
        <v>70301.0</v>
      </c>
      <c r="B261" s="16" t="s">
        <v>279</v>
      </c>
      <c r="C261" s="13">
        <v>1654.0</v>
      </c>
      <c r="D261" s="13">
        <v>1225.0</v>
      </c>
    </row>
    <row r="262" ht="15.75" customHeight="1">
      <c r="A262" s="15">
        <v>70302.0</v>
      </c>
      <c r="B262" s="16" t="s">
        <v>280</v>
      </c>
      <c r="C262" s="13">
        <v>365.0</v>
      </c>
      <c r="D262" s="13">
        <v>186.0</v>
      </c>
    </row>
    <row r="263" ht="15.75" customHeight="1">
      <c r="A263" s="15">
        <v>70303.0</v>
      </c>
      <c r="B263" s="16" t="s">
        <v>281</v>
      </c>
      <c r="C263" s="13">
        <v>198.0</v>
      </c>
      <c r="D263" s="13">
        <v>155.0</v>
      </c>
    </row>
    <row r="264" ht="15.75" customHeight="1">
      <c r="A264" s="15">
        <v>70401.0</v>
      </c>
      <c r="B264" s="16" t="s">
        <v>282</v>
      </c>
      <c r="C264" s="13">
        <v>389.0</v>
      </c>
      <c r="D264" s="13">
        <v>159.0</v>
      </c>
    </row>
    <row r="265" ht="15.75" customHeight="1">
      <c r="A265" s="15">
        <v>70402.0</v>
      </c>
      <c r="B265" s="16" t="s">
        <v>283</v>
      </c>
      <c r="C265" s="13">
        <v>622.0</v>
      </c>
      <c r="D265" s="13">
        <v>240.0</v>
      </c>
    </row>
    <row r="266" ht="15.75" customHeight="1">
      <c r="A266" s="15">
        <v>70403.0</v>
      </c>
      <c r="B266" s="16" t="s">
        <v>284</v>
      </c>
      <c r="C266" s="13">
        <v>1607.0</v>
      </c>
      <c r="D266" s="13">
        <v>587.0</v>
      </c>
    </row>
    <row r="267" ht="15.75" customHeight="1">
      <c r="A267" s="15">
        <v>70404.0</v>
      </c>
      <c r="B267" s="16" t="s">
        <v>285</v>
      </c>
      <c r="C267" s="13">
        <v>275.0</v>
      </c>
      <c r="D267" s="13">
        <v>124.0</v>
      </c>
    </row>
    <row r="268" ht="15.75" customHeight="1">
      <c r="A268" s="15">
        <v>70501.0</v>
      </c>
      <c r="B268" s="16" t="s">
        <v>286</v>
      </c>
      <c r="C268" s="13">
        <v>1031.0</v>
      </c>
      <c r="D268" s="13">
        <v>766.0</v>
      </c>
    </row>
    <row r="269" ht="15.75" customHeight="1">
      <c r="A269" s="15">
        <v>70502.0</v>
      </c>
      <c r="B269" s="16" t="s">
        <v>287</v>
      </c>
      <c r="C269" s="13">
        <v>1232.0</v>
      </c>
      <c r="D269" s="13">
        <v>1351.0</v>
      </c>
    </row>
    <row r="270" ht="15.75" customHeight="1">
      <c r="A270" s="15">
        <v>70503.0</v>
      </c>
      <c r="B270" s="16" t="s">
        <v>288</v>
      </c>
      <c r="C270" s="13">
        <v>391.0</v>
      </c>
      <c r="D270" s="13">
        <v>261.0</v>
      </c>
    </row>
    <row r="271" ht="15.75" customHeight="1">
      <c r="A271" s="15">
        <v>70601.0</v>
      </c>
      <c r="B271" s="16" t="s">
        <v>289</v>
      </c>
      <c r="C271" s="13">
        <v>581.0</v>
      </c>
      <c r="D271" s="13">
        <v>227.0</v>
      </c>
    </row>
    <row r="272" ht="15.75" customHeight="1">
      <c r="A272" s="15">
        <v>70602.0</v>
      </c>
      <c r="B272" s="16" t="s">
        <v>290</v>
      </c>
      <c r="C272" s="13">
        <v>598.0</v>
      </c>
      <c r="D272" s="13">
        <v>261.0</v>
      </c>
    </row>
    <row r="273" ht="15.75" customHeight="1">
      <c r="A273" s="15">
        <v>70603.0</v>
      </c>
      <c r="B273" s="16" t="s">
        <v>291</v>
      </c>
      <c r="C273" s="13">
        <v>232.0</v>
      </c>
      <c r="D273" s="13">
        <v>87.0</v>
      </c>
    </row>
    <row r="274" ht="15.75" customHeight="1">
      <c r="A274" s="15">
        <v>70701.0</v>
      </c>
      <c r="B274" s="16" t="s">
        <v>292</v>
      </c>
      <c r="C274" s="13">
        <v>181.0</v>
      </c>
      <c r="D274" s="13">
        <v>100.0</v>
      </c>
    </row>
    <row r="275" ht="15.75" customHeight="1">
      <c r="A275" s="15">
        <v>70702.0</v>
      </c>
      <c r="B275" s="16" t="s">
        <v>293</v>
      </c>
      <c r="C275" s="13">
        <v>1193.0</v>
      </c>
      <c r="D275" s="13">
        <v>936.0</v>
      </c>
    </row>
    <row r="276" ht="15.75" customHeight="1">
      <c r="A276" s="15">
        <v>70703.0</v>
      </c>
      <c r="B276" s="16" t="s">
        <v>294</v>
      </c>
      <c r="C276" s="13">
        <v>856.0</v>
      </c>
      <c r="D276" s="13">
        <v>763.0</v>
      </c>
    </row>
    <row r="277" ht="15.75" customHeight="1">
      <c r="A277" s="15">
        <v>70704.0</v>
      </c>
      <c r="B277" s="16" t="s">
        <v>295</v>
      </c>
      <c r="C277" s="13">
        <v>126.0</v>
      </c>
      <c r="D277" s="13">
        <v>59.0</v>
      </c>
    </row>
    <row r="278" ht="15.75" customHeight="1">
      <c r="A278" s="15">
        <v>70705.0</v>
      </c>
      <c r="B278" s="16" t="s">
        <v>296</v>
      </c>
      <c r="C278" s="13">
        <v>400.0</v>
      </c>
      <c r="D278" s="13">
        <v>251.0</v>
      </c>
    </row>
    <row r="279" ht="15.75" customHeight="1">
      <c r="A279" s="15">
        <v>70706.0</v>
      </c>
      <c r="B279" s="16" t="s">
        <v>297</v>
      </c>
      <c r="C279" s="13">
        <v>1237.0</v>
      </c>
      <c r="D279" s="13">
        <v>266.0</v>
      </c>
    </row>
    <row r="280" ht="15.75" customHeight="1">
      <c r="A280" s="15">
        <v>70707.0</v>
      </c>
      <c r="B280" s="16" t="s">
        <v>298</v>
      </c>
      <c r="C280" s="13">
        <v>180.0</v>
      </c>
      <c r="D280" s="13">
        <v>62.0</v>
      </c>
    </row>
    <row r="281" ht="15.75" customHeight="1">
      <c r="A281" s="15">
        <v>70801.0</v>
      </c>
      <c r="B281" s="16" t="s">
        <v>299</v>
      </c>
      <c r="C281" s="13">
        <v>344.0</v>
      </c>
      <c r="D281" s="13">
        <v>88.0</v>
      </c>
    </row>
    <row r="282" ht="15.75" customHeight="1">
      <c r="A282" s="15">
        <v>70802.0</v>
      </c>
      <c r="B282" s="16" t="s">
        <v>300</v>
      </c>
      <c r="C282" s="13">
        <v>48.0</v>
      </c>
      <c r="D282" s="13">
        <v>19.0</v>
      </c>
    </row>
    <row r="283" ht="15.75" customHeight="1">
      <c r="A283" s="15">
        <v>70803.0</v>
      </c>
      <c r="B283" s="16" t="s">
        <v>301</v>
      </c>
      <c r="C283" s="13">
        <v>39.0</v>
      </c>
      <c r="D283" s="13">
        <v>15.0</v>
      </c>
    </row>
    <row r="284" ht="15.75" customHeight="1">
      <c r="A284" s="15">
        <v>70804.0</v>
      </c>
      <c r="B284" s="16" t="s">
        <v>302</v>
      </c>
      <c r="C284" s="13">
        <v>59.0</v>
      </c>
      <c r="D284" s="13">
        <v>14.0</v>
      </c>
    </row>
    <row r="285" ht="15.75" customHeight="1">
      <c r="A285" s="15">
        <v>70805.0</v>
      </c>
      <c r="B285" s="16" t="s">
        <v>303</v>
      </c>
      <c r="C285" s="13">
        <v>38.0</v>
      </c>
      <c r="D285" s="13">
        <v>18.0</v>
      </c>
    </row>
    <row r="286" ht="15.75" customHeight="1">
      <c r="A286" s="15">
        <v>70901.0</v>
      </c>
      <c r="B286" s="16" t="s">
        <v>304</v>
      </c>
      <c r="C286" s="13">
        <v>191.0</v>
      </c>
      <c r="D286" s="13">
        <v>81.0</v>
      </c>
    </row>
    <row r="287" ht="15.75" customHeight="1">
      <c r="A287" s="15">
        <v>70902.0</v>
      </c>
      <c r="B287" s="16" t="s">
        <v>305</v>
      </c>
      <c r="C287" s="13">
        <v>219.0</v>
      </c>
      <c r="D287" s="13">
        <v>97.0</v>
      </c>
    </row>
    <row r="288" ht="15.75" customHeight="1">
      <c r="A288" s="15">
        <v>70903.0</v>
      </c>
      <c r="B288" s="16" t="s">
        <v>306</v>
      </c>
      <c r="C288" s="13">
        <v>242.0</v>
      </c>
      <c r="D288" s="13">
        <v>157.0</v>
      </c>
    </row>
    <row r="289" ht="15.75" customHeight="1">
      <c r="A289" s="15">
        <v>70904.0</v>
      </c>
      <c r="B289" s="16" t="s">
        <v>307</v>
      </c>
      <c r="C289" s="13">
        <v>63.0</v>
      </c>
      <c r="D289" s="13">
        <v>48.0</v>
      </c>
    </row>
    <row r="290" ht="15.75" customHeight="1">
      <c r="A290" s="15">
        <v>71001.0</v>
      </c>
      <c r="B290" s="16" t="s">
        <v>308</v>
      </c>
      <c r="C290" s="13">
        <v>3854.0</v>
      </c>
      <c r="D290" s="13">
        <v>1296.0</v>
      </c>
    </row>
    <row r="291" ht="15.75" customHeight="1">
      <c r="A291" s="15">
        <v>71002.0</v>
      </c>
      <c r="B291" s="16" t="s">
        <v>309</v>
      </c>
      <c r="C291" s="13">
        <v>522.0</v>
      </c>
      <c r="D291" s="13">
        <v>352.0</v>
      </c>
    </row>
    <row r="292" ht="15.75" customHeight="1">
      <c r="A292" s="15">
        <v>71003.0</v>
      </c>
      <c r="B292" s="16" t="s">
        <v>310</v>
      </c>
      <c r="C292" s="13">
        <v>935.0</v>
      </c>
      <c r="D292" s="13">
        <v>380.0</v>
      </c>
    </row>
    <row r="293" ht="15.75" customHeight="1">
      <c r="A293" s="15">
        <v>71004.0</v>
      </c>
      <c r="B293" s="16" t="s">
        <v>311</v>
      </c>
      <c r="C293" s="13">
        <v>528.0</v>
      </c>
      <c r="D293" s="13">
        <v>172.0</v>
      </c>
    </row>
    <row r="294" ht="15.75" customHeight="1">
      <c r="A294" s="15">
        <v>71005.0</v>
      </c>
      <c r="B294" s="16" t="s">
        <v>312</v>
      </c>
      <c r="C294" s="13">
        <v>536.0</v>
      </c>
      <c r="D294" s="13">
        <v>198.0</v>
      </c>
    </row>
    <row r="295" ht="15.75" customHeight="1">
      <c r="A295" s="15">
        <v>71101.0</v>
      </c>
      <c r="B295" s="16" t="s">
        <v>313</v>
      </c>
      <c r="C295" s="13">
        <v>549.0</v>
      </c>
      <c r="D295" s="13">
        <v>553.0</v>
      </c>
    </row>
    <row r="296" ht="15.75" customHeight="1">
      <c r="A296" s="15">
        <v>71102.0</v>
      </c>
      <c r="B296" s="16" t="s">
        <v>314</v>
      </c>
      <c r="C296" s="13">
        <v>455.0</v>
      </c>
      <c r="D296" s="13">
        <v>280.0</v>
      </c>
    </row>
    <row r="297" ht="15.75" customHeight="1">
      <c r="A297" s="15">
        <v>71103.0</v>
      </c>
      <c r="B297" s="16" t="s">
        <v>315</v>
      </c>
      <c r="C297" s="13">
        <v>1493.0</v>
      </c>
      <c r="D297" s="13">
        <v>157.0</v>
      </c>
    </row>
    <row r="298" ht="15.75" customHeight="1">
      <c r="A298" s="15">
        <v>71104.0</v>
      </c>
      <c r="B298" s="16" t="s">
        <v>316</v>
      </c>
      <c r="C298" s="13">
        <v>164.0</v>
      </c>
      <c r="D298" s="13">
        <v>657.0</v>
      </c>
    </row>
    <row r="299" ht="15.75" customHeight="1">
      <c r="A299" s="15">
        <v>71105.0</v>
      </c>
      <c r="B299" s="16" t="s">
        <v>317</v>
      </c>
      <c r="C299" s="13">
        <v>257.0</v>
      </c>
      <c r="D299" s="13">
        <v>92.0</v>
      </c>
    </row>
    <row r="300" ht="15.75" customHeight="1">
      <c r="A300" s="15">
        <v>71106.0</v>
      </c>
      <c r="B300" s="16" t="s">
        <v>318</v>
      </c>
      <c r="C300" s="13">
        <v>892.0</v>
      </c>
      <c r="D300" s="13">
        <v>582.0</v>
      </c>
    </row>
    <row r="301" ht="15.75" customHeight="1">
      <c r="A301" s="15">
        <v>71201.0</v>
      </c>
      <c r="B301" s="16" t="s">
        <v>319</v>
      </c>
      <c r="C301" s="13">
        <v>468.0</v>
      </c>
      <c r="D301" s="13">
        <v>299.0</v>
      </c>
    </row>
    <row r="302" ht="15.75" customHeight="1">
      <c r="A302" s="15">
        <v>71301.0</v>
      </c>
      <c r="B302" s="16" t="s">
        <v>320</v>
      </c>
      <c r="C302" s="13">
        <v>295.0</v>
      </c>
      <c r="D302" s="13">
        <v>121.0</v>
      </c>
    </row>
    <row r="303" ht="15.75" customHeight="1">
      <c r="A303" s="15">
        <v>71302.0</v>
      </c>
      <c r="B303" s="16" t="s">
        <v>321</v>
      </c>
      <c r="C303" s="13">
        <v>151.0</v>
      </c>
      <c r="D303" s="13">
        <v>59.0</v>
      </c>
    </row>
    <row r="304" ht="15.75" customHeight="1">
      <c r="A304" s="15">
        <v>71401.0</v>
      </c>
      <c r="B304" s="16" t="s">
        <v>322</v>
      </c>
      <c r="C304" s="13">
        <v>549.0</v>
      </c>
      <c r="D304" s="13">
        <v>188.0</v>
      </c>
    </row>
    <row r="305" ht="15.75" customHeight="1">
      <c r="A305" s="15">
        <v>71402.0</v>
      </c>
      <c r="B305" s="16" t="s">
        <v>323</v>
      </c>
      <c r="C305" s="13">
        <v>405.0</v>
      </c>
      <c r="D305" s="13">
        <v>163.0</v>
      </c>
    </row>
    <row r="306" ht="15.75" customHeight="1">
      <c r="A306" s="15">
        <v>71403.0</v>
      </c>
      <c r="B306" s="16" t="s">
        <v>324</v>
      </c>
      <c r="C306" s="13">
        <v>239.0</v>
      </c>
      <c r="D306" s="13">
        <v>134.0</v>
      </c>
    </row>
    <row r="307" ht="15.75" customHeight="1">
      <c r="A307" s="15">
        <v>71501.0</v>
      </c>
      <c r="B307" s="16" t="s">
        <v>325</v>
      </c>
      <c r="C307" s="13">
        <v>827.0</v>
      </c>
      <c r="D307" s="13">
        <v>602.0</v>
      </c>
    </row>
    <row r="308" ht="15.75" customHeight="1">
      <c r="A308" s="15">
        <v>71502.0</v>
      </c>
      <c r="B308" s="16" t="s">
        <v>326</v>
      </c>
      <c r="C308" s="13">
        <v>196.0</v>
      </c>
      <c r="D308" s="13">
        <v>117.0</v>
      </c>
    </row>
    <row r="309" ht="15.75" customHeight="1">
      <c r="A309" s="15">
        <v>71503.0</v>
      </c>
      <c r="B309" s="16" t="s">
        <v>271</v>
      </c>
      <c r="C309" s="13">
        <v>446.0</v>
      </c>
      <c r="D309" s="13">
        <v>247.0</v>
      </c>
    </row>
    <row r="310" ht="15.75" customHeight="1">
      <c r="A310" s="15">
        <v>80101.0</v>
      </c>
      <c r="B310" s="16" t="s">
        <v>327</v>
      </c>
      <c r="C310" s="13">
        <v>3725.0</v>
      </c>
      <c r="D310" s="13">
        <v>1049.0</v>
      </c>
    </row>
    <row r="311" ht="15.75" customHeight="1">
      <c r="A311" s="15">
        <v>80102.0</v>
      </c>
      <c r="B311" s="16" t="s">
        <v>314</v>
      </c>
      <c r="C311" s="13">
        <v>171.0</v>
      </c>
      <c r="D311" s="13">
        <v>105.0</v>
      </c>
    </row>
    <row r="312" ht="15.75" customHeight="1">
      <c r="A312" s="15">
        <v>80201.0</v>
      </c>
      <c r="B312" s="16" t="s">
        <v>328</v>
      </c>
      <c r="C312" s="13">
        <v>2968.0</v>
      </c>
      <c r="D312" s="13">
        <v>1398.0</v>
      </c>
    </row>
    <row r="313" ht="15.75" customHeight="1">
      <c r="A313" s="15">
        <v>80202.0</v>
      </c>
      <c r="B313" s="16" t="s">
        <v>329</v>
      </c>
      <c r="C313" s="13">
        <v>1261.0</v>
      </c>
      <c r="D313" s="13">
        <v>474.0</v>
      </c>
    </row>
    <row r="314" ht="15.75" customHeight="1">
      <c r="A314" s="15">
        <v>80301.0</v>
      </c>
      <c r="B314" s="16" t="s">
        <v>330</v>
      </c>
      <c r="C314" s="13">
        <v>403.0</v>
      </c>
      <c r="D314" s="13">
        <v>157.0</v>
      </c>
    </row>
    <row r="315" ht="15.75" customHeight="1">
      <c r="A315" s="15">
        <v>80302.0</v>
      </c>
      <c r="B315" s="16" t="s">
        <v>331</v>
      </c>
      <c r="C315" s="13">
        <v>969.0</v>
      </c>
      <c r="D315" s="13">
        <v>577.0</v>
      </c>
    </row>
    <row r="316" ht="15.75" customHeight="1">
      <c r="A316" s="15">
        <v>80303.0</v>
      </c>
      <c r="B316" s="16" t="s">
        <v>332</v>
      </c>
      <c r="C316" s="13">
        <v>340.0</v>
      </c>
      <c r="D316" s="13">
        <v>193.0</v>
      </c>
    </row>
    <row r="317" ht="15.75" customHeight="1">
      <c r="A317" s="15">
        <v>80304.0</v>
      </c>
      <c r="B317" s="16" t="s">
        <v>333</v>
      </c>
      <c r="C317" s="13">
        <v>526.0</v>
      </c>
      <c r="D317" s="13">
        <v>225.0</v>
      </c>
    </row>
    <row r="318" ht="15.75" customHeight="1">
      <c r="A318" s="15">
        <v>80401.0</v>
      </c>
      <c r="B318" s="16" t="s">
        <v>334</v>
      </c>
      <c r="C318" s="13">
        <v>476.0</v>
      </c>
      <c r="D318" s="13">
        <v>269.0</v>
      </c>
    </row>
    <row r="319" ht="15.75" customHeight="1">
      <c r="A319" s="15">
        <v>80402.0</v>
      </c>
      <c r="B319" s="16" t="s">
        <v>335</v>
      </c>
      <c r="C319" s="13">
        <v>234.0</v>
      </c>
      <c r="D319" s="13">
        <v>255.0</v>
      </c>
    </row>
    <row r="320" ht="15.75" customHeight="1">
      <c r="A320" s="15">
        <v>80501.0</v>
      </c>
      <c r="B320" s="16" t="s">
        <v>336</v>
      </c>
      <c r="C320" s="13">
        <v>473.0</v>
      </c>
      <c r="D320" s="13">
        <v>359.0</v>
      </c>
    </row>
    <row r="321" ht="15.75" customHeight="1">
      <c r="A321" s="15">
        <v>80601.0</v>
      </c>
      <c r="B321" s="16" t="s">
        <v>337</v>
      </c>
      <c r="C321" s="13">
        <v>153.0</v>
      </c>
      <c r="D321" s="13">
        <v>89.0</v>
      </c>
    </row>
    <row r="322" ht="15.75" customHeight="1">
      <c r="A322" s="15">
        <v>80602.0</v>
      </c>
      <c r="B322" s="16" t="s">
        <v>338</v>
      </c>
      <c r="C322" s="13">
        <v>351.0</v>
      </c>
      <c r="D322" s="13">
        <v>185.0</v>
      </c>
    </row>
    <row r="323" ht="15.75" customHeight="1">
      <c r="A323" s="15">
        <v>80701.0</v>
      </c>
      <c r="B323" s="16" t="s">
        <v>339</v>
      </c>
      <c r="C323" s="13">
        <v>204.0</v>
      </c>
      <c r="D323" s="13">
        <v>83.0</v>
      </c>
    </row>
    <row r="324" ht="15.75" customHeight="1">
      <c r="A324" s="15">
        <v>80702.0</v>
      </c>
      <c r="B324" s="16" t="s">
        <v>315</v>
      </c>
      <c r="C324" s="13">
        <v>136.0</v>
      </c>
      <c r="D324" s="13">
        <v>69.0</v>
      </c>
    </row>
    <row r="325" ht="15.75" customHeight="1">
      <c r="A325" s="15">
        <v>80703.0</v>
      </c>
      <c r="B325" s="16" t="s">
        <v>340</v>
      </c>
      <c r="C325" s="13">
        <v>28.0</v>
      </c>
      <c r="D325" s="13">
        <v>31.0</v>
      </c>
    </row>
    <row r="326" ht="15.75" customHeight="1">
      <c r="A326" s="15">
        <v>80801.0</v>
      </c>
      <c r="B326" s="16" t="s">
        <v>341</v>
      </c>
      <c r="C326" s="13">
        <v>358.0</v>
      </c>
      <c r="D326" s="13">
        <v>121.0</v>
      </c>
    </row>
    <row r="327" ht="15.75" customHeight="1">
      <c r="A327" s="15">
        <v>80802.0</v>
      </c>
      <c r="B327" s="16" t="s">
        <v>342</v>
      </c>
      <c r="C327" s="13">
        <v>153.0</v>
      </c>
      <c r="D327" s="13">
        <v>90.0</v>
      </c>
    </row>
    <row r="328" ht="15.75" customHeight="1">
      <c r="A328" s="15">
        <v>80803.0</v>
      </c>
      <c r="B328" s="16" t="s">
        <v>343</v>
      </c>
      <c r="C328" s="13">
        <v>178.0</v>
      </c>
      <c r="D328" s="13">
        <v>81.0</v>
      </c>
    </row>
    <row r="329" ht="15.75" customHeight="1">
      <c r="A329" s="15">
        <v>80901.0</v>
      </c>
      <c r="B329" s="16" t="s">
        <v>344</v>
      </c>
      <c r="C329" s="13">
        <v>89.0</v>
      </c>
      <c r="D329" s="13">
        <v>86.0</v>
      </c>
    </row>
    <row r="330" ht="15.75" customHeight="1">
      <c r="A330" s="15">
        <v>90101.0</v>
      </c>
      <c r="B330" s="16" t="s">
        <v>345</v>
      </c>
      <c r="C330" s="13">
        <v>1435.0</v>
      </c>
      <c r="D330" s="13">
        <v>480.0</v>
      </c>
    </row>
    <row r="331" ht="15.75" customHeight="1">
      <c r="A331" s="15">
        <v>90102.0</v>
      </c>
      <c r="B331" s="16" t="s">
        <v>346</v>
      </c>
      <c r="C331" s="13">
        <v>288.0</v>
      </c>
      <c r="D331" s="13">
        <v>73.0</v>
      </c>
    </row>
    <row r="332" ht="15.75" customHeight="1">
      <c r="A332" s="15">
        <v>90103.0</v>
      </c>
      <c r="B332" s="16" t="s">
        <v>347</v>
      </c>
      <c r="C332" s="13">
        <v>78.0</v>
      </c>
      <c r="D332" s="13">
        <v>18.0</v>
      </c>
    </row>
    <row r="333" ht="15.75" customHeight="1">
      <c r="A333" s="15">
        <v>90104.0</v>
      </c>
      <c r="B333" s="16" t="s">
        <v>348</v>
      </c>
      <c r="C333" s="13">
        <v>129.0</v>
      </c>
      <c r="D333" s="13">
        <v>50.0</v>
      </c>
    </row>
    <row r="334" ht="15.75" customHeight="1">
      <c r="A334" s="15">
        <v>90201.0</v>
      </c>
      <c r="B334" s="16" t="s">
        <v>349</v>
      </c>
      <c r="C334" s="13">
        <v>207.0</v>
      </c>
      <c r="D334" s="13">
        <v>137.0</v>
      </c>
    </row>
    <row r="335" ht="15.75" customHeight="1">
      <c r="A335" s="15">
        <v>90202.0</v>
      </c>
      <c r="B335" s="16" t="s">
        <v>312</v>
      </c>
      <c r="C335" s="13">
        <v>127.0</v>
      </c>
      <c r="D335" s="13">
        <v>70.0</v>
      </c>
    </row>
    <row r="336" ht="15.75" customHeight="1">
      <c r="A336" s="15">
        <v>90203.0</v>
      </c>
      <c r="B336" s="16" t="s">
        <v>351</v>
      </c>
      <c r="C336" s="13">
        <v>227.0</v>
      </c>
      <c r="D336" s="13">
        <v>166.0</v>
      </c>
    </row>
    <row r="337" ht="15.75" customHeight="1">
      <c r="A337" s="15">
        <v>90301.0</v>
      </c>
      <c r="B337" s="16" t="s">
        <v>352</v>
      </c>
      <c r="C337" s="13">
        <v>249.0</v>
      </c>
      <c r="D337" s="13">
        <v>182.0</v>
      </c>
    </row>
    <row r="338" ht="15.75" customHeight="1">
      <c r="A338" s="15">
        <v>90302.0</v>
      </c>
      <c r="B338" s="16" t="s">
        <v>353</v>
      </c>
      <c r="C338" s="13">
        <v>246.0</v>
      </c>
      <c r="D338" s="13">
        <v>166.0</v>
      </c>
    </row>
    <row r="339" ht="15.75" customHeight="1">
      <c r="A339" s="15">
        <v>90303.0</v>
      </c>
      <c r="B339" s="16" t="s">
        <v>354</v>
      </c>
      <c r="C339" s="13">
        <v>330.0</v>
      </c>
      <c r="D339" s="13">
        <v>204.0</v>
      </c>
    </row>
    <row r="340" ht="15.75" customHeight="1">
      <c r="A340" s="15">
        <v>90401.0</v>
      </c>
      <c r="B340" s="16" t="s">
        <v>355</v>
      </c>
      <c r="C340" s="13">
        <v>83.0</v>
      </c>
      <c r="D340" s="13">
        <v>65.0</v>
      </c>
    </row>
    <row r="341" ht="15.75" customHeight="1">
      <c r="A341" s="15">
        <v>90402.0</v>
      </c>
      <c r="B341" s="16" t="s">
        <v>356</v>
      </c>
      <c r="C341" s="13">
        <v>71.0</v>
      </c>
      <c r="D341" s="13">
        <v>55.0</v>
      </c>
    </row>
    <row r="342" ht="15.75" customHeight="1">
      <c r="A342" s="15">
        <v>90501.0</v>
      </c>
      <c r="B342" s="16" t="s">
        <v>357</v>
      </c>
      <c r="C342" s="13">
        <v>66.0</v>
      </c>
      <c r="D342" s="13">
        <v>24.0</v>
      </c>
    </row>
    <row r="343" ht="15.75" customHeight="1">
      <c r="A343" s="15">
        <v>90502.0</v>
      </c>
      <c r="B343" s="16" t="s">
        <v>358</v>
      </c>
      <c r="C343" s="13">
        <v>108.0</v>
      </c>
      <c r="D343" s="13">
        <v>51.0</v>
      </c>
    </row>
    <row r="344" ht="15.75" customHeight="1">
      <c r="A344" s="15">
        <v>90503.0</v>
      </c>
      <c r="B344" s="16" t="s">
        <v>359</v>
      </c>
      <c r="C344" s="13">
        <v>87.0</v>
      </c>
      <c r="D344" s="13">
        <v>30.0</v>
      </c>
    </row>
    <row r="345" ht="15.75" customHeight="1">
      <c r="A345" s="29"/>
      <c r="B345" s="30"/>
      <c r="C345" s="17"/>
      <c r="D345" s="17"/>
    </row>
    <row r="346" ht="15.75" customHeight="1">
      <c r="A346" s="29"/>
      <c r="B346" s="30"/>
      <c r="C346" s="17"/>
      <c r="D346" s="17"/>
    </row>
    <row r="347" ht="15.75" customHeight="1">
      <c r="A347" s="29"/>
      <c r="B347" s="30"/>
      <c r="C347" s="17"/>
      <c r="D347" s="17"/>
    </row>
    <row r="348" ht="15.75" customHeight="1">
      <c r="A348" s="29"/>
      <c r="B348" s="30"/>
      <c r="C348" s="17"/>
      <c r="D348" s="17"/>
    </row>
    <row r="349" ht="15.75" customHeight="1">
      <c r="A349" s="29"/>
      <c r="B349" s="30"/>
      <c r="C349" s="17"/>
      <c r="D349" s="17"/>
    </row>
    <row r="350" ht="15.75" customHeight="1">
      <c r="A350" s="29"/>
      <c r="B350" s="30"/>
      <c r="C350" s="17"/>
      <c r="D350" s="17"/>
    </row>
    <row r="351" ht="15.75" customHeight="1">
      <c r="A351" s="29"/>
      <c r="B351" s="30"/>
      <c r="C351" s="17"/>
      <c r="D351" s="17"/>
    </row>
    <row r="352" ht="15.75" customHeight="1">
      <c r="A352" s="29"/>
      <c r="B352" s="30"/>
      <c r="C352" s="17"/>
      <c r="D352" s="17"/>
    </row>
    <row r="353" ht="15.75" customHeight="1">
      <c r="A353" s="29"/>
      <c r="B353" s="30"/>
      <c r="C353" s="17"/>
      <c r="D353" s="17"/>
    </row>
    <row r="354" ht="15.75" customHeight="1">
      <c r="A354" s="29"/>
      <c r="B354" s="30"/>
      <c r="C354" s="17"/>
      <c r="D354" s="17"/>
    </row>
    <row r="355" ht="15.75" customHeight="1">
      <c r="A355" s="29"/>
      <c r="B355" s="30"/>
      <c r="C355" s="17"/>
      <c r="D355" s="17"/>
    </row>
    <row r="356" ht="15.75" customHeight="1">
      <c r="A356" s="29"/>
      <c r="B356" s="30"/>
      <c r="C356" s="17"/>
      <c r="D356" s="17"/>
    </row>
    <row r="357" ht="15.75" customHeight="1">
      <c r="A357" s="29"/>
      <c r="B357" s="30"/>
      <c r="C357" s="17"/>
      <c r="D357" s="17"/>
    </row>
    <row r="358" ht="15.75" customHeight="1">
      <c r="A358" s="29"/>
      <c r="B358" s="30"/>
      <c r="C358" s="17"/>
      <c r="D358" s="17"/>
    </row>
    <row r="359" ht="15.75" customHeight="1">
      <c r="A359" s="29"/>
      <c r="B359" s="30"/>
      <c r="C359" s="17"/>
      <c r="D359" s="17"/>
    </row>
    <row r="360" ht="15.75" customHeight="1">
      <c r="A360" s="29"/>
      <c r="B360" s="30"/>
      <c r="C360" s="17"/>
      <c r="D360" s="17"/>
    </row>
    <row r="361" ht="15.75" customHeight="1">
      <c r="A361" s="29"/>
      <c r="B361" s="30"/>
      <c r="C361" s="17"/>
      <c r="D361" s="17"/>
    </row>
    <row r="362" ht="15.75" customHeight="1">
      <c r="A362" s="29"/>
      <c r="B362" s="30"/>
      <c r="C362" s="17"/>
      <c r="D362" s="17"/>
    </row>
    <row r="363" ht="15.75" customHeight="1">
      <c r="A363" s="29"/>
      <c r="B363" s="30"/>
      <c r="C363" s="17"/>
      <c r="D363" s="17"/>
    </row>
    <row r="364" ht="15.75" customHeight="1">
      <c r="A364" s="29"/>
      <c r="B364" s="30"/>
      <c r="C364" s="17"/>
      <c r="D364" s="17"/>
    </row>
    <row r="365" ht="15.75" customHeight="1">
      <c r="A365" s="29"/>
      <c r="B365" s="30"/>
      <c r="C365" s="17"/>
      <c r="D365" s="17"/>
    </row>
    <row r="366" ht="15.75" customHeight="1">
      <c r="A366" s="29"/>
      <c r="B366" s="30"/>
      <c r="C366" s="17"/>
      <c r="D366" s="17"/>
    </row>
    <row r="367" ht="15.75" customHeight="1">
      <c r="A367" s="29"/>
      <c r="B367" s="30"/>
      <c r="C367" s="17"/>
      <c r="D367" s="17"/>
    </row>
    <row r="368" ht="15.75" customHeight="1">
      <c r="A368" s="29"/>
      <c r="B368" s="30"/>
      <c r="C368" s="17"/>
      <c r="D368" s="17"/>
    </row>
    <row r="369" ht="15.75" customHeight="1">
      <c r="A369" s="29"/>
      <c r="B369" s="30"/>
      <c r="C369" s="17"/>
      <c r="D369" s="17"/>
    </row>
    <row r="370" ht="15.75" customHeight="1">
      <c r="A370" s="29"/>
      <c r="B370" s="30"/>
      <c r="C370" s="17"/>
      <c r="D370" s="17"/>
    </row>
    <row r="371" ht="15.75" customHeight="1">
      <c r="A371" s="29"/>
      <c r="B371" s="30"/>
      <c r="C371" s="17"/>
      <c r="D371" s="17"/>
    </row>
    <row r="372" ht="15.75" customHeight="1">
      <c r="A372" s="29"/>
      <c r="B372" s="30"/>
      <c r="C372" s="17"/>
      <c r="D372" s="17"/>
    </row>
    <row r="373" ht="15.75" customHeight="1">
      <c r="A373" s="29"/>
      <c r="B373" s="30"/>
      <c r="C373" s="17"/>
      <c r="D373" s="17"/>
    </row>
    <row r="374" ht="15.75" customHeight="1">
      <c r="A374" s="29"/>
      <c r="B374" s="30"/>
      <c r="C374" s="17"/>
      <c r="D374" s="17"/>
    </row>
    <row r="375" ht="15.75" customHeight="1">
      <c r="A375" s="29"/>
      <c r="B375" s="30"/>
      <c r="C375" s="17"/>
      <c r="D375" s="17"/>
    </row>
    <row r="376" ht="15.75" customHeight="1">
      <c r="A376" s="29"/>
      <c r="B376" s="30"/>
      <c r="C376" s="17"/>
      <c r="D376" s="17"/>
    </row>
    <row r="377" ht="15.75" customHeight="1">
      <c r="A377" s="29"/>
      <c r="B377" s="30"/>
      <c r="C377" s="17"/>
      <c r="D377" s="17"/>
    </row>
    <row r="378" ht="15.75" customHeight="1">
      <c r="A378" s="29"/>
      <c r="B378" s="30"/>
      <c r="C378" s="17"/>
      <c r="D378" s="17"/>
    </row>
    <row r="379" ht="15.75" customHeight="1">
      <c r="A379" s="29"/>
      <c r="B379" s="30"/>
      <c r="C379" s="17"/>
      <c r="D379" s="17"/>
    </row>
    <row r="380" ht="15.75" customHeight="1">
      <c r="A380" s="29"/>
      <c r="B380" s="30"/>
      <c r="C380" s="17"/>
      <c r="D380" s="17"/>
    </row>
    <row r="381" ht="15.75" customHeight="1">
      <c r="A381" s="29"/>
      <c r="B381" s="30"/>
      <c r="C381" s="17"/>
      <c r="D381" s="17"/>
    </row>
    <row r="382" ht="15.75" customHeight="1">
      <c r="A382" s="29"/>
      <c r="B382" s="30"/>
      <c r="C382" s="17"/>
      <c r="D382" s="17"/>
    </row>
    <row r="383" ht="15.75" customHeight="1">
      <c r="A383" s="29"/>
      <c r="B383" s="30"/>
      <c r="C383" s="17"/>
      <c r="D383" s="17"/>
    </row>
    <row r="384" ht="15.75" customHeight="1">
      <c r="A384" s="29"/>
      <c r="B384" s="30"/>
      <c r="C384" s="17"/>
      <c r="D384" s="17"/>
    </row>
    <row r="385" ht="15.75" customHeight="1">
      <c r="A385" s="29"/>
      <c r="B385" s="30"/>
      <c r="C385" s="17"/>
      <c r="D385" s="17"/>
    </row>
    <row r="386" ht="15.75" customHeight="1">
      <c r="A386" s="29"/>
      <c r="B386" s="30"/>
      <c r="C386" s="17"/>
      <c r="D386" s="17"/>
    </row>
    <row r="387" ht="15.75" customHeight="1">
      <c r="A387" s="29"/>
      <c r="B387" s="30"/>
      <c r="C387" s="17"/>
      <c r="D387" s="17"/>
    </row>
    <row r="388" ht="15.75" customHeight="1">
      <c r="A388" s="29"/>
      <c r="B388" s="30"/>
      <c r="C388" s="17"/>
      <c r="D388" s="17"/>
    </row>
    <row r="389" ht="15.75" customHeight="1">
      <c r="A389" s="29"/>
      <c r="B389" s="30"/>
      <c r="C389" s="17"/>
      <c r="D389" s="17"/>
    </row>
    <row r="390" ht="15.75" customHeight="1">
      <c r="A390" s="29"/>
      <c r="B390" s="30"/>
      <c r="C390" s="17"/>
      <c r="D390" s="17"/>
    </row>
    <row r="391" ht="15.75" customHeight="1">
      <c r="A391" s="29"/>
      <c r="B391" s="30"/>
      <c r="C391" s="17"/>
      <c r="D391" s="17"/>
    </row>
    <row r="392" ht="15.75" customHeight="1">
      <c r="A392" s="29"/>
      <c r="B392" s="30"/>
      <c r="C392" s="17"/>
      <c r="D392" s="17"/>
    </row>
    <row r="393" ht="15.75" customHeight="1">
      <c r="A393" s="29"/>
      <c r="B393" s="30"/>
      <c r="C393" s="17"/>
      <c r="D393" s="17"/>
    </row>
    <row r="394" ht="15.75" customHeight="1">
      <c r="A394" s="29"/>
      <c r="B394" s="30"/>
      <c r="C394" s="17"/>
      <c r="D394" s="17"/>
    </row>
    <row r="395" ht="15.75" customHeight="1">
      <c r="A395" s="29"/>
      <c r="B395" s="30"/>
      <c r="C395" s="17"/>
      <c r="D395" s="17"/>
    </row>
    <row r="396" ht="15.75" customHeight="1">
      <c r="A396" s="29"/>
      <c r="B396" s="30"/>
      <c r="C396" s="17"/>
      <c r="D396" s="17"/>
    </row>
    <row r="397" ht="15.75" customHeight="1">
      <c r="A397" s="29"/>
      <c r="B397" s="30"/>
      <c r="C397" s="17"/>
      <c r="D397" s="17"/>
    </row>
    <row r="398" ht="15.75" customHeight="1">
      <c r="A398" s="29"/>
      <c r="B398" s="30"/>
      <c r="C398" s="17"/>
      <c r="D398" s="17"/>
    </row>
    <row r="399" ht="15.75" customHeight="1">
      <c r="A399" s="29"/>
      <c r="B399" s="30"/>
      <c r="C399" s="17"/>
      <c r="D399" s="17"/>
    </row>
    <row r="400" ht="15.75" customHeight="1">
      <c r="A400" s="29"/>
      <c r="B400" s="30"/>
      <c r="C400" s="17"/>
      <c r="D400" s="17"/>
    </row>
    <row r="401" ht="15.75" customHeight="1">
      <c r="A401" s="29"/>
      <c r="B401" s="30"/>
      <c r="C401" s="17"/>
      <c r="D401" s="17"/>
    </row>
    <row r="402" ht="15.75" customHeight="1">
      <c r="A402" s="29"/>
      <c r="B402" s="30"/>
      <c r="C402" s="17"/>
      <c r="D402" s="17"/>
    </row>
    <row r="403" ht="15.75" customHeight="1">
      <c r="A403" s="29"/>
      <c r="B403" s="30"/>
      <c r="C403" s="17"/>
      <c r="D403" s="17"/>
    </row>
    <row r="404" ht="15.75" customHeight="1">
      <c r="A404" s="29"/>
      <c r="B404" s="30"/>
      <c r="C404" s="17"/>
      <c r="D404" s="17"/>
    </row>
    <row r="405" ht="15.75" customHeight="1">
      <c r="A405" s="29"/>
      <c r="B405" s="30"/>
      <c r="C405" s="17"/>
      <c r="D405" s="17"/>
    </row>
    <row r="406" ht="15.75" customHeight="1">
      <c r="A406" s="29"/>
      <c r="B406" s="30"/>
      <c r="C406" s="17"/>
      <c r="D406" s="17"/>
    </row>
    <row r="407" ht="15.75" customHeight="1">
      <c r="A407" s="29"/>
      <c r="B407" s="30"/>
      <c r="C407" s="17"/>
      <c r="D407" s="17"/>
    </row>
    <row r="408" ht="15.75" customHeight="1">
      <c r="A408" s="29"/>
      <c r="B408" s="30"/>
      <c r="C408" s="17"/>
      <c r="D408" s="17"/>
    </row>
    <row r="409" ht="15.75" customHeight="1">
      <c r="A409" s="29"/>
      <c r="B409" s="30"/>
      <c r="C409" s="17"/>
      <c r="D409" s="17"/>
    </row>
    <row r="410" ht="15.75" customHeight="1">
      <c r="A410" s="29"/>
      <c r="B410" s="30"/>
      <c r="C410" s="17"/>
      <c r="D410" s="17"/>
    </row>
    <row r="411" ht="15.75" customHeight="1">
      <c r="A411" s="29"/>
      <c r="B411" s="30"/>
      <c r="C411" s="17"/>
      <c r="D411" s="17"/>
    </row>
    <row r="412" ht="15.75" customHeight="1">
      <c r="A412" s="29"/>
      <c r="B412" s="30"/>
      <c r="C412" s="17"/>
      <c r="D412" s="17"/>
    </row>
    <row r="413" ht="15.75" customHeight="1">
      <c r="A413" s="29"/>
      <c r="B413" s="30"/>
      <c r="C413" s="17"/>
      <c r="D413" s="17"/>
    </row>
    <row r="414" ht="15.75" customHeight="1">
      <c r="A414" s="29"/>
      <c r="B414" s="30"/>
      <c r="C414" s="17"/>
      <c r="D414" s="17"/>
    </row>
    <row r="415" ht="15.75" customHeight="1">
      <c r="A415" s="29"/>
      <c r="B415" s="30"/>
      <c r="C415" s="17"/>
      <c r="D415" s="17"/>
    </row>
    <row r="416" ht="15.75" customHeight="1">
      <c r="A416" s="29"/>
      <c r="B416" s="30"/>
      <c r="C416" s="17"/>
      <c r="D416" s="17"/>
    </row>
    <row r="417" ht="15.75" customHeight="1">
      <c r="A417" s="29"/>
      <c r="B417" s="30"/>
      <c r="C417" s="17"/>
      <c r="D417" s="17"/>
    </row>
    <row r="418" ht="15.75" customHeight="1">
      <c r="A418" s="29"/>
      <c r="B418" s="30"/>
      <c r="C418" s="17"/>
      <c r="D418" s="17"/>
    </row>
    <row r="419" ht="15.75" customHeight="1">
      <c r="A419" s="29"/>
      <c r="B419" s="30"/>
      <c r="C419" s="17"/>
      <c r="D419" s="17"/>
    </row>
    <row r="420" ht="15.75" customHeight="1">
      <c r="A420" s="29"/>
      <c r="B420" s="30"/>
      <c r="C420" s="17"/>
      <c r="D420" s="17"/>
    </row>
    <row r="421" ht="15.75" customHeight="1">
      <c r="A421" s="29"/>
      <c r="B421" s="30"/>
      <c r="C421" s="17"/>
      <c r="D421" s="17"/>
    </row>
    <row r="422" ht="15.75" customHeight="1">
      <c r="A422" s="29"/>
      <c r="B422" s="30"/>
      <c r="C422" s="17"/>
      <c r="D422" s="17"/>
    </row>
    <row r="423" ht="15.75" customHeight="1">
      <c r="A423" s="29"/>
      <c r="B423" s="30"/>
      <c r="C423" s="17"/>
      <c r="D423" s="17"/>
    </row>
    <row r="424" ht="15.75" customHeight="1">
      <c r="A424" s="29"/>
      <c r="B424" s="30"/>
      <c r="C424" s="17"/>
      <c r="D424" s="17"/>
    </row>
    <row r="425" ht="15.75" customHeight="1">
      <c r="A425" s="29"/>
      <c r="B425" s="30"/>
      <c r="C425" s="17"/>
      <c r="D425" s="17"/>
    </row>
    <row r="426" ht="15.75" customHeight="1">
      <c r="A426" s="29"/>
      <c r="B426" s="30"/>
      <c r="C426" s="17"/>
      <c r="D426" s="17"/>
    </row>
    <row r="427" ht="15.75" customHeight="1">
      <c r="A427" s="29"/>
      <c r="B427" s="30"/>
      <c r="C427" s="17"/>
      <c r="D427" s="17"/>
    </row>
    <row r="428" ht="15.75" customHeight="1">
      <c r="A428" s="29"/>
      <c r="B428" s="30"/>
      <c r="C428" s="17"/>
      <c r="D428" s="17"/>
    </row>
    <row r="429" ht="15.75" customHeight="1">
      <c r="A429" s="29"/>
      <c r="B429" s="30"/>
      <c r="C429" s="17"/>
      <c r="D429" s="17"/>
    </row>
    <row r="430" ht="15.75" customHeight="1">
      <c r="A430" s="29"/>
      <c r="B430" s="30"/>
      <c r="C430" s="17"/>
      <c r="D430" s="17"/>
    </row>
    <row r="431" ht="15.75" customHeight="1">
      <c r="A431" s="29"/>
      <c r="B431" s="30"/>
      <c r="C431" s="17"/>
      <c r="D431" s="17"/>
    </row>
    <row r="432" ht="15.75" customHeight="1">
      <c r="A432" s="29"/>
      <c r="B432" s="30"/>
      <c r="C432" s="17"/>
      <c r="D432" s="17"/>
    </row>
    <row r="433" ht="15.75" customHeight="1">
      <c r="A433" s="29"/>
      <c r="B433" s="30"/>
      <c r="C433" s="17"/>
      <c r="D433" s="17"/>
    </row>
    <row r="434" ht="15.75" customHeight="1">
      <c r="A434" s="29"/>
      <c r="B434" s="30"/>
      <c r="C434" s="17"/>
      <c r="D434" s="17"/>
    </row>
    <row r="435" ht="15.75" customHeight="1">
      <c r="A435" s="29"/>
      <c r="B435" s="30"/>
      <c r="C435" s="17"/>
      <c r="D435" s="17"/>
    </row>
    <row r="436" ht="15.75" customHeight="1">
      <c r="A436" s="29"/>
      <c r="B436" s="30"/>
      <c r="C436" s="17"/>
      <c r="D436" s="17"/>
    </row>
    <row r="437" ht="15.75" customHeight="1">
      <c r="A437" s="29"/>
      <c r="B437" s="30"/>
      <c r="C437" s="17"/>
      <c r="D437" s="17"/>
    </row>
    <row r="438" ht="15.75" customHeight="1">
      <c r="A438" s="29"/>
      <c r="B438" s="30"/>
      <c r="C438" s="17"/>
      <c r="D438" s="17"/>
    </row>
    <row r="439" ht="15.75" customHeight="1">
      <c r="A439" s="29"/>
      <c r="B439" s="30"/>
      <c r="C439" s="17"/>
      <c r="D439" s="17"/>
    </row>
    <row r="440" ht="15.75" customHeight="1">
      <c r="A440" s="29"/>
      <c r="B440" s="30"/>
      <c r="C440" s="17"/>
      <c r="D440" s="17"/>
    </row>
    <row r="441" ht="15.75" customHeight="1">
      <c r="A441" s="29"/>
      <c r="B441" s="30"/>
      <c r="C441" s="17"/>
      <c r="D441" s="17"/>
    </row>
    <row r="442" ht="15.75" customHeight="1">
      <c r="A442" s="29"/>
      <c r="B442" s="30"/>
      <c r="C442" s="17"/>
      <c r="D442" s="17"/>
    </row>
    <row r="443" ht="15.75" customHeight="1">
      <c r="A443" s="29"/>
      <c r="B443" s="30"/>
      <c r="C443" s="17"/>
      <c r="D443" s="17"/>
    </row>
    <row r="444" ht="15.75" customHeight="1">
      <c r="A444" s="29"/>
      <c r="B444" s="30"/>
      <c r="C444" s="17"/>
      <c r="D444" s="17"/>
    </row>
    <row r="445" ht="15.75" customHeight="1">
      <c r="A445" s="29"/>
      <c r="B445" s="30"/>
      <c r="C445" s="17"/>
      <c r="D445" s="17"/>
    </row>
    <row r="446" ht="15.75" customHeight="1">
      <c r="A446" s="29"/>
      <c r="B446" s="30"/>
      <c r="C446" s="17"/>
      <c r="D446" s="17"/>
    </row>
    <row r="447" ht="15.75" customHeight="1">
      <c r="A447" s="29"/>
      <c r="B447" s="30"/>
      <c r="C447" s="17"/>
      <c r="D447" s="17"/>
    </row>
    <row r="448" ht="15.75" customHeight="1">
      <c r="A448" s="29"/>
      <c r="B448" s="30"/>
      <c r="C448" s="17"/>
      <c r="D448" s="17"/>
    </row>
    <row r="449" ht="15.75" customHeight="1">
      <c r="A449" s="29"/>
      <c r="B449" s="30"/>
      <c r="C449" s="17"/>
      <c r="D449" s="17"/>
    </row>
    <row r="450" ht="15.75" customHeight="1">
      <c r="A450" s="29"/>
      <c r="B450" s="30"/>
      <c r="C450" s="17"/>
      <c r="D450" s="17"/>
    </row>
    <row r="451" ht="15.75" customHeight="1">
      <c r="A451" s="29"/>
      <c r="B451" s="30"/>
      <c r="C451" s="17"/>
      <c r="D451" s="17"/>
    </row>
    <row r="452" ht="15.75" customHeight="1">
      <c r="A452" s="29"/>
      <c r="B452" s="30"/>
      <c r="C452" s="17"/>
      <c r="D452" s="17"/>
    </row>
    <row r="453" ht="15.75" customHeight="1">
      <c r="A453" s="29"/>
      <c r="B453" s="30"/>
      <c r="C453" s="17"/>
      <c r="D453" s="17"/>
    </row>
    <row r="454" ht="15.75" customHeight="1">
      <c r="A454" s="29"/>
      <c r="B454" s="30"/>
      <c r="C454" s="17"/>
      <c r="D454" s="17"/>
    </row>
    <row r="455" ht="15.75" customHeight="1">
      <c r="A455" s="29"/>
      <c r="B455" s="30"/>
      <c r="C455" s="17"/>
      <c r="D455" s="17"/>
    </row>
    <row r="456" ht="15.75" customHeight="1">
      <c r="A456" s="29"/>
      <c r="B456" s="30"/>
      <c r="C456" s="17"/>
      <c r="D456" s="17"/>
    </row>
    <row r="457" ht="15.75" customHeight="1">
      <c r="A457" s="29"/>
      <c r="B457" s="30"/>
      <c r="C457" s="17"/>
      <c r="D457" s="17"/>
    </row>
    <row r="458" ht="15.75" customHeight="1">
      <c r="A458" s="29"/>
      <c r="B458" s="30"/>
      <c r="C458" s="17"/>
      <c r="D458" s="17"/>
    </row>
    <row r="459" ht="15.75" customHeight="1">
      <c r="A459" s="29"/>
      <c r="B459" s="30"/>
      <c r="C459" s="17"/>
      <c r="D459" s="17"/>
    </row>
    <row r="460" ht="15.75" customHeight="1">
      <c r="A460" s="29"/>
      <c r="B460" s="30"/>
      <c r="C460" s="17"/>
      <c r="D460" s="17"/>
    </row>
    <row r="461" ht="15.75" customHeight="1">
      <c r="A461" s="29"/>
      <c r="B461" s="30"/>
      <c r="C461" s="17"/>
      <c r="D461" s="17"/>
    </row>
    <row r="462" ht="15.75" customHeight="1">
      <c r="A462" s="29"/>
      <c r="B462" s="30"/>
      <c r="C462" s="17"/>
      <c r="D462" s="17"/>
    </row>
    <row r="463" ht="15.75" customHeight="1">
      <c r="A463" s="29"/>
      <c r="B463" s="30"/>
      <c r="C463" s="17"/>
      <c r="D463" s="17"/>
    </row>
    <row r="464" ht="15.75" customHeight="1">
      <c r="A464" s="29"/>
      <c r="B464" s="30"/>
      <c r="C464" s="17"/>
      <c r="D464" s="17"/>
    </row>
    <row r="465" ht="15.75" customHeight="1">
      <c r="A465" s="29"/>
      <c r="B465" s="30"/>
      <c r="C465" s="17"/>
      <c r="D465" s="17"/>
    </row>
    <row r="466" ht="15.75" customHeight="1">
      <c r="A466" s="29"/>
      <c r="B466" s="30"/>
      <c r="C466" s="17"/>
      <c r="D466" s="17"/>
    </row>
    <row r="467" ht="15.75" customHeight="1">
      <c r="A467" s="29"/>
      <c r="B467" s="30"/>
      <c r="C467" s="17"/>
      <c r="D467" s="17"/>
    </row>
    <row r="468" ht="15.75" customHeight="1">
      <c r="A468" s="29"/>
      <c r="B468" s="30"/>
      <c r="C468" s="17"/>
      <c r="D468" s="17"/>
    </row>
    <row r="469" ht="15.75" customHeight="1">
      <c r="A469" s="29"/>
      <c r="B469" s="30"/>
      <c r="C469" s="17"/>
      <c r="D469" s="17"/>
    </row>
    <row r="470" ht="15.75" customHeight="1">
      <c r="A470" s="29"/>
      <c r="B470" s="30"/>
      <c r="C470" s="17"/>
      <c r="D470" s="17"/>
    </row>
    <row r="471" ht="15.75" customHeight="1">
      <c r="A471" s="29"/>
      <c r="B471" s="30"/>
      <c r="C471" s="17"/>
      <c r="D471" s="17"/>
    </row>
    <row r="472" ht="15.75" customHeight="1">
      <c r="A472" s="29"/>
      <c r="B472" s="30"/>
      <c r="C472" s="17"/>
      <c r="D472" s="17"/>
    </row>
    <row r="473" ht="15.75" customHeight="1">
      <c r="A473" s="29"/>
      <c r="B473" s="30"/>
      <c r="C473" s="17"/>
      <c r="D473" s="17"/>
    </row>
    <row r="474" ht="15.75" customHeight="1">
      <c r="A474" s="29"/>
      <c r="B474" s="30"/>
      <c r="C474" s="17"/>
      <c r="D474" s="17"/>
    </row>
    <row r="475" ht="15.75" customHeight="1">
      <c r="A475" s="29"/>
      <c r="B475" s="30"/>
      <c r="C475" s="17"/>
      <c r="D475" s="17"/>
    </row>
    <row r="476" ht="15.75" customHeight="1">
      <c r="A476" s="29"/>
      <c r="B476" s="30"/>
      <c r="C476" s="17"/>
      <c r="D476" s="17"/>
    </row>
    <row r="477" ht="15.75" customHeight="1">
      <c r="A477" s="29"/>
      <c r="B477" s="30"/>
      <c r="C477" s="17"/>
      <c r="D477" s="17"/>
    </row>
    <row r="478" ht="15.75" customHeight="1">
      <c r="A478" s="29"/>
      <c r="B478" s="30"/>
      <c r="C478" s="17"/>
      <c r="D478" s="17"/>
    </row>
    <row r="479" ht="15.75" customHeight="1">
      <c r="A479" s="29"/>
      <c r="B479" s="30"/>
      <c r="C479" s="17"/>
      <c r="D479" s="17"/>
    </row>
    <row r="480" ht="15.75" customHeight="1">
      <c r="A480" s="29"/>
      <c r="B480" s="30"/>
      <c r="C480" s="17"/>
      <c r="D480" s="17"/>
    </row>
    <row r="481" ht="15.75" customHeight="1">
      <c r="A481" s="29"/>
      <c r="B481" s="30"/>
      <c r="C481" s="17"/>
      <c r="D481" s="17"/>
    </row>
    <row r="482" ht="15.75" customHeight="1">
      <c r="A482" s="29"/>
      <c r="B482" s="30"/>
      <c r="C482" s="17"/>
      <c r="D482" s="17"/>
    </row>
    <row r="483" ht="15.75" customHeight="1">
      <c r="A483" s="29"/>
      <c r="B483" s="30"/>
      <c r="C483" s="17"/>
      <c r="D483" s="17"/>
    </row>
    <row r="484" ht="15.75" customHeight="1">
      <c r="A484" s="29"/>
      <c r="B484" s="30"/>
      <c r="C484" s="17"/>
      <c r="D484" s="17"/>
    </row>
    <row r="485" ht="15.75" customHeight="1">
      <c r="A485" s="29"/>
      <c r="B485" s="30"/>
      <c r="C485" s="17"/>
      <c r="D485" s="17"/>
    </row>
    <row r="486" ht="15.75" customHeight="1">
      <c r="A486" s="29"/>
      <c r="B486" s="30"/>
      <c r="C486" s="17"/>
      <c r="D486" s="17"/>
    </row>
    <row r="487" ht="15.75" customHeight="1">
      <c r="A487" s="29"/>
      <c r="B487" s="30"/>
      <c r="C487" s="17"/>
      <c r="D487" s="17"/>
    </row>
    <row r="488" ht="15.75" customHeight="1">
      <c r="A488" s="29"/>
      <c r="B488" s="30"/>
      <c r="C488" s="17"/>
      <c r="D488" s="17"/>
    </row>
    <row r="489" ht="15.75" customHeight="1">
      <c r="A489" s="29"/>
      <c r="B489" s="30"/>
      <c r="C489" s="17"/>
      <c r="D489" s="17"/>
    </row>
    <row r="490" ht="15.75" customHeight="1">
      <c r="A490" s="29"/>
      <c r="B490" s="30"/>
      <c r="C490" s="17"/>
      <c r="D490" s="17"/>
    </row>
    <row r="491" ht="15.75" customHeight="1">
      <c r="A491" s="29"/>
      <c r="B491" s="30"/>
      <c r="C491" s="17"/>
      <c r="D491" s="17"/>
    </row>
    <row r="492" ht="15.75" customHeight="1">
      <c r="A492" s="29"/>
      <c r="B492" s="30"/>
      <c r="C492" s="17"/>
      <c r="D492" s="17"/>
    </row>
    <row r="493" ht="15.75" customHeight="1">
      <c r="A493" s="29"/>
      <c r="B493" s="30"/>
      <c r="C493" s="17"/>
      <c r="D493" s="17"/>
    </row>
    <row r="494" ht="15.75" customHeight="1">
      <c r="A494" s="29"/>
      <c r="B494" s="30"/>
      <c r="C494" s="17"/>
      <c r="D494" s="17"/>
    </row>
    <row r="495" ht="15.75" customHeight="1">
      <c r="A495" s="29"/>
      <c r="B495" s="30"/>
      <c r="C495" s="17"/>
      <c r="D495" s="17"/>
    </row>
    <row r="496" ht="15.75" customHeight="1">
      <c r="A496" s="29"/>
      <c r="B496" s="30"/>
      <c r="C496" s="17"/>
      <c r="D496" s="17"/>
    </row>
    <row r="497" ht="15.75" customHeight="1">
      <c r="A497" s="29"/>
      <c r="B497" s="30"/>
      <c r="C497" s="17"/>
      <c r="D497" s="17"/>
    </row>
    <row r="498" ht="15.75" customHeight="1">
      <c r="A498" s="29"/>
      <c r="B498" s="30"/>
      <c r="C498" s="17"/>
      <c r="D498" s="17"/>
    </row>
    <row r="499" ht="15.75" customHeight="1">
      <c r="A499" s="29"/>
      <c r="B499" s="30"/>
      <c r="C499" s="17"/>
      <c r="D499" s="17"/>
    </row>
    <row r="500" ht="15.75" customHeight="1">
      <c r="A500" s="29"/>
      <c r="B500" s="30"/>
      <c r="C500" s="17"/>
      <c r="D500" s="17"/>
    </row>
    <row r="501" ht="15.75" customHeight="1">
      <c r="A501" s="29"/>
      <c r="B501" s="30"/>
      <c r="C501" s="17"/>
      <c r="D501" s="17"/>
    </row>
    <row r="502" ht="15.75" customHeight="1">
      <c r="A502" s="29"/>
      <c r="B502" s="30"/>
      <c r="C502" s="17"/>
      <c r="D502" s="17"/>
    </row>
    <row r="503" ht="15.75" customHeight="1">
      <c r="A503" s="29"/>
      <c r="B503" s="30"/>
      <c r="C503" s="17"/>
      <c r="D503" s="17"/>
    </row>
    <row r="504" ht="15.75" customHeight="1">
      <c r="A504" s="29"/>
      <c r="B504" s="30"/>
      <c r="C504" s="17"/>
      <c r="D504" s="17"/>
    </row>
    <row r="505" ht="15.75" customHeight="1">
      <c r="A505" s="29"/>
      <c r="B505" s="30"/>
      <c r="C505" s="17"/>
      <c r="D505" s="17"/>
    </row>
    <row r="506" ht="15.75" customHeight="1">
      <c r="A506" s="29"/>
      <c r="B506" s="30"/>
      <c r="C506" s="17"/>
      <c r="D506" s="17"/>
    </row>
    <row r="507" ht="15.75" customHeight="1">
      <c r="A507" s="29"/>
      <c r="B507" s="30"/>
      <c r="C507" s="17"/>
      <c r="D507" s="17"/>
    </row>
    <row r="508" ht="15.75" customHeight="1">
      <c r="A508" s="29"/>
      <c r="B508" s="30"/>
      <c r="C508" s="17"/>
      <c r="D508" s="17"/>
    </row>
    <row r="509" ht="15.75" customHeight="1">
      <c r="A509" s="29"/>
      <c r="B509" s="30"/>
      <c r="C509" s="17"/>
      <c r="D509" s="17"/>
    </row>
    <row r="510" ht="15.75" customHeight="1">
      <c r="A510" s="29"/>
      <c r="B510" s="30"/>
      <c r="C510" s="17"/>
      <c r="D510" s="17"/>
    </row>
    <row r="511" ht="15.75" customHeight="1">
      <c r="A511" s="29"/>
      <c r="B511" s="30"/>
      <c r="C511" s="17"/>
      <c r="D511" s="17"/>
    </row>
    <row r="512" ht="15.75" customHeight="1">
      <c r="A512" s="29"/>
      <c r="B512" s="30"/>
      <c r="C512" s="17"/>
      <c r="D512" s="17"/>
    </row>
    <row r="513" ht="15.75" customHeight="1">
      <c r="A513" s="29"/>
      <c r="B513" s="30"/>
      <c r="C513" s="17"/>
      <c r="D513" s="17"/>
    </row>
    <row r="514" ht="15.75" customHeight="1">
      <c r="A514" s="29"/>
      <c r="B514" s="30"/>
      <c r="C514" s="17"/>
      <c r="D514" s="17"/>
    </row>
    <row r="515" ht="15.75" customHeight="1">
      <c r="A515" s="29"/>
      <c r="B515" s="30"/>
      <c r="C515" s="17"/>
      <c r="D515" s="17"/>
    </row>
    <row r="516" ht="15.75" customHeight="1">
      <c r="A516" s="29"/>
      <c r="B516" s="30"/>
      <c r="C516" s="17"/>
      <c r="D516" s="17"/>
    </row>
    <row r="517" ht="15.75" customHeight="1">
      <c r="A517" s="29"/>
      <c r="B517" s="30"/>
      <c r="C517" s="17"/>
      <c r="D517" s="17"/>
    </row>
    <row r="518" ht="15.75" customHeight="1">
      <c r="A518" s="29"/>
      <c r="B518" s="30"/>
      <c r="C518" s="17"/>
      <c r="D518" s="17"/>
    </row>
    <row r="519" ht="15.75" customHeight="1">
      <c r="A519" s="29"/>
      <c r="B519" s="30"/>
      <c r="C519" s="17"/>
      <c r="D519" s="17"/>
    </row>
    <row r="520" ht="15.75" customHeight="1">
      <c r="A520" s="29"/>
      <c r="B520" s="30"/>
      <c r="C520" s="17"/>
      <c r="D520" s="17"/>
    </row>
    <row r="521" ht="15.75" customHeight="1">
      <c r="A521" s="29"/>
      <c r="B521" s="30"/>
      <c r="C521" s="17"/>
      <c r="D521" s="17"/>
    </row>
    <row r="522" ht="15.75" customHeight="1">
      <c r="A522" s="29"/>
      <c r="B522" s="30"/>
      <c r="C522" s="17"/>
      <c r="D522" s="17"/>
    </row>
    <row r="523" ht="15.75" customHeight="1">
      <c r="A523" s="29"/>
      <c r="B523" s="30"/>
      <c r="C523" s="17"/>
      <c r="D523" s="17"/>
    </row>
    <row r="524" ht="15.75" customHeight="1">
      <c r="A524" s="29"/>
      <c r="B524" s="30"/>
      <c r="C524" s="17"/>
      <c r="D524" s="17"/>
    </row>
    <row r="525" ht="15.75" customHeight="1">
      <c r="A525" s="29"/>
      <c r="B525" s="30"/>
      <c r="C525" s="17"/>
      <c r="D525" s="17"/>
    </row>
    <row r="526" ht="15.75" customHeight="1">
      <c r="A526" s="29"/>
      <c r="B526" s="30"/>
      <c r="C526" s="17"/>
      <c r="D526" s="17"/>
    </row>
    <row r="527" ht="15.75" customHeight="1">
      <c r="A527" s="29"/>
      <c r="B527" s="30"/>
      <c r="C527" s="17"/>
      <c r="D527" s="17"/>
    </row>
    <row r="528" ht="15.75" customHeight="1">
      <c r="A528" s="29"/>
      <c r="B528" s="30"/>
      <c r="C528" s="17"/>
      <c r="D528" s="17"/>
    </row>
    <row r="529" ht="15.75" customHeight="1">
      <c r="A529" s="29"/>
      <c r="B529" s="30"/>
      <c r="C529" s="17"/>
      <c r="D529" s="17"/>
    </row>
    <row r="530" ht="15.75" customHeight="1">
      <c r="A530" s="29"/>
      <c r="B530" s="30"/>
      <c r="C530" s="17"/>
      <c r="D530" s="17"/>
    </row>
    <row r="531" ht="15.75" customHeight="1">
      <c r="A531" s="29"/>
      <c r="B531" s="30"/>
      <c r="C531" s="17"/>
      <c r="D531" s="17"/>
    </row>
    <row r="532" ht="15.75" customHeight="1">
      <c r="A532" s="29"/>
      <c r="B532" s="30"/>
      <c r="C532" s="17"/>
      <c r="D532" s="17"/>
    </row>
    <row r="533" ht="15.75" customHeight="1">
      <c r="A533" s="29"/>
      <c r="B533" s="30"/>
      <c r="C533" s="17"/>
      <c r="D533" s="17"/>
    </row>
    <row r="534" ht="15.75" customHeight="1">
      <c r="A534" s="29"/>
      <c r="B534" s="30"/>
      <c r="C534" s="17"/>
      <c r="D534" s="17"/>
    </row>
    <row r="535" ht="15.75" customHeight="1">
      <c r="A535" s="29"/>
      <c r="B535" s="30"/>
      <c r="C535" s="17"/>
      <c r="D535" s="17"/>
    </row>
    <row r="536" ht="15.75" customHeight="1">
      <c r="A536" s="29"/>
      <c r="B536" s="30"/>
      <c r="C536" s="17"/>
      <c r="D536" s="17"/>
    </row>
    <row r="537" ht="15.75" customHeight="1">
      <c r="A537" s="29"/>
      <c r="B537" s="30"/>
      <c r="C537" s="17"/>
      <c r="D537" s="17"/>
    </row>
    <row r="538" ht="15.75" customHeight="1">
      <c r="A538" s="29"/>
      <c r="B538" s="30"/>
      <c r="C538" s="17"/>
      <c r="D538" s="17"/>
    </row>
    <row r="539" ht="15.75" customHeight="1">
      <c r="A539" s="29"/>
      <c r="B539" s="30"/>
      <c r="C539" s="17"/>
      <c r="D539" s="17"/>
    </row>
    <row r="540" ht="15.75" customHeight="1">
      <c r="A540" s="29"/>
      <c r="B540" s="30"/>
      <c r="C540" s="17"/>
      <c r="D540" s="17"/>
    </row>
    <row r="541" ht="15.75" customHeight="1">
      <c r="A541" s="29"/>
      <c r="B541" s="30"/>
      <c r="C541" s="17"/>
      <c r="D541" s="17"/>
    </row>
    <row r="542" ht="15.75" customHeight="1">
      <c r="A542" s="29"/>
      <c r="B542" s="30"/>
      <c r="C542" s="17"/>
      <c r="D542" s="17"/>
    </row>
    <row r="543" ht="15.75" customHeight="1">
      <c r="A543" s="29"/>
      <c r="B543" s="30"/>
      <c r="C543" s="17"/>
      <c r="D543" s="17"/>
    </row>
    <row r="544" ht="15.75" customHeight="1">
      <c r="A544" s="29"/>
      <c r="B544" s="30"/>
      <c r="C544" s="17"/>
      <c r="D544" s="17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6.25"/>
    <col customWidth="1" min="3" max="3" width="25.88"/>
    <col customWidth="1" min="4" max="4" width="28.0"/>
    <col customWidth="1" min="5" max="6" width="12.63"/>
  </cols>
  <sheetData>
    <row r="1" ht="57.0" customHeight="1">
      <c r="A1" s="31" t="s">
        <v>9</v>
      </c>
      <c r="B1" s="31" t="s">
        <v>1</v>
      </c>
      <c r="C1" s="27" t="s">
        <v>5</v>
      </c>
      <c r="D1" s="27" t="s">
        <v>8</v>
      </c>
    </row>
    <row r="2" ht="15.75" customHeight="1">
      <c r="A2" s="11">
        <v>1.0</v>
      </c>
      <c r="B2" s="12" t="s">
        <v>10</v>
      </c>
      <c r="C2" s="28">
        <v>31.225568700384017</v>
      </c>
      <c r="D2" s="28">
        <v>8.76707530647986</v>
      </c>
    </row>
    <row r="3" ht="15.75" customHeight="1">
      <c r="A3" s="11">
        <v>2.0</v>
      </c>
      <c r="B3" s="12" t="s">
        <v>13</v>
      </c>
      <c r="C3" s="28">
        <v>22.244062244062242</v>
      </c>
      <c r="D3" s="28">
        <v>7.254442118772249</v>
      </c>
    </row>
    <row r="4" ht="15.75" customHeight="1">
      <c r="A4" s="11">
        <v>3.0</v>
      </c>
      <c r="B4" s="12" t="s">
        <v>15</v>
      </c>
      <c r="C4" s="28">
        <v>26.751602572670457</v>
      </c>
      <c r="D4" s="28">
        <v>8.910119246029613</v>
      </c>
    </row>
    <row r="5" ht="15.75" customHeight="1">
      <c r="A5" s="11">
        <v>4.0</v>
      </c>
      <c r="B5" s="12" t="s">
        <v>17</v>
      </c>
      <c r="C5" s="28">
        <v>29.155199733133188</v>
      </c>
      <c r="D5" s="28">
        <v>8.507075941797886</v>
      </c>
    </row>
    <row r="6" ht="15.75" customHeight="1">
      <c r="A6" s="11">
        <v>5.0</v>
      </c>
      <c r="B6" s="12" t="s">
        <v>19</v>
      </c>
      <c r="C6" s="28">
        <v>27.55385960728198</v>
      </c>
      <c r="D6" s="28">
        <v>11.211985506656355</v>
      </c>
    </row>
    <row r="7" ht="15.75" customHeight="1">
      <c r="A7" s="11">
        <v>6.0</v>
      </c>
      <c r="B7" s="12" t="s">
        <v>21</v>
      </c>
      <c r="C7" s="28">
        <v>27.244625544470985</v>
      </c>
      <c r="D7" s="28">
        <v>9.587242026266416</v>
      </c>
    </row>
    <row r="8" ht="15.75" customHeight="1">
      <c r="A8" s="11">
        <v>7.0</v>
      </c>
      <c r="B8" s="12" t="s">
        <v>23</v>
      </c>
      <c r="C8" s="28">
        <v>28.78622479454594</v>
      </c>
      <c r="D8" s="28">
        <v>12.030058842285284</v>
      </c>
    </row>
    <row r="9" ht="15.75" customHeight="1">
      <c r="A9" s="11">
        <v>8.0</v>
      </c>
      <c r="B9" s="12" t="s">
        <v>25</v>
      </c>
      <c r="C9" s="28">
        <v>30.468713922881552</v>
      </c>
      <c r="D9" s="28">
        <v>13.560257589696413</v>
      </c>
    </row>
    <row r="10" ht="15.75" customHeight="1">
      <c r="A10" s="11">
        <v>9.0</v>
      </c>
      <c r="B10" s="12" t="s">
        <v>27</v>
      </c>
      <c r="C10" s="28">
        <v>33.9799635701275</v>
      </c>
      <c r="D10" s="28">
        <v>14.235190097259062</v>
      </c>
    </row>
    <row r="11" ht="15.75" customHeight="1">
      <c r="A11" s="11">
        <v>10.0</v>
      </c>
      <c r="B11" s="12" t="s">
        <v>29</v>
      </c>
      <c r="C11" s="14">
        <v>26.89650359410985</v>
      </c>
      <c r="D11" s="14">
        <v>13.062658279552325</v>
      </c>
    </row>
    <row r="12" ht="15.75" customHeight="1">
      <c r="A12" s="11">
        <v>11.0</v>
      </c>
      <c r="B12" s="12" t="s">
        <v>31</v>
      </c>
      <c r="C12" s="14">
        <v>26.831443742754846</v>
      </c>
      <c r="D12" s="14">
        <v>9.773393692578484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3.25"/>
    <col customWidth="1" min="4" max="4" width="21.0"/>
    <col customWidth="1" min="5" max="6" width="12.63"/>
  </cols>
  <sheetData>
    <row r="1" ht="63.0" customHeight="1">
      <c r="A1" s="31" t="s">
        <v>9</v>
      </c>
      <c r="B1" s="31" t="s">
        <v>1</v>
      </c>
      <c r="C1" s="27" t="s">
        <v>3</v>
      </c>
      <c r="D1" s="27" t="s">
        <v>6</v>
      </c>
    </row>
    <row r="2" ht="15.75" customHeight="1">
      <c r="A2" s="11">
        <v>1.0</v>
      </c>
      <c r="B2" s="12" t="s">
        <v>10</v>
      </c>
      <c r="C2" s="13">
        <v>18133.0</v>
      </c>
      <c r="D2" s="13">
        <v>5006.0</v>
      </c>
    </row>
    <row r="3" ht="15.75" customHeight="1">
      <c r="A3" s="11">
        <v>2.0</v>
      </c>
      <c r="B3" s="12" t="s">
        <v>13</v>
      </c>
      <c r="C3" s="13">
        <v>59752.0</v>
      </c>
      <c r="D3" s="13">
        <v>18993.0</v>
      </c>
    </row>
    <row r="4" ht="15.75" customHeight="1">
      <c r="A4" s="11">
        <v>3.0</v>
      </c>
      <c r="B4" s="12" t="s">
        <v>15</v>
      </c>
      <c r="C4" s="13">
        <v>50037.0</v>
      </c>
      <c r="D4" s="13">
        <v>16573.0</v>
      </c>
    </row>
    <row r="5" ht="15.75" customHeight="1">
      <c r="A5" s="11">
        <v>4.0</v>
      </c>
      <c r="B5" s="12" t="s">
        <v>17</v>
      </c>
      <c r="C5" s="13">
        <v>13984.0</v>
      </c>
      <c r="D5" s="13">
        <v>4268.0</v>
      </c>
    </row>
    <row r="6" ht="15.75" customHeight="1">
      <c r="A6" s="11">
        <v>5.0</v>
      </c>
      <c r="B6" s="12" t="s">
        <v>19</v>
      </c>
      <c r="C6" s="13">
        <v>20796.0</v>
      </c>
      <c r="D6" s="13">
        <v>8262.0</v>
      </c>
    </row>
    <row r="7" ht="15.75" customHeight="1">
      <c r="A7" s="11">
        <v>6.0</v>
      </c>
      <c r="B7" s="12" t="s">
        <v>21</v>
      </c>
      <c r="C7" s="13">
        <v>13573.0</v>
      </c>
      <c r="D7" s="13">
        <v>4088.0</v>
      </c>
    </row>
    <row r="8" ht="15.75" customHeight="1">
      <c r="A8" s="11">
        <v>7.0</v>
      </c>
      <c r="B8" s="12" t="s">
        <v>23</v>
      </c>
      <c r="C8" s="13">
        <v>83856.0</v>
      </c>
      <c r="D8" s="13">
        <v>33202.0</v>
      </c>
    </row>
    <row r="9" ht="15.75" customHeight="1">
      <c r="A9" s="11">
        <v>8.0</v>
      </c>
      <c r="B9" s="12" t="s">
        <v>25</v>
      </c>
      <c r="C9" s="13">
        <v>13196.0</v>
      </c>
      <c r="D9" s="13">
        <v>5896.0</v>
      </c>
    </row>
    <row r="10" ht="15.75" customHeight="1">
      <c r="A10" s="11">
        <v>9.0</v>
      </c>
      <c r="B10" s="12" t="s">
        <v>27</v>
      </c>
      <c r="C10" s="13">
        <v>3731.0</v>
      </c>
      <c r="D10" s="13">
        <v>1771.0</v>
      </c>
    </row>
    <row r="11" ht="15.75" customHeight="1">
      <c r="A11" s="11">
        <v>10.0</v>
      </c>
      <c r="B11" s="12" t="s">
        <v>29</v>
      </c>
      <c r="C11" s="13">
        <v>3854.0</v>
      </c>
      <c r="D11" s="13">
        <v>1599.0</v>
      </c>
    </row>
    <row r="12" ht="15.75" customHeight="1">
      <c r="A12" s="11">
        <v>11.0</v>
      </c>
      <c r="B12" s="12" t="s">
        <v>31</v>
      </c>
      <c r="C12" s="32">
        <v>277058.0</v>
      </c>
      <c r="D12" s="33">
        <v>98059.0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75"/>
    <col customWidth="1" min="3" max="6" width="12.63"/>
    <col customWidth="1" min="11" max="11" width="19.25"/>
  </cols>
  <sheetData>
    <row r="1" ht="15.75" customHeight="1">
      <c r="A1" s="34" t="s">
        <v>360</v>
      </c>
      <c r="B1" s="34" t="s">
        <v>361</v>
      </c>
      <c r="C1" s="35" t="s">
        <v>362</v>
      </c>
      <c r="D1" s="35" t="s">
        <v>363</v>
      </c>
      <c r="E1" s="36" t="s">
        <v>364</v>
      </c>
      <c r="F1" s="36" t="s">
        <v>365</v>
      </c>
      <c r="G1" s="37" t="s">
        <v>366</v>
      </c>
      <c r="H1" s="37" t="s">
        <v>367</v>
      </c>
      <c r="I1" s="38" t="s">
        <v>368</v>
      </c>
      <c r="J1" s="38" t="s">
        <v>369</v>
      </c>
      <c r="K1" s="39" t="s">
        <v>370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51.75" customHeight="1">
      <c r="A2" s="40">
        <v>8.0</v>
      </c>
      <c r="B2" s="41" t="s">
        <v>371</v>
      </c>
      <c r="C2" s="40">
        <v>0.0</v>
      </c>
      <c r="D2" s="40">
        <v>10.0</v>
      </c>
      <c r="E2" s="40">
        <v>10.0</v>
      </c>
      <c r="F2" s="40">
        <v>12.5</v>
      </c>
      <c r="G2" s="40">
        <v>12.5</v>
      </c>
      <c r="H2" s="40">
        <v>15.0</v>
      </c>
      <c r="I2" s="40">
        <v>15.0</v>
      </c>
      <c r="J2" s="40">
        <v>100.0</v>
      </c>
      <c r="K2" s="42" t="s">
        <v>372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5.75" customHeight="1">
      <c r="C3" s="17"/>
      <c r="D3" s="17"/>
      <c r="E3" s="17"/>
      <c r="F3" s="17"/>
      <c r="G3" s="17"/>
      <c r="H3" s="17"/>
      <c r="I3" s="17"/>
      <c r="J3" s="17"/>
    </row>
    <row r="4" ht="15.75" customHeight="1">
      <c r="C4" s="17"/>
      <c r="D4" s="17"/>
      <c r="E4" s="17"/>
      <c r="F4" s="17"/>
      <c r="G4" s="17"/>
      <c r="H4" s="17"/>
      <c r="I4" s="17"/>
      <c r="J4" s="17"/>
    </row>
    <row r="5" ht="15.75" customHeight="1">
      <c r="C5" s="17"/>
      <c r="D5" s="17"/>
      <c r="E5" s="17"/>
      <c r="F5" s="17"/>
      <c r="G5" s="17"/>
      <c r="H5" s="17"/>
      <c r="I5" s="17"/>
      <c r="J5" s="17"/>
    </row>
    <row r="6" ht="15.75" customHeight="1">
      <c r="C6" s="17"/>
      <c r="D6" s="17"/>
      <c r="E6" s="17"/>
      <c r="F6" s="17"/>
      <c r="G6" s="17"/>
      <c r="H6" s="17"/>
      <c r="I6" s="17"/>
      <c r="J6" s="17"/>
    </row>
    <row r="7" ht="15.75" customHeight="1">
      <c r="C7" s="17"/>
      <c r="D7" s="17"/>
      <c r="E7" s="17"/>
      <c r="F7" s="17"/>
      <c r="G7" s="17"/>
      <c r="H7" s="17"/>
      <c r="I7" s="17"/>
      <c r="J7" s="17"/>
    </row>
    <row r="8" ht="15.75" customHeight="1">
      <c r="C8" s="17"/>
      <c r="D8" s="17"/>
      <c r="E8" s="17"/>
      <c r="F8" s="17"/>
      <c r="G8" s="17"/>
      <c r="H8" s="17"/>
      <c r="I8" s="17"/>
      <c r="J8" s="17"/>
    </row>
    <row r="9" ht="15.75" customHeight="1">
      <c r="C9" s="17"/>
      <c r="D9" s="17"/>
      <c r="E9" s="17"/>
      <c r="F9" s="17"/>
      <c r="G9" s="17"/>
      <c r="H9" s="17"/>
      <c r="I9" s="17"/>
      <c r="J9" s="17"/>
    </row>
    <row r="10" ht="15.75" customHeight="1">
      <c r="C10" s="17"/>
      <c r="D10" s="17"/>
      <c r="E10" s="17"/>
      <c r="F10" s="17"/>
      <c r="G10" s="17"/>
      <c r="H10" s="17"/>
      <c r="I10" s="17"/>
      <c r="J10" s="17"/>
    </row>
    <row r="11" ht="15.75" customHeight="1">
      <c r="C11" s="17"/>
      <c r="D11" s="17"/>
      <c r="E11" s="17"/>
      <c r="F11" s="17"/>
      <c r="G11" s="17"/>
      <c r="H11" s="17"/>
      <c r="I11" s="17"/>
      <c r="J11" s="17"/>
    </row>
    <row r="12" ht="15.75" customHeight="1">
      <c r="C12" s="17"/>
      <c r="D12" s="17"/>
      <c r="E12" s="17"/>
      <c r="F12" s="17"/>
      <c r="G12" s="17"/>
      <c r="H12" s="17"/>
      <c r="I12" s="17"/>
      <c r="J12" s="17"/>
    </row>
    <row r="13" ht="15.75" customHeight="1">
      <c r="C13" s="17"/>
      <c r="D13" s="17"/>
      <c r="E13" s="17"/>
      <c r="F13" s="17"/>
      <c r="G13" s="17"/>
      <c r="H13" s="17"/>
      <c r="I13" s="17"/>
      <c r="J13" s="17"/>
    </row>
    <row r="14" ht="15.75" customHeight="1">
      <c r="C14" s="17"/>
      <c r="D14" s="17"/>
      <c r="E14" s="17"/>
      <c r="F14" s="17"/>
      <c r="G14" s="17"/>
      <c r="H14" s="17"/>
      <c r="I14" s="17"/>
      <c r="J14" s="17"/>
    </row>
    <row r="15" ht="15.75" customHeight="1">
      <c r="C15" s="17"/>
      <c r="D15" s="17"/>
      <c r="E15" s="17"/>
      <c r="F15" s="17"/>
      <c r="G15" s="17"/>
      <c r="H15" s="17"/>
      <c r="I15" s="17"/>
      <c r="J15" s="17"/>
    </row>
    <row r="16" ht="15.75" customHeight="1">
      <c r="C16" s="17"/>
      <c r="D16" s="17"/>
      <c r="E16" s="17"/>
      <c r="F16" s="17"/>
      <c r="G16" s="17"/>
      <c r="H16" s="17"/>
      <c r="I16" s="17"/>
      <c r="J16" s="17"/>
    </row>
    <row r="17" ht="15.75" customHeight="1">
      <c r="C17" s="17"/>
      <c r="D17" s="17"/>
      <c r="E17" s="17"/>
      <c r="F17" s="17"/>
      <c r="G17" s="17"/>
      <c r="H17" s="17"/>
      <c r="I17" s="17"/>
      <c r="J17" s="17"/>
    </row>
    <row r="18" ht="15.75" customHeight="1">
      <c r="C18" s="17"/>
      <c r="D18" s="17"/>
      <c r="E18" s="17"/>
      <c r="F18" s="17"/>
      <c r="G18" s="17"/>
      <c r="H18" s="17"/>
      <c r="I18" s="17"/>
      <c r="J18" s="17"/>
    </row>
    <row r="19" ht="15.75" customHeight="1">
      <c r="C19" s="17"/>
      <c r="D19" s="17"/>
      <c r="E19" s="17"/>
      <c r="F19" s="17"/>
      <c r="G19" s="17"/>
      <c r="H19" s="17"/>
      <c r="I19" s="17"/>
      <c r="J19" s="17"/>
    </row>
    <row r="20" ht="15.75" customHeight="1">
      <c r="C20" s="17"/>
      <c r="D20" s="17"/>
      <c r="E20" s="17"/>
      <c r="F20" s="17"/>
      <c r="G20" s="17"/>
      <c r="H20" s="17"/>
      <c r="I20" s="17"/>
      <c r="J20" s="17"/>
    </row>
    <row r="21" ht="15.75" customHeight="1">
      <c r="C21" s="17"/>
      <c r="D21" s="17"/>
      <c r="E21" s="17"/>
      <c r="F21" s="17"/>
      <c r="G21" s="17"/>
      <c r="H21" s="17"/>
      <c r="I21" s="17"/>
      <c r="J21" s="17"/>
    </row>
    <row r="22" ht="15.75" customHeight="1">
      <c r="C22" s="17"/>
      <c r="D22" s="17"/>
      <c r="E22" s="17"/>
      <c r="F22" s="17"/>
      <c r="G22" s="17"/>
      <c r="H22" s="17"/>
      <c r="I22" s="17"/>
      <c r="J22" s="17"/>
    </row>
    <row r="23" ht="15.75" customHeight="1">
      <c r="C23" s="17"/>
      <c r="D23" s="17"/>
      <c r="E23" s="17"/>
      <c r="F23" s="17"/>
      <c r="G23" s="17"/>
      <c r="H23" s="17"/>
      <c r="I23" s="17"/>
      <c r="J23" s="17"/>
    </row>
    <row r="24" ht="15.75" customHeight="1">
      <c r="C24" s="17"/>
      <c r="D24" s="17"/>
      <c r="E24" s="17"/>
      <c r="F24" s="17"/>
      <c r="G24" s="17"/>
      <c r="H24" s="17"/>
      <c r="I24" s="17"/>
      <c r="J24" s="17"/>
    </row>
    <row r="25" ht="15.75" customHeight="1">
      <c r="C25" s="17"/>
      <c r="D25" s="17"/>
      <c r="E25" s="17"/>
      <c r="F25" s="17"/>
      <c r="G25" s="17"/>
      <c r="H25" s="17"/>
      <c r="I25" s="17"/>
      <c r="J25" s="17"/>
    </row>
    <row r="26" ht="15.75" customHeight="1">
      <c r="C26" s="17"/>
      <c r="D26" s="17"/>
      <c r="E26" s="17"/>
      <c r="F26" s="17"/>
      <c r="G26" s="17"/>
      <c r="H26" s="17"/>
      <c r="I26" s="17"/>
      <c r="J26" s="17"/>
    </row>
    <row r="27" ht="15.75" customHeight="1">
      <c r="C27" s="17"/>
      <c r="D27" s="17"/>
      <c r="E27" s="17"/>
      <c r="F27" s="17"/>
      <c r="G27" s="17"/>
      <c r="H27" s="17"/>
      <c r="I27" s="17"/>
      <c r="J27" s="17"/>
    </row>
    <row r="28" ht="15.75" customHeight="1">
      <c r="C28" s="17"/>
      <c r="D28" s="17"/>
      <c r="E28" s="17"/>
      <c r="F28" s="17"/>
      <c r="G28" s="17"/>
      <c r="H28" s="17"/>
      <c r="I28" s="17"/>
      <c r="J28" s="17"/>
    </row>
    <row r="29" ht="15.75" customHeight="1">
      <c r="C29" s="17"/>
      <c r="D29" s="17"/>
      <c r="E29" s="17"/>
      <c r="F29" s="17"/>
      <c r="G29" s="17"/>
      <c r="H29" s="17"/>
      <c r="I29" s="17"/>
      <c r="J29" s="17"/>
    </row>
    <row r="30" ht="15.75" customHeight="1">
      <c r="C30" s="17"/>
      <c r="D30" s="17"/>
      <c r="E30" s="17"/>
      <c r="F30" s="17"/>
      <c r="G30" s="17"/>
      <c r="H30" s="17"/>
      <c r="I30" s="17"/>
      <c r="J30" s="17"/>
    </row>
    <row r="31" ht="15.75" customHeight="1">
      <c r="C31" s="17"/>
      <c r="D31" s="17"/>
      <c r="E31" s="17"/>
      <c r="F31" s="17"/>
      <c r="G31" s="17"/>
      <c r="H31" s="17"/>
      <c r="I31" s="17"/>
      <c r="J31" s="17"/>
    </row>
    <row r="32" ht="15.75" customHeight="1">
      <c r="C32" s="17"/>
      <c r="D32" s="17"/>
      <c r="E32" s="17"/>
      <c r="F32" s="17"/>
      <c r="G32" s="17"/>
      <c r="H32" s="17"/>
      <c r="I32" s="17"/>
      <c r="J32" s="17"/>
    </row>
    <row r="33" ht="15.75" customHeight="1">
      <c r="C33" s="17"/>
      <c r="D33" s="17"/>
      <c r="E33" s="17"/>
      <c r="F33" s="17"/>
      <c r="G33" s="17"/>
      <c r="H33" s="17"/>
      <c r="I33" s="17"/>
      <c r="J33" s="17"/>
    </row>
    <row r="34" ht="15.75" customHeight="1">
      <c r="C34" s="17"/>
      <c r="D34" s="17"/>
      <c r="E34" s="17"/>
      <c r="F34" s="17"/>
      <c r="G34" s="17"/>
      <c r="H34" s="17"/>
      <c r="I34" s="17"/>
      <c r="J34" s="17"/>
    </row>
    <row r="35" ht="15.75" customHeight="1">
      <c r="C35" s="17"/>
      <c r="D35" s="17"/>
      <c r="E35" s="17"/>
      <c r="F35" s="17"/>
      <c r="G35" s="17"/>
      <c r="H35" s="17"/>
      <c r="I35" s="17"/>
      <c r="J35" s="17"/>
    </row>
    <row r="36" ht="15.75" customHeight="1">
      <c r="C36" s="17"/>
      <c r="D36" s="17"/>
      <c r="E36" s="17"/>
      <c r="F36" s="17"/>
      <c r="G36" s="17"/>
      <c r="H36" s="17"/>
      <c r="I36" s="17"/>
      <c r="J36" s="17"/>
    </row>
    <row r="37" ht="15.75" customHeight="1">
      <c r="C37" s="17"/>
      <c r="D37" s="17"/>
      <c r="E37" s="17"/>
      <c r="F37" s="17"/>
      <c r="G37" s="17"/>
      <c r="H37" s="17"/>
      <c r="I37" s="17"/>
      <c r="J37" s="17"/>
    </row>
    <row r="38" ht="15.75" customHeight="1">
      <c r="C38" s="17"/>
      <c r="D38" s="17"/>
      <c r="E38" s="17"/>
      <c r="F38" s="17"/>
      <c r="G38" s="17"/>
      <c r="H38" s="17"/>
      <c r="I38" s="17"/>
      <c r="J38" s="17"/>
    </row>
    <row r="39" ht="15.75" customHeight="1">
      <c r="C39" s="17"/>
      <c r="D39" s="17"/>
      <c r="E39" s="17"/>
      <c r="F39" s="17"/>
      <c r="G39" s="17"/>
      <c r="H39" s="17"/>
      <c r="I39" s="17"/>
      <c r="J39" s="17"/>
    </row>
    <row r="40" ht="15.75" customHeight="1">
      <c r="C40" s="17"/>
      <c r="D40" s="17"/>
      <c r="E40" s="17"/>
      <c r="F40" s="17"/>
      <c r="G40" s="17"/>
      <c r="H40" s="17"/>
      <c r="I40" s="17"/>
      <c r="J40" s="17"/>
    </row>
    <row r="41" ht="15.75" customHeight="1">
      <c r="C41" s="17"/>
      <c r="D41" s="17"/>
      <c r="E41" s="17"/>
      <c r="F41" s="17"/>
      <c r="G41" s="17"/>
      <c r="H41" s="17"/>
      <c r="I41" s="17"/>
      <c r="J41" s="17"/>
    </row>
    <row r="42" ht="15.75" customHeight="1">
      <c r="C42" s="17"/>
      <c r="D42" s="17"/>
      <c r="E42" s="17"/>
      <c r="F42" s="17"/>
      <c r="G42" s="17"/>
      <c r="H42" s="17"/>
      <c r="I42" s="17"/>
      <c r="J42" s="17"/>
    </row>
    <row r="43" ht="15.75" customHeight="1">
      <c r="C43" s="17"/>
      <c r="D43" s="17"/>
      <c r="E43" s="17"/>
      <c r="F43" s="17"/>
      <c r="G43" s="17"/>
      <c r="H43" s="17"/>
      <c r="I43" s="17"/>
      <c r="J43" s="17"/>
    </row>
    <row r="44" ht="15.75" customHeight="1">
      <c r="C44" s="17"/>
      <c r="D44" s="17"/>
      <c r="E44" s="17"/>
      <c r="F44" s="17"/>
      <c r="G44" s="17"/>
      <c r="H44" s="17"/>
      <c r="I44" s="17"/>
      <c r="J44" s="17"/>
    </row>
    <row r="45" ht="15.75" customHeight="1">
      <c r="C45" s="17"/>
      <c r="D45" s="17"/>
      <c r="E45" s="17"/>
      <c r="F45" s="17"/>
      <c r="G45" s="17"/>
      <c r="H45" s="17"/>
      <c r="I45" s="17"/>
      <c r="J45" s="17"/>
    </row>
    <row r="46" ht="15.75" customHeight="1">
      <c r="C46" s="17"/>
      <c r="D46" s="17"/>
      <c r="E46" s="17"/>
      <c r="F46" s="17"/>
      <c r="G46" s="17"/>
      <c r="H46" s="17"/>
      <c r="I46" s="17"/>
      <c r="J46" s="17"/>
    </row>
    <row r="47" ht="15.75" customHeight="1">
      <c r="C47" s="17"/>
      <c r="D47" s="17"/>
      <c r="E47" s="17"/>
      <c r="F47" s="17"/>
      <c r="G47" s="17"/>
      <c r="H47" s="17"/>
      <c r="I47" s="17"/>
      <c r="J47" s="17"/>
    </row>
    <row r="48" ht="15.75" customHeight="1">
      <c r="C48" s="17"/>
      <c r="D48" s="17"/>
      <c r="E48" s="17"/>
      <c r="F48" s="17"/>
      <c r="G48" s="17"/>
      <c r="H48" s="17"/>
      <c r="I48" s="17"/>
      <c r="J48" s="17"/>
    </row>
    <row r="49" ht="15.75" customHeight="1">
      <c r="C49" s="17"/>
      <c r="D49" s="17"/>
      <c r="E49" s="17"/>
      <c r="F49" s="17"/>
      <c r="G49" s="17"/>
      <c r="H49" s="17"/>
      <c r="I49" s="17"/>
      <c r="J49" s="17"/>
    </row>
    <row r="50" ht="15.75" customHeight="1">
      <c r="C50" s="17"/>
      <c r="D50" s="17"/>
      <c r="E50" s="17"/>
      <c r="F50" s="17"/>
      <c r="G50" s="17"/>
      <c r="H50" s="17"/>
      <c r="I50" s="17"/>
      <c r="J50" s="17"/>
    </row>
    <row r="51" ht="15.75" customHeight="1">
      <c r="C51" s="17"/>
      <c r="D51" s="17"/>
      <c r="E51" s="17"/>
      <c r="F51" s="17"/>
      <c r="G51" s="17"/>
      <c r="H51" s="17"/>
      <c r="I51" s="17"/>
      <c r="J51" s="17"/>
    </row>
    <row r="52" ht="15.75" customHeight="1">
      <c r="C52" s="17"/>
      <c r="D52" s="17"/>
      <c r="E52" s="17"/>
      <c r="F52" s="17"/>
      <c r="G52" s="17"/>
      <c r="H52" s="17"/>
      <c r="I52" s="17"/>
      <c r="J52" s="17"/>
    </row>
    <row r="53" ht="15.75" customHeight="1">
      <c r="C53" s="17"/>
      <c r="D53" s="17"/>
      <c r="E53" s="17"/>
      <c r="F53" s="17"/>
      <c r="G53" s="17"/>
      <c r="H53" s="17"/>
      <c r="I53" s="17"/>
      <c r="J53" s="17"/>
    </row>
    <row r="54" ht="15.75" customHeight="1">
      <c r="C54" s="17"/>
      <c r="D54" s="17"/>
      <c r="E54" s="17"/>
      <c r="F54" s="17"/>
      <c r="G54" s="17"/>
      <c r="H54" s="17"/>
      <c r="I54" s="17"/>
      <c r="J54" s="17"/>
    </row>
    <row r="55" ht="15.75" customHeight="1">
      <c r="C55" s="17"/>
      <c r="D55" s="17"/>
      <c r="E55" s="17"/>
      <c r="F55" s="17"/>
      <c r="G55" s="17"/>
      <c r="H55" s="17"/>
      <c r="I55" s="17"/>
      <c r="J55" s="17"/>
    </row>
    <row r="56" ht="15.75" customHeight="1">
      <c r="C56" s="17"/>
      <c r="D56" s="17"/>
      <c r="E56" s="17"/>
      <c r="F56" s="17"/>
      <c r="G56" s="17"/>
      <c r="H56" s="17"/>
      <c r="I56" s="17"/>
      <c r="J56" s="17"/>
    </row>
    <row r="57" ht="15.75" customHeight="1">
      <c r="C57" s="17"/>
      <c r="D57" s="17"/>
      <c r="E57" s="17"/>
      <c r="F57" s="17"/>
      <c r="G57" s="17"/>
      <c r="H57" s="17"/>
      <c r="I57" s="17"/>
      <c r="J57" s="17"/>
    </row>
    <row r="58" ht="15.75" customHeight="1">
      <c r="C58" s="17"/>
      <c r="D58" s="17"/>
      <c r="E58" s="17"/>
      <c r="F58" s="17"/>
      <c r="G58" s="17"/>
      <c r="H58" s="17"/>
      <c r="I58" s="17"/>
      <c r="J58" s="17"/>
    </row>
    <row r="59" ht="15.75" customHeight="1">
      <c r="C59" s="17"/>
      <c r="D59" s="17"/>
      <c r="E59" s="17"/>
      <c r="F59" s="17"/>
      <c r="G59" s="17"/>
      <c r="H59" s="17"/>
      <c r="I59" s="17"/>
      <c r="J59" s="17"/>
    </row>
    <row r="60" ht="15.75" customHeight="1">
      <c r="C60" s="17"/>
      <c r="D60" s="17"/>
      <c r="E60" s="17"/>
      <c r="F60" s="17"/>
      <c r="G60" s="17"/>
      <c r="H60" s="17"/>
      <c r="I60" s="17"/>
      <c r="J60" s="17"/>
    </row>
    <row r="61" ht="15.75" customHeight="1">
      <c r="C61" s="17"/>
      <c r="D61" s="17"/>
      <c r="E61" s="17"/>
      <c r="F61" s="17"/>
      <c r="G61" s="17"/>
      <c r="H61" s="17"/>
      <c r="I61" s="17"/>
      <c r="J61" s="17"/>
    </row>
    <row r="62" ht="15.75" customHeight="1">
      <c r="C62" s="17"/>
      <c r="D62" s="17"/>
      <c r="E62" s="17"/>
      <c r="F62" s="17"/>
      <c r="G62" s="17"/>
      <c r="H62" s="17"/>
      <c r="I62" s="17"/>
      <c r="J62" s="17"/>
    </row>
    <row r="63" ht="15.75" customHeight="1">
      <c r="C63" s="17"/>
      <c r="D63" s="17"/>
      <c r="E63" s="17"/>
      <c r="F63" s="17"/>
      <c r="G63" s="17"/>
      <c r="H63" s="17"/>
      <c r="I63" s="17"/>
      <c r="J63" s="17"/>
    </row>
    <row r="64" ht="15.75" customHeight="1">
      <c r="C64" s="17"/>
      <c r="D64" s="17"/>
      <c r="E64" s="17"/>
      <c r="F64" s="17"/>
      <c r="G64" s="17"/>
      <c r="H64" s="17"/>
      <c r="I64" s="17"/>
      <c r="J64" s="17"/>
    </row>
    <row r="65" ht="15.75" customHeight="1">
      <c r="C65" s="17"/>
      <c r="D65" s="17"/>
      <c r="E65" s="17"/>
      <c r="F65" s="17"/>
      <c r="G65" s="17"/>
      <c r="H65" s="17"/>
      <c r="I65" s="17"/>
      <c r="J65" s="17"/>
    </row>
    <row r="66" ht="15.75" customHeight="1">
      <c r="C66" s="17"/>
      <c r="D66" s="17"/>
      <c r="E66" s="17"/>
      <c r="F66" s="17"/>
      <c r="G66" s="17"/>
      <c r="H66" s="17"/>
      <c r="I66" s="17"/>
      <c r="J66" s="17"/>
    </row>
    <row r="67" ht="15.75" customHeight="1">
      <c r="C67" s="17"/>
      <c r="D67" s="17"/>
      <c r="E67" s="17"/>
      <c r="F67" s="17"/>
      <c r="G67" s="17"/>
      <c r="H67" s="17"/>
      <c r="I67" s="17"/>
      <c r="J67" s="17"/>
    </row>
    <row r="68" ht="15.75" customHeight="1">
      <c r="C68" s="17"/>
      <c r="D68" s="17"/>
      <c r="E68" s="17"/>
      <c r="F68" s="17"/>
      <c r="G68" s="17"/>
      <c r="H68" s="17"/>
      <c r="I68" s="17"/>
      <c r="J68" s="17"/>
    </row>
    <row r="69" ht="15.75" customHeight="1">
      <c r="C69" s="17"/>
      <c r="D69" s="17"/>
      <c r="E69" s="17"/>
      <c r="F69" s="17"/>
      <c r="G69" s="17"/>
      <c r="H69" s="17"/>
      <c r="I69" s="17"/>
      <c r="J69" s="17"/>
    </row>
    <row r="70" ht="15.75" customHeight="1">
      <c r="C70" s="17"/>
      <c r="D70" s="17"/>
      <c r="E70" s="17"/>
      <c r="F70" s="17"/>
      <c r="G70" s="17"/>
      <c r="H70" s="17"/>
      <c r="I70" s="17"/>
      <c r="J70" s="17"/>
    </row>
    <row r="71" ht="15.75" customHeight="1">
      <c r="C71" s="17"/>
      <c r="D71" s="17"/>
      <c r="E71" s="17"/>
      <c r="F71" s="17"/>
      <c r="G71" s="17"/>
      <c r="H71" s="17"/>
      <c r="I71" s="17"/>
      <c r="J71" s="17"/>
    </row>
    <row r="72" ht="15.75" customHeight="1">
      <c r="C72" s="17"/>
      <c r="D72" s="17"/>
      <c r="E72" s="17"/>
      <c r="F72" s="17"/>
      <c r="G72" s="17"/>
      <c r="H72" s="17"/>
      <c r="I72" s="17"/>
      <c r="J72" s="17"/>
    </row>
    <row r="73" ht="15.75" customHeight="1">
      <c r="C73" s="17"/>
      <c r="D73" s="17"/>
      <c r="E73" s="17"/>
      <c r="F73" s="17"/>
      <c r="G73" s="17"/>
      <c r="H73" s="17"/>
      <c r="I73" s="17"/>
      <c r="J73" s="17"/>
    </row>
    <row r="74" ht="15.75" customHeight="1">
      <c r="C74" s="17"/>
      <c r="D74" s="17"/>
      <c r="E74" s="17"/>
      <c r="F74" s="17"/>
      <c r="G74" s="17"/>
      <c r="H74" s="17"/>
      <c r="I74" s="17"/>
      <c r="J74" s="17"/>
    </row>
    <row r="75" ht="15.75" customHeight="1">
      <c r="C75" s="17"/>
      <c r="D75" s="17"/>
      <c r="E75" s="17"/>
      <c r="F75" s="17"/>
      <c r="G75" s="17"/>
      <c r="H75" s="17"/>
      <c r="I75" s="17"/>
      <c r="J75" s="17"/>
    </row>
    <row r="76" ht="15.75" customHeight="1">
      <c r="C76" s="17"/>
      <c r="D76" s="17"/>
      <c r="E76" s="17"/>
      <c r="F76" s="17"/>
      <c r="G76" s="17"/>
      <c r="H76" s="17"/>
      <c r="I76" s="17"/>
      <c r="J76" s="17"/>
    </row>
    <row r="77" ht="15.75" customHeight="1">
      <c r="C77" s="17"/>
      <c r="D77" s="17"/>
      <c r="E77" s="17"/>
      <c r="F77" s="17"/>
      <c r="G77" s="17"/>
      <c r="H77" s="17"/>
      <c r="I77" s="17"/>
      <c r="J77" s="17"/>
    </row>
    <row r="78" ht="15.75" customHeight="1">
      <c r="C78" s="17"/>
      <c r="D78" s="17"/>
      <c r="E78" s="17"/>
      <c r="F78" s="17"/>
      <c r="G78" s="17"/>
      <c r="H78" s="17"/>
      <c r="I78" s="17"/>
      <c r="J78" s="17"/>
    </row>
    <row r="79" ht="15.75" customHeight="1">
      <c r="C79" s="17"/>
      <c r="D79" s="17"/>
      <c r="E79" s="17"/>
      <c r="F79" s="17"/>
      <c r="G79" s="17"/>
      <c r="H79" s="17"/>
      <c r="I79" s="17"/>
      <c r="J79" s="17"/>
    </row>
    <row r="80" ht="15.75" customHeight="1">
      <c r="C80" s="17"/>
      <c r="D80" s="17"/>
      <c r="E80" s="17"/>
      <c r="F80" s="17"/>
      <c r="G80" s="17"/>
      <c r="H80" s="17"/>
      <c r="I80" s="17"/>
      <c r="J80" s="17"/>
    </row>
    <row r="81" ht="15.75" customHeight="1">
      <c r="C81" s="17"/>
      <c r="D81" s="17"/>
      <c r="E81" s="17"/>
      <c r="F81" s="17"/>
      <c r="G81" s="17"/>
      <c r="H81" s="17"/>
      <c r="I81" s="17"/>
      <c r="J81" s="17"/>
    </row>
    <row r="82" ht="15.75" customHeight="1">
      <c r="C82" s="17"/>
      <c r="D82" s="17"/>
      <c r="E82" s="17"/>
      <c r="F82" s="17"/>
      <c r="G82" s="17"/>
      <c r="H82" s="17"/>
      <c r="I82" s="17"/>
      <c r="J82" s="17"/>
    </row>
    <row r="83" ht="15.75" customHeight="1">
      <c r="C83" s="17"/>
      <c r="D83" s="17"/>
      <c r="E83" s="17"/>
      <c r="F83" s="17"/>
      <c r="G83" s="17"/>
      <c r="H83" s="17"/>
      <c r="I83" s="17"/>
      <c r="J83" s="17"/>
    </row>
    <row r="84" ht="15.75" customHeight="1">
      <c r="C84" s="17"/>
      <c r="D84" s="17"/>
      <c r="E84" s="17"/>
      <c r="F84" s="17"/>
      <c r="G84" s="17"/>
      <c r="H84" s="17"/>
      <c r="I84" s="17"/>
      <c r="J84" s="17"/>
    </row>
    <row r="85" ht="15.75" customHeight="1">
      <c r="C85" s="17"/>
      <c r="D85" s="17"/>
      <c r="E85" s="17"/>
      <c r="F85" s="17"/>
      <c r="G85" s="17"/>
      <c r="H85" s="17"/>
      <c r="I85" s="17"/>
      <c r="J85" s="17"/>
    </row>
    <row r="86" ht="15.75" customHeight="1">
      <c r="C86" s="17"/>
      <c r="D86" s="17"/>
      <c r="E86" s="17"/>
      <c r="F86" s="17"/>
      <c r="G86" s="17"/>
      <c r="H86" s="17"/>
      <c r="I86" s="17"/>
      <c r="J86" s="17"/>
    </row>
    <row r="87" ht="15.75" customHeight="1">
      <c r="C87" s="17"/>
      <c r="D87" s="17"/>
      <c r="E87" s="17"/>
      <c r="F87" s="17"/>
      <c r="G87" s="17"/>
      <c r="H87" s="17"/>
      <c r="I87" s="17"/>
      <c r="J87" s="17"/>
    </row>
    <row r="88" ht="15.75" customHeight="1">
      <c r="C88" s="17"/>
      <c r="D88" s="17"/>
      <c r="E88" s="17"/>
      <c r="F88" s="17"/>
      <c r="G88" s="17"/>
      <c r="H88" s="17"/>
      <c r="I88" s="17"/>
      <c r="J88" s="17"/>
    </row>
    <row r="89" ht="15.75" customHeight="1">
      <c r="C89" s="17"/>
      <c r="D89" s="17"/>
      <c r="E89" s="17"/>
      <c r="F89" s="17"/>
      <c r="G89" s="17"/>
      <c r="H89" s="17"/>
      <c r="I89" s="17"/>
      <c r="J89" s="17"/>
    </row>
    <row r="90" ht="15.75" customHeight="1">
      <c r="C90" s="17"/>
      <c r="D90" s="17"/>
      <c r="E90" s="17"/>
      <c r="F90" s="17"/>
      <c r="G90" s="17"/>
      <c r="H90" s="17"/>
      <c r="I90" s="17"/>
      <c r="J90" s="17"/>
    </row>
    <row r="91" ht="15.75" customHeight="1">
      <c r="C91" s="17"/>
      <c r="D91" s="17"/>
      <c r="E91" s="17"/>
      <c r="F91" s="17"/>
      <c r="G91" s="17"/>
      <c r="H91" s="17"/>
      <c r="I91" s="17"/>
      <c r="J91" s="17"/>
    </row>
    <row r="92" ht="15.75" customHeight="1">
      <c r="C92" s="17"/>
      <c r="D92" s="17"/>
      <c r="E92" s="17"/>
      <c r="F92" s="17"/>
      <c r="G92" s="17"/>
      <c r="H92" s="17"/>
      <c r="I92" s="17"/>
      <c r="J92" s="17"/>
    </row>
    <row r="93" ht="15.75" customHeight="1">
      <c r="C93" s="17"/>
      <c r="D93" s="17"/>
      <c r="E93" s="17"/>
      <c r="F93" s="17"/>
      <c r="G93" s="17"/>
      <c r="H93" s="17"/>
      <c r="I93" s="17"/>
      <c r="J93" s="17"/>
    </row>
    <row r="94" ht="15.75" customHeight="1">
      <c r="C94" s="17"/>
      <c r="D94" s="17"/>
      <c r="E94" s="17"/>
      <c r="F94" s="17"/>
      <c r="G94" s="17"/>
      <c r="H94" s="17"/>
      <c r="I94" s="17"/>
      <c r="J94" s="17"/>
    </row>
    <row r="95" ht="15.75" customHeight="1">
      <c r="C95" s="17"/>
      <c r="D95" s="17"/>
      <c r="E95" s="17"/>
      <c r="F95" s="17"/>
      <c r="G95" s="17"/>
      <c r="H95" s="17"/>
      <c r="I95" s="17"/>
      <c r="J95" s="17"/>
    </row>
    <row r="96" ht="15.75" customHeight="1">
      <c r="C96" s="17"/>
      <c r="D96" s="17"/>
      <c r="E96" s="17"/>
      <c r="F96" s="17"/>
      <c r="G96" s="17"/>
      <c r="H96" s="17"/>
      <c r="I96" s="17"/>
      <c r="J96" s="17"/>
    </row>
    <row r="97" ht="15.75" customHeight="1">
      <c r="C97" s="17"/>
      <c r="D97" s="17"/>
      <c r="E97" s="17"/>
      <c r="F97" s="17"/>
      <c r="G97" s="17"/>
      <c r="H97" s="17"/>
      <c r="I97" s="17"/>
      <c r="J97" s="17"/>
    </row>
    <row r="98" ht="15.75" customHeight="1">
      <c r="C98" s="17"/>
      <c r="D98" s="17"/>
      <c r="E98" s="17"/>
      <c r="F98" s="17"/>
      <c r="G98" s="17"/>
      <c r="H98" s="17"/>
      <c r="I98" s="17"/>
      <c r="J98" s="17"/>
    </row>
    <row r="99" ht="15.75" customHeight="1">
      <c r="C99" s="17"/>
      <c r="D99" s="17"/>
      <c r="E99" s="17"/>
      <c r="F99" s="17"/>
      <c r="G99" s="17"/>
      <c r="H99" s="17"/>
      <c r="I99" s="17"/>
      <c r="J99" s="17"/>
    </row>
    <row r="100" ht="15.75" customHeight="1">
      <c r="C100" s="17"/>
      <c r="D100" s="17"/>
      <c r="E100" s="17"/>
      <c r="F100" s="17"/>
      <c r="G100" s="17"/>
      <c r="H100" s="17"/>
      <c r="I100" s="17"/>
      <c r="J100" s="17"/>
    </row>
    <row r="101" ht="15.75" customHeight="1">
      <c r="C101" s="17"/>
      <c r="D101" s="17"/>
      <c r="E101" s="17"/>
      <c r="F101" s="17"/>
      <c r="G101" s="17"/>
      <c r="H101" s="17"/>
      <c r="I101" s="17"/>
      <c r="J101" s="17"/>
    </row>
    <row r="102" ht="15.75" customHeight="1">
      <c r="C102" s="17"/>
      <c r="D102" s="17"/>
      <c r="E102" s="17"/>
      <c r="F102" s="17"/>
      <c r="G102" s="17"/>
      <c r="H102" s="17"/>
      <c r="I102" s="17"/>
      <c r="J102" s="17"/>
    </row>
    <row r="103" ht="15.75" customHeight="1">
      <c r="C103" s="17"/>
      <c r="D103" s="17"/>
      <c r="E103" s="17"/>
      <c r="F103" s="17"/>
      <c r="G103" s="17"/>
      <c r="H103" s="17"/>
      <c r="I103" s="17"/>
      <c r="J103" s="17"/>
    </row>
    <row r="104" ht="15.75" customHeight="1">
      <c r="C104" s="17"/>
      <c r="D104" s="17"/>
      <c r="E104" s="17"/>
      <c r="F104" s="17"/>
      <c r="G104" s="17"/>
      <c r="H104" s="17"/>
      <c r="I104" s="17"/>
      <c r="J104" s="17"/>
    </row>
    <row r="105" ht="15.75" customHeight="1">
      <c r="C105" s="17"/>
      <c r="D105" s="17"/>
      <c r="E105" s="17"/>
      <c r="F105" s="17"/>
      <c r="G105" s="17"/>
      <c r="H105" s="17"/>
      <c r="I105" s="17"/>
      <c r="J105" s="17"/>
    </row>
    <row r="106" ht="15.75" customHeight="1">
      <c r="C106" s="17"/>
      <c r="D106" s="17"/>
      <c r="E106" s="17"/>
      <c r="F106" s="17"/>
      <c r="G106" s="17"/>
      <c r="H106" s="17"/>
      <c r="I106" s="17"/>
      <c r="J106" s="17"/>
    </row>
    <row r="107" ht="15.75" customHeight="1">
      <c r="C107" s="17"/>
      <c r="D107" s="17"/>
      <c r="E107" s="17"/>
      <c r="F107" s="17"/>
      <c r="G107" s="17"/>
      <c r="H107" s="17"/>
      <c r="I107" s="17"/>
      <c r="J107" s="17"/>
    </row>
    <row r="108" ht="15.75" customHeight="1">
      <c r="C108" s="17"/>
      <c r="D108" s="17"/>
      <c r="E108" s="17"/>
      <c r="F108" s="17"/>
      <c r="G108" s="17"/>
      <c r="H108" s="17"/>
      <c r="I108" s="17"/>
      <c r="J108" s="17"/>
    </row>
    <row r="109" ht="15.75" customHeight="1">
      <c r="C109" s="17"/>
      <c r="D109" s="17"/>
      <c r="E109" s="17"/>
      <c r="F109" s="17"/>
      <c r="G109" s="17"/>
      <c r="H109" s="17"/>
      <c r="I109" s="17"/>
      <c r="J109" s="17"/>
    </row>
    <row r="110" ht="15.75" customHeight="1">
      <c r="C110" s="17"/>
      <c r="D110" s="17"/>
      <c r="E110" s="17"/>
      <c r="F110" s="17"/>
      <c r="G110" s="17"/>
      <c r="H110" s="17"/>
      <c r="I110" s="17"/>
      <c r="J110" s="17"/>
    </row>
    <row r="111" ht="15.75" customHeight="1">
      <c r="C111" s="17"/>
      <c r="D111" s="17"/>
      <c r="E111" s="17"/>
      <c r="F111" s="17"/>
      <c r="G111" s="17"/>
      <c r="H111" s="17"/>
      <c r="I111" s="17"/>
      <c r="J111" s="17"/>
    </row>
    <row r="112" ht="15.75" customHeight="1">
      <c r="C112" s="17"/>
      <c r="D112" s="17"/>
      <c r="E112" s="17"/>
      <c r="F112" s="17"/>
      <c r="G112" s="17"/>
      <c r="H112" s="17"/>
      <c r="I112" s="17"/>
      <c r="J112" s="17"/>
    </row>
    <row r="113" ht="15.75" customHeight="1">
      <c r="C113" s="17"/>
      <c r="D113" s="17"/>
      <c r="E113" s="17"/>
      <c r="F113" s="17"/>
      <c r="G113" s="17"/>
      <c r="H113" s="17"/>
      <c r="I113" s="17"/>
      <c r="J113" s="17"/>
    </row>
    <row r="114" ht="15.75" customHeight="1">
      <c r="C114" s="17"/>
      <c r="D114" s="17"/>
      <c r="E114" s="17"/>
      <c r="F114" s="17"/>
      <c r="G114" s="17"/>
      <c r="H114" s="17"/>
      <c r="I114" s="17"/>
      <c r="J114" s="17"/>
    </row>
    <row r="115" ht="15.75" customHeight="1">
      <c r="C115" s="17"/>
      <c r="D115" s="17"/>
      <c r="E115" s="17"/>
      <c r="F115" s="17"/>
      <c r="G115" s="17"/>
      <c r="H115" s="17"/>
      <c r="I115" s="17"/>
      <c r="J115" s="17"/>
    </row>
    <row r="116" ht="15.75" customHeight="1">
      <c r="C116" s="17"/>
      <c r="D116" s="17"/>
      <c r="E116" s="17"/>
      <c r="F116" s="17"/>
      <c r="G116" s="17"/>
      <c r="H116" s="17"/>
      <c r="I116" s="17"/>
      <c r="J116" s="17"/>
    </row>
    <row r="117" ht="15.75" customHeight="1">
      <c r="C117" s="17"/>
      <c r="D117" s="17"/>
      <c r="E117" s="17"/>
      <c r="F117" s="17"/>
      <c r="G117" s="17"/>
      <c r="H117" s="17"/>
      <c r="I117" s="17"/>
      <c r="J117" s="17"/>
    </row>
    <row r="118" ht="15.75" customHeight="1">
      <c r="C118" s="17"/>
      <c r="D118" s="17"/>
      <c r="E118" s="17"/>
      <c r="F118" s="17"/>
      <c r="G118" s="17"/>
      <c r="H118" s="17"/>
      <c r="I118" s="17"/>
      <c r="J118" s="17"/>
    </row>
    <row r="119" ht="15.75" customHeight="1">
      <c r="C119" s="17"/>
      <c r="D119" s="17"/>
      <c r="E119" s="17"/>
      <c r="F119" s="17"/>
      <c r="G119" s="17"/>
      <c r="H119" s="17"/>
      <c r="I119" s="17"/>
      <c r="J119" s="17"/>
    </row>
    <row r="120" ht="15.75" customHeight="1">
      <c r="C120" s="17"/>
      <c r="D120" s="17"/>
      <c r="E120" s="17"/>
      <c r="F120" s="17"/>
      <c r="G120" s="17"/>
      <c r="H120" s="17"/>
      <c r="I120" s="17"/>
      <c r="J120" s="17"/>
    </row>
    <row r="121" ht="15.75" customHeight="1">
      <c r="C121" s="17"/>
      <c r="D121" s="17"/>
      <c r="E121" s="17"/>
      <c r="F121" s="17"/>
      <c r="G121" s="17"/>
      <c r="H121" s="17"/>
      <c r="I121" s="17"/>
      <c r="J121" s="17"/>
    </row>
    <row r="122" ht="15.75" customHeight="1">
      <c r="C122" s="17"/>
      <c r="D122" s="17"/>
      <c r="E122" s="17"/>
      <c r="F122" s="17"/>
      <c r="G122" s="17"/>
      <c r="H122" s="17"/>
      <c r="I122" s="17"/>
      <c r="J122" s="17"/>
    </row>
    <row r="123" ht="15.75" customHeight="1">
      <c r="C123" s="17"/>
      <c r="D123" s="17"/>
      <c r="E123" s="17"/>
      <c r="F123" s="17"/>
      <c r="G123" s="17"/>
      <c r="H123" s="17"/>
      <c r="I123" s="17"/>
      <c r="J123" s="17"/>
    </row>
    <row r="124" ht="15.75" customHeight="1">
      <c r="C124" s="17"/>
      <c r="D124" s="17"/>
      <c r="E124" s="17"/>
      <c r="F124" s="17"/>
      <c r="G124" s="17"/>
      <c r="H124" s="17"/>
      <c r="I124" s="17"/>
      <c r="J124" s="17"/>
    </row>
    <row r="125" ht="15.75" customHeight="1">
      <c r="C125" s="17"/>
      <c r="D125" s="17"/>
      <c r="E125" s="17"/>
      <c r="F125" s="17"/>
      <c r="G125" s="17"/>
      <c r="H125" s="17"/>
      <c r="I125" s="17"/>
      <c r="J125" s="17"/>
    </row>
    <row r="126" ht="15.75" customHeight="1">
      <c r="C126" s="17"/>
      <c r="D126" s="17"/>
      <c r="E126" s="17"/>
      <c r="F126" s="17"/>
      <c r="G126" s="17"/>
      <c r="H126" s="17"/>
      <c r="I126" s="17"/>
      <c r="J126" s="17"/>
    </row>
    <row r="127" ht="15.75" customHeight="1">
      <c r="C127" s="17"/>
      <c r="D127" s="17"/>
      <c r="E127" s="17"/>
      <c r="F127" s="17"/>
      <c r="G127" s="17"/>
      <c r="H127" s="17"/>
      <c r="I127" s="17"/>
      <c r="J127" s="17"/>
    </row>
    <row r="128" ht="15.75" customHeight="1">
      <c r="C128" s="17"/>
      <c r="D128" s="17"/>
      <c r="E128" s="17"/>
      <c r="F128" s="17"/>
      <c r="G128" s="17"/>
      <c r="H128" s="17"/>
      <c r="I128" s="17"/>
      <c r="J128" s="17"/>
    </row>
    <row r="129" ht="15.75" customHeight="1">
      <c r="C129" s="17"/>
      <c r="D129" s="17"/>
      <c r="E129" s="17"/>
      <c r="F129" s="17"/>
      <c r="G129" s="17"/>
      <c r="H129" s="17"/>
      <c r="I129" s="17"/>
      <c r="J129" s="17"/>
    </row>
    <row r="130" ht="15.75" customHeight="1">
      <c r="C130" s="17"/>
      <c r="D130" s="17"/>
      <c r="E130" s="17"/>
      <c r="F130" s="17"/>
      <c r="G130" s="17"/>
      <c r="H130" s="17"/>
      <c r="I130" s="17"/>
      <c r="J130" s="17"/>
    </row>
    <row r="131" ht="15.75" customHeight="1">
      <c r="C131" s="17"/>
      <c r="D131" s="17"/>
      <c r="E131" s="17"/>
      <c r="F131" s="17"/>
      <c r="G131" s="17"/>
      <c r="H131" s="17"/>
      <c r="I131" s="17"/>
      <c r="J131" s="17"/>
    </row>
    <row r="132" ht="15.75" customHeight="1">
      <c r="C132" s="17"/>
      <c r="D132" s="17"/>
      <c r="E132" s="17"/>
      <c r="F132" s="17"/>
      <c r="G132" s="17"/>
      <c r="H132" s="17"/>
      <c r="I132" s="17"/>
      <c r="J132" s="17"/>
    </row>
    <row r="133" ht="15.75" customHeight="1">
      <c r="C133" s="17"/>
      <c r="D133" s="17"/>
      <c r="E133" s="17"/>
      <c r="F133" s="17"/>
      <c r="G133" s="17"/>
      <c r="H133" s="17"/>
      <c r="I133" s="17"/>
      <c r="J133" s="17"/>
    </row>
    <row r="134" ht="15.75" customHeight="1">
      <c r="C134" s="17"/>
      <c r="D134" s="17"/>
      <c r="E134" s="17"/>
      <c r="F134" s="17"/>
      <c r="G134" s="17"/>
      <c r="H134" s="17"/>
      <c r="I134" s="17"/>
      <c r="J134" s="17"/>
    </row>
    <row r="135" ht="15.75" customHeight="1">
      <c r="C135" s="17"/>
      <c r="D135" s="17"/>
      <c r="E135" s="17"/>
      <c r="F135" s="17"/>
      <c r="G135" s="17"/>
      <c r="H135" s="17"/>
      <c r="I135" s="17"/>
      <c r="J135" s="17"/>
    </row>
    <row r="136" ht="15.75" customHeight="1">
      <c r="C136" s="17"/>
      <c r="D136" s="17"/>
      <c r="E136" s="17"/>
      <c r="F136" s="17"/>
      <c r="G136" s="17"/>
      <c r="H136" s="17"/>
      <c r="I136" s="17"/>
      <c r="J136" s="17"/>
    </row>
    <row r="137" ht="15.75" customHeight="1">
      <c r="C137" s="17"/>
      <c r="D137" s="17"/>
      <c r="E137" s="17"/>
      <c r="F137" s="17"/>
      <c r="G137" s="17"/>
      <c r="H137" s="17"/>
      <c r="I137" s="17"/>
      <c r="J137" s="17"/>
    </row>
    <row r="138" ht="15.75" customHeight="1">
      <c r="C138" s="17"/>
      <c r="D138" s="17"/>
      <c r="E138" s="17"/>
      <c r="F138" s="17"/>
      <c r="G138" s="17"/>
      <c r="H138" s="17"/>
      <c r="I138" s="17"/>
      <c r="J138" s="17"/>
    </row>
    <row r="139" ht="15.75" customHeight="1">
      <c r="C139" s="17"/>
      <c r="D139" s="17"/>
      <c r="E139" s="17"/>
      <c r="F139" s="17"/>
      <c r="G139" s="17"/>
      <c r="H139" s="17"/>
      <c r="I139" s="17"/>
      <c r="J139" s="17"/>
    </row>
    <row r="140" ht="15.75" customHeight="1">
      <c r="C140" s="17"/>
      <c r="D140" s="17"/>
      <c r="E140" s="17"/>
      <c r="F140" s="17"/>
      <c r="G140" s="17"/>
      <c r="H140" s="17"/>
      <c r="I140" s="17"/>
      <c r="J140" s="17"/>
    </row>
    <row r="141" ht="15.75" customHeight="1">
      <c r="C141" s="17"/>
      <c r="D141" s="17"/>
      <c r="E141" s="17"/>
      <c r="F141" s="17"/>
      <c r="G141" s="17"/>
      <c r="H141" s="17"/>
      <c r="I141" s="17"/>
      <c r="J141" s="17"/>
    </row>
    <row r="142" ht="15.75" customHeight="1">
      <c r="C142" s="17"/>
      <c r="D142" s="17"/>
      <c r="E142" s="17"/>
      <c r="F142" s="17"/>
      <c r="G142" s="17"/>
      <c r="H142" s="17"/>
      <c r="I142" s="17"/>
      <c r="J142" s="17"/>
    </row>
    <row r="143" ht="15.75" customHeight="1">
      <c r="C143" s="17"/>
      <c r="D143" s="17"/>
      <c r="E143" s="17"/>
      <c r="F143" s="17"/>
      <c r="G143" s="17"/>
      <c r="H143" s="17"/>
      <c r="I143" s="17"/>
      <c r="J143" s="17"/>
    </row>
    <row r="144" ht="15.75" customHeight="1">
      <c r="C144" s="17"/>
      <c r="D144" s="17"/>
      <c r="E144" s="17"/>
      <c r="F144" s="17"/>
      <c r="G144" s="17"/>
      <c r="H144" s="17"/>
      <c r="I144" s="17"/>
      <c r="J144" s="17"/>
    </row>
    <row r="145" ht="15.75" customHeight="1">
      <c r="C145" s="17"/>
      <c r="D145" s="17"/>
      <c r="E145" s="17"/>
      <c r="F145" s="17"/>
      <c r="G145" s="17"/>
      <c r="H145" s="17"/>
      <c r="I145" s="17"/>
      <c r="J145" s="17"/>
    </row>
    <row r="146" ht="15.75" customHeight="1">
      <c r="C146" s="17"/>
      <c r="D146" s="17"/>
      <c r="E146" s="17"/>
      <c r="F146" s="17"/>
      <c r="G146" s="17"/>
      <c r="H146" s="17"/>
      <c r="I146" s="17"/>
      <c r="J146" s="17"/>
    </row>
    <row r="147" ht="15.75" customHeight="1">
      <c r="C147" s="17"/>
      <c r="D147" s="17"/>
      <c r="E147" s="17"/>
      <c r="F147" s="17"/>
      <c r="G147" s="17"/>
      <c r="H147" s="17"/>
      <c r="I147" s="17"/>
      <c r="J147" s="17"/>
    </row>
    <row r="148" ht="15.75" customHeight="1">
      <c r="C148" s="17"/>
      <c r="D148" s="17"/>
      <c r="E148" s="17"/>
      <c r="F148" s="17"/>
      <c r="G148" s="17"/>
      <c r="H148" s="17"/>
      <c r="I148" s="17"/>
      <c r="J148" s="17"/>
    </row>
    <row r="149" ht="15.75" customHeight="1">
      <c r="C149" s="17"/>
      <c r="D149" s="17"/>
      <c r="E149" s="17"/>
      <c r="F149" s="17"/>
      <c r="G149" s="17"/>
      <c r="H149" s="17"/>
      <c r="I149" s="17"/>
      <c r="J149" s="17"/>
    </row>
    <row r="150" ht="15.75" customHeight="1">
      <c r="C150" s="17"/>
      <c r="D150" s="17"/>
      <c r="E150" s="17"/>
      <c r="F150" s="17"/>
      <c r="G150" s="17"/>
      <c r="H150" s="17"/>
      <c r="I150" s="17"/>
      <c r="J150" s="17"/>
    </row>
    <row r="151" ht="15.75" customHeight="1">
      <c r="C151" s="17"/>
      <c r="D151" s="17"/>
      <c r="E151" s="17"/>
      <c r="F151" s="17"/>
      <c r="G151" s="17"/>
      <c r="H151" s="17"/>
      <c r="I151" s="17"/>
      <c r="J151" s="17"/>
    </row>
    <row r="152" ht="15.75" customHeight="1">
      <c r="C152" s="17"/>
      <c r="D152" s="17"/>
      <c r="E152" s="17"/>
      <c r="F152" s="17"/>
      <c r="G152" s="17"/>
      <c r="H152" s="17"/>
      <c r="I152" s="17"/>
      <c r="J152" s="17"/>
    </row>
    <row r="153" ht="15.75" customHeight="1">
      <c r="C153" s="17"/>
      <c r="D153" s="17"/>
      <c r="E153" s="17"/>
      <c r="F153" s="17"/>
      <c r="G153" s="17"/>
      <c r="H153" s="17"/>
      <c r="I153" s="17"/>
      <c r="J153" s="17"/>
    </row>
    <row r="154" ht="15.75" customHeight="1">
      <c r="C154" s="17"/>
      <c r="D154" s="17"/>
      <c r="E154" s="17"/>
      <c r="F154" s="17"/>
      <c r="G154" s="17"/>
      <c r="H154" s="17"/>
      <c r="I154" s="17"/>
      <c r="J154" s="17"/>
    </row>
    <row r="155" ht="15.75" customHeight="1">
      <c r="C155" s="17"/>
      <c r="D155" s="17"/>
      <c r="E155" s="17"/>
      <c r="F155" s="17"/>
      <c r="G155" s="17"/>
      <c r="H155" s="17"/>
      <c r="I155" s="17"/>
      <c r="J155" s="17"/>
    </row>
    <row r="156" ht="15.75" customHeight="1">
      <c r="C156" s="17"/>
      <c r="D156" s="17"/>
      <c r="E156" s="17"/>
      <c r="F156" s="17"/>
      <c r="G156" s="17"/>
      <c r="H156" s="17"/>
      <c r="I156" s="17"/>
      <c r="J156" s="17"/>
    </row>
    <row r="157" ht="15.75" customHeight="1">
      <c r="C157" s="17"/>
      <c r="D157" s="17"/>
      <c r="E157" s="17"/>
      <c r="F157" s="17"/>
      <c r="G157" s="17"/>
      <c r="H157" s="17"/>
      <c r="I157" s="17"/>
      <c r="J157" s="17"/>
    </row>
    <row r="158" ht="15.75" customHeight="1">
      <c r="C158" s="17"/>
      <c r="D158" s="17"/>
      <c r="E158" s="17"/>
      <c r="F158" s="17"/>
      <c r="G158" s="17"/>
      <c r="H158" s="17"/>
      <c r="I158" s="17"/>
      <c r="J158" s="17"/>
    </row>
    <row r="159" ht="15.75" customHeight="1">
      <c r="C159" s="17"/>
      <c r="D159" s="17"/>
      <c r="E159" s="17"/>
      <c r="F159" s="17"/>
      <c r="G159" s="17"/>
      <c r="H159" s="17"/>
      <c r="I159" s="17"/>
      <c r="J159" s="17"/>
    </row>
    <row r="160" ht="15.75" customHeight="1">
      <c r="C160" s="17"/>
      <c r="D160" s="17"/>
      <c r="E160" s="17"/>
      <c r="F160" s="17"/>
      <c r="G160" s="17"/>
      <c r="H160" s="17"/>
      <c r="I160" s="17"/>
      <c r="J160" s="17"/>
    </row>
    <row r="161" ht="15.75" customHeight="1">
      <c r="C161" s="17"/>
      <c r="D161" s="17"/>
      <c r="E161" s="17"/>
      <c r="F161" s="17"/>
      <c r="G161" s="17"/>
      <c r="H161" s="17"/>
      <c r="I161" s="17"/>
      <c r="J161" s="17"/>
    </row>
    <row r="162" ht="15.75" customHeight="1">
      <c r="C162" s="17"/>
      <c r="D162" s="17"/>
      <c r="E162" s="17"/>
      <c r="F162" s="17"/>
      <c r="G162" s="17"/>
      <c r="H162" s="17"/>
      <c r="I162" s="17"/>
      <c r="J162" s="17"/>
    </row>
    <row r="163" ht="15.75" customHeight="1">
      <c r="C163" s="17"/>
      <c r="D163" s="17"/>
      <c r="E163" s="17"/>
      <c r="F163" s="17"/>
      <c r="G163" s="17"/>
      <c r="H163" s="17"/>
      <c r="I163" s="17"/>
      <c r="J163" s="17"/>
    </row>
    <row r="164" ht="15.75" customHeight="1">
      <c r="C164" s="17"/>
      <c r="D164" s="17"/>
      <c r="E164" s="17"/>
      <c r="F164" s="17"/>
      <c r="G164" s="17"/>
      <c r="H164" s="17"/>
      <c r="I164" s="17"/>
      <c r="J164" s="17"/>
    </row>
    <row r="165" ht="15.75" customHeight="1">
      <c r="C165" s="17"/>
      <c r="D165" s="17"/>
      <c r="E165" s="17"/>
      <c r="F165" s="17"/>
      <c r="G165" s="17"/>
      <c r="H165" s="17"/>
      <c r="I165" s="17"/>
      <c r="J165" s="17"/>
    </row>
    <row r="166" ht="15.75" customHeight="1">
      <c r="C166" s="17"/>
      <c r="D166" s="17"/>
      <c r="E166" s="17"/>
      <c r="F166" s="17"/>
      <c r="G166" s="17"/>
      <c r="H166" s="17"/>
      <c r="I166" s="17"/>
      <c r="J166" s="17"/>
    </row>
    <row r="167" ht="15.75" customHeight="1">
      <c r="C167" s="17"/>
      <c r="D167" s="17"/>
      <c r="E167" s="17"/>
      <c r="F167" s="17"/>
      <c r="G167" s="17"/>
      <c r="H167" s="17"/>
      <c r="I167" s="17"/>
      <c r="J167" s="17"/>
    </row>
    <row r="168" ht="15.75" customHeight="1">
      <c r="C168" s="17"/>
      <c r="D168" s="17"/>
      <c r="E168" s="17"/>
      <c r="F168" s="17"/>
      <c r="G168" s="17"/>
      <c r="H168" s="17"/>
      <c r="I168" s="17"/>
      <c r="J168" s="17"/>
    </row>
    <row r="169" ht="15.75" customHeight="1">
      <c r="C169" s="17"/>
      <c r="D169" s="17"/>
      <c r="E169" s="17"/>
      <c r="F169" s="17"/>
      <c r="G169" s="17"/>
      <c r="H169" s="17"/>
      <c r="I169" s="17"/>
      <c r="J169" s="17"/>
    </row>
    <row r="170" ht="15.75" customHeight="1">
      <c r="C170" s="17"/>
      <c r="D170" s="17"/>
      <c r="E170" s="17"/>
      <c r="F170" s="17"/>
      <c r="G170" s="17"/>
      <c r="H170" s="17"/>
      <c r="I170" s="17"/>
      <c r="J170" s="17"/>
    </row>
    <row r="171" ht="15.75" customHeight="1">
      <c r="C171" s="17"/>
      <c r="D171" s="17"/>
      <c r="E171" s="17"/>
      <c r="F171" s="17"/>
      <c r="G171" s="17"/>
      <c r="H171" s="17"/>
      <c r="I171" s="17"/>
      <c r="J171" s="17"/>
    </row>
    <row r="172" ht="15.75" customHeight="1">
      <c r="C172" s="17"/>
      <c r="D172" s="17"/>
      <c r="E172" s="17"/>
      <c r="F172" s="17"/>
      <c r="G172" s="17"/>
      <c r="H172" s="17"/>
      <c r="I172" s="17"/>
      <c r="J172" s="17"/>
    </row>
    <row r="173" ht="15.75" customHeight="1">
      <c r="C173" s="17"/>
      <c r="D173" s="17"/>
      <c r="E173" s="17"/>
      <c r="F173" s="17"/>
      <c r="G173" s="17"/>
      <c r="H173" s="17"/>
      <c r="I173" s="17"/>
      <c r="J173" s="17"/>
    </row>
    <row r="174" ht="15.75" customHeight="1">
      <c r="C174" s="17"/>
      <c r="D174" s="17"/>
      <c r="E174" s="17"/>
      <c r="F174" s="17"/>
      <c r="G174" s="17"/>
      <c r="H174" s="17"/>
      <c r="I174" s="17"/>
      <c r="J174" s="17"/>
    </row>
    <row r="175" ht="15.75" customHeight="1">
      <c r="C175" s="17"/>
      <c r="D175" s="17"/>
      <c r="E175" s="17"/>
      <c r="F175" s="17"/>
      <c r="G175" s="17"/>
      <c r="H175" s="17"/>
      <c r="I175" s="17"/>
      <c r="J175" s="17"/>
    </row>
    <row r="176" ht="15.75" customHeight="1">
      <c r="C176" s="17"/>
      <c r="D176" s="17"/>
      <c r="E176" s="17"/>
      <c r="F176" s="17"/>
      <c r="G176" s="17"/>
      <c r="H176" s="17"/>
      <c r="I176" s="17"/>
      <c r="J176" s="17"/>
    </row>
    <row r="177" ht="15.75" customHeight="1">
      <c r="C177" s="17"/>
      <c r="D177" s="17"/>
      <c r="E177" s="17"/>
      <c r="F177" s="17"/>
      <c r="G177" s="17"/>
      <c r="H177" s="17"/>
      <c r="I177" s="17"/>
      <c r="J177" s="17"/>
    </row>
    <row r="178" ht="15.75" customHeight="1">
      <c r="C178" s="17"/>
      <c r="D178" s="17"/>
      <c r="E178" s="17"/>
      <c r="F178" s="17"/>
      <c r="G178" s="17"/>
      <c r="H178" s="17"/>
      <c r="I178" s="17"/>
      <c r="J178" s="17"/>
    </row>
    <row r="179" ht="15.75" customHeight="1">
      <c r="C179" s="17"/>
      <c r="D179" s="17"/>
      <c r="E179" s="17"/>
      <c r="F179" s="17"/>
      <c r="G179" s="17"/>
      <c r="H179" s="17"/>
      <c r="I179" s="17"/>
      <c r="J179" s="17"/>
    </row>
    <row r="180" ht="15.75" customHeight="1">
      <c r="C180" s="17"/>
      <c r="D180" s="17"/>
      <c r="E180" s="17"/>
      <c r="F180" s="17"/>
      <c r="G180" s="17"/>
      <c r="H180" s="17"/>
      <c r="I180" s="17"/>
      <c r="J180" s="17"/>
    </row>
    <row r="181" ht="15.75" customHeight="1">
      <c r="C181" s="17"/>
      <c r="D181" s="17"/>
      <c r="E181" s="17"/>
      <c r="F181" s="17"/>
      <c r="G181" s="17"/>
      <c r="H181" s="17"/>
      <c r="I181" s="17"/>
      <c r="J181" s="17"/>
    </row>
    <row r="182" ht="15.75" customHeight="1">
      <c r="C182" s="17"/>
      <c r="D182" s="17"/>
      <c r="E182" s="17"/>
      <c r="F182" s="17"/>
      <c r="G182" s="17"/>
      <c r="H182" s="17"/>
      <c r="I182" s="17"/>
      <c r="J182" s="17"/>
    </row>
    <row r="183" ht="15.75" customHeight="1">
      <c r="C183" s="17"/>
      <c r="D183" s="17"/>
      <c r="E183" s="17"/>
      <c r="F183" s="17"/>
      <c r="G183" s="17"/>
      <c r="H183" s="17"/>
      <c r="I183" s="17"/>
      <c r="J183" s="17"/>
    </row>
    <row r="184" ht="15.75" customHeight="1">
      <c r="C184" s="17"/>
      <c r="D184" s="17"/>
      <c r="E184" s="17"/>
      <c r="F184" s="17"/>
      <c r="G184" s="17"/>
      <c r="H184" s="17"/>
      <c r="I184" s="17"/>
      <c r="J184" s="17"/>
    </row>
    <row r="185" ht="15.75" customHeight="1">
      <c r="C185" s="17"/>
      <c r="D185" s="17"/>
      <c r="E185" s="17"/>
      <c r="F185" s="17"/>
      <c r="G185" s="17"/>
      <c r="H185" s="17"/>
      <c r="I185" s="17"/>
      <c r="J185" s="17"/>
    </row>
    <row r="186" ht="15.75" customHeight="1">
      <c r="C186" s="17"/>
      <c r="D186" s="17"/>
      <c r="E186" s="17"/>
      <c r="F186" s="17"/>
      <c r="G186" s="17"/>
      <c r="H186" s="17"/>
      <c r="I186" s="17"/>
      <c r="J186" s="17"/>
    </row>
    <row r="187" ht="15.75" customHeight="1">
      <c r="C187" s="17"/>
      <c r="D187" s="17"/>
      <c r="E187" s="17"/>
      <c r="F187" s="17"/>
      <c r="G187" s="17"/>
      <c r="H187" s="17"/>
      <c r="I187" s="17"/>
      <c r="J187" s="17"/>
    </row>
    <row r="188" ht="15.75" customHeight="1">
      <c r="C188" s="17"/>
      <c r="D188" s="17"/>
      <c r="E188" s="17"/>
      <c r="F188" s="17"/>
      <c r="G188" s="17"/>
      <c r="H188" s="17"/>
      <c r="I188" s="17"/>
      <c r="J188" s="17"/>
    </row>
    <row r="189" ht="15.75" customHeight="1">
      <c r="C189" s="17"/>
      <c r="D189" s="17"/>
      <c r="E189" s="17"/>
      <c r="F189" s="17"/>
      <c r="G189" s="17"/>
      <c r="H189" s="17"/>
      <c r="I189" s="17"/>
      <c r="J189" s="17"/>
    </row>
    <row r="190" ht="15.75" customHeight="1">
      <c r="C190" s="17"/>
      <c r="D190" s="17"/>
      <c r="E190" s="17"/>
      <c r="F190" s="17"/>
      <c r="G190" s="17"/>
      <c r="H190" s="17"/>
      <c r="I190" s="17"/>
      <c r="J190" s="17"/>
    </row>
    <row r="191" ht="15.75" customHeight="1">
      <c r="C191" s="17"/>
      <c r="D191" s="17"/>
      <c r="E191" s="17"/>
      <c r="F191" s="17"/>
      <c r="G191" s="17"/>
      <c r="H191" s="17"/>
      <c r="I191" s="17"/>
      <c r="J191" s="17"/>
    </row>
    <row r="192" ht="15.75" customHeight="1">
      <c r="C192" s="17"/>
      <c r="D192" s="17"/>
      <c r="E192" s="17"/>
      <c r="F192" s="17"/>
      <c r="G192" s="17"/>
      <c r="H192" s="17"/>
      <c r="I192" s="17"/>
      <c r="J192" s="17"/>
    </row>
    <row r="193" ht="15.75" customHeight="1">
      <c r="C193" s="17"/>
      <c r="D193" s="17"/>
      <c r="E193" s="17"/>
      <c r="F193" s="17"/>
      <c r="G193" s="17"/>
      <c r="H193" s="17"/>
      <c r="I193" s="17"/>
      <c r="J193" s="17"/>
    </row>
    <row r="194" ht="15.75" customHeight="1">
      <c r="C194" s="17"/>
      <c r="D194" s="17"/>
      <c r="E194" s="17"/>
      <c r="F194" s="17"/>
      <c r="G194" s="17"/>
      <c r="H194" s="17"/>
      <c r="I194" s="17"/>
      <c r="J194" s="17"/>
    </row>
    <row r="195" ht="15.75" customHeight="1">
      <c r="C195" s="17"/>
      <c r="D195" s="17"/>
      <c r="E195" s="17"/>
      <c r="F195" s="17"/>
      <c r="G195" s="17"/>
      <c r="H195" s="17"/>
      <c r="I195" s="17"/>
      <c r="J195" s="17"/>
    </row>
    <row r="196" ht="15.75" customHeight="1">
      <c r="C196" s="17"/>
      <c r="D196" s="17"/>
      <c r="E196" s="17"/>
      <c r="F196" s="17"/>
      <c r="G196" s="17"/>
      <c r="H196" s="17"/>
      <c r="I196" s="17"/>
      <c r="J196" s="17"/>
    </row>
    <row r="197" ht="15.75" customHeight="1">
      <c r="C197" s="17"/>
      <c r="D197" s="17"/>
      <c r="E197" s="17"/>
      <c r="F197" s="17"/>
      <c r="G197" s="17"/>
      <c r="H197" s="17"/>
      <c r="I197" s="17"/>
      <c r="J197" s="17"/>
    </row>
    <row r="198" ht="15.75" customHeight="1">
      <c r="C198" s="17"/>
      <c r="D198" s="17"/>
      <c r="E198" s="17"/>
      <c r="F198" s="17"/>
      <c r="G198" s="17"/>
      <c r="H198" s="17"/>
      <c r="I198" s="17"/>
      <c r="J198" s="17"/>
    </row>
    <row r="199" ht="15.75" customHeight="1">
      <c r="C199" s="17"/>
      <c r="D199" s="17"/>
      <c r="E199" s="17"/>
      <c r="F199" s="17"/>
      <c r="G199" s="17"/>
      <c r="H199" s="17"/>
      <c r="I199" s="17"/>
      <c r="J199" s="17"/>
    </row>
    <row r="200" ht="15.75" customHeight="1">
      <c r="C200" s="17"/>
      <c r="D200" s="17"/>
      <c r="E200" s="17"/>
      <c r="F200" s="17"/>
      <c r="G200" s="17"/>
      <c r="H200" s="17"/>
      <c r="I200" s="17"/>
      <c r="J200" s="17"/>
    </row>
    <row r="201" ht="15.75" customHeight="1">
      <c r="C201" s="17"/>
      <c r="D201" s="17"/>
      <c r="E201" s="17"/>
      <c r="F201" s="17"/>
      <c r="G201" s="17"/>
      <c r="H201" s="17"/>
      <c r="I201" s="17"/>
      <c r="J201" s="17"/>
    </row>
    <row r="202" ht="15.75" customHeight="1">
      <c r="C202" s="17"/>
      <c r="D202" s="17"/>
      <c r="E202" s="17"/>
      <c r="F202" s="17"/>
      <c r="G202" s="17"/>
      <c r="H202" s="17"/>
      <c r="I202" s="17"/>
      <c r="J202" s="17"/>
    </row>
    <row r="203" ht="15.75" customHeight="1">
      <c r="C203" s="17"/>
      <c r="D203" s="17"/>
      <c r="E203" s="17"/>
      <c r="F203" s="17"/>
      <c r="G203" s="17"/>
      <c r="H203" s="17"/>
      <c r="I203" s="17"/>
      <c r="J203" s="17"/>
    </row>
    <row r="204" ht="15.75" customHeight="1">
      <c r="C204" s="17"/>
      <c r="D204" s="17"/>
      <c r="E204" s="17"/>
      <c r="F204" s="17"/>
      <c r="G204" s="17"/>
      <c r="H204" s="17"/>
      <c r="I204" s="17"/>
      <c r="J204" s="17"/>
    </row>
    <row r="205" ht="15.75" customHeight="1">
      <c r="C205" s="17"/>
      <c r="D205" s="17"/>
      <c r="E205" s="17"/>
      <c r="F205" s="17"/>
      <c r="G205" s="17"/>
      <c r="H205" s="17"/>
      <c r="I205" s="17"/>
      <c r="J205" s="17"/>
    </row>
    <row r="206" ht="15.75" customHeight="1">
      <c r="C206" s="17"/>
      <c r="D206" s="17"/>
      <c r="E206" s="17"/>
      <c r="F206" s="17"/>
      <c r="G206" s="17"/>
      <c r="H206" s="17"/>
      <c r="I206" s="17"/>
      <c r="J206" s="17"/>
    </row>
    <row r="207" ht="15.75" customHeight="1">
      <c r="C207" s="17"/>
      <c r="D207" s="17"/>
      <c r="E207" s="17"/>
      <c r="F207" s="17"/>
      <c r="G207" s="17"/>
      <c r="H207" s="17"/>
      <c r="I207" s="17"/>
      <c r="J207" s="17"/>
    </row>
    <row r="208" ht="15.75" customHeight="1">
      <c r="C208" s="17"/>
      <c r="D208" s="17"/>
      <c r="E208" s="17"/>
      <c r="F208" s="17"/>
      <c r="G208" s="17"/>
      <c r="H208" s="17"/>
      <c r="I208" s="17"/>
      <c r="J208" s="17"/>
    </row>
    <row r="209" ht="15.75" customHeight="1">
      <c r="C209" s="17"/>
      <c r="D209" s="17"/>
      <c r="E209" s="17"/>
      <c r="F209" s="17"/>
      <c r="G209" s="17"/>
      <c r="H209" s="17"/>
      <c r="I209" s="17"/>
      <c r="J209" s="17"/>
    </row>
    <row r="210" ht="15.75" customHeight="1">
      <c r="C210" s="17"/>
      <c r="D210" s="17"/>
      <c r="E210" s="17"/>
      <c r="F210" s="17"/>
      <c r="G210" s="17"/>
      <c r="H210" s="17"/>
      <c r="I210" s="17"/>
      <c r="J210" s="17"/>
    </row>
    <row r="211" ht="15.75" customHeight="1">
      <c r="C211" s="17"/>
      <c r="D211" s="17"/>
      <c r="E211" s="17"/>
      <c r="F211" s="17"/>
      <c r="G211" s="17"/>
      <c r="H211" s="17"/>
      <c r="I211" s="17"/>
      <c r="J211" s="17"/>
    </row>
    <row r="212" ht="15.75" customHeight="1">
      <c r="C212" s="17"/>
      <c r="D212" s="17"/>
      <c r="E212" s="17"/>
      <c r="F212" s="17"/>
      <c r="G212" s="17"/>
      <c r="H212" s="17"/>
      <c r="I212" s="17"/>
      <c r="J212" s="17"/>
    </row>
    <row r="213" ht="15.75" customHeight="1">
      <c r="C213" s="17"/>
      <c r="D213" s="17"/>
      <c r="E213" s="17"/>
      <c r="F213" s="17"/>
      <c r="G213" s="17"/>
      <c r="H213" s="17"/>
      <c r="I213" s="17"/>
      <c r="J213" s="17"/>
    </row>
    <row r="214" ht="15.75" customHeight="1">
      <c r="C214" s="17"/>
      <c r="D214" s="17"/>
      <c r="E214" s="17"/>
      <c r="F214" s="17"/>
      <c r="G214" s="17"/>
      <c r="H214" s="17"/>
      <c r="I214" s="17"/>
      <c r="J214" s="17"/>
    </row>
    <row r="215" ht="15.75" customHeight="1">
      <c r="C215" s="17"/>
      <c r="D215" s="17"/>
      <c r="E215" s="17"/>
      <c r="F215" s="17"/>
      <c r="G215" s="17"/>
      <c r="H215" s="17"/>
      <c r="I215" s="17"/>
      <c r="J215" s="17"/>
    </row>
    <row r="216" ht="15.75" customHeight="1">
      <c r="C216" s="17"/>
      <c r="D216" s="17"/>
      <c r="E216" s="17"/>
      <c r="F216" s="17"/>
      <c r="G216" s="17"/>
      <c r="H216" s="17"/>
      <c r="I216" s="17"/>
      <c r="J216" s="17"/>
    </row>
    <row r="217" ht="15.75" customHeight="1">
      <c r="C217" s="17"/>
      <c r="D217" s="17"/>
      <c r="E217" s="17"/>
      <c r="F217" s="17"/>
      <c r="G217" s="17"/>
      <c r="H217" s="17"/>
      <c r="I217" s="17"/>
      <c r="J217" s="17"/>
    </row>
    <row r="218" ht="15.75" customHeight="1">
      <c r="C218" s="17"/>
      <c r="D218" s="17"/>
      <c r="E218" s="17"/>
      <c r="F218" s="17"/>
      <c r="G218" s="17"/>
      <c r="H218" s="17"/>
      <c r="I218" s="17"/>
      <c r="J218" s="17"/>
    </row>
    <row r="219" ht="15.75" customHeight="1">
      <c r="C219" s="17"/>
      <c r="D219" s="17"/>
      <c r="E219" s="17"/>
      <c r="F219" s="17"/>
      <c r="G219" s="17"/>
      <c r="H219" s="17"/>
      <c r="I219" s="17"/>
      <c r="J219" s="17"/>
    </row>
    <row r="220" ht="15.75" customHeight="1">
      <c r="C220" s="17"/>
      <c r="D220" s="17"/>
      <c r="E220" s="17"/>
      <c r="F220" s="17"/>
      <c r="G220" s="17"/>
      <c r="H220" s="17"/>
      <c r="I220" s="17"/>
      <c r="J220" s="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2026-05-20T18:33:12Z</dcterms:created>
  <dc:creator>Oriana</dc:creator>
</cp:coreProperties>
</file>