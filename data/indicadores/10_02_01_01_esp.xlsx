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DSN\Atlas2025\R_codes\Final\Input_indicadores\"/>
    </mc:Choice>
  </mc:AlternateContent>
  <xr:revisionPtr revIDLastSave="0" documentId="13_ncr:1_{0C724FDA-03F9-482E-903C-624D0DEADB46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Datos Procesados" sheetId="1" r:id="rId1"/>
    <sheet name="Indicador_MUN" sheetId="2" r:id="rId2"/>
    <sheet name="Indicador_DEP" sheetId="3" r:id="rId3"/>
    <sheet name="Absoluto_MUN" sheetId="4" r:id="rId4"/>
    <sheet name="Absoluto_DEP" sheetId="5" r:id="rId5"/>
    <sheet name="Umbral" sheetId="6" r:id="rId6"/>
    <sheet name="Mapa" sheetId="7" r:id="rId7"/>
  </sheets>
  <calcPr calcId="191029"/>
  <extLst>
    <ext uri="GoogleSheetsCustomDataVersion2">
      <go:sheetsCustomData xmlns:go="http://customooxmlschemas.google.com/" r:id="rId11" roundtripDataChecksum="ueEZEd1Oa0//+T5dENnu5dcfaYfSpqLhB7FGK5Wr6tw="/>
    </ext>
  </extLst>
</workbook>
</file>

<file path=xl/calcChain.xml><?xml version="1.0" encoding="utf-8"?>
<calcChain xmlns="http://schemas.openxmlformats.org/spreadsheetml/2006/main">
  <c r="D349" i="1" l="1"/>
  <c r="C349" i="1"/>
  <c r="C350" i="1"/>
  <c r="D350" i="1"/>
  <c r="E346" i="1"/>
  <c r="G346" i="1" s="1"/>
  <c r="E347" i="1"/>
  <c r="F347" i="1" s="1"/>
  <c r="E5" i="1"/>
  <c r="G5" i="1" s="1"/>
  <c r="E6" i="1"/>
  <c r="G6" i="1" s="1"/>
  <c r="E7" i="1"/>
  <c r="F7" i="1" s="1"/>
  <c r="E8" i="1"/>
  <c r="G8" i="1" s="1"/>
  <c r="E9" i="1"/>
  <c r="F9" i="1" s="1"/>
  <c r="E10" i="1"/>
  <c r="G10" i="1" s="1"/>
  <c r="E11" i="1"/>
  <c r="G11" i="1" s="1"/>
  <c r="E12" i="1"/>
  <c r="G12" i="1" s="1"/>
  <c r="E13" i="1"/>
  <c r="G13" i="1" s="1"/>
  <c r="E14" i="1"/>
  <c r="F14" i="1" s="1"/>
  <c r="E15" i="1"/>
  <c r="G15" i="1" s="1"/>
  <c r="E16" i="1"/>
  <c r="G16" i="1" s="1"/>
  <c r="E17" i="1"/>
  <c r="G17" i="1" s="1"/>
  <c r="E18" i="1"/>
  <c r="G18" i="1" s="1"/>
  <c r="E19" i="1"/>
  <c r="E20" i="1"/>
  <c r="E21" i="1"/>
  <c r="E22" i="1"/>
  <c r="G22" i="1" s="1"/>
  <c r="E23" i="1"/>
  <c r="G23" i="1" s="1"/>
  <c r="E24" i="1"/>
  <c r="G24" i="1" s="1"/>
  <c r="E25" i="1"/>
  <c r="F25" i="1" s="1"/>
  <c r="E26" i="1"/>
  <c r="G26" i="1" s="1"/>
  <c r="E27" i="1"/>
  <c r="G27" i="1" s="1"/>
  <c r="E28" i="1"/>
  <c r="E29" i="1"/>
  <c r="E30" i="1"/>
  <c r="F30" i="1" s="1"/>
  <c r="E31" i="1"/>
  <c r="G31" i="1" s="1"/>
  <c r="E32" i="1"/>
  <c r="E33" i="1"/>
  <c r="G33" i="1" s="1"/>
  <c r="E34" i="1"/>
  <c r="G34" i="1" s="1"/>
  <c r="E35" i="1"/>
  <c r="F35" i="1" s="1"/>
  <c r="E36" i="1"/>
  <c r="E37" i="1"/>
  <c r="E38" i="1"/>
  <c r="G38" i="1" s="1"/>
  <c r="E39" i="1"/>
  <c r="G39" i="1" s="1"/>
  <c r="E40" i="1"/>
  <c r="E41" i="1"/>
  <c r="G41" i="1" s="1"/>
  <c r="E42" i="1"/>
  <c r="G42" i="1" s="1"/>
  <c r="E43" i="1"/>
  <c r="G43" i="1" s="1"/>
  <c r="E44" i="1"/>
  <c r="E45" i="1"/>
  <c r="G45" i="1" s="1"/>
  <c r="E46" i="1"/>
  <c r="E47" i="1"/>
  <c r="G47" i="1" s="1"/>
  <c r="E48" i="1"/>
  <c r="E49" i="1"/>
  <c r="G49" i="1" s="1"/>
  <c r="E50" i="1"/>
  <c r="F50" i="1" s="1"/>
  <c r="E51" i="1"/>
  <c r="F51" i="1" s="1"/>
  <c r="E52" i="1"/>
  <c r="E53" i="1"/>
  <c r="E54" i="1"/>
  <c r="G54" i="1" s="1"/>
  <c r="E55" i="1"/>
  <c r="G55" i="1" s="1"/>
  <c r="E56" i="1"/>
  <c r="E57" i="1"/>
  <c r="F57" i="1" s="1"/>
  <c r="E58" i="1"/>
  <c r="G58" i="1" s="1"/>
  <c r="E59" i="1"/>
  <c r="G59" i="1" s="1"/>
  <c r="E60" i="1"/>
  <c r="E61" i="1"/>
  <c r="E62" i="1"/>
  <c r="E63" i="1"/>
  <c r="G63" i="1" s="1"/>
  <c r="E64" i="1"/>
  <c r="E65" i="1"/>
  <c r="G65" i="1" s="1"/>
  <c r="E66" i="1"/>
  <c r="F66" i="1" s="1"/>
  <c r="E67" i="1"/>
  <c r="E68" i="1"/>
  <c r="E69" i="1"/>
  <c r="G69" i="1" s="1"/>
  <c r="E70" i="1"/>
  <c r="G70" i="1" s="1"/>
  <c r="E71" i="1"/>
  <c r="F71" i="1" s="1"/>
  <c r="E72" i="1"/>
  <c r="E73" i="1"/>
  <c r="F73" i="1" s="1"/>
  <c r="E74" i="1"/>
  <c r="G74" i="1" s="1"/>
  <c r="E75" i="1"/>
  <c r="G75" i="1" s="1"/>
  <c r="E76" i="1"/>
  <c r="E77" i="1"/>
  <c r="G77" i="1" s="1"/>
  <c r="E78" i="1"/>
  <c r="F78" i="1" s="1"/>
  <c r="E79" i="1"/>
  <c r="F79" i="1" s="1"/>
  <c r="E80" i="1"/>
  <c r="E81" i="1"/>
  <c r="G81" i="1" s="1"/>
  <c r="E82" i="1"/>
  <c r="E83" i="1"/>
  <c r="E84" i="1"/>
  <c r="E85" i="1"/>
  <c r="F85" i="1" s="1"/>
  <c r="E86" i="1"/>
  <c r="G86" i="1" s="1"/>
  <c r="E87" i="1"/>
  <c r="F87" i="1" s="1"/>
  <c r="E88" i="1"/>
  <c r="E89" i="1"/>
  <c r="F89" i="1" s="1"/>
  <c r="E90" i="1"/>
  <c r="G90" i="1" s="1"/>
  <c r="E91" i="1"/>
  <c r="G91" i="1" s="1"/>
  <c r="E92" i="1"/>
  <c r="E93" i="1"/>
  <c r="E94" i="1"/>
  <c r="F94" i="1" s="1"/>
  <c r="E95" i="1"/>
  <c r="G95" i="1" s="1"/>
  <c r="E96" i="1"/>
  <c r="E97" i="1"/>
  <c r="G97" i="1" s="1"/>
  <c r="E98" i="1"/>
  <c r="E99" i="1"/>
  <c r="F99" i="1" s="1"/>
  <c r="E100" i="1"/>
  <c r="E101" i="1"/>
  <c r="F101" i="1" s="1"/>
  <c r="E102" i="1"/>
  <c r="G102" i="1" s="1"/>
  <c r="E103" i="1"/>
  <c r="E104" i="1"/>
  <c r="E105" i="1"/>
  <c r="G105" i="1" s="1"/>
  <c r="E106" i="1"/>
  <c r="F106" i="1" s="1"/>
  <c r="E107" i="1"/>
  <c r="G107" i="1" s="1"/>
  <c r="E108" i="1"/>
  <c r="E109" i="1"/>
  <c r="E110" i="1"/>
  <c r="E111" i="1"/>
  <c r="G111" i="1" s="1"/>
  <c r="E112" i="1"/>
  <c r="E113" i="1"/>
  <c r="G113" i="1" s="1"/>
  <c r="E114" i="1"/>
  <c r="F114" i="1" s="1"/>
  <c r="E115" i="1"/>
  <c r="F115" i="1" s="1"/>
  <c r="E116" i="1"/>
  <c r="E117" i="1"/>
  <c r="G117" i="1" s="1"/>
  <c r="E118" i="1"/>
  <c r="G118" i="1" s="1"/>
  <c r="E119" i="1"/>
  <c r="E120" i="1"/>
  <c r="E121" i="1"/>
  <c r="F121" i="1" s="1"/>
  <c r="E122" i="1"/>
  <c r="G122" i="1" s="1"/>
  <c r="E123" i="1"/>
  <c r="G123" i="1" s="1"/>
  <c r="E124" i="1"/>
  <c r="E125" i="1"/>
  <c r="E126" i="1"/>
  <c r="E127" i="1"/>
  <c r="F127" i="1" s="1"/>
  <c r="E128" i="1"/>
  <c r="E129" i="1"/>
  <c r="G129" i="1" s="1"/>
  <c r="E130" i="1"/>
  <c r="F130" i="1" s="1"/>
  <c r="E131" i="1"/>
  <c r="E132" i="1"/>
  <c r="E133" i="1"/>
  <c r="G133" i="1" s="1"/>
  <c r="E134" i="1"/>
  <c r="G134" i="1" s="1"/>
  <c r="E135" i="1"/>
  <c r="F135" i="1" s="1"/>
  <c r="E136" i="1"/>
  <c r="E137" i="1"/>
  <c r="F137" i="1" s="1"/>
  <c r="E138" i="1"/>
  <c r="G138" i="1" s="1"/>
  <c r="E139" i="1"/>
  <c r="G139" i="1" s="1"/>
  <c r="E140" i="1"/>
  <c r="E141" i="1"/>
  <c r="G141" i="1" s="1"/>
  <c r="E142" i="1"/>
  <c r="F142" i="1" s="1"/>
  <c r="E143" i="1"/>
  <c r="F143" i="1" s="1"/>
  <c r="E144" i="1"/>
  <c r="E145" i="1"/>
  <c r="G145" i="1" s="1"/>
  <c r="E146" i="1"/>
  <c r="E147" i="1"/>
  <c r="E148" i="1"/>
  <c r="E149" i="1"/>
  <c r="E150" i="1"/>
  <c r="G150" i="1" s="1"/>
  <c r="E151" i="1"/>
  <c r="F151" i="1" s="1"/>
  <c r="E152" i="1"/>
  <c r="E153" i="1"/>
  <c r="F153" i="1" s="1"/>
  <c r="E154" i="1"/>
  <c r="G154" i="1" s="1"/>
  <c r="E155" i="1"/>
  <c r="G155" i="1" s="1"/>
  <c r="E156" i="1"/>
  <c r="E157" i="1"/>
  <c r="F157" i="1" s="1"/>
  <c r="E158" i="1"/>
  <c r="F158" i="1" s="1"/>
  <c r="E159" i="1"/>
  <c r="G159" i="1" s="1"/>
  <c r="E160" i="1"/>
  <c r="E161" i="1"/>
  <c r="G161" i="1" s="1"/>
  <c r="E162" i="1"/>
  <c r="E163" i="1"/>
  <c r="F163" i="1" s="1"/>
  <c r="E164" i="1"/>
  <c r="E165" i="1"/>
  <c r="E166" i="1"/>
  <c r="G166" i="1" s="1"/>
  <c r="E167" i="1"/>
  <c r="E168" i="1"/>
  <c r="E169" i="1"/>
  <c r="G169" i="1" s="1"/>
  <c r="E170" i="1"/>
  <c r="F170" i="1" s="1"/>
  <c r="E171" i="1"/>
  <c r="G171" i="1" s="1"/>
  <c r="E172" i="1"/>
  <c r="E173" i="1"/>
  <c r="G173" i="1" s="1"/>
  <c r="E174" i="1"/>
  <c r="E175" i="1"/>
  <c r="G175" i="1" s="1"/>
  <c r="E176" i="1"/>
  <c r="E177" i="1"/>
  <c r="G177" i="1" s="1"/>
  <c r="E178" i="1"/>
  <c r="F178" i="1" s="1"/>
  <c r="E179" i="1"/>
  <c r="F179" i="1" s="1"/>
  <c r="E180" i="1"/>
  <c r="E181" i="1"/>
  <c r="E182" i="1"/>
  <c r="G182" i="1" s="1"/>
  <c r="E183" i="1"/>
  <c r="E184" i="1"/>
  <c r="E185" i="1"/>
  <c r="F185" i="1" s="1"/>
  <c r="E186" i="1"/>
  <c r="G186" i="1" s="1"/>
  <c r="E187" i="1"/>
  <c r="G187" i="1" s="1"/>
  <c r="E188" i="1"/>
  <c r="E189" i="1"/>
  <c r="G189" i="1" s="1"/>
  <c r="E190" i="1"/>
  <c r="E191" i="1"/>
  <c r="G191" i="1" s="1"/>
  <c r="E192" i="1"/>
  <c r="E193" i="1"/>
  <c r="G193" i="1" s="1"/>
  <c r="E194" i="1"/>
  <c r="F194" i="1" s="1"/>
  <c r="E195" i="1"/>
  <c r="E196" i="1"/>
  <c r="E197" i="1"/>
  <c r="G197" i="1" s="1"/>
  <c r="E198" i="1"/>
  <c r="G198" i="1" s="1"/>
  <c r="E199" i="1"/>
  <c r="F199" i="1" s="1"/>
  <c r="E200" i="1"/>
  <c r="E201" i="1"/>
  <c r="F201" i="1" s="1"/>
  <c r="E202" i="1"/>
  <c r="G202" i="1" s="1"/>
  <c r="E203" i="1"/>
  <c r="G203" i="1" s="1"/>
  <c r="E204" i="1"/>
  <c r="E205" i="1"/>
  <c r="G205" i="1" s="1"/>
  <c r="E206" i="1"/>
  <c r="F206" i="1" s="1"/>
  <c r="E207" i="1"/>
  <c r="F207" i="1" s="1"/>
  <c r="E208" i="1"/>
  <c r="E209" i="1"/>
  <c r="G209" i="1" s="1"/>
  <c r="E210" i="1"/>
  <c r="E211" i="1"/>
  <c r="E212" i="1"/>
  <c r="E213" i="1"/>
  <c r="F213" i="1" s="1"/>
  <c r="E214" i="1"/>
  <c r="G214" i="1" s="1"/>
  <c r="E215" i="1"/>
  <c r="F215" i="1" s="1"/>
  <c r="E216" i="1"/>
  <c r="E217" i="1"/>
  <c r="F217" i="1" s="1"/>
  <c r="E218" i="1"/>
  <c r="G218" i="1" s="1"/>
  <c r="E219" i="1"/>
  <c r="G219" i="1" s="1"/>
  <c r="E220" i="1"/>
  <c r="E221" i="1"/>
  <c r="E222" i="1"/>
  <c r="F222" i="1" s="1"/>
  <c r="E223" i="1"/>
  <c r="G223" i="1" s="1"/>
  <c r="E224" i="1"/>
  <c r="E225" i="1"/>
  <c r="G225" i="1" s="1"/>
  <c r="E226" i="1"/>
  <c r="E227" i="1"/>
  <c r="F227" i="1" s="1"/>
  <c r="E228" i="1"/>
  <c r="E229" i="1"/>
  <c r="G229" i="1" s="1"/>
  <c r="E230" i="1"/>
  <c r="G230" i="1" s="1"/>
  <c r="E231" i="1"/>
  <c r="E232" i="1"/>
  <c r="E233" i="1"/>
  <c r="G233" i="1" s="1"/>
  <c r="E234" i="1"/>
  <c r="G234" i="1" s="1"/>
  <c r="E235" i="1"/>
  <c r="G235" i="1" s="1"/>
  <c r="E236" i="1"/>
  <c r="E237" i="1"/>
  <c r="E238" i="1"/>
  <c r="E239" i="1"/>
  <c r="E240" i="1"/>
  <c r="E241" i="1"/>
  <c r="G241" i="1" s="1"/>
  <c r="E242" i="1"/>
  <c r="F242" i="1" s="1"/>
  <c r="E243" i="1"/>
  <c r="F243" i="1" s="1"/>
  <c r="E244" i="1"/>
  <c r="E245" i="1"/>
  <c r="F245" i="1" s="1"/>
  <c r="E246" i="1"/>
  <c r="E247" i="1"/>
  <c r="G247" i="1" s="1"/>
  <c r="E248" i="1"/>
  <c r="E249" i="1"/>
  <c r="G249" i="1" s="1"/>
  <c r="E250" i="1"/>
  <c r="F250" i="1" s="1"/>
  <c r="E251" i="1"/>
  <c r="E252" i="1"/>
  <c r="E253" i="1"/>
  <c r="F253" i="1" s="1"/>
  <c r="E254" i="1"/>
  <c r="G254" i="1" s="1"/>
  <c r="E255" i="1"/>
  <c r="F255" i="1" s="1"/>
  <c r="E256" i="1"/>
  <c r="E257" i="1"/>
  <c r="G257" i="1" s="1"/>
  <c r="E258" i="1"/>
  <c r="F258" i="1" s="1"/>
  <c r="E259" i="1"/>
  <c r="E260" i="1"/>
  <c r="E261" i="1"/>
  <c r="F261" i="1" s="1"/>
  <c r="E262" i="1"/>
  <c r="G262" i="1" s="1"/>
  <c r="E263" i="1"/>
  <c r="G263" i="1" s="1"/>
  <c r="E264" i="1"/>
  <c r="E265" i="1"/>
  <c r="G265" i="1" s="1"/>
  <c r="E266" i="1"/>
  <c r="E267" i="1"/>
  <c r="E268" i="1"/>
  <c r="E269" i="1"/>
  <c r="G269" i="1" s="1"/>
  <c r="E270" i="1"/>
  <c r="F270" i="1" s="1"/>
  <c r="E271" i="1"/>
  <c r="F271" i="1" s="1"/>
  <c r="E272" i="1"/>
  <c r="E273" i="1"/>
  <c r="G273" i="1" s="1"/>
  <c r="E274" i="1"/>
  <c r="E275" i="1"/>
  <c r="G275" i="1" s="1"/>
  <c r="E276" i="1"/>
  <c r="E277" i="1"/>
  <c r="F277" i="1" s="1"/>
  <c r="E278" i="1"/>
  <c r="G278" i="1" s="1"/>
  <c r="E279" i="1"/>
  <c r="F279" i="1" s="1"/>
  <c r="E280" i="1"/>
  <c r="E281" i="1"/>
  <c r="F281" i="1" s="1"/>
  <c r="E282" i="1"/>
  <c r="E283" i="1"/>
  <c r="G283" i="1" s="1"/>
  <c r="E284" i="1"/>
  <c r="E285" i="1"/>
  <c r="F285" i="1" s="1"/>
  <c r="E286" i="1"/>
  <c r="F286" i="1" s="1"/>
  <c r="E287" i="1"/>
  <c r="E288" i="1"/>
  <c r="E289" i="1"/>
  <c r="G289" i="1" s="1"/>
  <c r="E290" i="1"/>
  <c r="G290" i="1" s="1"/>
  <c r="E291" i="1"/>
  <c r="F291" i="1" s="1"/>
  <c r="E292" i="1"/>
  <c r="E293" i="1"/>
  <c r="F293" i="1" s="1"/>
  <c r="E294" i="1"/>
  <c r="E295" i="1"/>
  <c r="E296" i="1"/>
  <c r="E297" i="1"/>
  <c r="G297" i="1" s="1"/>
  <c r="E298" i="1"/>
  <c r="F298" i="1" s="1"/>
  <c r="E299" i="1"/>
  <c r="G299" i="1" s="1"/>
  <c r="E300" i="1"/>
  <c r="E301" i="1"/>
  <c r="G301" i="1" s="1"/>
  <c r="E302" i="1"/>
  <c r="E303" i="1"/>
  <c r="E304" i="1"/>
  <c r="E305" i="1"/>
  <c r="G305" i="1" s="1"/>
  <c r="E306" i="1"/>
  <c r="F306" i="1" s="1"/>
  <c r="E307" i="1"/>
  <c r="F307" i="1" s="1"/>
  <c r="E308" i="1"/>
  <c r="E309" i="1"/>
  <c r="F309" i="1" s="1"/>
  <c r="E310" i="1"/>
  <c r="E311" i="1"/>
  <c r="G311" i="1" s="1"/>
  <c r="E312" i="1"/>
  <c r="E313" i="1"/>
  <c r="G313" i="1" s="1"/>
  <c r="E314" i="1"/>
  <c r="F314" i="1" s="1"/>
  <c r="E315" i="1"/>
  <c r="E316" i="1"/>
  <c r="E317" i="1"/>
  <c r="F317" i="1" s="1"/>
  <c r="E318" i="1"/>
  <c r="G318" i="1" s="1"/>
  <c r="E319" i="1"/>
  <c r="F319" i="1" s="1"/>
  <c r="E320" i="1"/>
  <c r="E321" i="1"/>
  <c r="G321" i="1" s="1"/>
  <c r="E322" i="1"/>
  <c r="F322" i="1" s="1"/>
  <c r="E323" i="1"/>
  <c r="E324" i="1"/>
  <c r="E325" i="1"/>
  <c r="F325" i="1" s="1"/>
  <c r="E326" i="1"/>
  <c r="G326" i="1" s="1"/>
  <c r="E327" i="1"/>
  <c r="G327" i="1" s="1"/>
  <c r="E328" i="1"/>
  <c r="E329" i="1"/>
  <c r="G329" i="1" s="1"/>
  <c r="E330" i="1"/>
  <c r="E331" i="1"/>
  <c r="E332" i="1"/>
  <c r="E333" i="1"/>
  <c r="G333" i="1" s="1"/>
  <c r="E334" i="1"/>
  <c r="G334" i="1" s="1"/>
  <c r="E335" i="1"/>
  <c r="F335" i="1" s="1"/>
  <c r="E336" i="1"/>
  <c r="E337" i="1"/>
  <c r="G337" i="1" s="1"/>
  <c r="E338" i="1"/>
  <c r="E339" i="1"/>
  <c r="G339" i="1" s="1"/>
  <c r="E340" i="1"/>
  <c r="E341" i="1"/>
  <c r="F341" i="1" s="1"/>
  <c r="E342" i="1"/>
  <c r="G342" i="1" s="1"/>
  <c r="E343" i="1"/>
  <c r="F343" i="1" s="1"/>
  <c r="G285" i="1"/>
  <c r="G253" i="1"/>
  <c r="G237" i="1"/>
  <c r="G221" i="1"/>
  <c r="G217" i="1"/>
  <c r="G213" i="1"/>
  <c r="G201" i="1"/>
  <c r="G185" i="1"/>
  <c r="G181" i="1"/>
  <c r="G165" i="1"/>
  <c r="G157" i="1"/>
  <c r="G149" i="1"/>
  <c r="G137" i="1"/>
  <c r="G125" i="1"/>
  <c r="G121" i="1"/>
  <c r="G109" i="1"/>
  <c r="G101" i="1"/>
  <c r="G93" i="1"/>
  <c r="G89" i="1"/>
  <c r="G85" i="1"/>
  <c r="G73" i="1"/>
  <c r="G61" i="1"/>
  <c r="G57" i="1"/>
  <c r="G53" i="1"/>
  <c r="G37" i="1"/>
  <c r="G29" i="1"/>
  <c r="G21" i="1"/>
  <c r="G9" i="1"/>
  <c r="G7" i="1"/>
  <c r="F321" i="1"/>
  <c r="F297" i="1"/>
  <c r="F257" i="1"/>
  <c r="F241" i="1"/>
  <c r="F237" i="1"/>
  <c r="F225" i="1"/>
  <c r="F221" i="1"/>
  <c r="F209" i="1"/>
  <c r="F205" i="1"/>
  <c r="F193" i="1"/>
  <c r="F189" i="1"/>
  <c r="F181" i="1"/>
  <c r="F177" i="1"/>
  <c r="F165" i="1"/>
  <c r="F161" i="1"/>
  <c r="F149" i="1"/>
  <c r="F145" i="1"/>
  <c r="F133" i="1"/>
  <c r="F129" i="1"/>
  <c r="F125" i="1"/>
  <c r="F113" i="1"/>
  <c r="F109" i="1"/>
  <c r="F97" i="1"/>
  <c r="F93" i="1"/>
  <c r="F91" i="1"/>
  <c r="F81" i="1"/>
  <c r="F77" i="1"/>
  <c r="F65" i="1"/>
  <c r="F61" i="1"/>
  <c r="F53" i="1"/>
  <c r="F49" i="1"/>
  <c r="F37" i="1"/>
  <c r="F29" i="1"/>
  <c r="F21" i="1"/>
  <c r="F13" i="1"/>
  <c r="F5" i="1"/>
  <c r="E344" i="1"/>
  <c r="R349" i="1"/>
  <c r="Q349" i="1"/>
  <c r="R348" i="1"/>
  <c r="Q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U109" i="1" s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J29" i="1"/>
  <c r="S28" i="1"/>
  <c r="S27" i="1"/>
  <c r="S26" i="1"/>
  <c r="S25" i="1"/>
  <c r="S24" i="1"/>
  <c r="S23" i="1"/>
  <c r="S22" i="1"/>
  <c r="S21" i="1"/>
  <c r="S20" i="1"/>
  <c r="S19" i="1"/>
  <c r="S18" i="1"/>
  <c r="S17" i="1"/>
  <c r="AA16" i="1"/>
  <c r="S16" i="1"/>
  <c r="AA15" i="1"/>
  <c r="S15" i="1"/>
  <c r="Z14" i="1"/>
  <c r="AA14" i="1" s="1"/>
  <c r="S14" i="1"/>
  <c r="Z13" i="1"/>
  <c r="AA13" i="1" s="1"/>
  <c r="S13" i="1"/>
  <c r="L13" i="1"/>
  <c r="M13" i="1" s="1"/>
  <c r="Z12" i="1"/>
  <c r="AA12" i="1" s="1"/>
  <c r="S12" i="1"/>
  <c r="U12" i="1" s="1"/>
  <c r="L12" i="1"/>
  <c r="M12" i="1" s="1"/>
  <c r="Z11" i="1"/>
  <c r="AA11" i="1" s="1"/>
  <c r="S11" i="1"/>
  <c r="L11" i="1"/>
  <c r="M11" i="1" s="1"/>
  <c r="Z10" i="1"/>
  <c r="AA10" i="1" s="1"/>
  <c r="S10" i="1"/>
  <c r="L10" i="1"/>
  <c r="M10" i="1" s="1"/>
  <c r="Z9" i="1"/>
  <c r="AA9" i="1" s="1"/>
  <c r="S9" i="1"/>
  <c r="L9" i="1"/>
  <c r="M9" i="1" s="1"/>
  <c r="Z8" i="1"/>
  <c r="AA8" i="1" s="1"/>
  <c r="S8" i="1"/>
  <c r="L8" i="1"/>
  <c r="M8" i="1" s="1"/>
  <c r="Z7" i="1"/>
  <c r="AA7" i="1" s="1"/>
  <c r="S7" i="1"/>
  <c r="L7" i="1"/>
  <c r="M7" i="1" s="1"/>
  <c r="Z6" i="1"/>
  <c r="AA6" i="1" s="1"/>
  <c r="S6" i="1"/>
  <c r="L6" i="1"/>
  <c r="M6" i="1" s="1"/>
  <c r="S5" i="1"/>
  <c r="L5" i="1"/>
  <c r="M5" i="1" s="1"/>
  <c r="G293" i="1" l="1"/>
  <c r="F102" i="1"/>
  <c r="F329" i="1"/>
  <c r="G245" i="1"/>
  <c r="G317" i="1"/>
  <c r="G50" i="1"/>
  <c r="G66" i="1"/>
  <c r="E349" i="1"/>
  <c r="F349" i="1" s="1"/>
  <c r="F38" i="1"/>
  <c r="F254" i="1"/>
  <c r="F122" i="1"/>
  <c r="F202" i="1"/>
  <c r="F22" i="1"/>
  <c r="F230" i="1"/>
  <c r="G250" i="1"/>
  <c r="G347" i="1"/>
  <c r="F346" i="1"/>
  <c r="F10" i="1"/>
  <c r="F74" i="1"/>
  <c r="F269" i="1"/>
  <c r="F301" i="1"/>
  <c r="G30" i="1"/>
  <c r="G106" i="1"/>
  <c r="G206" i="1"/>
  <c r="F118" i="1"/>
  <c r="F273" i="1"/>
  <c r="F313" i="1"/>
  <c r="G142" i="1"/>
  <c r="G242" i="1"/>
  <c r="G277" i="1"/>
  <c r="G314" i="1"/>
  <c r="E350" i="1"/>
  <c r="F350" i="1" s="1"/>
  <c r="G179" i="1"/>
  <c r="F219" i="1"/>
  <c r="F311" i="1"/>
  <c r="F333" i="1"/>
  <c r="G281" i="1"/>
  <c r="F191" i="1"/>
  <c r="F43" i="1"/>
  <c r="F138" i="1"/>
  <c r="F166" i="1"/>
  <c r="G170" i="1"/>
  <c r="G227" i="1"/>
  <c r="G306" i="1"/>
  <c r="F299" i="1"/>
  <c r="G335" i="1"/>
  <c r="F15" i="1"/>
  <c r="F155" i="1"/>
  <c r="F182" i="1"/>
  <c r="F263" i="1"/>
  <c r="F334" i="1"/>
  <c r="G127" i="1"/>
  <c r="G341" i="1"/>
  <c r="F17" i="1"/>
  <c r="F33" i="1"/>
  <c r="F45" i="1"/>
  <c r="F58" i="1"/>
  <c r="F69" i="1"/>
  <c r="F117" i="1"/>
  <c r="F141" i="1"/>
  <c r="F173" i="1"/>
  <c r="F186" i="1"/>
  <c r="F197" i="1"/>
  <c r="F229" i="1"/>
  <c r="F249" i="1"/>
  <c r="F265" i="1"/>
  <c r="F290" i="1"/>
  <c r="F305" i="1"/>
  <c r="F326" i="1"/>
  <c r="F337" i="1"/>
  <c r="G25" i="1"/>
  <c r="G79" i="1"/>
  <c r="G94" i="1"/>
  <c r="G130" i="1"/>
  <c r="G153" i="1"/>
  <c r="G215" i="1"/>
  <c r="G286" i="1"/>
  <c r="G309" i="1"/>
  <c r="G322" i="1"/>
  <c r="G331" i="1"/>
  <c r="F331" i="1"/>
  <c r="F323" i="1"/>
  <c r="G323" i="1"/>
  <c r="G315" i="1"/>
  <c r="F315" i="1"/>
  <c r="F303" i="1"/>
  <c r="G303" i="1"/>
  <c r="F295" i="1"/>
  <c r="G295" i="1"/>
  <c r="F287" i="1"/>
  <c r="G287" i="1"/>
  <c r="G267" i="1"/>
  <c r="F267" i="1"/>
  <c r="F259" i="1"/>
  <c r="G259" i="1"/>
  <c r="G251" i="1"/>
  <c r="F251" i="1"/>
  <c r="F239" i="1"/>
  <c r="G239" i="1"/>
  <c r="G231" i="1"/>
  <c r="F231" i="1"/>
  <c r="G211" i="1"/>
  <c r="F211" i="1"/>
  <c r="F195" i="1"/>
  <c r="G195" i="1"/>
  <c r="G183" i="1"/>
  <c r="F183" i="1"/>
  <c r="G167" i="1"/>
  <c r="F167" i="1"/>
  <c r="G147" i="1"/>
  <c r="F147" i="1"/>
  <c r="F131" i="1"/>
  <c r="G131" i="1"/>
  <c r="G119" i="1"/>
  <c r="F119" i="1"/>
  <c r="G103" i="1"/>
  <c r="F103" i="1"/>
  <c r="G83" i="1"/>
  <c r="F83" i="1"/>
  <c r="F67" i="1"/>
  <c r="G67" i="1"/>
  <c r="G19" i="1"/>
  <c r="F19" i="1"/>
  <c r="F23" i="1"/>
  <c r="F31" i="1"/>
  <c r="F59" i="1"/>
  <c r="F75" i="1"/>
  <c r="F111" i="1"/>
  <c r="F139" i="1"/>
  <c r="F175" i="1"/>
  <c r="F203" i="1"/>
  <c r="F275" i="1"/>
  <c r="F327" i="1"/>
  <c r="G35" i="1"/>
  <c r="G71" i="1"/>
  <c r="G143" i="1"/>
  <c r="G243" i="1"/>
  <c r="G279" i="1"/>
  <c r="G291" i="1"/>
  <c r="F338" i="1"/>
  <c r="G338" i="1"/>
  <c r="F330" i="1"/>
  <c r="G330" i="1"/>
  <c r="G310" i="1"/>
  <c r="F310" i="1"/>
  <c r="F302" i="1"/>
  <c r="G302" i="1"/>
  <c r="G294" i="1"/>
  <c r="F294" i="1"/>
  <c r="F282" i="1"/>
  <c r="G282" i="1"/>
  <c r="F274" i="1"/>
  <c r="G274" i="1"/>
  <c r="F266" i="1"/>
  <c r="G266" i="1"/>
  <c r="G246" i="1"/>
  <c r="F246" i="1"/>
  <c r="F238" i="1"/>
  <c r="G238" i="1"/>
  <c r="G226" i="1"/>
  <c r="F226" i="1"/>
  <c r="G210" i="1"/>
  <c r="F210" i="1"/>
  <c r="G190" i="1"/>
  <c r="F190" i="1"/>
  <c r="F174" i="1"/>
  <c r="G174" i="1"/>
  <c r="G162" i="1"/>
  <c r="F162" i="1"/>
  <c r="G146" i="1"/>
  <c r="F146" i="1"/>
  <c r="G126" i="1"/>
  <c r="F126" i="1"/>
  <c r="F110" i="1"/>
  <c r="G110" i="1"/>
  <c r="G98" i="1"/>
  <c r="F98" i="1"/>
  <c r="G82" i="1"/>
  <c r="F82" i="1"/>
  <c r="G62" i="1"/>
  <c r="F62" i="1"/>
  <c r="F46" i="1"/>
  <c r="G46" i="1"/>
  <c r="F11" i="1"/>
  <c r="F18" i="1"/>
  <c r="F26" i="1"/>
  <c r="F39" i="1"/>
  <c r="F47" i="1"/>
  <c r="F54" i="1"/>
  <c r="F86" i="1"/>
  <c r="F95" i="1"/>
  <c r="F123" i="1"/>
  <c r="F150" i="1"/>
  <c r="F159" i="1"/>
  <c r="F187" i="1"/>
  <c r="F214" i="1"/>
  <c r="F223" i="1"/>
  <c r="F234" i="1"/>
  <c r="F278" i="1"/>
  <c r="F318" i="1"/>
  <c r="F339" i="1"/>
  <c r="G14" i="1"/>
  <c r="G51" i="1"/>
  <c r="G87" i="1"/>
  <c r="G99" i="1"/>
  <c r="G114" i="1"/>
  <c r="G135" i="1"/>
  <c r="G158" i="1"/>
  <c r="G194" i="1"/>
  <c r="G207" i="1"/>
  <c r="G255" i="1"/>
  <c r="G270" i="1"/>
  <c r="G307" i="1"/>
  <c r="G343" i="1"/>
  <c r="F6" i="1"/>
  <c r="F27" i="1"/>
  <c r="F34" i="1"/>
  <c r="F42" i="1"/>
  <c r="F55" i="1"/>
  <c r="F63" i="1"/>
  <c r="F70" i="1"/>
  <c r="F90" i="1"/>
  <c r="F107" i="1"/>
  <c r="F134" i="1"/>
  <c r="F154" i="1"/>
  <c r="F171" i="1"/>
  <c r="F198" i="1"/>
  <c r="F218" i="1"/>
  <c r="F235" i="1"/>
  <c r="F247" i="1"/>
  <c r="F262" i="1"/>
  <c r="F283" i="1"/>
  <c r="F342" i="1"/>
  <c r="G78" i="1"/>
  <c r="G115" i="1"/>
  <c r="G151" i="1"/>
  <c r="G163" i="1"/>
  <c r="G178" i="1"/>
  <c r="G199" i="1"/>
  <c r="G222" i="1"/>
  <c r="G258" i="1"/>
  <c r="G271" i="1"/>
  <c r="G298" i="1"/>
  <c r="G319" i="1"/>
  <c r="F41" i="1"/>
  <c r="F105" i="1"/>
  <c r="F169" i="1"/>
  <c r="F233" i="1"/>
  <c r="F289" i="1"/>
  <c r="G261" i="1"/>
  <c r="G325" i="1"/>
  <c r="F340" i="1"/>
  <c r="G340" i="1"/>
  <c r="F332" i="1"/>
  <c r="G332" i="1"/>
  <c r="F320" i="1"/>
  <c r="G320" i="1"/>
  <c r="F308" i="1"/>
  <c r="G308" i="1"/>
  <c r="F304" i="1"/>
  <c r="G304" i="1"/>
  <c r="G292" i="1"/>
  <c r="F292" i="1"/>
  <c r="F280" i="1"/>
  <c r="G280" i="1"/>
  <c r="G272" i="1"/>
  <c r="F272" i="1"/>
  <c r="G260" i="1"/>
  <c r="F260" i="1"/>
  <c r="F252" i="1"/>
  <c r="G252" i="1"/>
  <c r="F240" i="1"/>
  <c r="G240" i="1"/>
  <c r="G232" i="1"/>
  <c r="F232" i="1"/>
  <c r="G220" i="1"/>
  <c r="F220" i="1"/>
  <c r="G208" i="1"/>
  <c r="F208" i="1"/>
  <c r="F204" i="1"/>
  <c r="G204" i="1"/>
  <c r="G192" i="1"/>
  <c r="F192" i="1"/>
  <c r="F184" i="1"/>
  <c r="G184" i="1"/>
  <c r="F176" i="1"/>
  <c r="G176" i="1"/>
  <c r="G168" i="1"/>
  <c r="F168" i="1"/>
  <c r="F160" i="1"/>
  <c r="G160" i="1"/>
  <c r="F148" i="1"/>
  <c r="G148" i="1"/>
  <c r="G140" i="1"/>
  <c r="F140" i="1"/>
  <c r="G132" i="1"/>
  <c r="F132" i="1"/>
  <c r="F124" i="1"/>
  <c r="G124" i="1"/>
  <c r="F116" i="1"/>
  <c r="G116" i="1"/>
  <c r="G108" i="1"/>
  <c r="F108" i="1"/>
  <c r="F100" i="1"/>
  <c r="G100" i="1"/>
  <c r="F92" i="1"/>
  <c r="G92" i="1"/>
  <c r="G84" i="1"/>
  <c r="F84" i="1"/>
  <c r="G76" i="1"/>
  <c r="F76" i="1"/>
  <c r="G68" i="1"/>
  <c r="F68" i="1"/>
  <c r="F64" i="1"/>
  <c r="G64" i="1"/>
  <c r="G56" i="1"/>
  <c r="F56" i="1"/>
  <c r="F52" i="1"/>
  <c r="G52" i="1"/>
  <c r="G48" i="1"/>
  <c r="F48" i="1"/>
  <c r="G44" i="1"/>
  <c r="F44" i="1"/>
  <c r="G40" i="1"/>
  <c r="F40" i="1"/>
  <c r="G36" i="1"/>
  <c r="F36" i="1"/>
  <c r="G32" i="1"/>
  <c r="F32" i="1"/>
  <c r="F28" i="1"/>
  <c r="G28" i="1"/>
  <c r="G20" i="1"/>
  <c r="F20" i="1"/>
  <c r="F24" i="1"/>
  <c r="G344" i="1"/>
  <c r="F344" i="1"/>
  <c r="F328" i="1"/>
  <c r="G328" i="1"/>
  <c r="F316" i="1"/>
  <c r="G316" i="1"/>
  <c r="F296" i="1"/>
  <c r="G296" i="1"/>
  <c r="F284" i="1"/>
  <c r="G284" i="1"/>
  <c r="F268" i="1"/>
  <c r="G268" i="1"/>
  <c r="G248" i="1"/>
  <c r="F248" i="1"/>
  <c r="F228" i="1"/>
  <c r="G228" i="1"/>
  <c r="F216" i="1"/>
  <c r="G216" i="1"/>
  <c r="F196" i="1"/>
  <c r="G196" i="1"/>
  <c r="G152" i="1"/>
  <c r="F152" i="1"/>
  <c r="F8" i="1"/>
  <c r="F16" i="1"/>
  <c r="F336" i="1"/>
  <c r="G336" i="1"/>
  <c r="F324" i="1"/>
  <c r="G324" i="1"/>
  <c r="F312" i="1"/>
  <c r="G312" i="1"/>
  <c r="F300" i="1"/>
  <c r="G300" i="1"/>
  <c r="F288" i="1"/>
  <c r="G288" i="1"/>
  <c r="F276" i="1"/>
  <c r="G276" i="1"/>
  <c r="F264" i="1"/>
  <c r="G264" i="1"/>
  <c r="F256" i="1"/>
  <c r="G256" i="1"/>
  <c r="F244" i="1"/>
  <c r="G244" i="1"/>
  <c r="F236" i="1"/>
  <c r="G236" i="1"/>
  <c r="F224" i="1"/>
  <c r="G224" i="1"/>
  <c r="F212" i="1"/>
  <c r="G212" i="1"/>
  <c r="F200" i="1"/>
  <c r="G200" i="1"/>
  <c r="F188" i="1"/>
  <c r="G188" i="1"/>
  <c r="G180" i="1"/>
  <c r="F180" i="1"/>
  <c r="F172" i="1"/>
  <c r="G172" i="1"/>
  <c r="F164" i="1"/>
  <c r="G164" i="1"/>
  <c r="F156" i="1"/>
  <c r="G156" i="1"/>
  <c r="F144" i="1"/>
  <c r="G144" i="1"/>
  <c r="F136" i="1"/>
  <c r="G136" i="1"/>
  <c r="F128" i="1"/>
  <c r="G128" i="1"/>
  <c r="G120" i="1"/>
  <c r="F120" i="1"/>
  <c r="F112" i="1"/>
  <c r="G112" i="1"/>
  <c r="F104" i="1"/>
  <c r="G104" i="1"/>
  <c r="G96" i="1"/>
  <c r="F96" i="1"/>
  <c r="F88" i="1"/>
  <c r="G88" i="1"/>
  <c r="F80" i="1"/>
  <c r="G80" i="1"/>
  <c r="G72" i="1"/>
  <c r="F72" i="1"/>
  <c r="G60" i="1"/>
  <c r="F60" i="1"/>
  <c r="F12" i="1"/>
  <c r="T109" i="1"/>
  <c r="T12" i="1"/>
  <c r="U347" i="1"/>
  <c r="T347" i="1"/>
  <c r="U346" i="1"/>
  <c r="T346" i="1"/>
  <c r="U345" i="1"/>
  <c r="T345" i="1"/>
  <c r="T344" i="1"/>
  <c r="U344" i="1"/>
  <c r="U343" i="1"/>
  <c r="T343" i="1"/>
  <c r="U342" i="1"/>
  <c r="T342" i="1"/>
  <c r="U341" i="1"/>
  <c r="T341" i="1"/>
  <c r="U340" i="1"/>
  <c r="T340" i="1"/>
  <c r="U339" i="1"/>
  <c r="T339" i="1"/>
  <c r="U338" i="1"/>
  <c r="T338" i="1"/>
  <c r="U337" i="1"/>
  <c r="T337" i="1"/>
  <c r="T336" i="1"/>
  <c r="U336" i="1"/>
  <c r="T335" i="1"/>
  <c r="U335" i="1"/>
  <c r="U334" i="1"/>
  <c r="T334" i="1"/>
  <c r="T333" i="1"/>
  <c r="U333" i="1"/>
  <c r="U332" i="1"/>
  <c r="T332" i="1"/>
  <c r="T331" i="1"/>
  <c r="U331" i="1"/>
  <c r="T330" i="1"/>
  <c r="U330" i="1"/>
  <c r="U329" i="1"/>
  <c r="T329" i="1"/>
  <c r="U328" i="1"/>
  <c r="T328" i="1"/>
  <c r="U327" i="1"/>
  <c r="T327" i="1"/>
  <c r="U326" i="1"/>
  <c r="T326" i="1"/>
  <c r="U325" i="1"/>
  <c r="T325" i="1"/>
  <c r="U324" i="1"/>
  <c r="T324" i="1"/>
  <c r="U323" i="1"/>
  <c r="T323" i="1"/>
  <c r="U322" i="1"/>
  <c r="T322" i="1"/>
  <c r="U321" i="1"/>
  <c r="T321" i="1"/>
  <c r="U320" i="1"/>
  <c r="T320" i="1"/>
  <c r="U319" i="1"/>
  <c r="T319" i="1"/>
  <c r="U318" i="1"/>
  <c r="T318" i="1"/>
  <c r="U317" i="1"/>
  <c r="T317" i="1"/>
  <c r="U316" i="1"/>
  <c r="T316" i="1"/>
  <c r="U315" i="1"/>
  <c r="T315" i="1"/>
  <c r="U314" i="1"/>
  <c r="T314" i="1"/>
  <c r="U313" i="1"/>
  <c r="T313" i="1"/>
  <c r="U312" i="1"/>
  <c r="T312" i="1"/>
  <c r="U311" i="1"/>
  <c r="T311" i="1"/>
  <c r="U310" i="1"/>
  <c r="T310" i="1"/>
  <c r="U309" i="1"/>
  <c r="T309" i="1"/>
  <c r="T308" i="1"/>
  <c r="U308" i="1"/>
  <c r="T307" i="1"/>
  <c r="U307" i="1"/>
  <c r="U306" i="1"/>
  <c r="T306" i="1"/>
  <c r="U305" i="1"/>
  <c r="T305" i="1"/>
  <c r="U304" i="1"/>
  <c r="T304" i="1"/>
  <c r="T303" i="1"/>
  <c r="U303" i="1"/>
  <c r="U302" i="1"/>
  <c r="T302" i="1"/>
  <c r="U301" i="1"/>
  <c r="T301" i="1"/>
  <c r="U300" i="1"/>
  <c r="T300" i="1"/>
  <c r="U299" i="1"/>
  <c r="T299" i="1"/>
  <c r="T298" i="1"/>
  <c r="U298" i="1"/>
  <c r="U297" i="1"/>
  <c r="T297" i="1"/>
  <c r="T296" i="1"/>
  <c r="U296" i="1"/>
  <c r="U295" i="1"/>
  <c r="T295" i="1"/>
  <c r="U294" i="1"/>
  <c r="T294" i="1"/>
  <c r="U293" i="1"/>
  <c r="T293" i="1"/>
  <c r="U292" i="1"/>
  <c r="T292" i="1"/>
  <c r="U291" i="1"/>
  <c r="T291" i="1"/>
  <c r="U290" i="1"/>
  <c r="T290" i="1"/>
  <c r="T289" i="1"/>
  <c r="U289" i="1"/>
  <c r="T288" i="1"/>
  <c r="U288" i="1"/>
  <c r="T287" i="1"/>
  <c r="U287" i="1"/>
  <c r="U286" i="1"/>
  <c r="T286" i="1"/>
  <c r="U285" i="1"/>
  <c r="T285" i="1"/>
  <c r="U284" i="1"/>
  <c r="T284" i="1"/>
  <c r="T283" i="1"/>
  <c r="U283" i="1"/>
  <c r="T282" i="1"/>
  <c r="U282" i="1"/>
  <c r="U281" i="1"/>
  <c r="T281" i="1"/>
  <c r="U280" i="1"/>
  <c r="T280" i="1"/>
  <c r="T279" i="1"/>
  <c r="U279" i="1"/>
  <c r="T278" i="1"/>
  <c r="U278" i="1"/>
  <c r="U277" i="1"/>
  <c r="T277" i="1"/>
  <c r="U276" i="1"/>
  <c r="T276" i="1"/>
  <c r="U275" i="1"/>
  <c r="T275" i="1"/>
  <c r="U274" i="1"/>
  <c r="T274" i="1"/>
  <c r="U273" i="1"/>
  <c r="T273" i="1"/>
  <c r="T272" i="1"/>
  <c r="U272" i="1"/>
  <c r="U271" i="1"/>
  <c r="T271" i="1"/>
  <c r="U270" i="1"/>
  <c r="T270" i="1"/>
  <c r="T269" i="1"/>
  <c r="U269" i="1"/>
  <c r="U268" i="1"/>
  <c r="T268" i="1"/>
  <c r="T267" i="1"/>
  <c r="U267" i="1"/>
  <c r="U266" i="1"/>
  <c r="T266" i="1"/>
  <c r="T265" i="1"/>
  <c r="U265" i="1"/>
  <c r="U264" i="1"/>
  <c r="T264" i="1"/>
  <c r="U263" i="1"/>
  <c r="T263" i="1"/>
  <c r="U262" i="1"/>
  <c r="T262" i="1"/>
  <c r="U261" i="1"/>
  <c r="T261" i="1"/>
  <c r="U260" i="1"/>
  <c r="T260" i="1"/>
  <c r="T259" i="1"/>
  <c r="U259" i="1"/>
  <c r="U258" i="1"/>
  <c r="T258" i="1"/>
  <c r="U257" i="1"/>
  <c r="T257" i="1"/>
  <c r="U256" i="1"/>
  <c r="T256" i="1"/>
  <c r="T255" i="1"/>
  <c r="U255" i="1"/>
  <c r="T254" i="1"/>
  <c r="U254" i="1"/>
  <c r="U253" i="1"/>
  <c r="T253" i="1"/>
  <c r="U252" i="1"/>
  <c r="T252" i="1"/>
  <c r="U251" i="1"/>
  <c r="T251" i="1"/>
  <c r="U250" i="1"/>
  <c r="T250" i="1"/>
  <c r="T249" i="1"/>
  <c r="U249" i="1"/>
  <c r="S348" i="1"/>
  <c r="T248" i="1"/>
  <c r="U248" i="1"/>
  <c r="U247" i="1"/>
  <c r="T247" i="1"/>
  <c r="U246" i="1"/>
  <c r="T246" i="1"/>
  <c r="U245" i="1"/>
  <c r="T245" i="1"/>
  <c r="T244" i="1"/>
  <c r="U244" i="1"/>
  <c r="T243" i="1"/>
  <c r="U243" i="1"/>
  <c r="T242" i="1"/>
  <c r="U242" i="1"/>
  <c r="U241" i="1"/>
  <c r="T241" i="1"/>
  <c r="U240" i="1"/>
  <c r="T240" i="1"/>
  <c r="U239" i="1"/>
  <c r="T239" i="1"/>
  <c r="T238" i="1"/>
  <c r="U238" i="1"/>
  <c r="U237" i="1"/>
  <c r="T237" i="1"/>
  <c r="U236" i="1"/>
  <c r="T236" i="1"/>
  <c r="U235" i="1"/>
  <c r="T235" i="1"/>
  <c r="T234" i="1"/>
  <c r="U234" i="1"/>
  <c r="T233" i="1"/>
  <c r="U233" i="1"/>
  <c r="U232" i="1"/>
  <c r="T232" i="1"/>
  <c r="U231" i="1"/>
  <c r="T231" i="1"/>
  <c r="U230" i="1"/>
  <c r="T230" i="1"/>
  <c r="T229" i="1"/>
  <c r="U229" i="1"/>
  <c r="U228" i="1"/>
  <c r="T228" i="1"/>
  <c r="U227" i="1"/>
  <c r="T227" i="1"/>
  <c r="T226" i="1"/>
  <c r="U226" i="1"/>
  <c r="T225" i="1"/>
  <c r="U225" i="1"/>
  <c r="U224" i="1"/>
  <c r="T224" i="1"/>
  <c r="U223" i="1"/>
  <c r="T223" i="1"/>
  <c r="U222" i="1"/>
  <c r="T222" i="1"/>
  <c r="U221" i="1"/>
  <c r="T221" i="1"/>
  <c r="T220" i="1"/>
  <c r="U220" i="1"/>
  <c r="U219" i="1"/>
  <c r="T219" i="1"/>
  <c r="U218" i="1"/>
  <c r="T218" i="1"/>
  <c r="T217" i="1"/>
  <c r="U217" i="1"/>
  <c r="T216" i="1"/>
  <c r="U216" i="1"/>
  <c r="T215" i="1"/>
  <c r="U215" i="1"/>
  <c r="T214" i="1"/>
  <c r="U214" i="1"/>
  <c r="T213" i="1"/>
  <c r="U213" i="1"/>
  <c r="U212" i="1"/>
  <c r="T212" i="1"/>
  <c r="T211" i="1"/>
  <c r="U211" i="1"/>
  <c r="U210" i="1"/>
  <c r="T210" i="1"/>
  <c r="U209" i="1"/>
  <c r="T209" i="1"/>
  <c r="U208" i="1"/>
  <c r="T208" i="1"/>
  <c r="T207" i="1"/>
  <c r="U207" i="1"/>
  <c r="U206" i="1"/>
  <c r="T206" i="1"/>
  <c r="T205" i="1"/>
  <c r="U205" i="1"/>
  <c r="T204" i="1"/>
  <c r="U204" i="1"/>
  <c r="U203" i="1"/>
  <c r="T203" i="1"/>
  <c r="U202" i="1"/>
  <c r="T202" i="1"/>
  <c r="T201" i="1"/>
  <c r="U201" i="1"/>
  <c r="T200" i="1"/>
  <c r="U200" i="1"/>
  <c r="T199" i="1"/>
  <c r="U199" i="1"/>
  <c r="U198" i="1"/>
  <c r="T198" i="1"/>
  <c r="U197" i="1"/>
  <c r="T197" i="1"/>
  <c r="U196" i="1"/>
  <c r="T196" i="1"/>
  <c r="T195" i="1"/>
  <c r="U195" i="1"/>
  <c r="U194" i="1"/>
  <c r="T194" i="1"/>
  <c r="U193" i="1"/>
  <c r="T193" i="1"/>
  <c r="T192" i="1"/>
  <c r="U192" i="1"/>
  <c r="T191" i="1"/>
  <c r="U191" i="1"/>
  <c r="T190" i="1"/>
  <c r="U190" i="1"/>
  <c r="T189" i="1"/>
  <c r="U189" i="1"/>
  <c r="U188" i="1"/>
  <c r="T188" i="1"/>
  <c r="U187" i="1"/>
  <c r="T187" i="1"/>
  <c r="U186" i="1"/>
  <c r="T186" i="1"/>
  <c r="U185" i="1"/>
  <c r="T185" i="1"/>
  <c r="U184" i="1"/>
  <c r="T184" i="1"/>
  <c r="U183" i="1"/>
  <c r="T183" i="1"/>
  <c r="U182" i="1"/>
  <c r="T182" i="1"/>
  <c r="U181" i="1"/>
  <c r="T181" i="1"/>
  <c r="U180" i="1"/>
  <c r="T180" i="1"/>
  <c r="U179" i="1"/>
  <c r="T179" i="1"/>
  <c r="U178" i="1"/>
  <c r="T178" i="1"/>
  <c r="U177" i="1"/>
  <c r="T177" i="1"/>
  <c r="U176" i="1"/>
  <c r="T176" i="1"/>
  <c r="U175" i="1"/>
  <c r="T175" i="1"/>
  <c r="U174" i="1"/>
  <c r="T174" i="1"/>
  <c r="U173" i="1"/>
  <c r="T173" i="1"/>
  <c r="U172" i="1"/>
  <c r="T172" i="1"/>
  <c r="U171" i="1"/>
  <c r="T171" i="1"/>
  <c r="U170" i="1"/>
  <c r="T170" i="1"/>
  <c r="U169" i="1"/>
  <c r="T169" i="1"/>
  <c r="U168" i="1"/>
  <c r="T168" i="1"/>
  <c r="U167" i="1"/>
  <c r="T167" i="1"/>
  <c r="U166" i="1"/>
  <c r="T166" i="1"/>
  <c r="U165" i="1"/>
  <c r="T165" i="1"/>
  <c r="U164" i="1"/>
  <c r="T164" i="1"/>
  <c r="U163" i="1"/>
  <c r="T163" i="1"/>
  <c r="U162" i="1"/>
  <c r="T162" i="1"/>
  <c r="U161" i="1"/>
  <c r="T161" i="1"/>
  <c r="U160" i="1"/>
  <c r="T160" i="1"/>
  <c r="U159" i="1"/>
  <c r="T159" i="1"/>
  <c r="U158" i="1"/>
  <c r="T158" i="1"/>
  <c r="U157" i="1"/>
  <c r="T157" i="1"/>
  <c r="T156" i="1"/>
  <c r="U156" i="1"/>
  <c r="U155" i="1"/>
  <c r="T155" i="1"/>
  <c r="U154" i="1"/>
  <c r="T154" i="1"/>
  <c r="U153" i="1"/>
  <c r="T153" i="1"/>
  <c r="U152" i="1"/>
  <c r="T152" i="1"/>
  <c r="U151" i="1"/>
  <c r="T151" i="1"/>
  <c r="U150" i="1"/>
  <c r="T150" i="1"/>
  <c r="U149" i="1"/>
  <c r="T149" i="1"/>
  <c r="U148" i="1"/>
  <c r="T148" i="1"/>
  <c r="T147" i="1"/>
  <c r="U147" i="1"/>
  <c r="T146" i="1"/>
  <c r="U146" i="1"/>
  <c r="U145" i="1"/>
  <c r="T145" i="1"/>
  <c r="T144" i="1"/>
  <c r="U144" i="1"/>
  <c r="U143" i="1"/>
  <c r="T143" i="1"/>
  <c r="U142" i="1"/>
  <c r="T142" i="1"/>
  <c r="T141" i="1"/>
  <c r="U141" i="1"/>
  <c r="T140" i="1"/>
  <c r="U140" i="1"/>
  <c r="T139" i="1"/>
  <c r="U139" i="1"/>
  <c r="T138" i="1"/>
  <c r="U138" i="1"/>
  <c r="U137" i="1"/>
  <c r="T137" i="1"/>
  <c r="U136" i="1"/>
  <c r="T136" i="1"/>
  <c r="U135" i="1"/>
  <c r="T135" i="1"/>
  <c r="U134" i="1"/>
  <c r="T134" i="1"/>
  <c r="U133" i="1"/>
  <c r="T133" i="1"/>
  <c r="U132" i="1"/>
  <c r="T132" i="1"/>
  <c r="T131" i="1"/>
  <c r="U131" i="1"/>
  <c r="U130" i="1"/>
  <c r="T130" i="1"/>
  <c r="U129" i="1"/>
  <c r="T129" i="1"/>
  <c r="U128" i="1"/>
  <c r="T128" i="1"/>
  <c r="U127" i="1"/>
  <c r="T127" i="1"/>
  <c r="U126" i="1"/>
  <c r="T126" i="1"/>
  <c r="T125" i="1"/>
  <c r="U125" i="1"/>
  <c r="U124" i="1"/>
  <c r="T124" i="1"/>
  <c r="U123" i="1"/>
  <c r="T123" i="1"/>
  <c r="U122" i="1"/>
  <c r="T122" i="1"/>
  <c r="U121" i="1"/>
  <c r="T121" i="1"/>
  <c r="U120" i="1"/>
  <c r="T120" i="1"/>
  <c r="U119" i="1"/>
  <c r="T119" i="1"/>
  <c r="U118" i="1"/>
  <c r="T118" i="1"/>
  <c r="U117" i="1"/>
  <c r="T117" i="1"/>
  <c r="T116" i="1"/>
  <c r="U116" i="1"/>
  <c r="U115" i="1"/>
  <c r="T115" i="1"/>
  <c r="T114" i="1"/>
  <c r="U114" i="1"/>
  <c r="U113" i="1"/>
  <c r="T113" i="1"/>
  <c r="T112" i="1"/>
  <c r="U112" i="1"/>
  <c r="T111" i="1"/>
  <c r="U111" i="1"/>
  <c r="U110" i="1"/>
  <c r="T110" i="1"/>
  <c r="U108" i="1"/>
  <c r="T108" i="1"/>
  <c r="T107" i="1"/>
  <c r="U107" i="1"/>
  <c r="U106" i="1"/>
  <c r="T106" i="1"/>
  <c r="T105" i="1"/>
  <c r="U105" i="1"/>
  <c r="U104" i="1"/>
  <c r="T104" i="1"/>
  <c r="T103" i="1"/>
  <c r="U103" i="1"/>
  <c r="U102" i="1"/>
  <c r="T102" i="1"/>
  <c r="U101" i="1"/>
  <c r="T101" i="1"/>
  <c r="T100" i="1"/>
  <c r="U100" i="1"/>
  <c r="U99" i="1"/>
  <c r="T99" i="1"/>
  <c r="U98" i="1"/>
  <c r="T98" i="1"/>
  <c r="U97" i="1"/>
  <c r="T97" i="1"/>
  <c r="T96" i="1"/>
  <c r="U96" i="1"/>
  <c r="U95" i="1"/>
  <c r="T95" i="1"/>
  <c r="T94" i="1"/>
  <c r="U94" i="1"/>
  <c r="T93" i="1"/>
  <c r="U93" i="1"/>
  <c r="T92" i="1"/>
  <c r="U92" i="1"/>
  <c r="U91" i="1"/>
  <c r="T91" i="1"/>
  <c r="U90" i="1"/>
  <c r="T90" i="1"/>
  <c r="U89" i="1"/>
  <c r="T89" i="1"/>
  <c r="U88" i="1"/>
  <c r="T88" i="1"/>
  <c r="U87" i="1"/>
  <c r="T87" i="1"/>
  <c r="U86" i="1"/>
  <c r="T86" i="1"/>
  <c r="U85" i="1"/>
  <c r="T85" i="1"/>
  <c r="T84" i="1"/>
  <c r="U84" i="1"/>
  <c r="U83" i="1"/>
  <c r="T83" i="1"/>
  <c r="U82" i="1"/>
  <c r="T82" i="1"/>
  <c r="U81" i="1"/>
  <c r="T81" i="1"/>
  <c r="U80" i="1"/>
  <c r="T80" i="1"/>
  <c r="U79" i="1"/>
  <c r="T79" i="1"/>
  <c r="U78" i="1"/>
  <c r="T78" i="1"/>
  <c r="T77" i="1"/>
  <c r="U77" i="1"/>
  <c r="T76" i="1"/>
  <c r="U76" i="1"/>
  <c r="T75" i="1"/>
  <c r="U75" i="1"/>
  <c r="U74" i="1"/>
  <c r="T74" i="1"/>
  <c r="U73" i="1"/>
  <c r="T73" i="1"/>
  <c r="T72" i="1"/>
  <c r="U72" i="1"/>
  <c r="U71" i="1"/>
  <c r="T71" i="1"/>
  <c r="U70" i="1"/>
  <c r="T70" i="1"/>
  <c r="U69" i="1"/>
  <c r="T69" i="1"/>
  <c r="T68" i="1"/>
  <c r="U68" i="1"/>
  <c r="U67" i="1"/>
  <c r="T67" i="1"/>
  <c r="U66" i="1"/>
  <c r="T66" i="1"/>
  <c r="T65" i="1"/>
  <c r="U65" i="1"/>
  <c r="U64" i="1"/>
  <c r="T64" i="1"/>
  <c r="T63" i="1"/>
  <c r="U63" i="1"/>
  <c r="T62" i="1"/>
  <c r="U62" i="1"/>
  <c r="T61" i="1"/>
  <c r="U61" i="1"/>
  <c r="T60" i="1"/>
  <c r="U60" i="1"/>
  <c r="U59" i="1"/>
  <c r="T59" i="1"/>
  <c r="U58" i="1"/>
  <c r="T58" i="1"/>
  <c r="U57" i="1"/>
  <c r="T57" i="1"/>
  <c r="T56" i="1"/>
  <c r="U56" i="1"/>
  <c r="T55" i="1"/>
  <c r="U55" i="1"/>
  <c r="U54" i="1"/>
  <c r="T54" i="1"/>
  <c r="U53" i="1"/>
  <c r="T53" i="1"/>
  <c r="U52" i="1"/>
  <c r="T52" i="1"/>
  <c r="U51" i="1"/>
  <c r="T51" i="1"/>
  <c r="U50" i="1"/>
  <c r="T50" i="1"/>
  <c r="U49" i="1"/>
  <c r="T49" i="1"/>
  <c r="U48" i="1"/>
  <c r="T48" i="1"/>
  <c r="T47" i="1"/>
  <c r="U47" i="1"/>
  <c r="U46" i="1"/>
  <c r="T46" i="1"/>
  <c r="T45" i="1"/>
  <c r="U45" i="1"/>
  <c r="U44" i="1"/>
  <c r="T44" i="1"/>
  <c r="U43" i="1"/>
  <c r="T43" i="1"/>
  <c r="U42" i="1"/>
  <c r="T42" i="1"/>
  <c r="T41" i="1"/>
  <c r="U41" i="1"/>
  <c r="T40" i="1"/>
  <c r="U40" i="1"/>
  <c r="U39" i="1"/>
  <c r="T39" i="1"/>
  <c r="U38" i="1"/>
  <c r="T38" i="1"/>
  <c r="U37" i="1"/>
  <c r="T37" i="1"/>
  <c r="U36" i="1"/>
  <c r="T36" i="1"/>
  <c r="U35" i="1"/>
  <c r="T35" i="1"/>
  <c r="U34" i="1"/>
  <c r="T34" i="1"/>
  <c r="U33" i="1"/>
  <c r="T33" i="1"/>
  <c r="T32" i="1"/>
  <c r="U32" i="1"/>
  <c r="T31" i="1"/>
  <c r="U31" i="1"/>
  <c r="T30" i="1"/>
  <c r="U30" i="1"/>
  <c r="U29" i="1"/>
  <c r="T29" i="1"/>
  <c r="U28" i="1"/>
  <c r="T28" i="1"/>
  <c r="T27" i="1"/>
  <c r="U27" i="1"/>
  <c r="U26" i="1"/>
  <c r="T26" i="1"/>
  <c r="U25" i="1"/>
  <c r="T25" i="1"/>
  <c r="T24" i="1"/>
  <c r="U24" i="1"/>
  <c r="T23" i="1"/>
  <c r="U23" i="1"/>
  <c r="U22" i="1"/>
  <c r="T22" i="1"/>
  <c r="U21" i="1"/>
  <c r="T21" i="1"/>
  <c r="T20" i="1"/>
  <c r="U20" i="1"/>
  <c r="U19" i="1"/>
  <c r="T19" i="1"/>
  <c r="U18" i="1"/>
  <c r="T18" i="1"/>
  <c r="T17" i="1"/>
  <c r="U17" i="1"/>
  <c r="U16" i="1"/>
  <c r="T16" i="1"/>
  <c r="U15" i="1"/>
  <c r="T15" i="1"/>
  <c r="U14" i="1"/>
  <c r="T14" i="1"/>
  <c r="T13" i="1"/>
  <c r="U13" i="1"/>
  <c r="U11" i="1"/>
  <c r="T11" i="1"/>
  <c r="T10" i="1"/>
  <c r="U10" i="1"/>
  <c r="U9" i="1"/>
  <c r="T9" i="1"/>
  <c r="U8" i="1"/>
  <c r="T8" i="1"/>
  <c r="U7" i="1"/>
  <c r="T7" i="1"/>
  <c r="T6" i="1"/>
  <c r="U6" i="1"/>
  <c r="S349" i="1"/>
  <c r="T5" i="1"/>
  <c r="U5" i="1"/>
  <c r="G349" i="1" l="1"/>
  <c r="G350" i="1"/>
  <c r="E345" i="1"/>
  <c r="G345" i="1" s="1"/>
  <c r="F345" i="1"/>
  <c r="J20" i="1"/>
  <c r="J33" i="1"/>
  <c r="J17" i="1"/>
  <c r="J31" i="1"/>
  <c r="J21" i="1"/>
  <c r="J18" i="1"/>
</calcChain>
</file>

<file path=xl/sharedStrings.xml><?xml version="1.0" encoding="utf-8"?>
<sst xmlns="http://schemas.openxmlformats.org/spreadsheetml/2006/main" count="2174" uniqueCount="736">
  <si>
    <t>2024</t>
  </si>
  <si>
    <t>id</t>
  </si>
  <si>
    <t>Nombre del Municipio</t>
  </si>
  <si>
    <t>Hablan español</t>
  </si>
  <si>
    <t>Población de 3 años o más</t>
  </si>
  <si>
    <t>Porcentaje de la población de 3 años o más, que hablan español (materno, primer o segundo idioma)</t>
  </si>
  <si>
    <t>Porcentaje de la población de 3 años o mas, que no hablan español (como su lengua materna, primero o segundo idioma), 2012</t>
  </si>
  <si>
    <t>Departamento</t>
  </si>
  <si>
    <t>Población de 3 años o más que no habla español, 2012</t>
  </si>
  <si>
    <t>Población de 3 años o más que habla español, 2012</t>
  </si>
  <si>
    <t>No</t>
  </si>
  <si>
    <t>Si</t>
  </si>
  <si>
    <t>Count</t>
  </si>
  <si>
    <t>Sucre</t>
  </si>
  <si>
    <t>Chuquisaca</t>
  </si>
  <si>
    <t>10101</t>
  </si>
  <si>
    <t>Yotala</t>
  </si>
  <si>
    <t>La Paz</t>
  </si>
  <si>
    <t>10102</t>
  </si>
  <si>
    <t>Poroma</t>
  </si>
  <si>
    <t>Cochabamba</t>
  </si>
  <si>
    <t>10103</t>
  </si>
  <si>
    <t>Oruro</t>
  </si>
  <si>
    <t>10201</t>
  </si>
  <si>
    <t>Villa Azurduy</t>
  </si>
  <si>
    <t>Tarvita</t>
  </si>
  <si>
    <t>Potosi</t>
  </si>
  <si>
    <t>10202</t>
  </si>
  <si>
    <t>Tarija</t>
  </si>
  <si>
    <t>10301</t>
  </si>
  <si>
    <t>Zudañez</t>
  </si>
  <si>
    <t>Presto</t>
  </si>
  <si>
    <t>Santa Cruz</t>
  </si>
  <si>
    <t>10302</t>
  </si>
  <si>
    <t xml:space="preserve">Beni </t>
  </si>
  <si>
    <t>10303</t>
  </si>
  <si>
    <t>Villa Mojocoya</t>
  </si>
  <si>
    <t>Icla</t>
  </si>
  <si>
    <t>Pando</t>
  </si>
  <si>
    <t>10304</t>
  </si>
  <si>
    <t xml:space="preserve">Gran Chaco </t>
  </si>
  <si>
    <t>10401</t>
  </si>
  <si>
    <t>Padilla</t>
  </si>
  <si>
    <t>Tomina</t>
  </si>
  <si>
    <t>Bolivia</t>
  </si>
  <si>
    <t>10402</t>
  </si>
  <si>
    <t>Sopachuy</t>
  </si>
  <si>
    <t>10403</t>
  </si>
  <si>
    <t>Villa Alcalá</t>
  </si>
  <si>
    <t>Mejor valor</t>
  </si>
  <si>
    <t>10404</t>
  </si>
  <si>
    <t>El Villar</t>
  </si>
  <si>
    <t>Peor valor</t>
  </si>
  <si>
    <t>10405</t>
  </si>
  <si>
    <t>Monteagudo</t>
  </si>
  <si>
    <t>10501</t>
  </si>
  <si>
    <t>Promedio</t>
  </si>
  <si>
    <t>Prom - desv</t>
  </si>
  <si>
    <t>10502</t>
  </si>
  <si>
    <t>San Pablo de Huacareta</t>
  </si>
  <si>
    <t>Tarabuco</t>
  </si>
  <si>
    <t>Desv. Estándar</t>
  </si>
  <si>
    <t>Prom</t>
  </si>
  <si>
    <t>10601</t>
  </si>
  <si>
    <t>Yamparáez</t>
  </si>
  <si>
    <t>Prom + desv</t>
  </si>
  <si>
    <t>10602</t>
  </si>
  <si>
    <t>Camargo</t>
  </si>
  <si>
    <t xml:space="preserve">Top 5 de los mejores valores </t>
  </si>
  <si>
    <t>10701</t>
  </si>
  <si>
    <t>San Lucas</t>
  </si>
  <si>
    <t>10702</t>
  </si>
  <si>
    <t>Incahuasi</t>
  </si>
  <si>
    <t>10703</t>
  </si>
  <si>
    <t>Villa Charcas</t>
  </si>
  <si>
    <t>10704</t>
  </si>
  <si>
    <t>Villa Serrano</t>
  </si>
  <si>
    <t>10801</t>
  </si>
  <si>
    <t>10901</t>
  </si>
  <si>
    <t>Villa Abecia</t>
  </si>
  <si>
    <t>Culpina</t>
  </si>
  <si>
    <t>Promedio de los Top 5</t>
  </si>
  <si>
    <t>10902</t>
  </si>
  <si>
    <t>Las Carreras</t>
  </si>
  <si>
    <t>10903</t>
  </si>
  <si>
    <t>2,5% percentil inferior</t>
  </si>
  <si>
    <t>11001</t>
  </si>
  <si>
    <t>Villa Vaca Guzman</t>
  </si>
  <si>
    <t>Huacaya</t>
  </si>
  <si>
    <t>11002</t>
  </si>
  <si>
    <t>11003</t>
  </si>
  <si>
    <t>Macharetí</t>
  </si>
  <si>
    <t>20101</t>
  </si>
  <si>
    <t>Nuestra Señora de La Paz</t>
  </si>
  <si>
    <t>Palca</t>
  </si>
  <si>
    <t>20102</t>
  </si>
  <si>
    <t>Mecapaca</t>
  </si>
  <si>
    <t>20103</t>
  </si>
  <si>
    <t>Achocalla</t>
  </si>
  <si>
    <t>20104</t>
  </si>
  <si>
    <t>El Alto</t>
  </si>
  <si>
    <t>20105</t>
  </si>
  <si>
    <t>Achacachi</t>
  </si>
  <si>
    <t>20201</t>
  </si>
  <si>
    <t>Ancoraimes</t>
  </si>
  <si>
    <t>20202</t>
  </si>
  <si>
    <t>Chua Cocani</t>
  </si>
  <si>
    <t>20203</t>
  </si>
  <si>
    <t>Huarina</t>
  </si>
  <si>
    <t>20204</t>
  </si>
  <si>
    <t>Santiago de Huata</t>
  </si>
  <si>
    <t>20205</t>
  </si>
  <si>
    <t>Huatajata</t>
  </si>
  <si>
    <t>20206</t>
  </si>
  <si>
    <t>20301</t>
  </si>
  <si>
    <t>Coro Coro</t>
  </si>
  <si>
    <t>Caquiaviri</t>
  </si>
  <si>
    <t>20302</t>
  </si>
  <si>
    <t>Calacoto</t>
  </si>
  <si>
    <t>20303</t>
  </si>
  <si>
    <t>Comanche</t>
  </si>
  <si>
    <t>20304</t>
  </si>
  <si>
    <t>Charaña</t>
  </si>
  <si>
    <t>20305</t>
  </si>
  <si>
    <t>20306</t>
  </si>
  <si>
    <t>Waldo Ballivian</t>
  </si>
  <si>
    <t>Nazacara de Pacajes</t>
  </si>
  <si>
    <t>20307</t>
  </si>
  <si>
    <t>20308</t>
  </si>
  <si>
    <t>Santiago de Callapa</t>
  </si>
  <si>
    <t>Puerto Acosta</t>
  </si>
  <si>
    <t>20401</t>
  </si>
  <si>
    <t>Mocomoco</t>
  </si>
  <si>
    <t>20402</t>
  </si>
  <si>
    <t>20403</t>
  </si>
  <si>
    <t>Puerto Mayor de Carabuco</t>
  </si>
  <si>
    <t>Humanata</t>
  </si>
  <si>
    <t>20404</t>
  </si>
  <si>
    <t>Escoma</t>
  </si>
  <si>
    <t>20405</t>
  </si>
  <si>
    <t>Chuma</t>
  </si>
  <si>
    <t>20501</t>
  </si>
  <si>
    <t>Ayata</t>
  </si>
  <si>
    <t>20502</t>
  </si>
  <si>
    <t>Aucapata</t>
  </si>
  <si>
    <t>20503</t>
  </si>
  <si>
    <t>Sorata</t>
  </si>
  <si>
    <t>20601</t>
  </si>
  <si>
    <t>Guanay</t>
  </si>
  <si>
    <t>20602</t>
  </si>
  <si>
    <t>Tacacoma</t>
  </si>
  <si>
    <t>20603</t>
  </si>
  <si>
    <t>Quiabaya</t>
  </si>
  <si>
    <t>20604</t>
  </si>
  <si>
    <t>Combaya</t>
  </si>
  <si>
    <t>20605</t>
  </si>
  <si>
    <t>Tipuani</t>
  </si>
  <si>
    <t>20606</t>
  </si>
  <si>
    <t>Mapiri</t>
  </si>
  <si>
    <t>20607</t>
  </si>
  <si>
    <t>Teoponte</t>
  </si>
  <si>
    <t>20608</t>
  </si>
  <si>
    <t>Apolo</t>
  </si>
  <si>
    <t>20701</t>
  </si>
  <si>
    <t>Pelechuco</t>
  </si>
  <si>
    <t>20702</t>
  </si>
  <si>
    <t>Viacha</t>
  </si>
  <si>
    <t>20801</t>
  </si>
  <si>
    <t>Guaqui</t>
  </si>
  <si>
    <t>20802</t>
  </si>
  <si>
    <t>20803</t>
  </si>
  <si>
    <t>Tiahuanacu</t>
  </si>
  <si>
    <t>Desaguadero</t>
  </si>
  <si>
    <t>20804</t>
  </si>
  <si>
    <t>20805</t>
  </si>
  <si>
    <t>San Andrés de Machaca</t>
  </si>
  <si>
    <t>Jesús de Machaca</t>
  </si>
  <si>
    <t>20806</t>
  </si>
  <si>
    <t>Taraco</t>
  </si>
  <si>
    <t>20807</t>
  </si>
  <si>
    <t>Luribay</t>
  </si>
  <si>
    <t>20901</t>
  </si>
  <si>
    <t>Sapahaqui</t>
  </si>
  <si>
    <t>20902</t>
  </si>
  <si>
    <t>Yaco</t>
  </si>
  <si>
    <t>20903</t>
  </si>
  <si>
    <t>Malla</t>
  </si>
  <si>
    <t>20904</t>
  </si>
  <si>
    <t>Cairoma</t>
  </si>
  <si>
    <t>20905</t>
  </si>
  <si>
    <t>Inquisivi</t>
  </si>
  <si>
    <t>21001</t>
  </si>
  <si>
    <t>Quime</t>
  </si>
  <si>
    <t>21002</t>
  </si>
  <si>
    <t>Cajuata</t>
  </si>
  <si>
    <t>21003</t>
  </si>
  <si>
    <t>Colquiri</t>
  </si>
  <si>
    <t>21004</t>
  </si>
  <si>
    <t>Ichoca</t>
  </si>
  <si>
    <t>21005</t>
  </si>
  <si>
    <t>Villa Libertad Licoma</t>
  </si>
  <si>
    <t>21006</t>
  </si>
  <si>
    <t>Chulumani</t>
  </si>
  <si>
    <t>21101</t>
  </si>
  <si>
    <t>Irupana</t>
  </si>
  <si>
    <t>21102</t>
  </si>
  <si>
    <t>Yanacachi</t>
  </si>
  <si>
    <t>21103</t>
  </si>
  <si>
    <t>Palos Blancos</t>
  </si>
  <si>
    <t>21104</t>
  </si>
  <si>
    <t>La Asunta</t>
  </si>
  <si>
    <t>21105</t>
  </si>
  <si>
    <t>Pucarani</t>
  </si>
  <si>
    <t>21201</t>
  </si>
  <si>
    <t>Laja</t>
  </si>
  <si>
    <t>21202</t>
  </si>
  <si>
    <t>Batallas</t>
  </si>
  <si>
    <t>21203</t>
  </si>
  <si>
    <t>Puerto Pérez</t>
  </si>
  <si>
    <t>21204</t>
  </si>
  <si>
    <t>Sica Sica</t>
  </si>
  <si>
    <t>21301</t>
  </si>
  <si>
    <t>Umala</t>
  </si>
  <si>
    <t>21302</t>
  </si>
  <si>
    <t>Ayo Ayo</t>
  </si>
  <si>
    <t>21303</t>
  </si>
  <si>
    <t>Calamarca</t>
  </si>
  <si>
    <t>21304</t>
  </si>
  <si>
    <t>Patacamaya</t>
  </si>
  <si>
    <t>21305</t>
  </si>
  <si>
    <t>Colquencha</t>
  </si>
  <si>
    <t>21306</t>
  </si>
  <si>
    <t>Collana</t>
  </si>
  <si>
    <t>21307</t>
  </si>
  <si>
    <t>Coroico</t>
  </si>
  <si>
    <t>21401</t>
  </si>
  <si>
    <t>Coripata</t>
  </si>
  <si>
    <t>21402</t>
  </si>
  <si>
    <t>21501</t>
  </si>
  <si>
    <t>Ixiamas</t>
  </si>
  <si>
    <t>San Buenaventura</t>
  </si>
  <si>
    <t>21502</t>
  </si>
  <si>
    <t>21601</t>
  </si>
  <si>
    <t>General Juan José Pérez (Charazani)</t>
  </si>
  <si>
    <t>Curva</t>
  </si>
  <si>
    <t>21602</t>
  </si>
  <si>
    <t>Copacabana</t>
  </si>
  <si>
    <t>21701</t>
  </si>
  <si>
    <t>San Pedro de Tiquina</t>
  </si>
  <si>
    <t>21702</t>
  </si>
  <si>
    <t>Tito Yupanqui</t>
  </si>
  <si>
    <t>21703</t>
  </si>
  <si>
    <t>San Pedro de Curahuara</t>
  </si>
  <si>
    <t>21801</t>
  </si>
  <si>
    <t>Papel Pampa</t>
  </si>
  <si>
    <t>21802</t>
  </si>
  <si>
    <t>Chacarilla</t>
  </si>
  <si>
    <t>21803</t>
  </si>
  <si>
    <t>Santiago de Machaca</t>
  </si>
  <si>
    <t>21901</t>
  </si>
  <si>
    <t>Catacora</t>
  </si>
  <si>
    <t>21902</t>
  </si>
  <si>
    <t>Caranavi</t>
  </si>
  <si>
    <t>22001</t>
  </si>
  <si>
    <t>Alto Beni</t>
  </si>
  <si>
    <t>22002</t>
  </si>
  <si>
    <t>30101</t>
  </si>
  <si>
    <t>Aiquile</t>
  </si>
  <si>
    <t>30201</t>
  </si>
  <si>
    <t>Pasorapa</t>
  </si>
  <si>
    <t>30202</t>
  </si>
  <si>
    <t>Omereque</t>
  </si>
  <si>
    <t>30203</t>
  </si>
  <si>
    <t>30301</t>
  </si>
  <si>
    <t>Independencia</t>
  </si>
  <si>
    <t>Morochata</t>
  </si>
  <si>
    <t>30302</t>
  </si>
  <si>
    <t>Cocapata</t>
  </si>
  <si>
    <t>30303</t>
  </si>
  <si>
    <t>30401</t>
  </si>
  <si>
    <t>Tarata</t>
  </si>
  <si>
    <t>Anzaldo</t>
  </si>
  <si>
    <t>30402</t>
  </si>
  <si>
    <t>Arbieto</t>
  </si>
  <si>
    <t>30403</t>
  </si>
  <si>
    <t>Sacabamba</t>
  </si>
  <si>
    <t>30404</t>
  </si>
  <si>
    <t>Arani</t>
  </si>
  <si>
    <t>30501</t>
  </si>
  <si>
    <t>Vacas</t>
  </si>
  <si>
    <t>30502</t>
  </si>
  <si>
    <t>30601</t>
  </si>
  <si>
    <t>Arque</t>
  </si>
  <si>
    <t>Tacopaya</t>
  </si>
  <si>
    <t>30602</t>
  </si>
  <si>
    <t>Capinota</t>
  </si>
  <si>
    <t>30701</t>
  </si>
  <si>
    <t>Santivañez</t>
  </si>
  <si>
    <t>30702</t>
  </si>
  <si>
    <t>Sicaya</t>
  </si>
  <si>
    <t>30703</t>
  </si>
  <si>
    <t>Cliza</t>
  </si>
  <si>
    <t>30801</t>
  </si>
  <si>
    <t>30802</t>
  </si>
  <si>
    <t>Toco</t>
  </si>
  <si>
    <t>Tolata</t>
  </si>
  <si>
    <t>30803</t>
  </si>
  <si>
    <t>Quillacollo</t>
  </si>
  <si>
    <t>30901</t>
  </si>
  <si>
    <t>30902</t>
  </si>
  <si>
    <t>Sipe Sipe</t>
  </si>
  <si>
    <t>Tiquipaya</t>
  </si>
  <si>
    <t>30903</t>
  </si>
  <si>
    <t>30904</t>
  </si>
  <si>
    <t>Vinto</t>
  </si>
  <si>
    <t>Colcapirhua</t>
  </si>
  <si>
    <t>30905</t>
  </si>
  <si>
    <t>Sacaba</t>
  </si>
  <si>
    <t>31001</t>
  </si>
  <si>
    <t>Colomi</t>
  </si>
  <si>
    <t>31002</t>
  </si>
  <si>
    <t>Villa Tunari</t>
  </si>
  <si>
    <t>31003</t>
  </si>
  <si>
    <t>Tapacarí</t>
  </si>
  <si>
    <t>31101</t>
  </si>
  <si>
    <t>31201</t>
  </si>
  <si>
    <t>Totora</t>
  </si>
  <si>
    <t>Pojo</t>
  </si>
  <si>
    <t>31202</t>
  </si>
  <si>
    <t>Pocona</t>
  </si>
  <si>
    <t>31203</t>
  </si>
  <si>
    <t>Chimoré</t>
  </si>
  <si>
    <t>31204</t>
  </si>
  <si>
    <t>Puerto Villarroel</t>
  </si>
  <si>
    <t>31205</t>
  </si>
  <si>
    <t>Entre Ríos</t>
  </si>
  <si>
    <t>31206</t>
  </si>
  <si>
    <t>Mizque</t>
  </si>
  <si>
    <t>31301</t>
  </si>
  <si>
    <t>Vila Vila</t>
  </si>
  <si>
    <t>31302</t>
  </si>
  <si>
    <t>Alalay</t>
  </si>
  <si>
    <t>31303</t>
  </si>
  <si>
    <t>Punata</t>
  </si>
  <si>
    <t>31304</t>
  </si>
  <si>
    <t>TIOC-Raqaypampa</t>
  </si>
  <si>
    <t>Villa Rivero</t>
  </si>
  <si>
    <t>31401</t>
  </si>
  <si>
    <t>San Benito</t>
  </si>
  <si>
    <t>31402</t>
  </si>
  <si>
    <t>Tacachi</t>
  </si>
  <si>
    <t>31403</t>
  </si>
  <si>
    <t>31404</t>
  </si>
  <si>
    <t>Bolivar</t>
  </si>
  <si>
    <t>31405</t>
  </si>
  <si>
    <t>Cuchumuela (Villa Gualberto Villarroel)</t>
  </si>
  <si>
    <t>Tiraque</t>
  </si>
  <si>
    <t>31501</t>
  </si>
  <si>
    <t>Shinahota</t>
  </si>
  <si>
    <t>31601</t>
  </si>
  <si>
    <t>31602</t>
  </si>
  <si>
    <t>Caracollo</t>
  </si>
  <si>
    <t>40101</t>
  </si>
  <si>
    <t>El Choro</t>
  </si>
  <si>
    <t>40102</t>
  </si>
  <si>
    <t>40103</t>
  </si>
  <si>
    <t>Challapata</t>
  </si>
  <si>
    <t>40104</t>
  </si>
  <si>
    <t>Soracachi</t>
  </si>
  <si>
    <t>40201</t>
  </si>
  <si>
    <t>Corque</t>
  </si>
  <si>
    <t>40202</t>
  </si>
  <si>
    <t>Santuario de Quillacas</t>
  </si>
  <si>
    <t>40301</t>
  </si>
  <si>
    <t>Curahuara de Carangas</t>
  </si>
  <si>
    <t>40302</t>
  </si>
  <si>
    <t>Choquecota</t>
  </si>
  <si>
    <t>Turco</t>
  </si>
  <si>
    <t>40401</t>
  </si>
  <si>
    <t>Huachacalla</t>
  </si>
  <si>
    <t>40402</t>
  </si>
  <si>
    <t>Escara</t>
  </si>
  <si>
    <t>40501</t>
  </si>
  <si>
    <t>Cruz de Machacamarca</t>
  </si>
  <si>
    <t>40502</t>
  </si>
  <si>
    <t>40503</t>
  </si>
  <si>
    <t>Esmeralda</t>
  </si>
  <si>
    <t>40504</t>
  </si>
  <si>
    <t>Yunguyo del Litoral</t>
  </si>
  <si>
    <t>Poopó</t>
  </si>
  <si>
    <t>40505</t>
  </si>
  <si>
    <t>Pazña</t>
  </si>
  <si>
    <t>40601</t>
  </si>
  <si>
    <t>Antequera</t>
  </si>
  <si>
    <t>40602</t>
  </si>
  <si>
    <t>Huanuni</t>
  </si>
  <si>
    <t>40603</t>
  </si>
  <si>
    <t>Machacamarca</t>
  </si>
  <si>
    <t>40701</t>
  </si>
  <si>
    <t>40702</t>
  </si>
  <si>
    <t>Pampa Aullagas</t>
  </si>
  <si>
    <t>40801</t>
  </si>
  <si>
    <t>Salinas de Garcí Mendoza</t>
  </si>
  <si>
    <t>Sabaya</t>
  </si>
  <si>
    <t>40802</t>
  </si>
  <si>
    <t>Coipasa</t>
  </si>
  <si>
    <t>40901</t>
  </si>
  <si>
    <t>Chipaya</t>
  </si>
  <si>
    <t>40902</t>
  </si>
  <si>
    <t>Toledo</t>
  </si>
  <si>
    <t>40903</t>
  </si>
  <si>
    <t>Eucaliptus</t>
  </si>
  <si>
    <t>41001</t>
  </si>
  <si>
    <t>Santiago de Andamarca</t>
  </si>
  <si>
    <t>41101</t>
  </si>
  <si>
    <t>Belén de Andamarca</t>
  </si>
  <si>
    <t>41201</t>
  </si>
  <si>
    <t>San Pedro de Totora</t>
  </si>
  <si>
    <t>41202</t>
  </si>
  <si>
    <t>41301</t>
  </si>
  <si>
    <t>La Rivera</t>
  </si>
  <si>
    <t>41401</t>
  </si>
  <si>
    <t>Santiago de Huari</t>
  </si>
  <si>
    <t>Todos Santos</t>
  </si>
  <si>
    <t>41501</t>
  </si>
  <si>
    <t>Carangas</t>
  </si>
  <si>
    <t>41502</t>
  </si>
  <si>
    <t>41503</t>
  </si>
  <si>
    <t>Potosí</t>
  </si>
  <si>
    <t>41601</t>
  </si>
  <si>
    <t>Huayllamarca (Santiago de Huayllamarca)</t>
  </si>
  <si>
    <t>Tinguipaya</t>
  </si>
  <si>
    <t>50101</t>
  </si>
  <si>
    <t>Yocalla</t>
  </si>
  <si>
    <t>50102</t>
  </si>
  <si>
    <t>50103</t>
  </si>
  <si>
    <t>50104</t>
  </si>
  <si>
    <t>Belén de Urmiri</t>
  </si>
  <si>
    <t>Chayanta</t>
  </si>
  <si>
    <t>50201</t>
  </si>
  <si>
    <t>Uncía</t>
  </si>
  <si>
    <t>Llallagua</t>
  </si>
  <si>
    <t>50202</t>
  </si>
  <si>
    <t>50203</t>
  </si>
  <si>
    <t>Betanzos</t>
  </si>
  <si>
    <t>50204</t>
  </si>
  <si>
    <t>Chuquihuta - Ayllu Jucumani</t>
  </si>
  <si>
    <t>Chaquí</t>
  </si>
  <si>
    <t>50301</t>
  </si>
  <si>
    <t>Tacobamba</t>
  </si>
  <si>
    <t>50302</t>
  </si>
  <si>
    <t>Colquechaca</t>
  </si>
  <si>
    <t>50303</t>
  </si>
  <si>
    <t>Ravelo</t>
  </si>
  <si>
    <t>50401</t>
  </si>
  <si>
    <t>Pocoata</t>
  </si>
  <si>
    <t>50402</t>
  </si>
  <si>
    <t>Ocurí</t>
  </si>
  <si>
    <t>50403</t>
  </si>
  <si>
    <t>50404</t>
  </si>
  <si>
    <t>Toro Toro</t>
  </si>
  <si>
    <t>50405</t>
  </si>
  <si>
    <t>San Pedro de Macha</t>
  </si>
  <si>
    <t>Cotagaita</t>
  </si>
  <si>
    <t>50501</t>
  </si>
  <si>
    <t>San Pedro de Buena Vista</t>
  </si>
  <si>
    <t>Vitichi</t>
  </si>
  <si>
    <t>50502</t>
  </si>
  <si>
    <t>50601</t>
  </si>
  <si>
    <t>Caripuyo</t>
  </si>
  <si>
    <t>50602</t>
  </si>
  <si>
    <t>Tupiza</t>
  </si>
  <si>
    <t>50701</t>
  </si>
  <si>
    <t>Sacaca (Villa de Sacaca)</t>
  </si>
  <si>
    <t>Atocha</t>
  </si>
  <si>
    <t>50702</t>
  </si>
  <si>
    <t>50801</t>
  </si>
  <si>
    <t>San Pedro de Quemes</t>
  </si>
  <si>
    <t>50802</t>
  </si>
  <si>
    <t>San Pablo de Lipez</t>
  </si>
  <si>
    <t>50901</t>
  </si>
  <si>
    <t>Colcha ''K'' (Villa Martin)</t>
  </si>
  <si>
    <t>Mojinete</t>
  </si>
  <si>
    <t>50902</t>
  </si>
  <si>
    <t>San Antonio de Esmoruco</t>
  </si>
  <si>
    <t>51001</t>
  </si>
  <si>
    <t>Puna</t>
  </si>
  <si>
    <t>51002</t>
  </si>
  <si>
    <t>Caiza "D"</t>
  </si>
  <si>
    <t>51003</t>
  </si>
  <si>
    <t>Ckochas</t>
  </si>
  <si>
    <t>51101</t>
  </si>
  <si>
    <t>Uyuni</t>
  </si>
  <si>
    <t>51102</t>
  </si>
  <si>
    <t>Tomave</t>
  </si>
  <si>
    <t>51103</t>
  </si>
  <si>
    <t>Porco</t>
  </si>
  <si>
    <t>51201</t>
  </si>
  <si>
    <t>Arampampa</t>
  </si>
  <si>
    <t>51202</t>
  </si>
  <si>
    <t>Acasio</t>
  </si>
  <si>
    <t>51203</t>
  </si>
  <si>
    <t>Llica</t>
  </si>
  <si>
    <t>51204</t>
  </si>
  <si>
    <t>TIOC-Jatun Ayllu Yura</t>
  </si>
  <si>
    <t>Tahua</t>
  </si>
  <si>
    <t>51301</t>
  </si>
  <si>
    <t>Villazón</t>
  </si>
  <si>
    <t>51302</t>
  </si>
  <si>
    <t>San Agustín</t>
  </si>
  <si>
    <t>51401</t>
  </si>
  <si>
    <t>51402</t>
  </si>
  <si>
    <t>Padcaya</t>
  </si>
  <si>
    <t>51501</t>
  </si>
  <si>
    <t>Bermejo</t>
  </si>
  <si>
    <t>51601</t>
  </si>
  <si>
    <t>Yacuiba</t>
  </si>
  <si>
    <t>60101</t>
  </si>
  <si>
    <t>Caraparí</t>
  </si>
  <si>
    <t>60201</t>
  </si>
  <si>
    <t>60202</t>
  </si>
  <si>
    <t>Uriondo</t>
  </si>
  <si>
    <t>60301</t>
  </si>
  <si>
    <t>Yunchará</t>
  </si>
  <si>
    <t>60302</t>
  </si>
  <si>
    <t>Villa San Lorenzo</t>
  </si>
  <si>
    <t>60303</t>
  </si>
  <si>
    <t>Villa Montes</t>
  </si>
  <si>
    <t>El Puente</t>
  </si>
  <si>
    <t>60401</t>
  </si>
  <si>
    <t>60402</t>
  </si>
  <si>
    <t>Santa Cruz de la Sierra</t>
  </si>
  <si>
    <t>60501</t>
  </si>
  <si>
    <t>Cotoca</t>
  </si>
  <si>
    <t>60502</t>
  </si>
  <si>
    <t>Porongo</t>
  </si>
  <si>
    <t>60601</t>
  </si>
  <si>
    <t>La Guardia</t>
  </si>
  <si>
    <t>70101</t>
  </si>
  <si>
    <t>El Torno</t>
  </si>
  <si>
    <t>70102</t>
  </si>
  <si>
    <t>Warnes</t>
  </si>
  <si>
    <t>70103</t>
  </si>
  <si>
    <t>Okinawa Uno</t>
  </si>
  <si>
    <t>70104</t>
  </si>
  <si>
    <t>70105</t>
  </si>
  <si>
    <t>70201</t>
  </si>
  <si>
    <t>San Rafael</t>
  </si>
  <si>
    <t>70202</t>
  </si>
  <si>
    <t>Buena Vista</t>
  </si>
  <si>
    <t>70301</t>
  </si>
  <si>
    <t>San Ignacio de Velasco</t>
  </si>
  <si>
    <t>San Carlos</t>
  </si>
  <si>
    <t>70302</t>
  </si>
  <si>
    <t>San Miguel de Velasco</t>
  </si>
  <si>
    <t>Yapacaní</t>
  </si>
  <si>
    <t>70303</t>
  </si>
  <si>
    <t>70401</t>
  </si>
  <si>
    <t>San José de Chiquitos</t>
  </si>
  <si>
    <t>70402</t>
  </si>
  <si>
    <t>Pailón</t>
  </si>
  <si>
    <t>70403</t>
  </si>
  <si>
    <t>Roboré</t>
  </si>
  <si>
    <t>70404</t>
  </si>
  <si>
    <t>San Juan</t>
  </si>
  <si>
    <t>Portachuelo</t>
  </si>
  <si>
    <t>70501</t>
  </si>
  <si>
    <t>Santa Rosa del Sara</t>
  </si>
  <si>
    <t>70502</t>
  </si>
  <si>
    <t>70503</t>
  </si>
  <si>
    <t>Lagunillas</t>
  </si>
  <si>
    <t>70601</t>
  </si>
  <si>
    <t>Charagua</t>
  </si>
  <si>
    <t>70602</t>
  </si>
  <si>
    <t>Cabezas</t>
  </si>
  <si>
    <t>70603</t>
  </si>
  <si>
    <t>Colpa Bélgica</t>
  </si>
  <si>
    <t>70701</t>
  </si>
  <si>
    <t>Gutiérrez</t>
  </si>
  <si>
    <t>70702</t>
  </si>
  <si>
    <t>Camiri</t>
  </si>
  <si>
    <t>70703</t>
  </si>
  <si>
    <t>Boyuibe</t>
  </si>
  <si>
    <t>70704</t>
  </si>
  <si>
    <t>Cuevo</t>
  </si>
  <si>
    <t>Vallegrande</t>
  </si>
  <si>
    <t>70705</t>
  </si>
  <si>
    <t>70706</t>
  </si>
  <si>
    <t>Moro Moro</t>
  </si>
  <si>
    <t>70707</t>
  </si>
  <si>
    <t>70801</t>
  </si>
  <si>
    <t>Pucará</t>
  </si>
  <si>
    <t>70802</t>
  </si>
  <si>
    <t>Trigal</t>
  </si>
  <si>
    <t>Samaipata</t>
  </si>
  <si>
    <t>70803</t>
  </si>
  <si>
    <t>Pampa Grande</t>
  </si>
  <si>
    <t>70804</t>
  </si>
  <si>
    <t>Postrervalle</t>
  </si>
  <si>
    <t>Mairana</t>
  </si>
  <si>
    <t>70805</t>
  </si>
  <si>
    <t>Quirusillas</t>
  </si>
  <si>
    <t>70901</t>
  </si>
  <si>
    <t>Montero</t>
  </si>
  <si>
    <t>70902</t>
  </si>
  <si>
    <t>70903</t>
  </si>
  <si>
    <t>Mineros</t>
  </si>
  <si>
    <t>70904</t>
  </si>
  <si>
    <t>71001</t>
  </si>
  <si>
    <t>San Pedro</t>
  </si>
  <si>
    <t>71002</t>
  </si>
  <si>
    <t>General Saavedra</t>
  </si>
  <si>
    <t>Concepción</t>
  </si>
  <si>
    <t>71003</t>
  </si>
  <si>
    <t>San Javier</t>
  </si>
  <si>
    <t>71004</t>
  </si>
  <si>
    <t>Fernández Alonso</t>
  </si>
  <si>
    <t>San Ramón</t>
  </si>
  <si>
    <t>71005</t>
  </si>
  <si>
    <t>San Julián</t>
  </si>
  <si>
    <t>71101</t>
  </si>
  <si>
    <t>71102</t>
  </si>
  <si>
    <t>Cuatro Cañadas</t>
  </si>
  <si>
    <t>71103</t>
  </si>
  <si>
    <t>San Matías</t>
  </si>
  <si>
    <t>71104</t>
  </si>
  <si>
    <t>Comarapa</t>
  </si>
  <si>
    <t>71105</t>
  </si>
  <si>
    <t>San Antonio de Lomerio</t>
  </si>
  <si>
    <t>Saipina</t>
  </si>
  <si>
    <t>71106</t>
  </si>
  <si>
    <t>71201</t>
  </si>
  <si>
    <t>Puerto Quijarro</t>
  </si>
  <si>
    <t>71301</t>
  </si>
  <si>
    <t>71302</t>
  </si>
  <si>
    <t>71401</t>
  </si>
  <si>
    <t>Puerto Suarez</t>
  </si>
  <si>
    <t>Urubichá</t>
  </si>
  <si>
    <t>71402</t>
  </si>
  <si>
    <t>71403</t>
  </si>
  <si>
    <t>El Carmen Rivero Tórrez</t>
  </si>
  <si>
    <t>Trinidad</t>
  </si>
  <si>
    <t>71501</t>
  </si>
  <si>
    <t>Ascención de Guarayos</t>
  </si>
  <si>
    <t>71502</t>
  </si>
  <si>
    <t>Riberalta</t>
  </si>
  <si>
    <t>71503</t>
  </si>
  <si>
    <t>Guayaramerín</t>
  </si>
  <si>
    <t>80101</t>
  </si>
  <si>
    <t>Reyes</t>
  </si>
  <si>
    <t>80102</t>
  </si>
  <si>
    <t>San Borja</t>
  </si>
  <si>
    <t>80201</t>
  </si>
  <si>
    <t>Santa Rosa</t>
  </si>
  <si>
    <t>80202</t>
  </si>
  <si>
    <t>Rurrenabaque</t>
  </si>
  <si>
    <t>80301</t>
  </si>
  <si>
    <t>Santa Ana de Yacuma</t>
  </si>
  <si>
    <t>80302</t>
  </si>
  <si>
    <t>Exaltación</t>
  </si>
  <si>
    <t>80303</t>
  </si>
  <si>
    <t>San Ignacio</t>
  </si>
  <si>
    <t>80304</t>
  </si>
  <si>
    <t>Loreto</t>
  </si>
  <si>
    <t>80401</t>
  </si>
  <si>
    <t>San Andrés</t>
  </si>
  <si>
    <t>80402</t>
  </si>
  <si>
    <t>San Joaquín</t>
  </si>
  <si>
    <t>80501</t>
  </si>
  <si>
    <t>80601</t>
  </si>
  <si>
    <t>Puerto Siles</t>
  </si>
  <si>
    <t>80602</t>
  </si>
  <si>
    <t>Magdalena</t>
  </si>
  <si>
    <t>80701</t>
  </si>
  <si>
    <t>Baures</t>
  </si>
  <si>
    <t>80702</t>
  </si>
  <si>
    <t>Huacaraje</t>
  </si>
  <si>
    <t>80703</t>
  </si>
  <si>
    <t>80801</t>
  </si>
  <si>
    <t>Porvenir</t>
  </si>
  <si>
    <t>80802</t>
  </si>
  <si>
    <t>Bolpebra</t>
  </si>
  <si>
    <t>80803</t>
  </si>
  <si>
    <t>Bella Flor</t>
  </si>
  <si>
    <t>80901</t>
  </si>
  <si>
    <t>TIOC-Territorio Indigena Multiétnico</t>
  </si>
  <si>
    <t>90101</t>
  </si>
  <si>
    <t>Cobija</t>
  </si>
  <si>
    <t>90102</t>
  </si>
  <si>
    <t>Filadelfia</t>
  </si>
  <si>
    <t>90103</t>
  </si>
  <si>
    <t>90104</t>
  </si>
  <si>
    <t>San Lorenzo</t>
  </si>
  <si>
    <t>90201</t>
  </si>
  <si>
    <t>Puerto Rico</t>
  </si>
  <si>
    <t>Sena</t>
  </si>
  <si>
    <t>90202</t>
  </si>
  <si>
    <t>90203</t>
  </si>
  <si>
    <t>Ingavi</t>
  </si>
  <si>
    <t>90301</t>
  </si>
  <si>
    <t>Puerto Gonzalo Moreno</t>
  </si>
  <si>
    <t>Nueva Esperanza</t>
  </si>
  <si>
    <t>90302</t>
  </si>
  <si>
    <t>Villa Nueva (Loma Alta)</t>
  </si>
  <si>
    <t>90303</t>
  </si>
  <si>
    <t>Santos Mercado</t>
  </si>
  <si>
    <t>90401</t>
  </si>
  <si>
    <t>Santa Rosa del Abuná</t>
  </si>
  <si>
    <t>90402</t>
  </si>
  <si>
    <t>90501</t>
  </si>
  <si>
    <t>90502</t>
  </si>
  <si>
    <t>90503</t>
  </si>
  <si>
    <t>Municipio</t>
  </si>
  <si>
    <t>Porcentaje de la población de 3 años o mas, que no hablan español (como su lengua materna, primero o segundo idioma) 2012</t>
  </si>
  <si>
    <t>Porcentaje de la población de 3 años o mas, que no hablan español (como su lengua materna, primero o segundo idioma) 2024</t>
  </si>
  <si>
    <t>id_departamento</t>
  </si>
  <si>
    <t>Gran Chaco</t>
  </si>
  <si>
    <t>Números de personas de 3 años o mas, que no hablan español (primer, segundo idioma de mayor uso) 2012</t>
  </si>
  <si>
    <t>Números de personas de 3 años o mas, que no hablan español (primer, segundo idioma de mayor uso) 2024</t>
  </si>
  <si>
    <t>Número de personas de 3 años o mas, que no hablan español (primer, segundo idioma de mayor uso) 2012</t>
  </si>
  <si>
    <t>Número de personas de 3 años o mas, que no hablan español (primer, segundo idioma de mayor uso) 2024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</si>
  <si>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</si>
  <si>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</si>
  <si>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</si>
  <si>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</si>
  <si>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</si>
  <si>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</si>
  <si>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</si>
  <si>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</si>
  <si>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</si>
  <si>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</si>
  <si>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 xml:space="preserve">Porcentaje de la población de 3 años o mas, que no hablan español (como su lengua materna, primero o segundo idioma)
</t>
  </si>
  <si>
    <t>Porcentaje de la población de 3 años o mas, que no hablan español (como su lengua materna, primero o segundo idioma), 2024</t>
  </si>
  <si>
    <t>Gran Chado</t>
  </si>
  <si>
    <t>10</t>
  </si>
  <si>
    <t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</si>
</sst>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"/>
    <numFmt numFmtId="165" formatCode="0.0"/>
    <numFmt numFmtId="166" formatCode="0.000000"/>
    <numFmt numFmtId="167" formatCode="#,##0.0"/>
    <numFmt numFmtId="168" formatCode="_(* #,##0_);_(* \(#,##0\);_(* &quot;-&quot;??_);_(@_)"/>
  </numFmts>
  <fonts count="8">
    <font>
      <sz val="10"/>
      <color rgb="FF000000"/>
      <name val="Arial"/>
      <scheme val="minor"/>
    </font>
    <font>
      <sz val="9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  <scheme val="minor"/>
    </font>
    <font>
      <b/>
      <sz val="11"/>
      <color theme="1"/>
      <name val="Calibri"/>
      <family val="2"/>
    </font>
    <font>
      <b/>
      <sz val="9"/>
      <color theme="1"/>
      <name val="Play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3" fillId="0" borderId="0" xfId="0" applyFont="1"/>
    <xf numFmtId="165" fontId="3" fillId="0" borderId="0" xfId="0" applyNumberFormat="1" applyFont="1"/>
    <xf numFmtId="2" fontId="3" fillId="0" borderId="0" xfId="0" applyNumberFormat="1" applyFont="1"/>
    <xf numFmtId="166" fontId="3" fillId="0" borderId="0" xfId="0" applyNumberFormat="1" applyFont="1"/>
    <xf numFmtId="3" fontId="1" fillId="0" borderId="6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 wrapText="1"/>
    </xf>
    <xf numFmtId="0" fontId="4" fillId="0" borderId="0" xfId="0" applyFont="1" applyAlignment="1">
      <alignment horizontal="center" vertical="top" wrapText="1"/>
    </xf>
    <xf numFmtId="1" fontId="4" fillId="0" borderId="6" xfId="0" applyNumberFormat="1" applyFont="1" applyBorder="1"/>
    <xf numFmtId="1" fontId="4" fillId="0" borderId="6" xfId="0" applyNumberFormat="1" applyFont="1" applyBorder="1" applyAlignment="1">
      <alignment horizontal="right"/>
    </xf>
    <xf numFmtId="2" fontId="3" fillId="0" borderId="6" xfId="0" applyNumberFormat="1" applyFont="1" applyBorder="1" applyAlignment="1">
      <alignment horizontal="right"/>
    </xf>
    <xf numFmtId="0" fontId="4" fillId="0" borderId="6" xfId="0" applyFont="1" applyBorder="1"/>
    <xf numFmtId="3" fontId="4" fillId="0" borderId="6" xfId="0" applyNumberFormat="1" applyFont="1" applyBorder="1" applyAlignment="1">
      <alignment horizontal="right"/>
    </xf>
    <xf numFmtId="49" fontId="4" fillId="0" borderId="6" xfId="0" applyNumberFormat="1" applyFont="1" applyBorder="1" applyAlignment="1">
      <alignment horizontal="right"/>
    </xf>
    <xf numFmtId="1" fontId="3" fillId="0" borderId="6" xfId="0" applyNumberFormat="1" applyFont="1" applyBorder="1"/>
    <xf numFmtId="2" fontId="3" fillId="0" borderId="6" xfId="0" applyNumberFormat="1" applyFont="1" applyBorder="1"/>
    <xf numFmtId="3" fontId="4" fillId="0" borderId="6" xfId="0" applyNumberFormat="1" applyFont="1" applyBorder="1"/>
    <xf numFmtId="0" fontId="4" fillId="0" borderId="0" xfId="0" applyFont="1"/>
    <xf numFmtId="3" fontId="4" fillId="0" borderId="0" xfId="0" applyNumberFormat="1" applyFont="1"/>
    <xf numFmtId="0" fontId="3" fillId="0" borderId="6" xfId="0" applyFont="1" applyBorder="1"/>
    <xf numFmtId="3" fontId="3" fillId="0" borderId="6" xfId="0" applyNumberFormat="1" applyFont="1" applyBorder="1"/>
    <xf numFmtId="168" fontId="4" fillId="0" borderId="0" xfId="0" applyNumberFormat="1" applyFont="1" applyAlignment="1">
      <alignment horizontal="right"/>
    </xf>
    <xf numFmtId="165" fontId="3" fillId="0" borderId="6" xfId="0" applyNumberFormat="1" applyFont="1" applyBorder="1"/>
    <xf numFmtId="0" fontId="3" fillId="2" borderId="6" xfId="0" applyFont="1" applyFill="1" applyBorder="1"/>
    <xf numFmtId="165" fontId="3" fillId="2" borderId="6" xfId="0" applyNumberFormat="1" applyFont="1" applyFill="1" applyBorder="1"/>
    <xf numFmtId="1" fontId="3" fillId="0" borderId="0" xfId="0" applyNumberFormat="1" applyFont="1"/>
    <xf numFmtId="49" fontId="3" fillId="0" borderId="0" xfId="0" applyNumberFormat="1" applyFont="1"/>
    <xf numFmtId="3" fontId="3" fillId="0" borderId="0" xfId="0" applyNumberFormat="1" applyFont="1"/>
    <xf numFmtId="4" fontId="4" fillId="0" borderId="6" xfId="0" applyNumberFormat="1" applyFont="1" applyBorder="1" applyAlignment="1">
      <alignment horizontal="center" vertical="top"/>
    </xf>
    <xf numFmtId="0" fontId="5" fillId="0" borderId="0" xfId="0" applyFont="1"/>
    <xf numFmtId="49" fontId="4" fillId="0" borderId="6" xfId="0" applyNumberFormat="1" applyFont="1" applyBorder="1"/>
    <xf numFmtId="4" fontId="3" fillId="0" borderId="6" xfId="0" applyNumberFormat="1" applyFont="1" applyBorder="1" applyAlignment="1">
      <alignment horizontal="right"/>
    </xf>
    <xf numFmtId="4" fontId="3" fillId="0" borderId="6" xfId="0" applyNumberFormat="1" applyFont="1" applyBorder="1"/>
    <xf numFmtId="49" fontId="4" fillId="0" borderId="0" xfId="0" applyNumberFormat="1" applyFont="1" applyAlignment="1">
      <alignment horizontal="right"/>
    </xf>
    <xf numFmtId="0" fontId="4" fillId="0" borderId="2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4" fontId="4" fillId="0" borderId="6" xfId="0" applyNumberFormat="1" applyFont="1" applyBorder="1" applyAlignment="1">
      <alignment horizontal="right"/>
    </xf>
    <xf numFmtId="49" fontId="3" fillId="0" borderId="6" xfId="0" applyNumberFormat="1" applyFont="1" applyBorder="1"/>
    <xf numFmtId="3" fontId="4" fillId="0" borderId="6" xfId="0" applyNumberFormat="1" applyFont="1" applyBorder="1" applyAlignment="1">
      <alignment horizontal="center" vertical="top"/>
    </xf>
    <xf numFmtId="1" fontId="4" fillId="0" borderId="0" xfId="0" applyNumberFormat="1" applyFont="1" applyAlignment="1">
      <alignment horizontal="right"/>
    </xf>
    <xf numFmtId="3" fontId="4" fillId="0" borderId="6" xfId="0" applyNumberFormat="1" applyFont="1" applyBorder="1" applyAlignment="1">
      <alignment horizontal="center" vertical="top" wrapText="1"/>
    </xf>
    <xf numFmtId="0" fontId="6" fillId="3" borderId="6" xfId="0" applyFont="1" applyFill="1" applyBorder="1"/>
    <xf numFmtId="0" fontId="7" fillId="4" borderId="6" xfId="0" applyFont="1" applyFill="1" applyBorder="1" applyAlignment="1">
      <alignment horizontal="center" wrapText="1"/>
    </xf>
    <xf numFmtId="0" fontId="7" fillId="2" borderId="6" xfId="0" applyFont="1" applyFill="1" applyBorder="1" applyAlignment="1">
      <alignment horizontal="center" wrapText="1"/>
    </xf>
    <xf numFmtId="0" fontId="7" fillId="5" borderId="6" xfId="0" applyFont="1" applyFill="1" applyBorder="1" applyAlignment="1">
      <alignment horizontal="center" wrapText="1"/>
    </xf>
    <xf numFmtId="0" fontId="7" fillId="6" borderId="6" xfId="0" applyFont="1" applyFill="1" applyBorder="1" applyAlignment="1">
      <alignment horizontal="center" wrapText="1"/>
    </xf>
    <xf numFmtId="0" fontId="4" fillId="0" borderId="6" xfId="0" applyFont="1" applyBorder="1" applyAlignment="1">
      <alignment horizontal="right"/>
    </xf>
    <xf numFmtId="1" fontId="0" fillId="0" borderId="0" xfId="0" applyNumberFormat="1"/>
    <xf numFmtId="0" fontId="3" fillId="0" borderId="1" xfId="0" applyFont="1" applyBorder="1"/>
    <xf numFmtId="1" fontId="3" fillId="0" borderId="8" xfId="0" applyNumberFormat="1" applyFont="1" applyBorder="1"/>
    <xf numFmtId="1" fontId="4" fillId="0" borderId="8" xfId="0" applyNumberFormat="1" applyFont="1" applyBorder="1" applyAlignment="1">
      <alignment horizontal="right"/>
    </xf>
    <xf numFmtId="2" fontId="3" fillId="0" borderId="8" xfId="0" applyNumberFormat="1" applyFont="1" applyBorder="1" applyAlignment="1">
      <alignment horizontal="right"/>
    </xf>
    <xf numFmtId="0" fontId="3" fillId="0" borderId="8" xfId="0" applyFont="1" applyBorder="1"/>
    <xf numFmtId="1" fontId="4" fillId="0" borderId="10" xfId="0" applyNumberFormat="1" applyFont="1" applyBorder="1" applyAlignment="1">
      <alignment horizontal="right"/>
    </xf>
    <xf numFmtId="1" fontId="4" fillId="0" borderId="3" xfId="0" applyNumberFormat="1" applyFont="1" applyBorder="1" applyAlignment="1">
      <alignment horizontal="right"/>
    </xf>
    <xf numFmtId="49" fontId="4" fillId="0" borderId="4" xfId="0" applyNumberFormat="1" applyFont="1" applyBorder="1" applyAlignment="1">
      <alignment horizontal="right"/>
    </xf>
    <xf numFmtId="0" fontId="4" fillId="0" borderId="4" xfId="0" applyFont="1" applyBorder="1"/>
    <xf numFmtId="49" fontId="4" fillId="0" borderId="7" xfId="0" applyNumberFormat="1" applyFont="1" applyBorder="1" applyAlignment="1">
      <alignment horizontal="right"/>
    </xf>
    <xf numFmtId="0" fontId="4" fillId="0" borderId="7" xfId="0" applyFont="1" applyBorder="1"/>
    <xf numFmtId="49" fontId="4" fillId="0" borderId="8" xfId="0" applyNumberFormat="1" applyFont="1" applyBorder="1" applyAlignment="1">
      <alignment horizontal="right"/>
    </xf>
    <xf numFmtId="0" fontId="4" fillId="0" borderId="8" xfId="0" applyFont="1" applyBorder="1"/>
    <xf numFmtId="1" fontId="1" fillId="0" borderId="6" xfId="0" applyNumberFormat="1" applyFont="1" applyBorder="1" applyAlignment="1">
      <alignment horizontal="left" vertical="top"/>
    </xf>
    <xf numFmtId="1" fontId="1" fillId="0" borderId="6" xfId="0" applyNumberFormat="1" applyFont="1" applyBorder="1" applyAlignment="1">
      <alignment horizontal="left" vertical="top" wrapText="1"/>
    </xf>
    <xf numFmtId="1" fontId="4" fillId="0" borderId="6" xfId="0" applyNumberFormat="1" applyFont="1" applyBorder="1" applyAlignment="1">
      <alignment horizontal="left"/>
    </xf>
    <xf numFmtId="2" fontId="4" fillId="0" borderId="6" xfId="0" applyNumberFormat="1" applyFont="1" applyBorder="1" applyAlignment="1">
      <alignment horizontal="right"/>
    </xf>
    <xf numFmtId="1" fontId="4" fillId="0" borderId="6" xfId="0" applyNumberFormat="1" applyFont="1" applyBorder="1" applyAlignment="1">
      <alignment horizontal="center" vertical="top"/>
    </xf>
    <xf numFmtId="0" fontId="4" fillId="0" borderId="1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1" fillId="0" borderId="4" xfId="0" applyFont="1" applyBorder="1" applyAlignment="1">
      <alignment horizontal="center" wrapText="1"/>
    </xf>
    <xf numFmtId="1" fontId="0" fillId="0" borderId="8" xfId="0" applyNumberFormat="1" applyBorder="1"/>
    <xf numFmtId="49" fontId="3" fillId="0" borderId="8" xfId="0" applyNumberFormat="1" applyFont="1" applyBorder="1"/>
    <xf numFmtId="3" fontId="4" fillId="0" borderId="1" xfId="0" applyNumberFormat="1" applyFont="1" applyBorder="1"/>
    <xf numFmtId="167" fontId="4" fillId="0" borderId="3" xfId="0" applyNumberFormat="1" applyFont="1" applyBorder="1" applyAlignment="1">
      <alignment horizontal="right"/>
    </xf>
    <xf numFmtId="167" fontId="4" fillId="0" borderId="12" xfId="0" applyNumberFormat="1" applyFont="1" applyBorder="1" applyAlignment="1">
      <alignment horizontal="right"/>
    </xf>
    <xf numFmtId="167" fontId="4" fillId="0" borderId="13" xfId="0" applyNumberFormat="1" applyFont="1" applyBorder="1" applyAlignment="1">
      <alignment horizontal="right"/>
    </xf>
    <xf numFmtId="3" fontId="4" fillId="0" borderId="8" xfId="0" applyNumberFormat="1" applyFont="1" applyBorder="1" applyAlignment="1">
      <alignment horizontal="right"/>
    </xf>
    <xf numFmtId="1" fontId="1" fillId="0" borderId="6" xfId="0" applyNumberFormat="1" applyFont="1" applyBorder="1" applyAlignment="1">
      <alignment vertical="top" wrapText="1"/>
    </xf>
    <xf numFmtId="2" fontId="3" fillId="0" borderId="4" xfId="0" applyNumberFormat="1" applyFont="1" applyBorder="1" applyAlignment="1">
      <alignment wrapText="1"/>
    </xf>
    <xf numFmtId="0" fontId="2" fillId="0" borderId="5" xfId="0" applyFont="1" applyBorder="1"/>
    <xf numFmtId="0" fontId="4" fillId="0" borderId="4" xfId="0" applyFont="1" applyBorder="1" applyAlignment="1">
      <alignment horizontal="center" vertical="top" wrapText="1"/>
    </xf>
    <xf numFmtId="0" fontId="2" fillId="0" borderId="7" xfId="0" applyFont="1" applyBorder="1"/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wrapText="1"/>
    </xf>
    <xf numFmtId="49" fontId="1" fillId="0" borderId="4" xfId="0" applyNumberFormat="1" applyFont="1" applyBorder="1" applyAlignment="1">
      <alignment vertical="top" wrapText="1"/>
    </xf>
    <xf numFmtId="164" fontId="1" fillId="0" borderId="1" xfId="0" applyNumberFormat="1" applyFont="1" applyBorder="1" applyAlignment="1">
      <alignment horizontal="center" vertical="top" wrapText="1"/>
    </xf>
    <xf numFmtId="0" fontId="2" fillId="0" borderId="2" xfId="0" applyFont="1" applyBorder="1"/>
    <xf numFmtId="0" fontId="2" fillId="0" borderId="3" xfId="0" applyFont="1" applyBorder="1"/>
    <xf numFmtId="49" fontId="1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  <outlinePr summaryBelow="0" summaryRight="0"/>
  </sheetPr>
  <dimension ref="A1:AI1000"/>
  <sheetViews>
    <sheetView workbookViewId="0">
      <selection activeCell="J5" sqref="J5"/>
    </sheetView>
  </sheetViews>
  <sheetFormatPr baseColWidth="10" defaultColWidth="12.6640625" defaultRowHeight="15" customHeight="1"/>
  <cols>
    <col min="1" max="1" width="5.6640625" customWidth="1"/>
    <col min="3" max="5" width="12.6640625" customWidth="1"/>
    <col min="6" max="6" width="22.44140625" customWidth="1"/>
    <col min="7" max="7" width="28" customWidth="1"/>
    <col min="10" max="10" width="18" customWidth="1"/>
    <col min="11" max="11" width="17.33203125" customWidth="1"/>
    <col min="15" max="15" width="5.6640625" customWidth="1"/>
    <col min="20" max="20" width="25.77734375" customWidth="1"/>
    <col min="21" max="21" width="26.88671875" customWidth="1"/>
    <col min="24" max="24" width="18.109375" customWidth="1"/>
    <col min="25" max="25" width="17.33203125" customWidth="1"/>
    <col min="26" max="26" width="14.5546875" bestFit="1" customWidth="1"/>
    <col min="27" max="27" width="16.88671875" customWidth="1"/>
  </cols>
  <sheetData>
    <row r="1" spans="1:35" ht="15.75" customHeight="1">
      <c r="A1" s="86">
        <v>2012</v>
      </c>
      <c r="B1" s="87"/>
      <c r="C1" s="87"/>
      <c r="D1" s="87"/>
      <c r="E1" s="87"/>
      <c r="F1" s="87"/>
      <c r="G1" s="88"/>
      <c r="H1" s="1"/>
      <c r="I1" s="1"/>
      <c r="J1" s="1"/>
      <c r="K1" s="1"/>
      <c r="L1" s="1"/>
      <c r="M1" s="1"/>
      <c r="N1" s="1"/>
      <c r="O1" s="89" t="s">
        <v>0</v>
      </c>
      <c r="P1" s="87"/>
      <c r="Q1" s="87"/>
      <c r="R1" s="87"/>
      <c r="S1" s="87"/>
      <c r="T1" s="87"/>
      <c r="U1" s="88"/>
      <c r="V1" s="1"/>
      <c r="W1" s="1"/>
      <c r="X1" s="1"/>
      <c r="Y1" s="1"/>
      <c r="Z1" s="1"/>
      <c r="AA1" s="1"/>
      <c r="AB1" s="1"/>
      <c r="AC1" s="2"/>
      <c r="AD1" s="1"/>
      <c r="AE1" s="1"/>
      <c r="AF1" s="1"/>
      <c r="AG1" s="1"/>
      <c r="AH1" s="1"/>
      <c r="AI1" s="1"/>
    </row>
    <row r="2" spans="1:35" ht="15.75" customHeight="1">
      <c r="A2" s="85" t="s">
        <v>1</v>
      </c>
      <c r="B2" s="81" t="s">
        <v>2</v>
      </c>
      <c r="C2" s="90" t="s">
        <v>3</v>
      </c>
      <c r="D2" s="91"/>
      <c r="E2" s="92" t="s">
        <v>4</v>
      </c>
      <c r="F2" s="79" t="s">
        <v>5</v>
      </c>
      <c r="G2" s="79" t="s">
        <v>6</v>
      </c>
      <c r="H2" s="3"/>
      <c r="I2" s="81" t="s">
        <v>7</v>
      </c>
      <c r="J2" s="81" t="s">
        <v>8</v>
      </c>
      <c r="K2" s="81" t="s">
        <v>9</v>
      </c>
      <c r="L2" s="81" t="s">
        <v>4</v>
      </c>
      <c r="M2" s="84" t="s">
        <v>6</v>
      </c>
      <c r="N2" s="1"/>
      <c r="O2" s="85" t="s">
        <v>1</v>
      </c>
      <c r="P2" s="81" t="s">
        <v>2</v>
      </c>
      <c r="Q2" s="90" t="s">
        <v>3</v>
      </c>
      <c r="R2" s="88"/>
      <c r="S2" s="92" t="s">
        <v>4</v>
      </c>
      <c r="T2" s="79" t="s">
        <v>5</v>
      </c>
      <c r="U2" s="79" t="s">
        <v>732</v>
      </c>
      <c r="V2" s="1"/>
      <c r="W2" s="1"/>
      <c r="X2" s="1"/>
      <c r="Y2" s="1"/>
      <c r="Z2" s="1"/>
      <c r="AA2" s="1"/>
      <c r="AB2" s="1"/>
      <c r="AC2" s="4"/>
      <c r="AD2" s="1"/>
      <c r="AE2" s="1"/>
      <c r="AF2" s="1"/>
      <c r="AG2" s="1"/>
      <c r="AH2" s="1"/>
      <c r="AI2" s="1"/>
    </row>
    <row r="3" spans="1:35" ht="21.75" customHeight="1">
      <c r="A3" s="80"/>
      <c r="B3" s="80"/>
      <c r="C3" s="5" t="s">
        <v>10</v>
      </c>
      <c r="D3" s="5" t="s">
        <v>11</v>
      </c>
      <c r="E3" s="80"/>
      <c r="F3" s="80"/>
      <c r="G3" s="80"/>
      <c r="H3" s="3"/>
      <c r="I3" s="80"/>
      <c r="J3" s="80"/>
      <c r="K3" s="80"/>
      <c r="L3" s="80"/>
      <c r="M3" s="80"/>
      <c r="N3" s="1"/>
      <c r="O3" s="80"/>
      <c r="P3" s="80"/>
      <c r="Q3" s="5" t="s">
        <v>10</v>
      </c>
      <c r="R3" s="5" t="s">
        <v>11</v>
      </c>
      <c r="S3" s="80"/>
      <c r="T3" s="80"/>
      <c r="U3" s="80"/>
      <c r="V3" s="1"/>
      <c r="W3" s="81" t="s">
        <v>7</v>
      </c>
      <c r="X3" s="81" t="s">
        <v>8</v>
      </c>
      <c r="Y3" s="81" t="s">
        <v>9</v>
      </c>
      <c r="Z3" s="81" t="s">
        <v>4</v>
      </c>
      <c r="AA3" s="84" t="s">
        <v>732</v>
      </c>
      <c r="AB3" s="1"/>
      <c r="AC3" s="4"/>
      <c r="AD3" s="1"/>
      <c r="AE3" s="1"/>
      <c r="AF3" s="1"/>
      <c r="AG3" s="1"/>
      <c r="AH3" s="1"/>
      <c r="AI3" s="1"/>
    </row>
    <row r="4" spans="1:35" ht="13.5" customHeight="1">
      <c r="A4" s="82"/>
      <c r="B4" s="82"/>
      <c r="C4" s="70" t="s">
        <v>12</v>
      </c>
      <c r="D4" s="70" t="s">
        <v>12</v>
      </c>
      <c r="E4" s="80"/>
      <c r="F4" s="80"/>
      <c r="G4" s="80"/>
      <c r="H4" s="3"/>
      <c r="I4" s="82"/>
      <c r="J4" s="80"/>
      <c r="K4" s="80"/>
      <c r="L4" s="80"/>
      <c r="M4" s="82"/>
      <c r="N4" s="1"/>
      <c r="O4" s="82"/>
      <c r="P4" s="82"/>
      <c r="Q4" s="6" t="s">
        <v>12</v>
      </c>
      <c r="R4" s="6" t="s">
        <v>12</v>
      </c>
      <c r="S4" s="82"/>
      <c r="T4" s="82"/>
      <c r="U4" s="82"/>
      <c r="V4" s="7"/>
      <c r="W4" s="80"/>
      <c r="X4" s="80"/>
      <c r="Y4" s="80"/>
      <c r="Z4" s="80"/>
      <c r="AA4" s="80"/>
      <c r="AB4" s="1"/>
      <c r="AC4" s="4"/>
      <c r="AD4" s="1"/>
      <c r="AE4" s="1"/>
      <c r="AF4" s="1"/>
      <c r="AG4" s="1"/>
      <c r="AH4" s="1"/>
      <c r="AI4" s="1"/>
    </row>
    <row r="5" spans="1:35" ht="15.75" customHeight="1">
      <c r="A5" s="13" t="s">
        <v>15</v>
      </c>
      <c r="B5" s="66" t="s">
        <v>13</v>
      </c>
      <c r="C5" s="71">
        <v>17266</v>
      </c>
      <c r="D5" s="71">
        <v>228257</v>
      </c>
      <c r="E5" s="50">
        <f>C5+D5</f>
        <v>245523</v>
      </c>
      <c r="F5" s="51">
        <f>(D5/E5)*100</f>
        <v>92.967664943813816</v>
      </c>
      <c r="G5" s="51">
        <f>(C5/E5)*100</f>
        <v>7.0323350561861826</v>
      </c>
      <c r="H5" s="3"/>
      <c r="I5" s="66" t="s">
        <v>14</v>
      </c>
      <c r="J5" s="71">
        <v>81692</v>
      </c>
      <c r="K5" s="71">
        <v>461896</v>
      </c>
      <c r="L5" s="77">
        <f t="shared" ref="L5:L13" si="0">+SUM(J5:K5)</f>
        <v>543588</v>
      </c>
      <c r="M5" s="74">
        <f t="shared" ref="M5:M13" si="1">(J5/L5)*100</f>
        <v>15.028293486979107</v>
      </c>
      <c r="N5" s="1"/>
      <c r="O5" s="13" t="s">
        <v>15</v>
      </c>
      <c r="P5" s="11" t="s">
        <v>13</v>
      </c>
      <c r="Q5" s="9">
        <v>10817</v>
      </c>
      <c r="R5" s="9">
        <v>274940</v>
      </c>
      <c r="S5" s="14">
        <f t="shared" ref="S5:S259" si="2">Q5+R5</f>
        <v>285757</v>
      </c>
      <c r="T5" s="15">
        <f t="shared" ref="T5:T259" si="3">(R5/S5)*100</f>
        <v>96.214615914920714</v>
      </c>
      <c r="U5" s="15">
        <f t="shared" ref="U5:U259" si="4">(Q5/S5)*100</f>
        <v>3.7853840850792806</v>
      </c>
      <c r="V5" s="7"/>
      <c r="W5" s="82"/>
      <c r="X5" s="82"/>
      <c r="Y5" s="82"/>
      <c r="Z5" s="82"/>
      <c r="AA5" s="82"/>
      <c r="AC5" s="4"/>
    </row>
    <row r="6" spans="1:35" ht="15.75" customHeight="1">
      <c r="A6" s="13" t="s">
        <v>18</v>
      </c>
      <c r="B6" s="66" t="s">
        <v>16</v>
      </c>
      <c r="C6" s="71">
        <v>1477</v>
      </c>
      <c r="D6" s="71">
        <v>7483</v>
      </c>
      <c r="E6" s="50">
        <f t="shared" ref="E6:E69" si="5">C6+D6</f>
        <v>8960</v>
      </c>
      <c r="F6" s="51">
        <f t="shared" ref="F6:F69" si="6">(D6/E6)*100</f>
        <v>83.515625</v>
      </c>
      <c r="G6" s="51">
        <f t="shared" ref="G6:G69" si="7">(C6/E6)*100</f>
        <v>16.484375</v>
      </c>
      <c r="H6" s="3"/>
      <c r="I6" s="66" t="s">
        <v>17</v>
      </c>
      <c r="J6" s="71">
        <v>200948</v>
      </c>
      <c r="K6" s="71">
        <v>2369529</v>
      </c>
      <c r="L6" s="77">
        <f t="shared" si="0"/>
        <v>2570477</v>
      </c>
      <c r="M6" s="74">
        <f t="shared" si="1"/>
        <v>7.8175373675780797</v>
      </c>
      <c r="N6" s="1"/>
      <c r="O6" s="13" t="s">
        <v>18</v>
      </c>
      <c r="P6" s="11" t="s">
        <v>16</v>
      </c>
      <c r="Q6" s="9">
        <v>819</v>
      </c>
      <c r="R6" s="9">
        <v>8104</v>
      </c>
      <c r="S6" s="14">
        <f t="shared" si="2"/>
        <v>8923</v>
      </c>
      <c r="T6" s="15">
        <f t="shared" si="3"/>
        <v>90.821472598901721</v>
      </c>
      <c r="U6" s="15">
        <f t="shared" si="4"/>
        <v>9.178527401098286</v>
      </c>
      <c r="V6" s="7"/>
      <c r="W6" s="11" t="s">
        <v>14</v>
      </c>
      <c r="X6" s="9">
        <v>51479</v>
      </c>
      <c r="Y6" s="9">
        <v>530230</v>
      </c>
      <c r="Z6" s="9">
        <f t="shared" ref="Z6:Z14" si="8">X6+Y6</f>
        <v>581709</v>
      </c>
      <c r="AA6" s="64">
        <f t="shared" ref="AA6:AA16" si="9">(X6/Z6)*100</f>
        <v>8.849613810341598</v>
      </c>
      <c r="AC6" s="4"/>
    </row>
    <row r="7" spans="1:35" ht="15.75" customHeight="1">
      <c r="A7" s="13" t="s">
        <v>21</v>
      </c>
      <c r="B7" s="66" t="s">
        <v>19</v>
      </c>
      <c r="C7" s="71">
        <v>7541</v>
      </c>
      <c r="D7" s="71">
        <v>7701</v>
      </c>
      <c r="E7" s="50">
        <f t="shared" si="5"/>
        <v>15242</v>
      </c>
      <c r="F7" s="51">
        <f t="shared" si="6"/>
        <v>50.524865503214798</v>
      </c>
      <c r="G7" s="51">
        <f t="shared" si="7"/>
        <v>49.475134496785202</v>
      </c>
      <c r="H7" s="3"/>
      <c r="I7" s="73" t="s">
        <v>20</v>
      </c>
      <c r="J7" s="71">
        <v>228533</v>
      </c>
      <c r="K7" s="71">
        <v>1425029</v>
      </c>
      <c r="L7" s="77">
        <f t="shared" si="0"/>
        <v>1653562</v>
      </c>
      <c r="M7" s="74">
        <f t="shared" si="1"/>
        <v>13.820648998948936</v>
      </c>
      <c r="N7" s="1"/>
      <c r="O7" s="13" t="s">
        <v>21</v>
      </c>
      <c r="P7" s="11" t="s">
        <v>19</v>
      </c>
      <c r="Q7" s="9">
        <v>4529</v>
      </c>
      <c r="R7" s="9">
        <v>8450</v>
      </c>
      <c r="S7" s="14">
        <f t="shared" si="2"/>
        <v>12979</v>
      </c>
      <c r="T7" s="15">
        <f t="shared" si="3"/>
        <v>65.105169889822022</v>
      </c>
      <c r="U7" s="15">
        <f t="shared" si="4"/>
        <v>34.894830110177985</v>
      </c>
      <c r="V7" s="17"/>
      <c r="W7" s="11" t="s">
        <v>17</v>
      </c>
      <c r="X7" s="9">
        <v>114512</v>
      </c>
      <c r="Y7" s="9">
        <v>2801349</v>
      </c>
      <c r="Z7" s="9">
        <f t="shared" si="8"/>
        <v>2915861</v>
      </c>
      <c r="AA7" s="64">
        <f t="shared" si="9"/>
        <v>3.9272105220379161</v>
      </c>
      <c r="AC7" s="4"/>
    </row>
    <row r="8" spans="1:35" ht="15.75" customHeight="1">
      <c r="A8" s="13" t="s">
        <v>23</v>
      </c>
      <c r="B8" s="66" t="s">
        <v>24</v>
      </c>
      <c r="C8" s="71">
        <v>3133</v>
      </c>
      <c r="D8" s="71">
        <v>6725</v>
      </c>
      <c r="E8" s="50">
        <f t="shared" si="5"/>
        <v>9858</v>
      </c>
      <c r="F8" s="51">
        <f t="shared" si="6"/>
        <v>68.218705619801185</v>
      </c>
      <c r="G8" s="51">
        <f t="shared" si="7"/>
        <v>31.781294380198823</v>
      </c>
      <c r="H8" s="3"/>
      <c r="I8" s="66" t="s">
        <v>22</v>
      </c>
      <c r="J8" s="71">
        <v>41489</v>
      </c>
      <c r="K8" s="71">
        <v>422450</v>
      </c>
      <c r="L8" s="77">
        <f t="shared" si="0"/>
        <v>463939</v>
      </c>
      <c r="M8" s="74">
        <f t="shared" si="1"/>
        <v>8.9427704935347094</v>
      </c>
      <c r="N8" s="1"/>
      <c r="O8" s="13" t="s">
        <v>23</v>
      </c>
      <c r="P8" s="11" t="s">
        <v>24</v>
      </c>
      <c r="Q8" s="9">
        <v>1706</v>
      </c>
      <c r="R8" s="9">
        <v>5789</v>
      </c>
      <c r="S8" s="14">
        <f t="shared" si="2"/>
        <v>7495</v>
      </c>
      <c r="T8" s="15">
        <f t="shared" si="3"/>
        <v>77.238158772515007</v>
      </c>
      <c r="U8" s="15">
        <f t="shared" si="4"/>
        <v>22.761841227484993</v>
      </c>
      <c r="V8" s="17"/>
      <c r="W8" s="16" t="s">
        <v>20</v>
      </c>
      <c r="X8" s="9">
        <v>126926</v>
      </c>
      <c r="Y8" s="9">
        <v>1805363</v>
      </c>
      <c r="Z8" s="9">
        <f t="shared" si="8"/>
        <v>1932289</v>
      </c>
      <c r="AA8" s="64">
        <f t="shared" si="9"/>
        <v>6.5686861540897867</v>
      </c>
      <c r="AC8" s="4"/>
    </row>
    <row r="9" spans="1:35" ht="15.75" customHeight="1">
      <c r="A9" s="13" t="s">
        <v>27</v>
      </c>
      <c r="B9" s="66" t="s">
        <v>25</v>
      </c>
      <c r="C9" s="71">
        <v>5887</v>
      </c>
      <c r="D9" s="71">
        <v>7489</v>
      </c>
      <c r="E9" s="50">
        <f t="shared" si="5"/>
        <v>13376</v>
      </c>
      <c r="F9" s="51">
        <f t="shared" si="6"/>
        <v>55.988337320574168</v>
      </c>
      <c r="G9" s="51">
        <f t="shared" si="7"/>
        <v>44.011662679425839</v>
      </c>
      <c r="H9" s="3"/>
      <c r="I9" s="66" t="s">
        <v>26</v>
      </c>
      <c r="J9" s="71">
        <v>175216</v>
      </c>
      <c r="K9" s="71">
        <v>597128</v>
      </c>
      <c r="L9" s="77">
        <f t="shared" si="0"/>
        <v>772344</v>
      </c>
      <c r="M9" s="74">
        <f t="shared" si="1"/>
        <v>22.686264151725137</v>
      </c>
      <c r="N9" s="1"/>
      <c r="O9" s="13" t="s">
        <v>27</v>
      </c>
      <c r="P9" s="11" t="s">
        <v>25</v>
      </c>
      <c r="Q9" s="9">
        <v>4238</v>
      </c>
      <c r="R9" s="9">
        <v>11778</v>
      </c>
      <c r="S9" s="14">
        <f t="shared" si="2"/>
        <v>16016</v>
      </c>
      <c r="T9" s="15">
        <f t="shared" si="3"/>
        <v>73.538961038961034</v>
      </c>
      <c r="U9" s="15">
        <f t="shared" si="4"/>
        <v>26.461038961038962</v>
      </c>
      <c r="V9" s="18"/>
      <c r="W9" s="11" t="s">
        <v>22</v>
      </c>
      <c r="X9" s="9">
        <v>19665</v>
      </c>
      <c r="Y9" s="9">
        <v>528038</v>
      </c>
      <c r="Z9" s="9">
        <f t="shared" si="8"/>
        <v>547703</v>
      </c>
      <c r="AA9" s="64">
        <f t="shared" si="9"/>
        <v>3.5904495684705031</v>
      </c>
      <c r="AC9" s="4"/>
    </row>
    <row r="10" spans="1:35" ht="15.75" customHeight="1">
      <c r="A10" s="13" t="s">
        <v>29</v>
      </c>
      <c r="B10" s="66" t="s">
        <v>30</v>
      </c>
      <c r="C10" s="71">
        <v>2320</v>
      </c>
      <c r="D10" s="71">
        <v>8417</v>
      </c>
      <c r="E10" s="50">
        <f t="shared" si="5"/>
        <v>10737</v>
      </c>
      <c r="F10" s="51">
        <f t="shared" si="6"/>
        <v>78.392474620471262</v>
      </c>
      <c r="G10" s="51">
        <f t="shared" si="7"/>
        <v>21.607525379528735</v>
      </c>
      <c r="H10" s="3"/>
      <c r="I10" s="66" t="s">
        <v>28</v>
      </c>
      <c r="J10" s="71">
        <v>13166</v>
      </c>
      <c r="K10" s="71">
        <v>441013</v>
      </c>
      <c r="L10" s="77">
        <f t="shared" si="0"/>
        <v>454179</v>
      </c>
      <c r="M10" s="74">
        <f t="shared" si="1"/>
        <v>2.8988570585606119</v>
      </c>
      <c r="N10" s="1"/>
      <c r="O10" s="13" t="s">
        <v>29</v>
      </c>
      <c r="P10" s="11" t="s">
        <v>30</v>
      </c>
      <c r="Q10" s="9">
        <v>1777</v>
      </c>
      <c r="R10" s="9">
        <v>11416</v>
      </c>
      <c r="S10" s="14">
        <f t="shared" si="2"/>
        <v>13193</v>
      </c>
      <c r="T10" s="15">
        <f t="shared" si="3"/>
        <v>86.530735996361713</v>
      </c>
      <c r="U10" s="15">
        <f t="shared" si="4"/>
        <v>13.469264003638292</v>
      </c>
      <c r="V10" s="17"/>
      <c r="W10" s="11" t="s">
        <v>26</v>
      </c>
      <c r="X10" s="9">
        <v>103488</v>
      </c>
      <c r="Y10" s="9">
        <v>717128</v>
      </c>
      <c r="Z10" s="9">
        <f t="shared" si="8"/>
        <v>820616</v>
      </c>
      <c r="AA10" s="64">
        <f t="shared" si="9"/>
        <v>12.611014164968756</v>
      </c>
      <c r="AC10" s="4"/>
    </row>
    <row r="11" spans="1:35" ht="15.75" customHeight="1">
      <c r="A11" s="55" t="s">
        <v>33</v>
      </c>
      <c r="B11" s="67" t="s">
        <v>31</v>
      </c>
      <c r="C11" s="71">
        <v>4886</v>
      </c>
      <c r="D11" s="71">
        <v>6619</v>
      </c>
      <c r="E11" s="50">
        <f t="shared" si="5"/>
        <v>11505</v>
      </c>
      <c r="F11" s="51">
        <f t="shared" si="6"/>
        <v>57.531508039982612</v>
      </c>
      <c r="G11" s="51">
        <f t="shared" si="7"/>
        <v>42.468491960017388</v>
      </c>
      <c r="H11" s="3"/>
      <c r="I11" s="66" t="s">
        <v>32</v>
      </c>
      <c r="J11" s="71">
        <v>146959</v>
      </c>
      <c r="K11" s="71">
        <v>2332810</v>
      </c>
      <c r="L11" s="77">
        <f t="shared" si="0"/>
        <v>2479769</v>
      </c>
      <c r="M11" s="74">
        <f t="shared" si="1"/>
        <v>5.9263181368909761</v>
      </c>
      <c r="N11" s="1"/>
      <c r="O11" s="55" t="s">
        <v>33</v>
      </c>
      <c r="P11" s="56" t="s">
        <v>31</v>
      </c>
      <c r="Q11" s="9">
        <v>3281</v>
      </c>
      <c r="R11" s="9">
        <v>8677</v>
      </c>
      <c r="S11" s="14">
        <f t="shared" si="2"/>
        <v>11958</v>
      </c>
      <c r="T11" s="15">
        <f t="shared" si="3"/>
        <v>72.562301388192012</v>
      </c>
      <c r="U11" s="15">
        <f t="shared" si="4"/>
        <v>27.437698611807992</v>
      </c>
      <c r="V11" s="17"/>
      <c r="W11" s="11" t="s">
        <v>28</v>
      </c>
      <c r="X11" s="9">
        <v>9340</v>
      </c>
      <c r="Y11" s="9">
        <v>505288</v>
      </c>
      <c r="Z11" s="9">
        <f t="shared" si="8"/>
        <v>514628</v>
      </c>
      <c r="AA11" s="64">
        <f t="shared" si="9"/>
        <v>1.8149031922087409</v>
      </c>
      <c r="AC11" s="4"/>
    </row>
    <row r="12" spans="1:35" ht="15.75" customHeight="1">
      <c r="A12" s="59" t="s">
        <v>35</v>
      </c>
      <c r="B12" s="68" t="s">
        <v>36</v>
      </c>
      <c r="C12" s="71">
        <v>1599</v>
      </c>
      <c r="D12" s="71">
        <v>5948</v>
      </c>
      <c r="E12" s="50">
        <f t="shared" si="5"/>
        <v>7547</v>
      </c>
      <c r="F12" s="51">
        <f t="shared" si="6"/>
        <v>78.812773287398969</v>
      </c>
      <c r="G12" s="51">
        <f t="shared" si="7"/>
        <v>21.187226712601035</v>
      </c>
      <c r="H12" s="3"/>
      <c r="I12" s="66" t="s">
        <v>34</v>
      </c>
      <c r="J12" s="71">
        <v>20990</v>
      </c>
      <c r="K12" s="71">
        <v>368975</v>
      </c>
      <c r="L12" s="77">
        <f t="shared" si="0"/>
        <v>389965</v>
      </c>
      <c r="M12" s="75">
        <f t="shared" si="1"/>
        <v>5.382534330003975</v>
      </c>
      <c r="N12" s="1"/>
      <c r="O12" s="59" t="s">
        <v>35</v>
      </c>
      <c r="P12" s="60" t="s">
        <v>36</v>
      </c>
      <c r="Q12" s="54">
        <v>1325</v>
      </c>
      <c r="R12" s="9">
        <v>7312</v>
      </c>
      <c r="S12" s="14">
        <f t="shared" si="2"/>
        <v>8637</v>
      </c>
      <c r="T12" s="15">
        <f t="shared" si="3"/>
        <v>84.65902512446452</v>
      </c>
      <c r="U12" s="15">
        <f t="shared" si="4"/>
        <v>15.340974875535487</v>
      </c>
      <c r="V12" s="17"/>
      <c r="W12" s="11" t="s">
        <v>32</v>
      </c>
      <c r="X12" s="9">
        <v>101217</v>
      </c>
      <c r="Y12" s="9">
        <v>2878505</v>
      </c>
      <c r="Z12" s="9">
        <f t="shared" si="8"/>
        <v>2979722</v>
      </c>
      <c r="AA12" s="64">
        <f t="shared" si="9"/>
        <v>3.3968605124907625</v>
      </c>
      <c r="AC12" s="4"/>
    </row>
    <row r="13" spans="1:35" ht="15.75" customHeight="1">
      <c r="A13" s="59" t="s">
        <v>39</v>
      </c>
      <c r="B13" s="68" t="s">
        <v>37</v>
      </c>
      <c r="C13" s="71">
        <v>2817</v>
      </c>
      <c r="D13" s="71">
        <v>4487</v>
      </c>
      <c r="E13" s="50">
        <f t="shared" si="5"/>
        <v>7304</v>
      </c>
      <c r="F13" s="51">
        <f t="shared" si="6"/>
        <v>61.432092004381154</v>
      </c>
      <c r="G13" s="51">
        <f t="shared" si="7"/>
        <v>38.567907995618839</v>
      </c>
      <c r="H13" s="3"/>
      <c r="I13" s="66" t="s">
        <v>38</v>
      </c>
      <c r="J13" s="71">
        <v>3147</v>
      </c>
      <c r="K13" s="71">
        <v>98096</v>
      </c>
      <c r="L13" s="77">
        <f t="shared" si="0"/>
        <v>101243</v>
      </c>
      <c r="M13" s="76">
        <f t="shared" si="1"/>
        <v>3.1083630473217898</v>
      </c>
      <c r="N13" s="1"/>
      <c r="O13" s="59" t="s">
        <v>39</v>
      </c>
      <c r="P13" s="60" t="s">
        <v>37</v>
      </c>
      <c r="Q13" s="54">
        <v>2532</v>
      </c>
      <c r="R13" s="9">
        <v>6291</v>
      </c>
      <c r="S13" s="14">
        <f t="shared" si="2"/>
        <v>8823</v>
      </c>
      <c r="T13" s="15">
        <f t="shared" si="3"/>
        <v>71.302278136688201</v>
      </c>
      <c r="U13" s="15">
        <f t="shared" si="4"/>
        <v>28.697721863311799</v>
      </c>
      <c r="V13" s="17"/>
      <c r="W13" s="11" t="s">
        <v>34</v>
      </c>
      <c r="X13" s="9">
        <v>18079</v>
      </c>
      <c r="Y13" s="9">
        <v>443794</v>
      </c>
      <c r="Z13" s="9">
        <f t="shared" si="8"/>
        <v>461873</v>
      </c>
      <c r="AA13" s="64">
        <f t="shared" si="9"/>
        <v>3.9142794664334137</v>
      </c>
      <c r="AC13" s="4"/>
    </row>
    <row r="14" spans="1:35" ht="15.75" customHeight="1">
      <c r="A14" s="59" t="s">
        <v>41</v>
      </c>
      <c r="B14" s="68" t="s">
        <v>42</v>
      </c>
      <c r="C14" s="71">
        <v>380</v>
      </c>
      <c r="D14" s="71">
        <v>9389</v>
      </c>
      <c r="E14" s="50">
        <f t="shared" si="5"/>
        <v>9769</v>
      </c>
      <c r="F14" s="51">
        <f t="shared" si="6"/>
        <v>96.110144334118132</v>
      </c>
      <c r="G14" s="51">
        <f t="shared" si="7"/>
        <v>3.8898556658818717</v>
      </c>
      <c r="H14" s="3"/>
      <c r="I14" s="48" t="s">
        <v>40</v>
      </c>
      <c r="J14" s="49">
        <v>6848</v>
      </c>
      <c r="K14" s="49">
        <v>131153</v>
      </c>
      <c r="L14" s="53">
        <v>138001</v>
      </c>
      <c r="M14" s="51">
        <v>4.9622828820081013</v>
      </c>
      <c r="O14" s="59" t="s">
        <v>41</v>
      </c>
      <c r="P14" s="60" t="s">
        <v>42</v>
      </c>
      <c r="Q14" s="54">
        <v>200</v>
      </c>
      <c r="R14" s="9">
        <v>8602</v>
      </c>
      <c r="S14" s="14">
        <f t="shared" si="2"/>
        <v>8802</v>
      </c>
      <c r="T14" s="15">
        <f t="shared" si="3"/>
        <v>97.727789138832094</v>
      </c>
      <c r="U14" s="15">
        <f t="shared" si="4"/>
        <v>2.2722108611679164</v>
      </c>
      <c r="V14" s="17"/>
      <c r="W14" s="11" t="s">
        <v>38</v>
      </c>
      <c r="X14" s="9">
        <v>3006</v>
      </c>
      <c r="Y14" s="9">
        <v>124243</v>
      </c>
      <c r="Z14" s="9">
        <f t="shared" si="8"/>
        <v>127249</v>
      </c>
      <c r="AA14" s="64">
        <f t="shared" si="9"/>
        <v>2.3622975426133017</v>
      </c>
      <c r="AC14" s="4"/>
    </row>
    <row r="15" spans="1:35" ht="15.75" customHeight="1">
      <c r="A15" s="59" t="s">
        <v>45</v>
      </c>
      <c r="B15" s="68" t="s">
        <v>43</v>
      </c>
      <c r="C15" s="71">
        <v>1832</v>
      </c>
      <c r="D15" s="71">
        <v>6111</v>
      </c>
      <c r="E15" s="50">
        <f t="shared" si="5"/>
        <v>7943</v>
      </c>
      <c r="F15" s="51">
        <f t="shared" si="6"/>
        <v>76.935666624701</v>
      </c>
      <c r="G15" s="51">
        <f t="shared" si="7"/>
        <v>23.064333375299007</v>
      </c>
      <c r="H15" s="3"/>
      <c r="I15" s="48" t="s">
        <v>44</v>
      </c>
      <c r="J15" s="49">
        <v>912140</v>
      </c>
      <c r="K15" s="49">
        <v>8516926</v>
      </c>
      <c r="L15" s="53">
        <v>9429066</v>
      </c>
      <c r="M15" s="51">
        <v>9.6737046914296698</v>
      </c>
      <c r="O15" s="59" t="s">
        <v>45</v>
      </c>
      <c r="P15" s="60" t="s">
        <v>43</v>
      </c>
      <c r="Q15" s="54">
        <v>1105</v>
      </c>
      <c r="R15" s="9">
        <v>7041</v>
      </c>
      <c r="S15" s="14">
        <f t="shared" si="2"/>
        <v>8146</v>
      </c>
      <c r="T15" s="15">
        <f t="shared" si="3"/>
        <v>86.435060152221951</v>
      </c>
      <c r="U15" s="15">
        <f t="shared" si="4"/>
        <v>13.564939847778051</v>
      </c>
      <c r="V15" s="17"/>
      <c r="W15" s="19" t="s">
        <v>40</v>
      </c>
      <c r="X15" s="14">
        <v>5786</v>
      </c>
      <c r="Y15" s="14">
        <v>146848</v>
      </c>
      <c r="Z15" s="14">
        <v>152634</v>
      </c>
      <c r="AA15" s="64">
        <f t="shared" si="9"/>
        <v>3.7907674567920644</v>
      </c>
      <c r="AC15" s="4"/>
    </row>
    <row r="16" spans="1:35" ht="15.75" customHeight="1">
      <c r="A16" s="59" t="s">
        <v>47</v>
      </c>
      <c r="B16" s="68" t="s">
        <v>46</v>
      </c>
      <c r="C16" s="71">
        <v>2263</v>
      </c>
      <c r="D16" s="71">
        <v>4557</v>
      </c>
      <c r="E16" s="50">
        <f t="shared" si="5"/>
        <v>6820</v>
      </c>
      <c r="F16" s="51">
        <f t="shared" si="6"/>
        <v>66.818181818181827</v>
      </c>
      <c r="G16" s="51">
        <f t="shared" si="7"/>
        <v>33.181818181818187</v>
      </c>
      <c r="H16" s="3"/>
      <c r="I16" s="1"/>
      <c r="J16" s="25"/>
      <c r="K16" s="1"/>
      <c r="L16" s="21"/>
      <c r="M16" s="1"/>
      <c r="N16" s="1"/>
      <c r="O16" s="59" t="s">
        <v>47</v>
      </c>
      <c r="P16" s="60" t="s">
        <v>46</v>
      </c>
      <c r="Q16" s="54">
        <v>1525</v>
      </c>
      <c r="R16" s="9">
        <v>5111</v>
      </c>
      <c r="S16" s="14">
        <f t="shared" si="2"/>
        <v>6636</v>
      </c>
      <c r="T16" s="15">
        <f t="shared" si="3"/>
        <v>77.01928872814949</v>
      </c>
      <c r="U16" s="15">
        <f t="shared" si="4"/>
        <v>22.980711271850513</v>
      </c>
      <c r="V16" s="17"/>
      <c r="W16" s="19" t="s">
        <v>44</v>
      </c>
      <c r="X16" s="14">
        <v>547712</v>
      </c>
      <c r="Y16" s="14">
        <v>10333938</v>
      </c>
      <c r="Z16" s="14">
        <v>10881650</v>
      </c>
      <c r="AA16" s="64">
        <f t="shared" si="9"/>
        <v>5.0333543166707253</v>
      </c>
      <c r="AC16" s="4"/>
    </row>
    <row r="17" spans="1:29" ht="15.75" customHeight="1">
      <c r="A17" s="59" t="s">
        <v>50</v>
      </c>
      <c r="B17" s="68" t="s">
        <v>48</v>
      </c>
      <c r="C17" s="71">
        <v>180</v>
      </c>
      <c r="D17" s="71">
        <v>4443</v>
      </c>
      <c r="E17" s="50">
        <f t="shared" si="5"/>
        <v>4623</v>
      </c>
      <c r="F17" s="51">
        <f t="shared" si="6"/>
        <v>96.106424399740433</v>
      </c>
      <c r="G17" s="51">
        <f t="shared" si="7"/>
        <v>3.8935756002595716</v>
      </c>
      <c r="H17" s="3"/>
      <c r="I17" s="19" t="s">
        <v>49</v>
      </c>
      <c r="J17" s="22">
        <f>MAX(G4:G342)</f>
        <v>78.950626837950779</v>
      </c>
      <c r="K17" s="25"/>
      <c r="L17" s="1"/>
      <c r="M17" s="1"/>
      <c r="N17" s="1"/>
      <c r="O17" s="59" t="s">
        <v>50</v>
      </c>
      <c r="P17" s="60" t="s">
        <v>48</v>
      </c>
      <c r="Q17" s="54">
        <v>59</v>
      </c>
      <c r="R17" s="9">
        <v>3575</v>
      </c>
      <c r="S17" s="14">
        <f t="shared" si="2"/>
        <v>3634</v>
      </c>
      <c r="T17" s="15">
        <f t="shared" si="3"/>
        <v>98.376444689047887</v>
      </c>
      <c r="U17" s="15">
        <f t="shared" si="4"/>
        <v>1.6235553109521188</v>
      </c>
      <c r="V17" s="17"/>
      <c r="AC17" s="4"/>
    </row>
    <row r="18" spans="1:29" ht="15.75" customHeight="1">
      <c r="A18" s="59" t="s">
        <v>53</v>
      </c>
      <c r="B18" s="68" t="s">
        <v>51</v>
      </c>
      <c r="C18" s="71">
        <v>150</v>
      </c>
      <c r="D18" s="71">
        <v>4084</v>
      </c>
      <c r="E18" s="50">
        <f t="shared" si="5"/>
        <v>4234</v>
      </c>
      <c r="F18" s="51">
        <f t="shared" si="6"/>
        <v>96.45725082664147</v>
      </c>
      <c r="G18" s="51">
        <f t="shared" si="7"/>
        <v>3.5427491733585259</v>
      </c>
      <c r="H18" s="3"/>
      <c r="I18" s="19" t="s">
        <v>52</v>
      </c>
      <c r="J18" s="22">
        <f>MIN(G4:G342)</f>
        <v>0.8544400366188587</v>
      </c>
      <c r="K18" s="47"/>
      <c r="L18" s="1"/>
      <c r="M18" s="1"/>
      <c r="N18" s="1"/>
      <c r="O18" s="59" t="s">
        <v>53</v>
      </c>
      <c r="P18" s="60" t="s">
        <v>51</v>
      </c>
      <c r="Q18" s="54">
        <v>87</v>
      </c>
      <c r="R18" s="9">
        <v>5327</v>
      </c>
      <c r="S18" s="14">
        <f t="shared" si="2"/>
        <v>5414</v>
      </c>
      <c r="T18" s="15">
        <f t="shared" si="3"/>
        <v>98.393055042482459</v>
      </c>
      <c r="U18" s="15">
        <f t="shared" si="4"/>
        <v>1.606944957517547</v>
      </c>
      <c r="V18" s="17"/>
      <c r="W18" s="17"/>
      <c r="AC18" s="4"/>
    </row>
    <row r="19" spans="1:29" ht="15.75" customHeight="1">
      <c r="A19" s="57" t="s">
        <v>55</v>
      </c>
      <c r="B19" s="69" t="s">
        <v>54</v>
      </c>
      <c r="C19" s="71">
        <v>759</v>
      </c>
      <c r="D19" s="71">
        <v>22067</v>
      </c>
      <c r="E19" s="50">
        <f t="shared" si="5"/>
        <v>22826</v>
      </c>
      <c r="F19" s="51">
        <f t="shared" si="6"/>
        <v>96.674844475597993</v>
      </c>
      <c r="G19" s="51">
        <f t="shared" si="7"/>
        <v>3.3251555244019979</v>
      </c>
      <c r="H19" s="3"/>
      <c r="I19" s="1"/>
      <c r="J19" s="1"/>
      <c r="K19" s="1"/>
      <c r="L19" s="1"/>
      <c r="M19" s="1"/>
      <c r="N19" s="1"/>
      <c r="O19" s="57" t="s">
        <v>55</v>
      </c>
      <c r="P19" s="58" t="s">
        <v>54</v>
      </c>
      <c r="Q19" s="9">
        <v>762</v>
      </c>
      <c r="R19" s="9">
        <v>22828</v>
      </c>
      <c r="S19" s="14">
        <f t="shared" si="2"/>
        <v>23590</v>
      </c>
      <c r="T19" s="15">
        <f t="shared" si="3"/>
        <v>96.769817719372625</v>
      </c>
      <c r="U19" s="15">
        <f t="shared" si="4"/>
        <v>3.2301822806273846</v>
      </c>
      <c r="V19" s="17"/>
      <c r="W19" s="17"/>
      <c r="AC19" s="4"/>
    </row>
    <row r="20" spans="1:29" ht="15.75" customHeight="1">
      <c r="A20" s="13" t="s">
        <v>58</v>
      </c>
      <c r="B20" s="66" t="s">
        <v>59</v>
      </c>
      <c r="C20" s="71">
        <v>468</v>
      </c>
      <c r="D20" s="71">
        <v>7289</v>
      </c>
      <c r="E20" s="50">
        <f t="shared" si="5"/>
        <v>7757</v>
      </c>
      <c r="F20" s="51">
        <f t="shared" si="6"/>
        <v>93.966739718963524</v>
      </c>
      <c r="G20" s="51">
        <f t="shared" si="7"/>
        <v>6.0332602810364833</v>
      </c>
      <c r="H20" s="3"/>
      <c r="I20" s="19" t="s">
        <v>56</v>
      </c>
      <c r="J20" s="15">
        <f>AVERAGE(G5:G343)</f>
        <v>15.475738784969508</v>
      </c>
      <c r="K20" s="1"/>
      <c r="L20" s="22" t="s">
        <v>57</v>
      </c>
      <c r="M20" s="22">
        <v>1.2290727323946911</v>
      </c>
      <c r="N20" s="1"/>
      <c r="O20" s="13" t="s">
        <v>58</v>
      </c>
      <c r="P20" s="11" t="s">
        <v>59</v>
      </c>
      <c r="Q20" s="9">
        <v>458</v>
      </c>
      <c r="R20" s="9">
        <v>6371</v>
      </c>
      <c r="S20" s="14">
        <f t="shared" si="2"/>
        <v>6829</v>
      </c>
      <c r="T20" s="15">
        <f t="shared" si="3"/>
        <v>93.293307951383809</v>
      </c>
      <c r="U20" s="15">
        <f t="shared" si="4"/>
        <v>6.7066920486161958</v>
      </c>
      <c r="V20" s="17"/>
      <c r="W20" s="17"/>
      <c r="AC20" s="4"/>
    </row>
    <row r="21" spans="1:29" ht="15.75" customHeight="1">
      <c r="A21" s="13" t="s">
        <v>63</v>
      </c>
      <c r="B21" s="66" t="s">
        <v>60</v>
      </c>
      <c r="C21" s="71">
        <v>7109</v>
      </c>
      <c r="D21" s="71">
        <v>8844</v>
      </c>
      <c r="E21" s="50">
        <f t="shared" si="5"/>
        <v>15953</v>
      </c>
      <c r="F21" s="51">
        <f t="shared" si="6"/>
        <v>55.437848680498966</v>
      </c>
      <c r="G21" s="51">
        <f t="shared" si="7"/>
        <v>44.562151319501034</v>
      </c>
      <c r="H21" s="3"/>
      <c r="I21" s="19" t="s">
        <v>61</v>
      </c>
      <c r="J21" s="22">
        <f>STDEV(G5:G343)</f>
        <v>14.256227956774085</v>
      </c>
      <c r="K21" s="1"/>
      <c r="L21" s="22" t="s">
        <v>62</v>
      </c>
      <c r="M21" s="22">
        <v>15.103286687999892</v>
      </c>
      <c r="N21" s="1"/>
      <c r="O21" s="13" t="s">
        <v>63</v>
      </c>
      <c r="P21" s="11" t="s">
        <v>60</v>
      </c>
      <c r="Q21" s="9">
        <v>3812</v>
      </c>
      <c r="R21" s="9">
        <v>8995</v>
      </c>
      <c r="S21" s="14">
        <f t="shared" si="2"/>
        <v>12807</v>
      </c>
      <c r="T21" s="15">
        <f t="shared" si="3"/>
        <v>70.235027719216063</v>
      </c>
      <c r="U21" s="15">
        <f t="shared" si="4"/>
        <v>29.764972280783947</v>
      </c>
      <c r="V21" s="17"/>
      <c r="W21" s="17"/>
      <c r="AC21" s="4"/>
    </row>
    <row r="22" spans="1:29" ht="15.75" customHeight="1">
      <c r="A22" s="13" t="s">
        <v>66</v>
      </c>
      <c r="B22" s="66" t="s">
        <v>64</v>
      </c>
      <c r="C22" s="71">
        <v>2908</v>
      </c>
      <c r="D22" s="71">
        <v>6624</v>
      </c>
      <c r="E22" s="50">
        <f t="shared" si="5"/>
        <v>9532</v>
      </c>
      <c r="F22" s="51">
        <f t="shared" si="6"/>
        <v>69.492236676458248</v>
      </c>
      <c r="G22" s="51">
        <f t="shared" si="7"/>
        <v>30.507763323541752</v>
      </c>
      <c r="H22" s="3"/>
      <c r="I22" s="1"/>
      <c r="J22" s="1"/>
      <c r="K22" s="1"/>
      <c r="L22" s="22" t="s">
        <v>65</v>
      </c>
      <c r="M22" s="22">
        <v>28.977500643605094</v>
      </c>
      <c r="N22" s="1"/>
      <c r="O22" s="13" t="s">
        <v>66</v>
      </c>
      <c r="P22" s="11" t="s">
        <v>64</v>
      </c>
      <c r="Q22" s="9">
        <v>1782</v>
      </c>
      <c r="R22" s="9">
        <v>6380</v>
      </c>
      <c r="S22" s="14">
        <f t="shared" si="2"/>
        <v>8162</v>
      </c>
      <c r="T22" s="15">
        <f t="shared" si="3"/>
        <v>78.167115902964952</v>
      </c>
      <c r="U22" s="15">
        <f t="shared" si="4"/>
        <v>21.832884097035041</v>
      </c>
      <c r="V22" s="17"/>
      <c r="W22" s="17"/>
      <c r="AC22" s="4"/>
    </row>
    <row r="23" spans="1:29" ht="15.75" customHeight="1">
      <c r="A23" s="13" t="s">
        <v>69</v>
      </c>
      <c r="B23" s="66" t="s">
        <v>67</v>
      </c>
      <c r="C23" s="71">
        <v>1158</v>
      </c>
      <c r="D23" s="71">
        <v>13514</v>
      </c>
      <c r="E23" s="50">
        <f t="shared" si="5"/>
        <v>14672</v>
      </c>
      <c r="F23" s="51">
        <f t="shared" si="6"/>
        <v>92.107415485278082</v>
      </c>
      <c r="G23" s="51">
        <f t="shared" si="7"/>
        <v>7.8925845147219187</v>
      </c>
      <c r="H23" s="3"/>
      <c r="I23" s="83" t="s">
        <v>68</v>
      </c>
      <c r="J23" s="15">
        <v>0.65989847715736039</v>
      </c>
      <c r="K23" s="1"/>
      <c r="L23" s="1"/>
      <c r="M23" s="1"/>
      <c r="N23" s="1"/>
      <c r="O23" s="13" t="s">
        <v>69</v>
      </c>
      <c r="P23" s="11" t="s">
        <v>67</v>
      </c>
      <c r="Q23" s="9">
        <v>515</v>
      </c>
      <c r="R23" s="9">
        <v>13636</v>
      </c>
      <c r="S23" s="14">
        <f t="shared" si="2"/>
        <v>14151</v>
      </c>
      <c r="T23" s="15">
        <f t="shared" si="3"/>
        <v>96.360681223941768</v>
      </c>
      <c r="U23" s="15">
        <f t="shared" si="4"/>
        <v>3.6393187760582291</v>
      </c>
      <c r="V23" s="17"/>
      <c r="W23" s="17"/>
      <c r="AC23" s="4"/>
    </row>
    <row r="24" spans="1:29" ht="15.75" customHeight="1">
      <c r="A24" s="13" t="s">
        <v>71</v>
      </c>
      <c r="B24" s="66" t="s">
        <v>70</v>
      </c>
      <c r="C24" s="71">
        <v>10001</v>
      </c>
      <c r="D24" s="71">
        <v>20116</v>
      </c>
      <c r="E24" s="50">
        <f t="shared" si="5"/>
        <v>30117</v>
      </c>
      <c r="F24" s="51">
        <f t="shared" si="6"/>
        <v>66.792841252448781</v>
      </c>
      <c r="G24" s="51">
        <f t="shared" si="7"/>
        <v>33.207158747551219</v>
      </c>
      <c r="H24" s="3"/>
      <c r="I24" s="80"/>
      <c r="J24" s="15">
        <v>0.8544400366188587</v>
      </c>
      <c r="K24" s="1"/>
      <c r="L24" s="1"/>
      <c r="M24" s="1"/>
      <c r="N24" s="1"/>
      <c r="O24" s="13" t="s">
        <v>71</v>
      </c>
      <c r="P24" s="11" t="s">
        <v>70</v>
      </c>
      <c r="Q24" s="9">
        <v>5098</v>
      </c>
      <c r="R24" s="9">
        <v>20295</v>
      </c>
      <c r="S24" s="14">
        <f t="shared" si="2"/>
        <v>25393</v>
      </c>
      <c r="T24" s="15">
        <f t="shared" si="3"/>
        <v>79.923600992399486</v>
      </c>
      <c r="U24" s="15">
        <f t="shared" si="4"/>
        <v>20.076399007600521</v>
      </c>
      <c r="V24" s="17"/>
      <c r="W24" s="17"/>
      <c r="AC24" s="4"/>
    </row>
    <row r="25" spans="1:29" ht="15.75" customHeight="1">
      <c r="A25" s="13" t="s">
        <v>73</v>
      </c>
      <c r="B25" s="66" t="s">
        <v>72</v>
      </c>
      <c r="C25" s="71">
        <v>1796</v>
      </c>
      <c r="D25" s="71">
        <v>10197</v>
      </c>
      <c r="E25" s="50">
        <f t="shared" si="5"/>
        <v>11993</v>
      </c>
      <c r="F25" s="51">
        <f t="shared" si="6"/>
        <v>85.024597681981149</v>
      </c>
      <c r="G25" s="51">
        <f t="shared" si="7"/>
        <v>14.975402318018844</v>
      </c>
      <c r="H25" s="3"/>
      <c r="I25" s="80"/>
      <c r="J25" s="15">
        <v>1.2432012432012431</v>
      </c>
      <c r="K25" s="1"/>
      <c r="L25" s="1"/>
      <c r="M25" s="1"/>
      <c r="N25" s="1"/>
      <c r="O25" s="13" t="s">
        <v>73</v>
      </c>
      <c r="P25" s="11" t="s">
        <v>72</v>
      </c>
      <c r="Q25" s="9">
        <v>1414</v>
      </c>
      <c r="R25" s="9">
        <v>14251</v>
      </c>
      <c r="S25" s="14">
        <f t="shared" si="2"/>
        <v>15665</v>
      </c>
      <c r="T25" s="15">
        <f t="shared" si="3"/>
        <v>90.973507819980853</v>
      </c>
      <c r="U25" s="15">
        <f t="shared" si="4"/>
        <v>9.0264921800191509</v>
      </c>
      <c r="V25" s="17"/>
      <c r="W25" s="17"/>
      <c r="AC25" s="4"/>
    </row>
    <row r="26" spans="1:29" ht="15.75" customHeight="1">
      <c r="A26" s="13" t="s">
        <v>75</v>
      </c>
      <c r="B26" s="66" t="s">
        <v>74</v>
      </c>
      <c r="C26" s="71">
        <v>2917</v>
      </c>
      <c r="D26" s="71">
        <v>11972</v>
      </c>
      <c r="E26" s="50">
        <f t="shared" si="5"/>
        <v>14889</v>
      </c>
      <c r="F26" s="51">
        <f t="shared" si="6"/>
        <v>80.408355161528647</v>
      </c>
      <c r="G26" s="51">
        <f t="shared" si="7"/>
        <v>19.591644838471357</v>
      </c>
      <c r="H26" s="3"/>
      <c r="I26" s="80"/>
      <c r="J26" s="15">
        <v>1.2487512487512489</v>
      </c>
      <c r="K26" s="1"/>
      <c r="L26" s="1"/>
      <c r="M26" s="1"/>
      <c r="N26" s="1"/>
      <c r="O26" s="13" t="s">
        <v>75</v>
      </c>
      <c r="P26" s="11" t="s">
        <v>74</v>
      </c>
      <c r="Q26" s="9">
        <v>1540</v>
      </c>
      <c r="R26" s="9">
        <v>12056</v>
      </c>
      <c r="S26" s="14">
        <f t="shared" si="2"/>
        <v>13596</v>
      </c>
      <c r="T26" s="15">
        <f t="shared" si="3"/>
        <v>88.673139158576049</v>
      </c>
      <c r="U26" s="15">
        <f t="shared" si="4"/>
        <v>11.326860841423949</v>
      </c>
      <c r="V26" s="17"/>
      <c r="W26" s="17"/>
      <c r="AC26" s="4"/>
    </row>
    <row r="27" spans="1:29" ht="15.75" customHeight="1">
      <c r="A27" s="13" t="s">
        <v>77</v>
      </c>
      <c r="B27" s="66" t="s">
        <v>76</v>
      </c>
      <c r="C27" s="71">
        <v>955</v>
      </c>
      <c r="D27" s="71">
        <v>9519</v>
      </c>
      <c r="E27" s="50">
        <f t="shared" si="5"/>
        <v>10474</v>
      </c>
      <c r="F27" s="51">
        <f t="shared" si="6"/>
        <v>90.882184456750053</v>
      </c>
      <c r="G27" s="51">
        <f t="shared" si="7"/>
        <v>9.1178155432499519</v>
      </c>
      <c r="H27" s="3"/>
      <c r="I27" s="82"/>
      <c r="J27" s="15">
        <v>1.2715179968701096</v>
      </c>
      <c r="K27" s="1"/>
      <c r="L27" s="1"/>
      <c r="M27" s="1"/>
      <c r="N27" s="1"/>
      <c r="O27" s="13" t="s">
        <v>77</v>
      </c>
      <c r="P27" s="11" t="s">
        <v>76</v>
      </c>
      <c r="Q27" s="9">
        <v>375</v>
      </c>
      <c r="R27" s="9">
        <v>8430</v>
      </c>
      <c r="S27" s="14">
        <f t="shared" si="2"/>
        <v>8805</v>
      </c>
      <c r="T27" s="15">
        <f t="shared" si="3"/>
        <v>95.741056218057921</v>
      </c>
      <c r="U27" s="15">
        <f t="shared" si="4"/>
        <v>4.2589437819420786</v>
      </c>
      <c r="V27" s="17"/>
      <c r="W27" s="17"/>
      <c r="AC27" s="4"/>
    </row>
    <row r="28" spans="1:29" ht="15.75" customHeight="1">
      <c r="A28" s="13" t="s">
        <v>78</v>
      </c>
      <c r="B28" s="66" t="s">
        <v>79</v>
      </c>
      <c r="C28" s="71">
        <v>28</v>
      </c>
      <c r="D28" s="71">
        <v>3249</v>
      </c>
      <c r="E28" s="50">
        <f t="shared" si="5"/>
        <v>3277</v>
      </c>
      <c r="F28" s="51">
        <f t="shared" si="6"/>
        <v>99.145559963381132</v>
      </c>
      <c r="G28" s="51">
        <f t="shared" si="7"/>
        <v>0.8544400366188587</v>
      </c>
      <c r="H28" s="3"/>
      <c r="I28" s="1"/>
      <c r="J28" s="1"/>
      <c r="K28" s="1"/>
      <c r="L28" s="1"/>
      <c r="M28" s="1"/>
      <c r="N28" s="1"/>
      <c r="O28" s="13" t="s">
        <v>78</v>
      </c>
      <c r="P28" s="11" t="s">
        <v>79</v>
      </c>
      <c r="Q28" s="9">
        <v>48</v>
      </c>
      <c r="R28" s="9">
        <v>5111</v>
      </c>
      <c r="S28" s="14">
        <f t="shared" si="2"/>
        <v>5159</v>
      </c>
      <c r="T28" s="15">
        <f t="shared" si="3"/>
        <v>99.069587129288621</v>
      </c>
      <c r="U28" s="15">
        <f t="shared" si="4"/>
        <v>0.93041287071137824</v>
      </c>
      <c r="V28" s="17"/>
      <c r="W28" s="17"/>
      <c r="AC28" s="4"/>
    </row>
    <row r="29" spans="1:29" ht="15.75" customHeight="1">
      <c r="A29" s="13" t="s">
        <v>82</v>
      </c>
      <c r="B29" s="66" t="s">
        <v>80</v>
      </c>
      <c r="C29" s="71">
        <v>681</v>
      </c>
      <c r="D29" s="71">
        <v>15758</v>
      </c>
      <c r="E29" s="50">
        <f t="shared" si="5"/>
        <v>16439</v>
      </c>
      <c r="F29" s="51">
        <f t="shared" si="6"/>
        <v>95.857412251353495</v>
      </c>
      <c r="G29" s="51">
        <f t="shared" si="7"/>
        <v>4.1425877486465108</v>
      </c>
      <c r="H29" s="3"/>
      <c r="I29" s="19" t="s">
        <v>81</v>
      </c>
      <c r="J29" s="22">
        <f>AVERAGE(J23:J27)</f>
        <v>1.055561800519764</v>
      </c>
      <c r="K29" s="1"/>
      <c r="L29" s="1"/>
      <c r="M29" s="1"/>
      <c r="N29" s="1"/>
      <c r="O29" s="13" t="s">
        <v>82</v>
      </c>
      <c r="P29" s="11" t="s">
        <v>80</v>
      </c>
      <c r="Q29" s="9">
        <v>337</v>
      </c>
      <c r="R29" s="9">
        <v>13777</v>
      </c>
      <c r="S29" s="14">
        <f t="shared" si="2"/>
        <v>14114</v>
      </c>
      <c r="T29" s="15">
        <f t="shared" si="3"/>
        <v>97.612299844126397</v>
      </c>
      <c r="U29" s="15">
        <f t="shared" si="4"/>
        <v>2.3877001558736008</v>
      </c>
      <c r="V29" s="17"/>
      <c r="W29" s="17"/>
      <c r="AC29" s="4"/>
    </row>
    <row r="30" spans="1:29" ht="15.75" customHeight="1">
      <c r="A30" s="13" t="s">
        <v>84</v>
      </c>
      <c r="B30" s="66" t="s">
        <v>83</v>
      </c>
      <c r="C30" s="71">
        <v>48</v>
      </c>
      <c r="D30" s="71">
        <v>3813</v>
      </c>
      <c r="E30" s="50">
        <f t="shared" si="5"/>
        <v>3861</v>
      </c>
      <c r="F30" s="51">
        <f t="shared" si="6"/>
        <v>98.756798756798759</v>
      </c>
      <c r="G30" s="51">
        <f t="shared" si="7"/>
        <v>1.2432012432012431</v>
      </c>
      <c r="H30" s="3"/>
      <c r="I30" s="1"/>
      <c r="J30" s="1"/>
      <c r="K30" s="1"/>
      <c r="L30" s="1"/>
      <c r="M30" s="1"/>
      <c r="N30" s="1"/>
      <c r="O30" s="13" t="s">
        <v>84</v>
      </c>
      <c r="P30" s="11" t="s">
        <v>83</v>
      </c>
      <c r="Q30" s="9">
        <v>43</v>
      </c>
      <c r="R30" s="9">
        <v>4799</v>
      </c>
      <c r="S30" s="14">
        <f t="shared" si="2"/>
        <v>4842</v>
      </c>
      <c r="T30" s="15">
        <f t="shared" si="3"/>
        <v>99.111937216026433</v>
      </c>
      <c r="U30" s="15">
        <f t="shared" si="4"/>
        <v>0.88806278397356464</v>
      </c>
      <c r="V30" s="17"/>
      <c r="W30" s="17"/>
      <c r="AC30" s="4"/>
    </row>
    <row r="31" spans="1:29" ht="15.75" customHeight="1">
      <c r="A31" s="13" t="s">
        <v>86</v>
      </c>
      <c r="B31" s="66" t="s">
        <v>87</v>
      </c>
      <c r="C31" s="71">
        <v>798</v>
      </c>
      <c r="D31" s="71">
        <v>8272</v>
      </c>
      <c r="E31" s="50">
        <f t="shared" si="5"/>
        <v>9070</v>
      </c>
      <c r="F31" s="51">
        <f t="shared" si="6"/>
        <v>91.201764057331857</v>
      </c>
      <c r="G31" s="51">
        <f t="shared" si="7"/>
        <v>8.7982359426681374</v>
      </c>
      <c r="H31" s="3"/>
      <c r="I31" s="23" t="s">
        <v>85</v>
      </c>
      <c r="J31" s="24">
        <f>PERCENTILE(G5:G343, 0.025)</f>
        <v>1.7505090605375611</v>
      </c>
      <c r="K31" s="1"/>
      <c r="L31" s="1"/>
      <c r="M31" s="1"/>
      <c r="N31" s="1"/>
      <c r="O31" s="13" t="s">
        <v>86</v>
      </c>
      <c r="P31" s="11" t="s">
        <v>87</v>
      </c>
      <c r="Q31" s="9">
        <v>890</v>
      </c>
      <c r="R31" s="9">
        <v>11930</v>
      </c>
      <c r="S31" s="14">
        <f t="shared" si="2"/>
        <v>12820</v>
      </c>
      <c r="T31" s="15">
        <f t="shared" si="3"/>
        <v>93.057722308892352</v>
      </c>
      <c r="U31" s="15">
        <f t="shared" si="4"/>
        <v>6.9422776911076438</v>
      </c>
      <c r="V31" s="17"/>
      <c r="W31" s="17"/>
      <c r="AC31" s="4"/>
    </row>
    <row r="32" spans="1:29" ht="15.75" customHeight="1">
      <c r="A32" s="13" t="s">
        <v>89</v>
      </c>
      <c r="B32" s="66" t="s">
        <v>88</v>
      </c>
      <c r="C32" s="71">
        <v>70</v>
      </c>
      <c r="D32" s="71">
        <v>2287</v>
      </c>
      <c r="E32" s="50">
        <f t="shared" si="5"/>
        <v>2357</v>
      </c>
      <c r="F32" s="51">
        <f t="shared" si="6"/>
        <v>97.030123037759864</v>
      </c>
      <c r="G32" s="51">
        <f t="shared" si="7"/>
        <v>2.9698769622401358</v>
      </c>
      <c r="H32" s="3"/>
      <c r="I32" s="1"/>
      <c r="J32" s="1"/>
      <c r="K32" s="1"/>
      <c r="L32" s="1"/>
      <c r="M32" s="1"/>
      <c r="N32" s="1"/>
      <c r="O32" s="13" t="s">
        <v>89</v>
      </c>
      <c r="P32" s="11" t="s">
        <v>88</v>
      </c>
      <c r="Q32" s="9">
        <v>64</v>
      </c>
      <c r="R32" s="9">
        <v>2367</v>
      </c>
      <c r="S32" s="14">
        <f t="shared" si="2"/>
        <v>2431</v>
      </c>
      <c r="T32" s="15">
        <f t="shared" si="3"/>
        <v>97.36733854380914</v>
      </c>
      <c r="U32" s="15">
        <f t="shared" si="4"/>
        <v>2.6326614561908679</v>
      </c>
      <c r="V32" s="17"/>
      <c r="W32" s="17"/>
      <c r="AC32" s="4"/>
    </row>
    <row r="33" spans="1:29" ht="15.75" customHeight="1">
      <c r="A33" s="13" t="s">
        <v>90</v>
      </c>
      <c r="B33" s="66" t="s">
        <v>91</v>
      </c>
      <c r="C33" s="71">
        <v>265</v>
      </c>
      <c r="D33" s="71">
        <v>6665</v>
      </c>
      <c r="E33" s="50">
        <f t="shared" si="5"/>
        <v>6930</v>
      </c>
      <c r="F33" s="51">
        <f t="shared" si="6"/>
        <v>96.176046176046185</v>
      </c>
      <c r="G33" s="51">
        <f t="shared" si="7"/>
        <v>3.8239538239538238</v>
      </c>
      <c r="H33" s="3"/>
      <c r="I33" s="1"/>
      <c r="J33" s="3">
        <f>PERCENTILE(G5:G343, 0.025)</f>
        <v>1.7505090605375611</v>
      </c>
      <c r="K33" s="1"/>
      <c r="L33" s="1"/>
      <c r="M33" s="1"/>
      <c r="N33" s="1"/>
      <c r="O33" s="13" t="s">
        <v>90</v>
      </c>
      <c r="P33" s="11" t="s">
        <v>91</v>
      </c>
      <c r="Q33" s="9">
        <v>341</v>
      </c>
      <c r="R33" s="9">
        <v>6591</v>
      </c>
      <c r="S33" s="14">
        <f t="shared" si="2"/>
        <v>6932</v>
      </c>
      <c r="T33" s="15">
        <f t="shared" si="3"/>
        <v>95.080784766301207</v>
      </c>
      <c r="U33" s="15">
        <f t="shared" si="4"/>
        <v>4.9192152336987887</v>
      </c>
      <c r="V33" s="17"/>
      <c r="W33" s="17"/>
      <c r="AC33" s="4"/>
    </row>
    <row r="34" spans="1:29" ht="15.75" customHeight="1">
      <c r="A34" s="13" t="s">
        <v>92</v>
      </c>
      <c r="B34" s="66" t="s">
        <v>93</v>
      </c>
      <c r="C34" s="71">
        <v>16974</v>
      </c>
      <c r="D34" s="71">
        <v>713853</v>
      </c>
      <c r="E34" s="50">
        <f t="shared" si="5"/>
        <v>730827</v>
      </c>
      <c r="F34" s="51">
        <f t="shared" si="6"/>
        <v>97.677425710872754</v>
      </c>
      <c r="G34" s="51">
        <f t="shared" si="7"/>
        <v>2.3225742891272492</v>
      </c>
      <c r="H34" s="3"/>
      <c r="I34" s="1"/>
      <c r="J34" s="1"/>
      <c r="K34" s="1"/>
      <c r="L34" s="1"/>
      <c r="M34" s="1"/>
      <c r="N34" s="1"/>
      <c r="O34" s="13" t="s">
        <v>92</v>
      </c>
      <c r="P34" s="11" t="s">
        <v>93</v>
      </c>
      <c r="Q34" s="9">
        <v>6793</v>
      </c>
      <c r="R34" s="9">
        <v>729866</v>
      </c>
      <c r="S34" s="14">
        <f t="shared" si="2"/>
        <v>736659</v>
      </c>
      <c r="T34" s="15">
        <f t="shared" si="3"/>
        <v>99.07786370627386</v>
      </c>
      <c r="U34" s="15">
        <f t="shared" si="4"/>
        <v>0.92213629372613382</v>
      </c>
      <c r="V34" s="17"/>
      <c r="W34" s="17"/>
      <c r="AC34" s="4"/>
    </row>
    <row r="35" spans="1:29" ht="15.75" customHeight="1">
      <c r="A35" s="13" t="s">
        <v>95</v>
      </c>
      <c r="B35" s="66" t="s">
        <v>94</v>
      </c>
      <c r="C35" s="71">
        <v>2822</v>
      </c>
      <c r="D35" s="71">
        <v>12855</v>
      </c>
      <c r="E35" s="50">
        <f t="shared" si="5"/>
        <v>15677</v>
      </c>
      <c r="F35" s="51">
        <f t="shared" si="6"/>
        <v>81.999106971997193</v>
      </c>
      <c r="G35" s="51">
        <f t="shared" si="7"/>
        <v>18.000893028002807</v>
      </c>
      <c r="H35" s="3"/>
      <c r="I35" s="1"/>
      <c r="J35" s="1"/>
      <c r="K35" s="1"/>
      <c r="L35" s="1"/>
      <c r="M35" s="1"/>
      <c r="N35" s="1"/>
      <c r="O35" s="13" t="s">
        <v>95</v>
      </c>
      <c r="P35" s="11" t="s">
        <v>94</v>
      </c>
      <c r="Q35" s="9">
        <v>2004</v>
      </c>
      <c r="R35" s="9">
        <v>18708</v>
      </c>
      <c r="S35" s="14">
        <f t="shared" si="2"/>
        <v>20712</v>
      </c>
      <c r="T35" s="15">
        <f t="shared" si="3"/>
        <v>90.324449594438008</v>
      </c>
      <c r="U35" s="15">
        <f t="shared" si="4"/>
        <v>9.6755504055619923</v>
      </c>
      <c r="V35" s="17"/>
      <c r="W35" s="17"/>
      <c r="AC35" s="4"/>
    </row>
    <row r="36" spans="1:29" ht="15.75" customHeight="1">
      <c r="A36" s="13" t="s">
        <v>97</v>
      </c>
      <c r="B36" s="66" t="s">
        <v>96</v>
      </c>
      <c r="C36" s="71">
        <v>1729</v>
      </c>
      <c r="D36" s="71">
        <v>13351</v>
      </c>
      <c r="E36" s="50">
        <f t="shared" si="5"/>
        <v>15080</v>
      </c>
      <c r="F36" s="51">
        <f t="shared" si="6"/>
        <v>88.534482758620697</v>
      </c>
      <c r="G36" s="51">
        <f t="shared" si="7"/>
        <v>11.46551724137931</v>
      </c>
      <c r="H36" s="3"/>
      <c r="I36" s="1"/>
      <c r="J36" s="1"/>
      <c r="K36" s="1"/>
      <c r="L36" s="1"/>
      <c r="M36" s="1"/>
      <c r="N36" s="1"/>
      <c r="O36" s="13" t="s">
        <v>97</v>
      </c>
      <c r="P36" s="11" t="s">
        <v>96</v>
      </c>
      <c r="Q36" s="9">
        <v>1034</v>
      </c>
      <c r="R36" s="9">
        <v>18726</v>
      </c>
      <c r="S36" s="14">
        <f t="shared" si="2"/>
        <v>19760</v>
      </c>
      <c r="T36" s="15">
        <f t="shared" si="3"/>
        <v>94.767206477732785</v>
      </c>
      <c r="U36" s="15">
        <f t="shared" si="4"/>
        <v>5.2327935222672064</v>
      </c>
      <c r="V36" s="17"/>
      <c r="W36" s="17"/>
      <c r="AC36" s="4"/>
    </row>
    <row r="37" spans="1:29" ht="15.75" customHeight="1">
      <c r="A37" s="13" t="s">
        <v>99</v>
      </c>
      <c r="B37" s="66" t="s">
        <v>98</v>
      </c>
      <c r="C37" s="71">
        <v>1600</v>
      </c>
      <c r="D37" s="71">
        <v>19694</v>
      </c>
      <c r="E37" s="50">
        <f t="shared" si="5"/>
        <v>21294</v>
      </c>
      <c r="F37" s="51">
        <f t="shared" si="6"/>
        <v>92.48614633230018</v>
      </c>
      <c r="G37" s="51">
        <f t="shared" si="7"/>
        <v>7.5138536676998218</v>
      </c>
      <c r="H37" s="3"/>
      <c r="I37" s="1"/>
      <c r="J37" s="1"/>
      <c r="K37" s="1"/>
      <c r="L37" s="1"/>
      <c r="M37" s="1"/>
      <c r="N37" s="1"/>
      <c r="O37" s="13" t="s">
        <v>99</v>
      </c>
      <c r="P37" s="11" t="s">
        <v>98</v>
      </c>
      <c r="Q37" s="9">
        <v>1267</v>
      </c>
      <c r="R37" s="9">
        <v>43018</v>
      </c>
      <c r="S37" s="14">
        <f t="shared" si="2"/>
        <v>44285</v>
      </c>
      <c r="T37" s="15">
        <f t="shared" si="3"/>
        <v>97.138986112679234</v>
      </c>
      <c r="U37" s="15">
        <f t="shared" si="4"/>
        <v>2.8610138873207633</v>
      </c>
      <c r="V37" s="17"/>
      <c r="W37" s="17"/>
      <c r="AC37" s="4"/>
    </row>
    <row r="38" spans="1:29" ht="15.75" customHeight="1">
      <c r="A38" s="13" t="s">
        <v>101</v>
      </c>
      <c r="B38" s="66" t="s">
        <v>100</v>
      </c>
      <c r="C38" s="71">
        <v>35929</v>
      </c>
      <c r="D38" s="71">
        <v>759439</v>
      </c>
      <c r="E38" s="50">
        <f t="shared" si="5"/>
        <v>795368</v>
      </c>
      <c r="F38" s="51">
        <f t="shared" si="6"/>
        <v>95.482719948501824</v>
      </c>
      <c r="G38" s="51">
        <f t="shared" si="7"/>
        <v>4.5172800514981741</v>
      </c>
      <c r="H38" s="3"/>
      <c r="I38" s="1"/>
      <c r="J38" s="1"/>
      <c r="K38" s="1"/>
      <c r="L38" s="1"/>
      <c r="M38" s="1"/>
      <c r="N38" s="1"/>
      <c r="O38" s="13" t="s">
        <v>101</v>
      </c>
      <c r="P38" s="11" t="s">
        <v>100</v>
      </c>
      <c r="Q38" s="9">
        <v>12280</v>
      </c>
      <c r="R38" s="9">
        <v>837086</v>
      </c>
      <c r="S38" s="14">
        <f t="shared" si="2"/>
        <v>849366</v>
      </c>
      <c r="T38" s="15">
        <f t="shared" si="3"/>
        <v>98.5542157326759</v>
      </c>
      <c r="U38" s="15">
        <f t="shared" si="4"/>
        <v>1.4457842673240981</v>
      </c>
      <c r="V38" s="17"/>
      <c r="W38" s="17"/>
      <c r="AC38" s="4"/>
    </row>
    <row r="39" spans="1:29" ht="15.75" customHeight="1">
      <c r="A39" s="13" t="s">
        <v>103</v>
      </c>
      <c r="B39" s="66" t="s">
        <v>102</v>
      </c>
      <c r="C39" s="71">
        <v>10842</v>
      </c>
      <c r="D39" s="71">
        <v>33112</v>
      </c>
      <c r="E39" s="50">
        <f t="shared" si="5"/>
        <v>43954</v>
      </c>
      <c r="F39" s="51">
        <f t="shared" si="6"/>
        <v>75.333302998589431</v>
      </c>
      <c r="G39" s="51">
        <f t="shared" si="7"/>
        <v>24.666697001410565</v>
      </c>
      <c r="H39" s="3"/>
      <c r="I39" s="1"/>
      <c r="J39" s="1"/>
      <c r="K39" s="1"/>
      <c r="L39" s="1"/>
      <c r="M39" s="1"/>
      <c r="N39" s="1"/>
      <c r="O39" s="13" t="s">
        <v>103</v>
      </c>
      <c r="P39" s="11" t="s">
        <v>102</v>
      </c>
      <c r="Q39" s="9">
        <v>5648</v>
      </c>
      <c r="R39" s="9">
        <v>40040</v>
      </c>
      <c r="S39" s="14">
        <f t="shared" si="2"/>
        <v>45688</v>
      </c>
      <c r="T39" s="15">
        <f t="shared" si="3"/>
        <v>87.637891787777974</v>
      </c>
      <c r="U39" s="15">
        <f t="shared" si="4"/>
        <v>12.362108212222028</v>
      </c>
      <c r="V39" s="17"/>
      <c r="W39" s="17"/>
      <c r="AC39" s="4"/>
    </row>
    <row r="40" spans="1:29" ht="15.75" customHeight="1">
      <c r="A40" s="13" t="s">
        <v>105</v>
      </c>
      <c r="B40" s="66" t="s">
        <v>104</v>
      </c>
      <c r="C40" s="71">
        <v>3802</v>
      </c>
      <c r="D40" s="71">
        <v>8802</v>
      </c>
      <c r="E40" s="50">
        <f t="shared" si="5"/>
        <v>12604</v>
      </c>
      <c r="F40" s="51">
        <f t="shared" si="6"/>
        <v>69.834973024436692</v>
      </c>
      <c r="G40" s="51">
        <f t="shared" si="7"/>
        <v>30.165026975563315</v>
      </c>
      <c r="H40" s="3"/>
      <c r="I40" s="1"/>
      <c r="J40" s="1"/>
      <c r="K40" s="1"/>
      <c r="L40" s="1"/>
      <c r="M40" s="1"/>
      <c r="N40" s="1"/>
      <c r="O40" s="13" t="s">
        <v>105</v>
      </c>
      <c r="P40" s="11" t="s">
        <v>104</v>
      </c>
      <c r="Q40" s="9">
        <v>2681</v>
      </c>
      <c r="R40" s="9">
        <v>13757</v>
      </c>
      <c r="S40" s="14">
        <f t="shared" si="2"/>
        <v>16438</v>
      </c>
      <c r="T40" s="15">
        <f t="shared" si="3"/>
        <v>83.690229954982357</v>
      </c>
      <c r="U40" s="15">
        <f t="shared" si="4"/>
        <v>16.30977004501764</v>
      </c>
      <c r="V40" s="17"/>
      <c r="W40" s="17"/>
      <c r="AC40" s="4"/>
    </row>
    <row r="41" spans="1:29" ht="15.75" customHeight="1">
      <c r="A41" s="13" t="s">
        <v>107</v>
      </c>
      <c r="B41" s="66" t="s">
        <v>106</v>
      </c>
      <c r="C41" s="71">
        <v>1588</v>
      </c>
      <c r="D41" s="71">
        <v>6082</v>
      </c>
      <c r="E41" s="50">
        <f t="shared" si="5"/>
        <v>7670</v>
      </c>
      <c r="F41" s="51">
        <f t="shared" si="6"/>
        <v>79.295958279009128</v>
      </c>
      <c r="G41" s="51">
        <f t="shared" si="7"/>
        <v>20.704041720990872</v>
      </c>
      <c r="H41" s="3"/>
      <c r="I41" s="1"/>
      <c r="J41" s="1"/>
      <c r="K41" s="1"/>
      <c r="L41" s="1"/>
      <c r="M41" s="1"/>
      <c r="N41" s="1"/>
      <c r="O41" s="13" t="s">
        <v>107</v>
      </c>
      <c r="P41" s="11" t="s">
        <v>106</v>
      </c>
      <c r="Q41" s="9">
        <v>900</v>
      </c>
      <c r="R41" s="9">
        <v>7522</v>
      </c>
      <c r="S41" s="14">
        <f t="shared" si="2"/>
        <v>8422</v>
      </c>
      <c r="T41" s="15">
        <f t="shared" si="3"/>
        <v>89.313702208501539</v>
      </c>
      <c r="U41" s="15">
        <f t="shared" si="4"/>
        <v>10.686297791498456</v>
      </c>
      <c r="V41" s="17"/>
      <c r="W41" s="17"/>
      <c r="AC41" s="4"/>
    </row>
    <row r="42" spans="1:29" ht="15.75" customHeight="1">
      <c r="A42" s="13" t="s">
        <v>109</v>
      </c>
      <c r="B42" s="66" t="s">
        <v>108</v>
      </c>
      <c r="C42" s="71">
        <v>1461</v>
      </c>
      <c r="D42" s="71">
        <v>6793</v>
      </c>
      <c r="E42" s="50">
        <f t="shared" si="5"/>
        <v>8254</v>
      </c>
      <c r="F42" s="51">
        <f t="shared" si="6"/>
        <v>82.299491155803253</v>
      </c>
      <c r="G42" s="51">
        <f t="shared" si="7"/>
        <v>17.700508844196751</v>
      </c>
      <c r="H42" s="3"/>
      <c r="I42" s="1"/>
      <c r="J42" s="1"/>
      <c r="K42" s="1"/>
      <c r="L42" s="1"/>
      <c r="M42" s="1"/>
      <c r="N42" s="1"/>
      <c r="O42" s="13" t="s">
        <v>109</v>
      </c>
      <c r="P42" s="11" t="s">
        <v>108</v>
      </c>
      <c r="Q42" s="9">
        <v>725</v>
      </c>
      <c r="R42" s="9">
        <v>8311</v>
      </c>
      <c r="S42" s="14">
        <f t="shared" si="2"/>
        <v>9036</v>
      </c>
      <c r="T42" s="15">
        <f t="shared" si="3"/>
        <v>91.976538291279326</v>
      </c>
      <c r="U42" s="15">
        <f t="shared" si="4"/>
        <v>8.0234617087206725</v>
      </c>
      <c r="V42" s="17"/>
      <c r="W42" s="17"/>
      <c r="AC42" s="4"/>
    </row>
    <row r="43" spans="1:29" ht="15.75" customHeight="1">
      <c r="A43" s="13" t="s">
        <v>111</v>
      </c>
      <c r="B43" s="66" t="s">
        <v>110</v>
      </c>
      <c r="C43" s="71">
        <v>424</v>
      </c>
      <c r="D43" s="71">
        <v>3367</v>
      </c>
      <c r="E43" s="50">
        <f t="shared" si="5"/>
        <v>3791</v>
      </c>
      <c r="F43" s="51">
        <f t="shared" si="6"/>
        <v>88.815615932471644</v>
      </c>
      <c r="G43" s="51">
        <f t="shared" si="7"/>
        <v>11.184384067528356</v>
      </c>
      <c r="H43" s="3"/>
      <c r="I43" s="1"/>
      <c r="J43" s="1"/>
      <c r="K43" s="1"/>
      <c r="L43" s="1"/>
      <c r="M43" s="1"/>
      <c r="N43" s="1"/>
      <c r="O43" s="13" t="s">
        <v>111</v>
      </c>
      <c r="P43" s="11" t="s">
        <v>110</v>
      </c>
      <c r="Q43" s="9">
        <v>249</v>
      </c>
      <c r="R43" s="9">
        <v>4698</v>
      </c>
      <c r="S43" s="14">
        <f t="shared" si="2"/>
        <v>4947</v>
      </c>
      <c r="T43" s="15">
        <f t="shared" si="3"/>
        <v>94.966646452395381</v>
      </c>
      <c r="U43" s="15">
        <f t="shared" si="4"/>
        <v>5.0333535476046087</v>
      </c>
      <c r="V43" s="17"/>
      <c r="W43" s="17"/>
      <c r="AC43" s="4"/>
    </row>
    <row r="44" spans="1:29" ht="15.75" customHeight="1">
      <c r="A44" s="13" t="s">
        <v>113</v>
      </c>
      <c r="B44" s="66" t="s">
        <v>112</v>
      </c>
      <c r="C44" s="71">
        <v>786</v>
      </c>
      <c r="D44" s="71">
        <v>4027</v>
      </c>
      <c r="E44" s="50">
        <f t="shared" si="5"/>
        <v>4813</v>
      </c>
      <c r="F44" s="51">
        <f t="shared" si="6"/>
        <v>83.669229170995223</v>
      </c>
      <c r="G44" s="51">
        <f t="shared" si="7"/>
        <v>16.330770829004777</v>
      </c>
      <c r="H44" s="3"/>
      <c r="I44" s="1"/>
      <c r="J44" s="1"/>
      <c r="K44" s="1"/>
      <c r="L44" s="1"/>
      <c r="M44" s="1"/>
      <c r="N44" s="1"/>
      <c r="O44" s="13" t="s">
        <v>113</v>
      </c>
      <c r="P44" s="11" t="s">
        <v>112</v>
      </c>
      <c r="Q44" s="9">
        <v>385</v>
      </c>
      <c r="R44" s="9">
        <v>6634</v>
      </c>
      <c r="S44" s="14">
        <f t="shared" si="2"/>
        <v>7019</v>
      </c>
      <c r="T44" s="15">
        <f t="shared" si="3"/>
        <v>94.514888160706661</v>
      </c>
      <c r="U44" s="15">
        <f t="shared" si="4"/>
        <v>5.4851118392933467</v>
      </c>
      <c r="V44" s="17"/>
      <c r="W44" s="17"/>
      <c r="AC44" s="4"/>
    </row>
    <row r="45" spans="1:29" ht="15.75" customHeight="1">
      <c r="A45" s="13" t="s">
        <v>114</v>
      </c>
      <c r="B45" s="66" t="s">
        <v>115</v>
      </c>
      <c r="C45" s="71">
        <v>1443</v>
      </c>
      <c r="D45" s="71">
        <v>8721</v>
      </c>
      <c r="E45" s="50">
        <f t="shared" si="5"/>
        <v>10164</v>
      </c>
      <c r="F45" s="51">
        <f t="shared" si="6"/>
        <v>85.802833530106255</v>
      </c>
      <c r="G45" s="51">
        <f t="shared" si="7"/>
        <v>14.197166469893743</v>
      </c>
      <c r="H45" s="3"/>
      <c r="I45" s="1"/>
      <c r="J45" s="1"/>
      <c r="K45" s="1"/>
      <c r="L45" s="1"/>
      <c r="M45" s="1"/>
      <c r="N45" s="1"/>
      <c r="O45" s="13" t="s">
        <v>114</v>
      </c>
      <c r="P45" s="11" t="s">
        <v>115</v>
      </c>
      <c r="Q45" s="9">
        <v>837</v>
      </c>
      <c r="R45" s="9">
        <v>12207</v>
      </c>
      <c r="S45" s="14">
        <f t="shared" si="2"/>
        <v>13044</v>
      </c>
      <c r="T45" s="15">
        <f t="shared" si="3"/>
        <v>93.583256669733203</v>
      </c>
      <c r="U45" s="15">
        <f t="shared" si="4"/>
        <v>6.4167433302667884</v>
      </c>
      <c r="V45" s="17"/>
      <c r="W45" s="17"/>
      <c r="AC45" s="4"/>
    </row>
    <row r="46" spans="1:29" ht="15.75" customHeight="1">
      <c r="A46" s="13" t="s">
        <v>117</v>
      </c>
      <c r="B46" s="66" t="s">
        <v>116</v>
      </c>
      <c r="C46" s="71">
        <v>1983</v>
      </c>
      <c r="D46" s="71">
        <v>12065</v>
      </c>
      <c r="E46" s="50">
        <f t="shared" si="5"/>
        <v>14048</v>
      </c>
      <c r="F46" s="51">
        <f t="shared" si="6"/>
        <v>85.884111617312072</v>
      </c>
      <c r="G46" s="51">
        <f t="shared" si="7"/>
        <v>14.115888382687928</v>
      </c>
      <c r="H46" s="3"/>
      <c r="I46" s="1"/>
      <c r="J46" s="1"/>
      <c r="K46" s="1"/>
      <c r="L46" s="1"/>
      <c r="M46" s="1"/>
      <c r="N46" s="1"/>
      <c r="O46" s="13" t="s">
        <v>117</v>
      </c>
      <c r="P46" s="11" t="s">
        <v>116</v>
      </c>
      <c r="Q46" s="9">
        <v>1041</v>
      </c>
      <c r="R46" s="9">
        <v>13970</v>
      </c>
      <c r="S46" s="14">
        <f t="shared" si="2"/>
        <v>15011</v>
      </c>
      <c r="T46" s="15">
        <f t="shared" si="3"/>
        <v>93.065085603890481</v>
      </c>
      <c r="U46" s="15">
        <f t="shared" si="4"/>
        <v>6.9349143961095194</v>
      </c>
      <c r="V46" s="17"/>
      <c r="W46" s="17"/>
      <c r="AC46" s="4"/>
    </row>
    <row r="47" spans="1:29" ht="15.75" customHeight="1">
      <c r="A47" s="13" t="s">
        <v>119</v>
      </c>
      <c r="B47" s="66" t="s">
        <v>118</v>
      </c>
      <c r="C47" s="71">
        <v>1077</v>
      </c>
      <c r="D47" s="71">
        <v>8410</v>
      </c>
      <c r="E47" s="50">
        <f t="shared" si="5"/>
        <v>9487</v>
      </c>
      <c r="F47" s="51">
        <f t="shared" si="6"/>
        <v>88.647623063139037</v>
      </c>
      <c r="G47" s="51">
        <f t="shared" si="7"/>
        <v>11.352376936860969</v>
      </c>
      <c r="H47" s="3"/>
      <c r="I47" s="1"/>
      <c r="J47" s="1"/>
      <c r="K47" s="1"/>
      <c r="L47" s="1"/>
      <c r="M47" s="1"/>
      <c r="N47" s="1"/>
      <c r="O47" s="13" t="s">
        <v>119</v>
      </c>
      <c r="P47" s="11" t="s">
        <v>118</v>
      </c>
      <c r="Q47" s="9">
        <v>756</v>
      </c>
      <c r="R47" s="9">
        <v>11033</v>
      </c>
      <c r="S47" s="14">
        <f t="shared" si="2"/>
        <v>11789</v>
      </c>
      <c r="T47" s="15">
        <f t="shared" si="3"/>
        <v>93.58724234455849</v>
      </c>
      <c r="U47" s="15">
        <f t="shared" si="4"/>
        <v>6.4127576554415127</v>
      </c>
      <c r="V47" s="17"/>
      <c r="W47" s="17"/>
      <c r="AC47" s="4"/>
    </row>
    <row r="48" spans="1:29" ht="15.75" customHeight="1">
      <c r="A48" s="13" t="s">
        <v>121</v>
      </c>
      <c r="B48" s="66" t="s">
        <v>120</v>
      </c>
      <c r="C48" s="71">
        <v>568</v>
      </c>
      <c r="D48" s="71">
        <v>3120</v>
      </c>
      <c r="E48" s="50">
        <f t="shared" si="5"/>
        <v>3688</v>
      </c>
      <c r="F48" s="51">
        <f t="shared" si="6"/>
        <v>84.598698481561811</v>
      </c>
      <c r="G48" s="51">
        <f t="shared" si="7"/>
        <v>15.40130151843818</v>
      </c>
      <c r="H48" s="3"/>
      <c r="I48" s="1"/>
      <c r="J48" s="1"/>
      <c r="K48" s="1"/>
      <c r="L48" s="1"/>
      <c r="M48" s="1"/>
      <c r="N48" s="1"/>
      <c r="O48" s="13" t="s">
        <v>121</v>
      </c>
      <c r="P48" s="11" t="s">
        <v>120</v>
      </c>
      <c r="Q48" s="9">
        <v>265</v>
      </c>
      <c r="R48" s="9">
        <v>4758</v>
      </c>
      <c r="S48" s="14">
        <f t="shared" si="2"/>
        <v>5023</v>
      </c>
      <c r="T48" s="15">
        <f t="shared" si="3"/>
        <v>94.724268365518611</v>
      </c>
      <c r="U48" s="15">
        <f t="shared" si="4"/>
        <v>5.275731634481386</v>
      </c>
      <c r="V48" s="17"/>
      <c r="W48" s="17"/>
      <c r="AC48" s="4"/>
    </row>
    <row r="49" spans="1:29" ht="15.75" customHeight="1">
      <c r="A49" s="13" t="s">
        <v>123</v>
      </c>
      <c r="B49" s="66" t="s">
        <v>122</v>
      </c>
      <c r="C49" s="71">
        <v>203</v>
      </c>
      <c r="D49" s="71">
        <v>2904</v>
      </c>
      <c r="E49" s="50">
        <f t="shared" si="5"/>
        <v>3107</v>
      </c>
      <c r="F49" s="51">
        <f t="shared" si="6"/>
        <v>93.466366269713546</v>
      </c>
      <c r="G49" s="51">
        <f t="shared" si="7"/>
        <v>6.5336337302864509</v>
      </c>
      <c r="H49" s="3"/>
      <c r="I49" s="1"/>
      <c r="J49" s="1"/>
      <c r="K49" s="1"/>
      <c r="L49" s="1"/>
      <c r="M49" s="1"/>
      <c r="N49" s="1"/>
      <c r="O49" s="13" t="s">
        <v>123</v>
      </c>
      <c r="P49" s="11" t="s">
        <v>122</v>
      </c>
      <c r="Q49" s="9">
        <v>233</v>
      </c>
      <c r="R49" s="9">
        <v>3834</v>
      </c>
      <c r="S49" s="14">
        <f t="shared" si="2"/>
        <v>4067</v>
      </c>
      <c r="T49" s="15">
        <f t="shared" si="3"/>
        <v>94.270961396606836</v>
      </c>
      <c r="U49" s="15">
        <f t="shared" si="4"/>
        <v>5.7290386033931648</v>
      </c>
      <c r="V49" s="17"/>
      <c r="W49" s="17"/>
      <c r="AC49" s="4"/>
    </row>
    <row r="50" spans="1:29" ht="15.75" customHeight="1">
      <c r="A50" s="13" t="s">
        <v>124</v>
      </c>
      <c r="B50" s="66" t="s">
        <v>125</v>
      </c>
      <c r="C50" s="71">
        <v>458</v>
      </c>
      <c r="D50" s="71">
        <v>4303</v>
      </c>
      <c r="E50" s="50">
        <f t="shared" si="5"/>
        <v>4761</v>
      </c>
      <c r="F50" s="51">
        <f t="shared" si="6"/>
        <v>90.38017223272422</v>
      </c>
      <c r="G50" s="51">
        <f t="shared" si="7"/>
        <v>9.6198277672757815</v>
      </c>
      <c r="H50" s="3"/>
      <c r="I50" s="1"/>
      <c r="J50" s="1"/>
      <c r="K50" s="1"/>
      <c r="L50" s="1"/>
      <c r="M50" s="1"/>
      <c r="N50" s="1"/>
      <c r="O50" s="13" t="s">
        <v>124</v>
      </c>
      <c r="P50" s="11" t="s">
        <v>125</v>
      </c>
      <c r="Q50" s="9">
        <v>288</v>
      </c>
      <c r="R50" s="9">
        <v>5963</v>
      </c>
      <c r="S50" s="14">
        <f t="shared" si="2"/>
        <v>6251</v>
      </c>
      <c r="T50" s="15">
        <f t="shared" si="3"/>
        <v>95.392737162054075</v>
      </c>
      <c r="U50" s="15">
        <f t="shared" si="4"/>
        <v>4.6072628379459291</v>
      </c>
      <c r="V50" s="17"/>
      <c r="W50" s="17"/>
      <c r="AC50" s="4"/>
    </row>
    <row r="51" spans="1:29" ht="15.75" customHeight="1">
      <c r="A51" s="13" t="s">
        <v>127</v>
      </c>
      <c r="B51" s="66" t="s">
        <v>126</v>
      </c>
      <c r="C51" s="71">
        <v>116</v>
      </c>
      <c r="D51" s="71">
        <v>471</v>
      </c>
      <c r="E51" s="50">
        <f t="shared" si="5"/>
        <v>587</v>
      </c>
      <c r="F51" s="51">
        <f t="shared" si="6"/>
        <v>80.238500851788757</v>
      </c>
      <c r="G51" s="51">
        <f t="shared" si="7"/>
        <v>19.761499148211243</v>
      </c>
      <c r="H51" s="3"/>
      <c r="I51" s="1"/>
      <c r="J51" s="1"/>
      <c r="K51" s="1"/>
      <c r="L51" s="1"/>
      <c r="M51" s="1"/>
      <c r="N51" s="1"/>
      <c r="O51" s="13" t="s">
        <v>127</v>
      </c>
      <c r="P51" s="11" t="s">
        <v>126</v>
      </c>
      <c r="Q51" s="9">
        <v>316</v>
      </c>
      <c r="R51" s="9">
        <v>3554</v>
      </c>
      <c r="S51" s="14">
        <f t="shared" si="2"/>
        <v>3870</v>
      </c>
      <c r="T51" s="15">
        <f t="shared" si="3"/>
        <v>91.834625322997425</v>
      </c>
      <c r="U51" s="15">
        <f t="shared" si="4"/>
        <v>8.1653746770025837</v>
      </c>
      <c r="V51" s="17"/>
      <c r="W51" s="17"/>
      <c r="AC51" s="4"/>
    </row>
    <row r="52" spans="1:29" ht="15.75" customHeight="1">
      <c r="A52" s="13" t="s">
        <v>128</v>
      </c>
      <c r="B52" s="66" t="s">
        <v>129</v>
      </c>
      <c r="C52" s="71">
        <v>1422</v>
      </c>
      <c r="D52" s="71">
        <v>5586</v>
      </c>
      <c r="E52" s="50">
        <f t="shared" si="5"/>
        <v>7008</v>
      </c>
      <c r="F52" s="51">
        <f t="shared" si="6"/>
        <v>79.708904109589042</v>
      </c>
      <c r="G52" s="51">
        <f t="shared" si="7"/>
        <v>20.291095890410958</v>
      </c>
      <c r="H52" s="3"/>
      <c r="I52" s="1"/>
      <c r="J52" s="1"/>
      <c r="K52" s="1"/>
      <c r="L52" s="1"/>
      <c r="M52" s="1"/>
      <c r="N52" s="1"/>
      <c r="O52" s="13" t="s">
        <v>128</v>
      </c>
      <c r="P52" s="11" t="s">
        <v>129</v>
      </c>
      <c r="Q52" s="9">
        <v>831</v>
      </c>
      <c r="R52" s="9">
        <v>6951</v>
      </c>
      <c r="S52" s="14">
        <f t="shared" si="2"/>
        <v>7782</v>
      </c>
      <c r="T52" s="15">
        <f t="shared" si="3"/>
        <v>89.321511179645341</v>
      </c>
      <c r="U52" s="15">
        <f t="shared" si="4"/>
        <v>10.678488820354664</v>
      </c>
      <c r="V52" s="17"/>
      <c r="W52" s="17"/>
      <c r="AC52" s="4"/>
    </row>
    <row r="53" spans="1:29" ht="15.75" customHeight="1">
      <c r="A53" s="13" t="s">
        <v>131</v>
      </c>
      <c r="B53" s="66" t="s">
        <v>130</v>
      </c>
      <c r="C53" s="71">
        <v>2985</v>
      </c>
      <c r="D53" s="71">
        <v>7907</v>
      </c>
      <c r="E53" s="50">
        <f t="shared" si="5"/>
        <v>10892</v>
      </c>
      <c r="F53" s="51">
        <f t="shared" si="6"/>
        <v>72.594564818215204</v>
      </c>
      <c r="G53" s="51">
        <f t="shared" si="7"/>
        <v>27.405435181784799</v>
      </c>
      <c r="H53" s="3"/>
      <c r="I53" s="1"/>
      <c r="J53" s="1"/>
      <c r="K53" s="1"/>
      <c r="L53" s="1"/>
      <c r="M53" s="1"/>
      <c r="N53" s="1"/>
      <c r="O53" s="13" t="s">
        <v>131</v>
      </c>
      <c r="P53" s="11" t="s">
        <v>130</v>
      </c>
      <c r="Q53" s="9">
        <v>2332</v>
      </c>
      <c r="R53" s="9">
        <v>11295</v>
      </c>
      <c r="S53" s="14">
        <f t="shared" si="2"/>
        <v>13627</v>
      </c>
      <c r="T53" s="15">
        <f t="shared" si="3"/>
        <v>82.886915682101716</v>
      </c>
      <c r="U53" s="15">
        <f t="shared" si="4"/>
        <v>17.113084317898288</v>
      </c>
      <c r="V53" s="17"/>
      <c r="W53" s="17"/>
      <c r="AC53" s="4"/>
    </row>
    <row r="54" spans="1:29" ht="15.75" customHeight="1">
      <c r="A54" s="13" t="s">
        <v>133</v>
      </c>
      <c r="B54" s="66" t="s">
        <v>132</v>
      </c>
      <c r="C54" s="71">
        <v>4604</v>
      </c>
      <c r="D54" s="71">
        <v>10360</v>
      </c>
      <c r="E54" s="50">
        <f t="shared" si="5"/>
        <v>14964</v>
      </c>
      <c r="F54" s="51">
        <f t="shared" si="6"/>
        <v>69.232825447741249</v>
      </c>
      <c r="G54" s="51">
        <f t="shared" si="7"/>
        <v>30.767174552258751</v>
      </c>
      <c r="H54" s="3"/>
      <c r="I54" s="1"/>
      <c r="J54" s="1"/>
      <c r="K54" s="1"/>
      <c r="L54" s="1"/>
      <c r="M54" s="1"/>
      <c r="N54" s="1"/>
      <c r="O54" s="13" t="s">
        <v>133</v>
      </c>
      <c r="P54" s="11" t="s">
        <v>132</v>
      </c>
      <c r="Q54" s="9">
        <v>3735</v>
      </c>
      <c r="R54" s="9">
        <v>13553</v>
      </c>
      <c r="S54" s="14">
        <f t="shared" si="2"/>
        <v>17288</v>
      </c>
      <c r="T54" s="15">
        <f t="shared" si="3"/>
        <v>78.395418787598331</v>
      </c>
      <c r="U54" s="15">
        <f t="shared" si="4"/>
        <v>21.604581212401666</v>
      </c>
      <c r="V54" s="17"/>
      <c r="W54" s="17"/>
      <c r="AC54" s="4"/>
    </row>
    <row r="55" spans="1:29" ht="15.75" customHeight="1">
      <c r="A55" s="13" t="s">
        <v>134</v>
      </c>
      <c r="B55" s="66" t="s">
        <v>135</v>
      </c>
      <c r="C55" s="71">
        <v>2884</v>
      </c>
      <c r="D55" s="71">
        <v>10948</v>
      </c>
      <c r="E55" s="50">
        <f t="shared" si="5"/>
        <v>13832</v>
      </c>
      <c r="F55" s="51">
        <f t="shared" si="6"/>
        <v>79.149797570850197</v>
      </c>
      <c r="G55" s="51">
        <f t="shared" si="7"/>
        <v>20.850202429149796</v>
      </c>
      <c r="H55" s="3"/>
      <c r="I55" s="1"/>
      <c r="J55" s="1"/>
      <c r="K55" s="1"/>
      <c r="L55" s="1"/>
      <c r="M55" s="1"/>
      <c r="N55" s="1"/>
      <c r="O55" s="13" t="s">
        <v>134</v>
      </c>
      <c r="P55" s="11" t="s">
        <v>135</v>
      </c>
      <c r="Q55" s="9">
        <v>2322</v>
      </c>
      <c r="R55" s="9">
        <v>14466</v>
      </c>
      <c r="S55" s="14">
        <f t="shared" si="2"/>
        <v>16788</v>
      </c>
      <c r="T55" s="15">
        <f t="shared" si="3"/>
        <v>86.168691922801997</v>
      </c>
      <c r="U55" s="15">
        <f t="shared" si="4"/>
        <v>13.831308077197999</v>
      </c>
      <c r="V55" s="17"/>
      <c r="W55" s="17"/>
      <c r="AC55" s="4"/>
    </row>
    <row r="56" spans="1:29" ht="15.75" customHeight="1">
      <c r="A56" s="13" t="s">
        <v>137</v>
      </c>
      <c r="B56" s="66" t="s">
        <v>136</v>
      </c>
      <c r="C56" s="71">
        <v>1889</v>
      </c>
      <c r="D56" s="71">
        <v>3230</v>
      </c>
      <c r="E56" s="50">
        <f t="shared" si="5"/>
        <v>5119</v>
      </c>
      <c r="F56" s="51">
        <f t="shared" si="6"/>
        <v>63.098261379175625</v>
      </c>
      <c r="G56" s="51">
        <f t="shared" si="7"/>
        <v>36.901738620824382</v>
      </c>
      <c r="H56" s="3"/>
      <c r="I56" s="1"/>
      <c r="J56" s="1"/>
      <c r="K56" s="1"/>
      <c r="L56" s="1"/>
      <c r="M56" s="1"/>
      <c r="N56" s="1"/>
      <c r="O56" s="13" t="s">
        <v>137</v>
      </c>
      <c r="P56" s="11" t="s">
        <v>136</v>
      </c>
      <c r="Q56" s="9">
        <v>1154</v>
      </c>
      <c r="R56" s="9">
        <v>4324</v>
      </c>
      <c r="S56" s="14">
        <f t="shared" si="2"/>
        <v>5478</v>
      </c>
      <c r="T56" s="15">
        <f t="shared" si="3"/>
        <v>78.933917488134355</v>
      </c>
      <c r="U56" s="15">
        <f t="shared" si="4"/>
        <v>21.066082511865645</v>
      </c>
      <c r="V56" s="17"/>
      <c r="W56" s="17"/>
      <c r="AC56" s="4"/>
    </row>
    <row r="57" spans="1:29" ht="15.75" customHeight="1">
      <c r="A57" s="13" t="s">
        <v>139</v>
      </c>
      <c r="B57" s="66" t="s">
        <v>138</v>
      </c>
      <c r="C57" s="71">
        <v>1974</v>
      </c>
      <c r="D57" s="71">
        <v>4969</v>
      </c>
      <c r="E57" s="50">
        <f t="shared" si="5"/>
        <v>6943</v>
      </c>
      <c r="F57" s="51">
        <f t="shared" si="6"/>
        <v>71.568486245138985</v>
      </c>
      <c r="G57" s="51">
        <f t="shared" si="7"/>
        <v>28.431513754861008</v>
      </c>
      <c r="H57" s="3"/>
      <c r="I57" s="1"/>
      <c r="J57" s="1"/>
      <c r="K57" s="1"/>
      <c r="L57" s="1"/>
      <c r="M57" s="1"/>
      <c r="N57" s="1"/>
      <c r="O57" s="13" t="s">
        <v>139</v>
      </c>
      <c r="P57" s="11" t="s">
        <v>138</v>
      </c>
      <c r="Q57" s="9">
        <v>1251</v>
      </c>
      <c r="R57" s="9">
        <v>7343</v>
      </c>
      <c r="S57" s="14">
        <f t="shared" si="2"/>
        <v>8594</v>
      </c>
      <c r="T57" s="15">
        <f t="shared" si="3"/>
        <v>85.443332557598325</v>
      </c>
      <c r="U57" s="15">
        <f t="shared" si="4"/>
        <v>14.556667442401675</v>
      </c>
      <c r="V57" s="17"/>
      <c r="W57" s="17"/>
      <c r="AC57" s="4"/>
    </row>
    <row r="58" spans="1:29" ht="15.75" customHeight="1">
      <c r="A58" s="13" t="s">
        <v>141</v>
      </c>
      <c r="B58" s="66" t="s">
        <v>140</v>
      </c>
      <c r="C58" s="71">
        <v>3210</v>
      </c>
      <c r="D58" s="71">
        <v>7664</v>
      </c>
      <c r="E58" s="50">
        <f t="shared" si="5"/>
        <v>10874</v>
      </c>
      <c r="F58" s="51">
        <f t="shared" si="6"/>
        <v>70.480044141990078</v>
      </c>
      <c r="G58" s="51">
        <f t="shared" si="7"/>
        <v>29.519955858009933</v>
      </c>
      <c r="H58" s="3"/>
      <c r="I58" s="1"/>
      <c r="J58" s="1"/>
      <c r="K58" s="1"/>
      <c r="L58" s="1"/>
      <c r="M58" s="1"/>
      <c r="N58" s="1"/>
      <c r="O58" s="13" t="s">
        <v>141</v>
      </c>
      <c r="P58" s="11" t="s">
        <v>140</v>
      </c>
      <c r="Q58" s="9">
        <v>2748</v>
      </c>
      <c r="R58" s="9">
        <v>14292</v>
      </c>
      <c r="S58" s="14">
        <f t="shared" si="2"/>
        <v>17040</v>
      </c>
      <c r="T58" s="15">
        <f t="shared" si="3"/>
        <v>83.873239436619713</v>
      </c>
      <c r="U58" s="15">
        <f t="shared" si="4"/>
        <v>16.126760563380284</v>
      </c>
      <c r="V58" s="17"/>
      <c r="W58" s="17"/>
      <c r="AC58" s="4"/>
    </row>
    <row r="59" spans="1:29" ht="15.75" customHeight="1">
      <c r="A59" s="13" t="s">
        <v>143</v>
      </c>
      <c r="B59" s="66" t="s">
        <v>142</v>
      </c>
      <c r="C59" s="71">
        <v>3274</v>
      </c>
      <c r="D59" s="71">
        <v>4613</v>
      </c>
      <c r="E59" s="50">
        <f t="shared" si="5"/>
        <v>7887</v>
      </c>
      <c r="F59" s="51">
        <f t="shared" si="6"/>
        <v>58.488652212501577</v>
      </c>
      <c r="G59" s="51">
        <f t="shared" si="7"/>
        <v>41.511347787498416</v>
      </c>
      <c r="H59" s="3"/>
      <c r="I59" s="1"/>
      <c r="J59" s="1"/>
      <c r="K59" s="1"/>
      <c r="L59" s="1"/>
      <c r="M59" s="1"/>
      <c r="N59" s="1"/>
      <c r="O59" s="13" t="s">
        <v>143</v>
      </c>
      <c r="P59" s="11" t="s">
        <v>142</v>
      </c>
      <c r="Q59" s="9">
        <v>1903</v>
      </c>
      <c r="R59" s="9">
        <v>6704</v>
      </c>
      <c r="S59" s="14">
        <f t="shared" si="2"/>
        <v>8607</v>
      </c>
      <c r="T59" s="15">
        <f t="shared" si="3"/>
        <v>77.89008946206576</v>
      </c>
      <c r="U59" s="15">
        <f t="shared" si="4"/>
        <v>22.10991053793424</v>
      </c>
      <c r="V59" s="17"/>
      <c r="W59" s="17"/>
      <c r="AC59" s="4"/>
    </row>
    <row r="60" spans="1:29" ht="15.75" customHeight="1">
      <c r="A60" s="13" t="s">
        <v>145</v>
      </c>
      <c r="B60" s="66" t="s">
        <v>144</v>
      </c>
      <c r="C60" s="71">
        <v>1709</v>
      </c>
      <c r="D60" s="71">
        <v>3464</v>
      </c>
      <c r="E60" s="50">
        <f t="shared" si="5"/>
        <v>5173</v>
      </c>
      <c r="F60" s="51">
        <f t="shared" si="6"/>
        <v>66.963077517881302</v>
      </c>
      <c r="G60" s="51">
        <f t="shared" si="7"/>
        <v>33.03692248211869</v>
      </c>
      <c r="H60" s="3"/>
      <c r="I60" s="1"/>
      <c r="J60" s="1"/>
      <c r="K60" s="1"/>
      <c r="L60" s="1"/>
      <c r="M60" s="1"/>
      <c r="N60" s="1"/>
      <c r="O60" s="13" t="s">
        <v>145</v>
      </c>
      <c r="P60" s="11" t="s">
        <v>144</v>
      </c>
      <c r="Q60" s="9">
        <v>936</v>
      </c>
      <c r="R60" s="9">
        <v>5442</v>
      </c>
      <c r="S60" s="14">
        <f t="shared" si="2"/>
        <v>6378</v>
      </c>
      <c r="T60" s="15">
        <f t="shared" si="3"/>
        <v>85.324553151458133</v>
      </c>
      <c r="U60" s="15">
        <f t="shared" si="4"/>
        <v>14.675446848541862</v>
      </c>
      <c r="V60" s="17"/>
      <c r="W60" s="17"/>
      <c r="AC60" s="4"/>
    </row>
    <row r="61" spans="1:29" ht="15.75" customHeight="1">
      <c r="A61" s="13" t="s">
        <v>147</v>
      </c>
      <c r="B61" s="66" t="s">
        <v>146</v>
      </c>
      <c r="C61" s="71">
        <v>3897</v>
      </c>
      <c r="D61" s="71">
        <v>18325</v>
      </c>
      <c r="E61" s="50">
        <f t="shared" si="5"/>
        <v>22222</v>
      </c>
      <c r="F61" s="51">
        <f t="shared" si="6"/>
        <v>82.463324633246344</v>
      </c>
      <c r="G61" s="51">
        <f t="shared" si="7"/>
        <v>17.536675366753666</v>
      </c>
      <c r="H61" s="3"/>
      <c r="I61" s="1"/>
      <c r="J61" s="1"/>
      <c r="K61" s="1"/>
      <c r="L61" s="1"/>
      <c r="M61" s="1"/>
      <c r="N61" s="1"/>
      <c r="O61" s="13" t="s">
        <v>147</v>
      </c>
      <c r="P61" s="11" t="s">
        <v>146</v>
      </c>
      <c r="Q61" s="9">
        <v>2707</v>
      </c>
      <c r="R61" s="9">
        <v>26046</v>
      </c>
      <c r="S61" s="14">
        <f t="shared" si="2"/>
        <v>28753</v>
      </c>
      <c r="T61" s="15">
        <f t="shared" si="3"/>
        <v>90.585330226411159</v>
      </c>
      <c r="U61" s="15">
        <f t="shared" si="4"/>
        <v>9.4146697735888427</v>
      </c>
      <c r="V61" s="17"/>
      <c r="W61" s="17"/>
      <c r="AC61" s="4"/>
    </row>
    <row r="62" spans="1:29" ht="15.75" customHeight="1">
      <c r="A62" s="13" t="s">
        <v>149</v>
      </c>
      <c r="B62" s="66" t="s">
        <v>148</v>
      </c>
      <c r="C62" s="71">
        <v>964</v>
      </c>
      <c r="D62" s="71">
        <v>12880</v>
      </c>
      <c r="E62" s="50">
        <f t="shared" si="5"/>
        <v>13844</v>
      </c>
      <c r="F62" s="51">
        <f t="shared" si="6"/>
        <v>93.036694596937295</v>
      </c>
      <c r="G62" s="51">
        <f t="shared" si="7"/>
        <v>6.9633054030626989</v>
      </c>
      <c r="H62" s="3"/>
      <c r="I62" s="1"/>
      <c r="J62" s="1"/>
      <c r="K62" s="1"/>
      <c r="L62" s="1"/>
      <c r="M62" s="1"/>
      <c r="N62" s="1"/>
      <c r="O62" s="13" t="s">
        <v>149</v>
      </c>
      <c r="P62" s="11" t="s">
        <v>148</v>
      </c>
      <c r="Q62" s="9">
        <v>443</v>
      </c>
      <c r="R62" s="9">
        <v>15161</v>
      </c>
      <c r="S62" s="14">
        <f t="shared" si="2"/>
        <v>15604</v>
      </c>
      <c r="T62" s="15">
        <f t="shared" si="3"/>
        <v>97.160984362983854</v>
      </c>
      <c r="U62" s="15">
        <f t="shared" si="4"/>
        <v>2.8390156370161499</v>
      </c>
      <c r="V62" s="17"/>
      <c r="W62" s="17"/>
      <c r="AC62" s="4"/>
    </row>
    <row r="63" spans="1:29" ht="15.75" customHeight="1">
      <c r="A63" s="13" t="s">
        <v>151</v>
      </c>
      <c r="B63" s="66" t="s">
        <v>150</v>
      </c>
      <c r="C63" s="71">
        <v>1009</v>
      </c>
      <c r="D63" s="71">
        <v>6649</v>
      </c>
      <c r="E63" s="50">
        <f t="shared" si="5"/>
        <v>7658</v>
      </c>
      <c r="F63" s="51">
        <f t="shared" si="6"/>
        <v>86.824236092974672</v>
      </c>
      <c r="G63" s="51">
        <f t="shared" si="7"/>
        <v>13.175763907025335</v>
      </c>
      <c r="H63" s="3"/>
      <c r="I63" s="1"/>
      <c r="J63" s="1"/>
      <c r="K63" s="1"/>
      <c r="L63" s="1"/>
      <c r="M63" s="1"/>
      <c r="N63" s="1"/>
      <c r="O63" s="13" t="s">
        <v>151</v>
      </c>
      <c r="P63" s="11" t="s">
        <v>150</v>
      </c>
      <c r="Q63" s="9">
        <v>527</v>
      </c>
      <c r="R63" s="9">
        <v>8778</v>
      </c>
      <c r="S63" s="14">
        <f t="shared" si="2"/>
        <v>9305</v>
      </c>
      <c r="T63" s="15">
        <f t="shared" si="3"/>
        <v>94.33637829124126</v>
      </c>
      <c r="U63" s="15">
        <f t="shared" si="4"/>
        <v>5.6636217087587326</v>
      </c>
      <c r="V63" s="17"/>
      <c r="W63" s="17"/>
      <c r="AC63" s="4"/>
    </row>
    <row r="64" spans="1:29" ht="15.75" customHeight="1">
      <c r="A64" s="13" t="s">
        <v>153</v>
      </c>
      <c r="B64" s="66" t="s">
        <v>152</v>
      </c>
      <c r="C64" s="71">
        <v>485</v>
      </c>
      <c r="D64" s="71">
        <v>2055</v>
      </c>
      <c r="E64" s="50">
        <f t="shared" si="5"/>
        <v>2540</v>
      </c>
      <c r="F64" s="51">
        <f t="shared" si="6"/>
        <v>80.905511811023629</v>
      </c>
      <c r="G64" s="51">
        <f t="shared" si="7"/>
        <v>19.094488188976378</v>
      </c>
      <c r="H64" s="3"/>
      <c r="I64" s="1"/>
      <c r="J64" s="1"/>
      <c r="K64" s="1"/>
      <c r="L64" s="1"/>
      <c r="M64" s="1"/>
      <c r="N64" s="1"/>
      <c r="O64" s="13" t="s">
        <v>153</v>
      </c>
      <c r="P64" s="11" t="s">
        <v>152</v>
      </c>
      <c r="Q64" s="9">
        <v>555</v>
      </c>
      <c r="R64" s="9">
        <v>3442</v>
      </c>
      <c r="S64" s="14">
        <f t="shared" si="2"/>
        <v>3997</v>
      </c>
      <c r="T64" s="15">
        <f t="shared" si="3"/>
        <v>86.114585939454585</v>
      </c>
      <c r="U64" s="15">
        <f t="shared" si="4"/>
        <v>13.885414060545409</v>
      </c>
      <c r="V64" s="17"/>
      <c r="W64" s="17"/>
      <c r="AC64" s="4"/>
    </row>
    <row r="65" spans="1:29" ht="15.75" customHeight="1">
      <c r="A65" s="13" t="s">
        <v>155</v>
      </c>
      <c r="B65" s="66" t="s">
        <v>154</v>
      </c>
      <c r="C65" s="71">
        <v>708</v>
      </c>
      <c r="D65" s="71">
        <v>2908</v>
      </c>
      <c r="E65" s="50">
        <f t="shared" si="5"/>
        <v>3616</v>
      </c>
      <c r="F65" s="51">
        <f t="shared" si="6"/>
        <v>80.420353982300881</v>
      </c>
      <c r="G65" s="51">
        <f t="shared" si="7"/>
        <v>19.579646017699115</v>
      </c>
      <c r="H65" s="3"/>
      <c r="I65" s="1"/>
      <c r="J65" s="1"/>
      <c r="K65" s="1"/>
      <c r="L65" s="1"/>
      <c r="M65" s="1"/>
      <c r="N65" s="1"/>
      <c r="O65" s="13" t="s">
        <v>155</v>
      </c>
      <c r="P65" s="11" t="s">
        <v>154</v>
      </c>
      <c r="Q65" s="9">
        <v>727</v>
      </c>
      <c r="R65" s="9">
        <v>2688</v>
      </c>
      <c r="S65" s="14">
        <f t="shared" si="2"/>
        <v>3415</v>
      </c>
      <c r="T65" s="15">
        <f t="shared" si="3"/>
        <v>78.711566617862374</v>
      </c>
      <c r="U65" s="15">
        <f t="shared" si="4"/>
        <v>21.288433382137629</v>
      </c>
      <c r="V65" s="17"/>
      <c r="W65" s="17"/>
      <c r="AC65" s="4"/>
    </row>
    <row r="66" spans="1:29" ht="15.75" customHeight="1">
      <c r="A66" s="13" t="s">
        <v>157</v>
      </c>
      <c r="B66" s="66" t="s">
        <v>156</v>
      </c>
      <c r="C66" s="71">
        <v>426</v>
      </c>
      <c r="D66" s="71">
        <v>8923</v>
      </c>
      <c r="E66" s="50">
        <f t="shared" si="5"/>
        <v>9349</v>
      </c>
      <c r="F66" s="51">
        <f t="shared" si="6"/>
        <v>95.443362926516201</v>
      </c>
      <c r="G66" s="51">
        <f t="shared" si="7"/>
        <v>4.5566370734837953</v>
      </c>
      <c r="H66" s="3"/>
      <c r="I66" s="1"/>
      <c r="J66" s="1"/>
      <c r="K66" s="1"/>
      <c r="L66" s="1"/>
      <c r="M66" s="1"/>
      <c r="N66" s="1"/>
      <c r="O66" s="13" t="s">
        <v>157</v>
      </c>
      <c r="P66" s="11" t="s">
        <v>156</v>
      </c>
      <c r="Q66" s="9">
        <v>121</v>
      </c>
      <c r="R66" s="9">
        <v>7184</v>
      </c>
      <c r="S66" s="14">
        <f t="shared" si="2"/>
        <v>7305</v>
      </c>
      <c r="T66" s="15">
        <f t="shared" si="3"/>
        <v>98.343600273785086</v>
      </c>
      <c r="U66" s="15">
        <f t="shared" si="4"/>
        <v>1.6563997262149213</v>
      </c>
      <c r="V66" s="17"/>
      <c r="W66" s="17"/>
      <c r="AC66" s="4"/>
    </row>
    <row r="67" spans="1:29" ht="15.75" customHeight="1">
      <c r="A67" s="13" t="s">
        <v>159</v>
      </c>
      <c r="B67" s="66" t="s">
        <v>158</v>
      </c>
      <c r="C67" s="71">
        <v>667</v>
      </c>
      <c r="D67" s="71">
        <v>12159</v>
      </c>
      <c r="E67" s="50">
        <f t="shared" si="5"/>
        <v>12826</v>
      </c>
      <c r="F67" s="51">
        <f t="shared" si="6"/>
        <v>94.799625760174649</v>
      </c>
      <c r="G67" s="51">
        <f t="shared" si="7"/>
        <v>5.2003742398253543</v>
      </c>
      <c r="H67" s="3"/>
      <c r="I67" s="1"/>
      <c r="J67" s="1"/>
      <c r="K67" s="1"/>
      <c r="L67" s="1"/>
      <c r="M67" s="1"/>
      <c r="N67" s="1"/>
      <c r="O67" s="13" t="s">
        <v>159</v>
      </c>
      <c r="P67" s="11" t="s">
        <v>158</v>
      </c>
      <c r="Q67" s="9">
        <v>424</v>
      </c>
      <c r="R67" s="9">
        <v>20236</v>
      </c>
      <c r="S67" s="14">
        <f t="shared" si="2"/>
        <v>20660</v>
      </c>
      <c r="T67" s="15">
        <f t="shared" si="3"/>
        <v>97.947725072604058</v>
      </c>
      <c r="U67" s="15">
        <f t="shared" si="4"/>
        <v>2.052274927395934</v>
      </c>
      <c r="V67" s="17"/>
      <c r="W67" s="17"/>
      <c r="AC67" s="4"/>
    </row>
    <row r="68" spans="1:29" ht="15.75" customHeight="1">
      <c r="A68" s="13" t="s">
        <v>161</v>
      </c>
      <c r="B68" s="66" t="s">
        <v>160</v>
      </c>
      <c r="C68" s="71">
        <v>532</v>
      </c>
      <c r="D68" s="71">
        <v>8210</v>
      </c>
      <c r="E68" s="50">
        <f t="shared" si="5"/>
        <v>8742</v>
      </c>
      <c r="F68" s="51">
        <f t="shared" si="6"/>
        <v>93.914436055822463</v>
      </c>
      <c r="G68" s="51">
        <f t="shared" si="7"/>
        <v>6.0855639441775331</v>
      </c>
      <c r="H68" s="3"/>
      <c r="I68" s="1"/>
      <c r="J68" s="1"/>
      <c r="K68" s="1"/>
      <c r="L68" s="1"/>
      <c r="M68" s="1"/>
      <c r="N68" s="1"/>
      <c r="O68" s="13" t="s">
        <v>161</v>
      </c>
      <c r="P68" s="11" t="s">
        <v>160</v>
      </c>
      <c r="Q68" s="9">
        <v>348</v>
      </c>
      <c r="R68" s="9">
        <v>12381</v>
      </c>
      <c r="S68" s="14">
        <f t="shared" si="2"/>
        <v>12729</v>
      </c>
      <c r="T68" s="15">
        <f t="shared" si="3"/>
        <v>97.266085316992687</v>
      </c>
      <c r="U68" s="15">
        <f t="shared" si="4"/>
        <v>2.7339146830073062</v>
      </c>
      <c r="V68" s="17"/>
      <c r="W68" s="17"/>
      <c r="AC68" s="4"/>
    </row>
    <row r="69" spans="1:29" ht="15.75" customHeight="1">
      <c r="A69" s="13" t="s">
        <v>163</v>
      </c>
      <c r="B69" s="66" t="s">
        <v>162</v>
      </c>
      <c r="C69" s="71">
        <v>2959</v>
      </c>
      <c r="D69" s="71">
        <v>15963</v>
      </c>
      <c r="E69" s="50">
        <f t="shared" si="5"/>
        <v>18922</v>
      </c>
      <c r="F69" s="51">
        <f t="shared" si="6"/>
        <v>84.362118169326706</v>
      </c>
      <c r="G69" s="51">
        <f t="shared" si="7"/>
        <v>15.637881830673289</v>
      </c>
      <c r="H69" s="3"/>
      <c r="I69" s="1"/>
      <c r="J69" s="1"/>
      <c r="K69" s="1"/>
      <c r="L69" s="1"/>
      <c r="M69" s="1"/>
      <c r="N69" s="1"/>
      <c r="O69" s="13" t="s">
        <v>163</v>
      </c>
      <c r="P69" s="11" t="s">
        <v>162</v>
      </c>
      <c r="Q69" s="9">
        <v>1208</v>
      </c>
      <c r="R69" s="9">
        <v>16836</v>
      </c>
      <c r="S69" s="14">
        <f t="shared" si="2"/>
        <v>18044</v>
      </c>
      <c r="T69" s="15">
        <f t="shared" si="3"/>
        <v>93.305253823985808</v>
      </c>
      <c r="U69" s="15">
        <f t="shared" si="4"/>
        <v>6.6947461760141884</v>
      </c>
      <c r="V69" s="17"/>
      <c r="W69" s="17"/>
      <c r="AC69" s="4"/>
    </row>
    <row r="70" spans="1:29" ht="15.75" customHeight="1">
      <c r="A70" s="13" t="s">
        <v>165</v>
      </c>
      <c r="B70" s="66" t="s">
        <v>164</v>
      </c>
      <c r="C70" s="71">
        <v>1535</v>
      </c>
      <c r="D70" s="71">
        <v>4785</v>
      </c>
      <c r="E70" s="50">
        <f t="shared" ref="E70:E133" si="10">C70+D70</f>
        <v>6320</v>
      </c>
      <c r="F70" s="51">
        <f t="shared" ref="F70:F133" si="11">(D70/E70)*100</f>
        <v>75.712025316455694</v>
      </c>
      <c r="G70" s="51">
        <f t="shared" ref="G70:G133" si="12">(C70/E70)*100</f>
        <v>24.287974683544302</v>
      </c>
      <c r="H70" s="3"/>
      <c r="I70" s="1"/>
      <c r="J70" s="1"/>
      <c r="K70" s="1"/>
      <c r="L70" s="1"/>
      <c r="M70" s="1"/>
      <c r="N70" s="1"/>
      <c r="O70" s="13" t="s">
        <v>165</v>
      </c>
      <c r="P70" s="11" t="s">
        <v>164</v>
      </c>
      <c r="Q70" s="9">
        <v>852</v>
      </c>
      <c r="R70" s="9">
        <v>7799</v>
      </c>
      <c r="S70" s="14">
        <f t="shared" si="2"/>
        <v>8651</v>
      </c>
      <c r="T70" s="15">
        <f t="shared" si="3"/>
        <v>90.151427580626518</v>
      </c>
      <c r="U70" s="15">
        <f t="shared" si="4"/>
        <v>9.8485724193734825</v>
      </c>
      <c r="V70" s="17"/>
      <c r="W70" s="17"/>
      <c r="AC70" s="4"/>
    </row>
    <row r="71" spans="1:29" ht="15.75" customHeight="1">
      <c r="A71" s="13" t="s">
        <v>167</v>
      </c>
      <c r="B71" s="66" t="s">
        <v>166</v>
      </c>
      <c r="C71" s="71">
        <v>6015</v>
      </c>
      <c r="D71" s="71">
        <v>69951</v>
      </c>
      <c r="E71" s="50">
        <f t="shared" si="10"/>
        <v>75966</v>
      </c>
      <c r="F71" s="51">
        <f t="shared" si="11"/>
        <v>92.081984045494039</v>
      </c>
      <c r="G71" s="51">
        <f t="shared" si="12"/>
        <v>7.9180159545059636</v>
      </c>
      <c r="H71" s="3"/>
      <c r="I71" s="1"/>
      <c r="J71" s="1"/>
      <c r="K71" s="1"/>
      <c r="L71" s="1"/>
      <c r="M71" s="1"/>
      <c r="N71" s="1"/>
      <c r="O71" s="13" t="s">
        <v>167</v>
      </c>
      <c r="P71" s="11" t="s">
        <v>166</v>
      </c>
      <c r="Q71" s="9">
        <v>3022</v>
      </c>
      <c r="R71" s="9">
        <v>105855</v>
      </c>
      <c r="S71" s="14">
        <f t="shared" si="2"/>
        <v>108877</v>
      </c>
      <c r="T71" s="15">
        <f t="shared" si="3"/>
        <v>97.224390826345328</v>
      </c>
      <c r="U71" s="15">
        <f t="shared" si="4"/>
        <v>2.7756091736546744</v>
      </c>
      <c r="V71" s="17"/>
      <c r="W71" s="17"/>
      <c r="AC71" s="4"/>
    </row>
    <row r="72" spans="1:29" ht="15.75" customHeight="1">
      <c r="A72" s="13" t="s">
        <v>169</v>
      </c>
      <c r="B72" s="66" t="s">
        <v>168</v>
      </c>
      <c r="C72" s="71">
        <v>1031</v>
      </c>
      <c r="D72" s="71">
        <v>6016</v>
      </c>
      <c r="E72" s="50">
        <f t="shared" si="10"/>
        <v>7047</v>
      </c>
      <c r="F72" s="51">
        <f t="shared" si="11"/>
        <v>85.36966084858804</v>
      </c>
      <c r="G72" s="51">
        <f t="shared" si="12"/>
        <v>14.630339151411947</v>
      </c>
      <c r="H72" s="3"/>
      <c r="I72" s="1"/>
      <c r="J72" s="1"/>
      <c r="K72" s="1"/>
      <c r="L72" s="1"/>
      <c r="M72" s="1"/>
      <c r="N72" s="1"/>
      <c r="O72" s="13" t="s">
        <v>169</v>
      </c>
      <c r="P72" s="11" t="s">
        <v>168</v>
      </c>
      <c r="Q72" s="9">
        <v>510</v>
      </c>
      <c r="R72" s="9">
        <v>7820</v>
      </c>
      <c r="S72" s="14">
        <f t="shared" si="2"/>
        <v>8330</v>
      </c>
      <c r="T72" s="15">
        <f t="shared" si="3"/>
        <v>93.877551020408163</v>
      </c>
      <c r="U72" s="15">
        <f t="shared" si="4"/>
        <v>6.1224489795918364</v>
      </c>
      <c r="V72" s="17"/>
      <c r="W72" s="17"/>
      <c r="AC72" s="4"/>
    </row>
    <row r="73" spans="1:29" ht="15.75" customHeight="1">
      <c r="A73" s="13" t="s">
        <v>170</v>
      </c>
      <c r="B73" s="66" t="s">
        <v>171</v>
      </c>
      <c r="C73" s="71">
        <v>1937</v>
      </c>
      <c r="D73" s="71">
        <v>9804</v>
      </c>
      <c r="E73" s="50">
        <f t="shared" si="10"/>
        <v>11741</v>
      </c>
      <c r="F73" s="51">
        <f t="shared" si="11"/>
        <v>83.502257047951616</v>
      </c>
      <c r="G73" s="51">
        <f t="shared" si="12"/>
        <v>16.497742952048377</v>
      </c>
      <c r="H73" s="3"/>
      <c r="I73" s="1"/>
      <c r="J73" s="1"/>
      <c r="K73" s="1"/>
      <c r="L73" s="1"/>
      <c r="M73" s="1"/>
      <c r="N73" s="1"/>
      <c r="O73" s="13" t="s">
        <v>170</v>
      </c>
      <c r="P73" s="11" t="s">
        <v>171</v>
      </c>
      <c r="Q73" s="9">
        <v>1293</v>
      </c>
      <c r="R73" s="9">
        <v>11836</v>
      </c>
      <c r="S73" s="14">
        <f t="shared" si="2"/>
        <v>13129</v>
      </c>
      <c r="T73" s="15">
        <f t="shared" si="3"/>
        <v>90.151572853987361</v>
      </c>
      <c r="U73" s="15">
        <f t="shared" si="4"/>
        <v>9.8484271460126429</v>
      </c>
      <c r="V73" s="17"/>
      <c r="W73" s="17"/>
      <c r="AC73" s="4"/>
    </row>
    <row r="74" spans="1:29" ht="15.75" customHeight="1">
      <c r="A74" s="13" t="s">
        <v>173</v>
      </c>
      <c r="B74" s="66" t="s">
        <v>172</v>
      </c>
      <c r="C74" s="71">
        <v>582</v>
      </c>
      <c r="D74" s="71">
        <v>6042</v>
      </c>
      <c r="E74" s="50">
        <f t="shared" si="10"/>
        <v>6624</v>
      </c>
      <c r="F74" s="51">
        <f t="shared" si="11"/>
        <v>91.213768115942031</v>
      </c>
      <c r="G74" s="51">
        <f t="shared" si="12"/>
        <v>8.7862318840579707</v>
      </c>
      <c r="H74" s="3"/>
      <c r="I74" s="1"/>
      <c r="J74" s="1"/>
      <c r="K74" s="1"/>
      <c r="L74" s="1"/>
      <c r="M74" s="1"/>
      <c r="N74" s="1"/>
      <c r="O74" s="13" t="s">
        <v>173</v>
      </c>
      <c r="P74" s="11" t="s">
        <v>172</v>
      </c>
      <c r="Q74" s="9">
        <v>299</v>
      </c>
      <c r="R74" s="9">
        <v>7314</v>
      </c>
      <c r="S74" s="14">
        <f t="shared" si="2"/>
        <v>7613</v>
      </c>
      <c r="T74" s="15">
        <f t="shared" si="3"/>
        <v>96.072507552870093</v>
      </c>
      <c r="U74" s="15">
        <f t="shared" si="4"/>
        <v>3.9274924471299091</v>
      </c>
      <c r="V74" s="17"/>
      <c r="W74" s="17"/>
      <c r="AC74" s="4"/>
    </row>
    <row r="75" spans="1:29" ht="15.75" customHeight="1">
      <c r="A75" s="13" t="s">
        <v>174</v>
      </c>
      <c r="B75" s="66" t="s">
        <v>175</v>
      </c>
      <c r="C75" s="71">
        <v>965</v>
      </c>
      <c r="D75" s="71">
        <v>4884</v>
      </c>
      <c r="E75" s="50">
        <f t="shared" si="10"/>
        <v>5849</v>
      </c>
      <c r="F75" s="51">
        <f t="shared" si="11"/>
        <v>83.50145323987006</v>
      </c>
      <c r="G75" s="51">
        <f t="shared" si="12"/>
        <v>16.498546760129937</v>
      </c>
      <c r="H75" s="3"/>
      <c r="I75" s="1"/>
      <c r="J75" s="1"/>
      <c r="K75" s="1"/>
      <c r="L75" s="1"/>
      <c r="M75" s="1"/>
      <c r="N75" s="1"/>
      <c r="O75" s="13" t="s">
        <v>174</v>
      </c>
      <c r="P75" s="11" t="s">
        <v>175</v>
      </c>
      <c r="Q75" s="9">
        <v>632</v>
      </c>
      <c r="R75" s="9">
        <v>7063</v>
      </c>
      <c r="S75" s="14">
        <f t="shared" si="2"/>
        <v>7695</v>
      </c>
      <c r="T75" s="15">
        <f t="shared" si="3"/>
        <v>91.786874593892136</v>
      </c>
      <c r="U75" s="15">
        <f t="shared" si="4"/>
        <v>8.2131254061078636</v>
      </c>
      <c r="V75" s="17"/>
      <c r="W75" s="17"/>
      <c r="AC75" s="4"/>
    </row>
    <row r="76" spans="1:29" ht="15.75" customHeight="1">
      <c r="A76" s="13" t="s">
        <v>177</v>
      </c>
      <c r="B76" s="66" t="s">
        <v>176</v>
      </c>
      <c r="C76" s="71">
        <v>2276</v>
      </c>
      <c r="D76" s="71">
        <v>12157</v>
      </c>
      <c r="E76" s="50">
        <f t="shared" si="10"/>
        <v>14433</v>
      </c>
      <c r="F76" s="51">
        <f t="shared" si="11"/>
        <v>84.230582692440933</v>
      </c>
      <c r="G76" s="51">
        <f t="shared" si="12"/>
        <v>15.769417307559067</v>
      </c>
      <c r="H76" s="3"/>
      <c r="I76" s="1"/>
      <c r="J76" s="1"/>
      <c r="K76" s="1"/>
      <c r="L76" s="1"/>
      <c r="M76" s="1"/>
      <c r="N76" s="1"/>
      <c r="O76" s="13" t="s">
        <v>177</v>
      </c>
      <c r="P76" s="11" t="s">
        <v>176</v>
      </c>
      <c r="Q76" s="9">
        <v>1379</v>
      </c>
      <c r="R76" s="9">
        <v>14984</v>
      </c>
      <c r="S76" s="14">
        <f t="shared" si="2"/>
        <v>16363</v>
      </c>
      <c r="T76" s="15">
        <f t="shared" si="3"/>
        <v>91.572450039723762</v>
      </c>
      <c r="U76" s="15">
        <f t="shared" si="4"/>
        <v>8.4275499602762327</v>
      </c>
      <c r="V76" s="17"/>
      <c r="W76" s="17"/>
      <c r="AC76" s="4"/>
    </row>
    <row r="77" spans="1:29" ht="15.75" customHeight="1">
      <c r="A77" s="13" t="s">
        <v>179</v>
      </c>
      <c r="B77" s="66" t="s">
        <v>178</v>
      </c>
      <c r="C77" s="71">
        <v>1088</v>
      </c>
      <c r="D77" s="71">
        <v>5332</v>
      </c>
      <c r="E77" s="50">
        <f t="shared" si="10"/>
        <v>6420</v>
      </c>
      <c r="F77" s="51">
        <f t="shared" si="11"/>
        <v>83.052959501557638</v>
      </c>
      <c r="G77" s="51">
        <f t="shared" si="12"/>
        <v>16.947040498442366</v>
      </c>
      <c r="H77" s="3"/>
      <c r="I77" s="1"/>
      <c r="J77" s="1"/>
      <c r="K77" s="1"/>
      <c r="L77" s="1"/>
      <c r="M77" s="1"/>
      <c r="N77" s="1"/>
      <c r="O77" s="13" t="s">
        <v>179</v>
      </c>
      <c r="P77" s="11" t="s">
        <v>178</v>
      </c>
      <c r="Q77" s="9">
        <v>629</v>
      </c>
      <c r="R77" s="9">
        <v>6671</v>
      </c>
      <c r="S77" s="14">
        <f t="shared" si="2"/>
        <v>7300</v>
      </c>
      <c r="T77" s="15">
        <f t="shared" si="3"/>
        <v>91.38356164383562</v>
      </c>
      <c r="U77" s="15">
        <f t="shared" si="4"/>
        <v>8.6164383561643838</v>
      </c>
      <c r="V77" s="17"/>
      <c r="W77" s="17"/>
      <c r="AC77" s="4"/>
    </row>
    <row r="78" spans="1:29" ht="15.75" customHeight="1">
      <c r="A78" s="13" t="s">
        <v>181</v>
      </c>
      <c r="B78" s="66" t="s">
        <v>180</v>
      </c>
      <c r="C78" s="71">
        <v>1484</v>
      </c>
      <c r="D78" s="71">
        <v>9154</v>
      </c>
      <c r="E78" s="50">
        <f t="shared" si="10"/>
        <v>10638</v>
      </c>
      <c r="F78" s="51">
        <f t="shared" si="11"/>
        <v>86.050009400263207</v>
      </c>
      <c r="G78" s="51">
        <f t="shared" si="12"/>
        <v>13.949990599736791</v>
      </c>
      <c r="H78" s="3"/>
      <c r="I78" s="1"/>
      <c r="J78" s="1"/>
      <c r="K78" s="1"/>
      <c r="L78" s="1"/>
      <c r="M78" s="1"/>
      <c r="N78" s="1"/>
      <c r="O78" s="13" t="s">
        <v>181</v>
      </c>
      <c r="P78" s="11" t="s">
        <v>180</v>
      </c>
      <c r="Q78" s="9">
        <v>809</v>
      </c>
      <c r="R78" s="9">
        <v>9549</v>
      </c>
      <c r="S78" s="14">
        <f t="shared" si="2"/>
        <v>10358</v>
      </c>
      <c r="T78" s="15">
        <f t="shared" si="3"/>
        <v>92.189611894188076</v>
      </c>
      <c r="U78" s="15">
        <f t="shared" si="4"/>
        <v>7.8103881058119331</v>
      </c>
      <c r="V78" s="17"/>
      <c r="W78" s="17"/>
      <c r="AC78" s="4"/>
    </row>
    <row r="79" spans="1:29" ht="15.75" customHeight="1">
      <c r="A79" s="13" t="s">
        <v>183</v>
      </c>
      <c r="B79" s="66" t="s">
        <v>182</v>
      </c>
      <c r="C79" s="71">
        <v>1904</v>
      </c>
      <c r="D79" s="71">
        <v>10004</v>
      </c>
      <c r="E79" s="50">
        <f t="shared" si="10"/>
        <v>11908</v>
      </c>
      <c r="F79" s="51">
        <f t="shared" si="11"/>
        <v>84.010749076251258</v>
      </c>
      <c r="G79" s="51">
        <f t="shared" si="12"/>
        <v>15.98925092374874</v>
      </c>
      <c r="H79" s="3"/>
      <c r="I79" s="1"/>
      <c r="J79" s="1"/>
      <c r="K79" s="1"/>
      <c r="L79" s="1"/>
      <c r="M79" s="1"/>
      <c r="N79" s="1"/>
      <c r="O79" s="13" t="s">
        <v>183</v>
      </c>
      <c r="P79" s="11" t="s">
        <v>182</v>
      </c>
      <c r="Q79" s="9">
        <v>1085</v>
      </c>
      <c r="R79" s="9">
        <v>14812</v>
      </c>
      <c r="S79" s="14">
        <f t="shared" si="2"/>
        <v>15897</v>
      </c>
      <c r="T79" s="15">
        <f t="shared" si="3"/>
        <v>93.174812857771911</v>
      </c>
      <c r="U79" s="15">
        <f t="shared" si="4"/>
        <v>6.8251871422280939</v>
      </c>
      <c r="V79" s="17"/>
      <c r="W79" s="17"/>
      <c r="AC79" s="4"/>
    </row>
    <row r="80" spans="1:29" ht="15.75" customHeight="1">
      <c r="A80" s="13" t="s">
        <v>185</v>
      </c>
      <c r="B80" s="66" t="s">
        <v>184</v>
      </c>
      <c r="C80" s="71">
        <v>1040</v>
      </c>
      <c r="D80" s="71">
        <v>5870</v>
      </c>
      <c r="E80" s="50">
        <f t="shared" si="10"/>
        <v>6910</v>
      </c>
      <c r="F80" s="51">
        <f t="shared" si="11"/>
        <v>84.949348769898705</v>
      </c>
      <c r="G80" s="51">
        <f t="shared" si="12"/>
        <v>15.050651230101304</v>
      </c>
      <c r="H80" s="3"/>
      <c r="I80" s="1"/>
      <c r="J80" s="1"/>
      <c r="K80" s="1"/>
      <c r="L80" s="1"/>
      <c r="M80" s="1"/>
      <c r="N80" s="1"/>
      <c r="O80" s="13" t="s">
        <v>185</v>
      </c>
      <c r="P80" s="11" t="s">
        <v>184</v>
      </c>
      <c r="Q80" s="9">
        <v>1052</v>
      </c>
      <c r="R80" s="9">
        <v>10748</v>
      </c>
      <c r="S80" s="14">
        <f t="shared" si="2"/>
        <v>11800</v>
      </c>
      <c r="T80" s="15">
        <f t="shared" si="3"/>
        <v>91.084745762711862</v>
      </c>
      <c r="U80" s="15">
        <f t="shared" si="4"/>
        <v>8.9152542372881349</v>
      </c>
      <c r="V80" s="17"/>
      <c r="W80" s="17"/>
      <c r="AC80" s="4"/>
    </row>
    <row r="81" spans="1:29" ht="15.75" customHeight="1">
      <c r="A81" s="13" t="s">
        <v>187</v>
      </c>
      <c r="B81" s="66" t="s">
        <v>186</v>
      </c>
      <c r="C81" s="71">
        <v>678</v>
      </c>
      <c r="D81" s="71">
        <v>4198</v>
      </c>
      <c r="E81" s="50">
        <f t="shared" si="10"/>
        <v>4876</v>
      </c>
      <c r="F81" s="51">
        <f t="shared" si="11"/>
        <v>86.09515996718622</v>
      </c>
      <c r="G81" s="51">
        <f t="shared" si="12"/>
        <v>13.90484003281378</v>
      </c>
      <c r="H81" s="3"/>
      <c r="I81" s="1"/>
      <c r="J81" s="1"/>
      <c r="K81" s="1"/>
      <c r="L81" s="1"/>
      <c r="M81" s="1"/>
      <c r="N81" s="1"/>
      <c r="O81" s="13" t="s">
        <v>187</v>
      </c>
      <c r="P81" s="11" t="s">
        <v>186</v>
      </c>
      <c r="Q81" s="9">
        <v>515</v>
      </c>
      <c r="R81" s="9">
        <v>4493</v>
      </c>
      <c r="S81" s="14">
        <f t="shared" si="2"/>
        <v>5008</v>
      </c>
      <c r="T81" s="15">
        <f t="shared" si="3"/>
        <v>89.716453674121411</v>
      </c>
      <c r="U81" s="15">
        <f t="shared" si="4"/>
        <v>10.283546325878595</v>
      </c>
      <c r="V81" s="17"/>
      <c r="W81" s="17"/>
      <c r="AC81" s="4"/>
    </row>
    <row r="82" spans="1:29" ht="15.75" customHeight="1">
      <c r="A82" s="13" t="s">
        <v>189</v>
      </c>
      <c r="B82" s="66" t="s">
        <v>188</v>
      </c>
      <c r="C82" s="71">
        <v>1424</v>
      </c>
      <c r="D82" s="71">
        <v>9247</v>
      </c>
      <c r="E82" s="50">
        <f t="shared" si="10"/>
        <v>10671</v>
      </c>
      <c r="F82" s="51">
        <f t="shared" si="11"/>
        <v>86.655421235123228</v>
      </c>
      <c r="G82" s="51">
        <f t="shared" si="12"/>
        <v>13.344578764876768</v>
      </c>
      <c r="H82" s="3"/>
      <c r="I82" s="1"/>
      <c r="J82" s="1"/>
      <c r="K82" s="1"/>
      <c r="L82" s="1"/>
      <c r="M82" s="1"/>
      <c r="N82" s="1"/>
      <c r="O82" s="13" t="s">
        <v>189</v>
      </c>
      <c r="P82" s="11" t="s">
        <v>188</v>
      </c>
      <c r="Q82" s="9">
        <v>743</v>
      </c>
      <c r="R82" s="9">
        <v>12217</v>
      </c>
      <c r="S82" s="14">
        <f t="shared" si="2"/>
        <v>12960</v>
      </c>
      <c r="T82" s="15">
        <f t="shared" si="3"/>
        <v>94.266975308641975</v>
      </c>
      <c r="U82" s="15">
        <f t="shared" si="4"/>
        <v>5.7330246913580245</v>
      </c>
      <c r="V82" s="17"/>
      <c r="W82" s="17"/>
      <c r="AC82" s="4"/>
    </row>
    <row r="83" spans="1:29" ht="15.75" customHeight="1">
      <c r="A83" s="13" t="s">
        <v>191</v>
      </c>
      <c r="B83" s="66" t="s">
        <v>190</v>
      </c>
      <c r="C83" s="71">
        <v>2572</v>
      </c>
      <c r="D83" s="71">
        <v>11256</v>
      </c>
      <c r="E83" s="50">
        <f t="shared" si="10"/>
        <v>13828</v>
      </c>
      <c r="F83" s="51">
        <f t="shared" si="11"/>
        <v>81.400057853630315</v>
      </c>
      <c r="G83" s="51">
        <f t="shared" si="12"/>
        <v>18.599942146369685</v>
      </c>
      <c r="H83" s="3"/>
      <c r="I83" s="1"/>
      <c r="J83" s="1"/>
      <c r="K83" s="1"/>
      <c r="L83" s="1"/>
      <c r="M83" s="1"/>
      <c r="N83" s="1"/>
      <c r="O83" s="13" t="s">
        <v>191</v>
      </c>
      <c r="P83" s="11" t="s">
        <v>190</v>
      </c>
      <c r="Q83" s="9">
        <v>1725</v>
      </c>
      <c r="R83" s="9">
        <v>16068</v>
      </c>
      <c r="S83" s="14">
        <f t="shared" si="2"/>
        <v>17793</v>
      </c>
      <c r="T83" s="15">
        <f t="shared" si="3"/>
        <v>90.305176192884844</v>
      </c>
      <c r="U83" s="15">
        <f t="shared" si="4"/>
        <v>9.6948238071151582</v>
      </c>
      <c r="V83" s="17"/>
      <c r="W83" s="17"/>
      <c r="AC83" s="4"/>
    </row>
    <row r="84" spans="1:29" ht="15.75" customHeight="1">
      <c r="A84" s="13" t="s">
        <v>193</v>
      </c>
      <c r="B84" s="66" t="s">
        <v>192</v>
      </c>
      <c r="C84" s="71">
        <v>637</v>
      </c>
      <c r="D84" s="71">
        <v>7180</v>
      </c>
      <c r="E84" s="50">
        <f t="shared" si="10"/>
        <v>7817</v>
      </c>
      <c r="F84" s="51">
        <f t="shared" si="11"/>
        <v>91.851093769988495</v>
      </c>
      <c r="G84" s="51">
        <f t="shared" si="12"/>
        <v>8.1489062300115123</v>
      </c>
      <c r="H84" s="3"/>
      <c r="I84" s="1"/>
      <c r="J84" s="1"/>
      <c r="K84" s="1"/>
      <c r="L84" s="1"/>
      <c r="M84" s="1"/>
      <c r="N84" s="1"/>
      <c r="O84" s="13" t="s">
        <v>193</v>
      </c>
      <c r="P84" s="11" t="s">
        <v>192</v>
      </c>
      <c r="Q84" s="9">
        <v>401</v>
      </c>
      <c r="R84" s="9">
        <v>9944</v>
      </c>
      <c r="S84" s="14">
        <f t="shared" si="2"/>
        <v>10345</v>
      </c>
      <c r="T84" s="15">
        <f t="shared" si="3"/>
        <v>96.123731271145488</v>
      </c>
      <c r="U84" s="15">
        <f t="shared" si="4"/>
        <v>3.876268728854519</v>
      </c>
      <c r="V84" s="17"/>
      <c r="W84" s="17"/>
      <c r="AC84" s="4"/>
    </row>
    <row r="85" spans="1:29" ht="15.75" customHeight="1">
      <c r="A85" s="13" t="s">
        <v>195</v>
      </c>
      <c r="B85" s="66" t="s">
        <v>194</v>
      </c>
      <c r="C85" s="71">
        <v>743</v>
      </c>
      <c r="D85" s="71">
        <v>9048</v>
      </c>
      <c r="E85" s="50">
        <f t="shared" si="10"/>
        <v>9791</v>
      </c>
      <c r="F85" s="51">
        <f t="shared" si="11"/>
        <v>92.411398222857727</v>
      </c>
      <c r="G85" s="51">
        <f t="shared" si="12"/>
        <v>7.5886017771422729</v>
      </c>
      <c r="H85" s="3"/>
      <c r="I85" s="1"/>
      <c r="J85" s="1"/>
      <c r="K85" s="1"/>
      <c r="L85" s="1"/>
      <c r="M85" s="1"/>
      <c r="N85" s="1"/>
      <c r="O85" s="13" t="s">
        <v>195</v>
      </c>
      <c r="P85" s="11" t="s">
        <v>194</v>
      </c>
      <c r="Q85" s="9">
        <v>713</v>
      </c>
      <c r="R85" s="9">
        <v>14051</v>
      </c>
      <c r="S85" s="14">
        <f t="shared" si="2"/>
        <v>14764</v>
      </c>
      <c r="T85" s="15">
        <f t="shared" si="3"/>
        <v>95.170685451097256</v>
      </c>
      <c r="U85" s="15">
        <f t="shared" si="4"/>
        <v>4.8293145489027367</v>
      </c>
      <c r="V85" s="17"/>
      <c r="W85" s="17"/>
      <c r="AC85" s="4"/>
    </row>
    <row r="86" spans="1:29" ht="15.75" customHeight="1">
      <c r="A86" s="13" t="s">
        <v>197</v>
      </c>
      <c r="B86" s="66" t="s">
        <v>196</v>
      </c>
      <c r="C86" s="71">
        <v>3190</v>
      </c>
      <c r="D86" s="71">
        <v>15215</v>
      </c>
      <c r="E86" s="50">
        <f t="shared" si="10"/>
        <v>18405</v>
      </c>
      <c r="F86" s="51">
        <f t="shared" si="11"/>
        <v>82.66775332790003</v>
      </c>
      <c r="G86" s="51">
        <f t="shared" si="12"/>
        <v>17.332246672099973</v>
      </c>
      <c r="H86" s="3"/>
      <c r="I86" s="1"/>
      <c r="J86" s="1"/>
      <c r="K86" s="1"/>
      <c r="L86" s="1"/>
      <c r="M86" s="1"/>
      <c r="N86" s="1"/>
      <c r="O86" s="13" t="s">
        <v>197</v>
      </c>
      <c r="P86" s="11" t="s">
        <v>196</v>
      </c>
      <c r="Q86" s="9">
        <v>2432</v>
      </c>
      <c r="R86" s="9">
        <v>19953</v>
      </c>
      <c r="S86" s="14">
        <f t="shared" si="2"/>
        <v>22385</v>
      </c>
      <c r="T86" s="15">
        <f t="shared" si="3"/>
        <v>89.135581862854579</v>
      </c>
      <c r="U86" s="15">
        <f t="shared" si="4"/>
        <v>10.86441813714541</v>
      </c>
      <c r="V86" s="17"/>
      <c r="W86" s="17"/>
      <c r="AC86" s="4"/>
    </row>
    <row r="87" spans="1:29" ht="15.75" customHeight="1">
      <c r="A87" s="13" t="s">
        <v>199</v>
      </c>
      <c r="B87" s="66" t="s">
        <v>198</v>
      </c>
      <c r="C87" s="71">
        <v>846</v>
      </c>
      <c r="D87" s="71">
        <v>6568</v>
      </c>
      <c r="E87" s="50">
        <f t="shared" si="10"/>
        <v>7414</v>
      </c>
      <c r="F87" s="51">
        <f t="shared" si="11"/>
        <v>88.589155651470179</v>
      </c>
      <c r="G87" s="51">
        <f t="shared" si="12"/>
        <v>11.410844348529809</v>
      </c>
      <c r="H87" s="3"/>
      <c r="I87" s="1"/>
      <c r="J87" s="1"/>
      <c r="K87" s="1"/>
      <c r="L87" s="1"/>
      <c r="M87" s="1"/>
      <c r="N87" s="1"/>
      <c r="O87" s="13" t="s">
        <v>199</v>
      </c>
      <c r="P87" s="11" t="s">
        <v>198</v>
      </c>
      <c r="Q87" s="9">
        <v>608</v>
      </c>
      <c r="R87" s="9">
        <v>8549</v>
      </c>
      <c r="S87" s="14">
        <f t="shared" si="2"/>
        <v>9157</v>
      </c>
      <c r="T87" s="15">
        <f t="shared" si="3"/>
        <v>93.360270831058216</v>
      </c>
      <c r="U87" s="15">
        <f t="shared" si="4"/>
        <v>6.6397291689417939</v>
      </c>
      <c r="V87" s="17"/>
      <c r="W87" s="17"/>
      <c r="AC87" s="4"/>
    </row>
    <row r="88" spans="1:29" ht="15.75" customHeight="1">
      <c r="A88" s="13" t="s">
        <v>201</v>
      </c>
      <c r="B88" s="66" t="s">
        <v>200</v>
      </c>
      <c r="C88" s="71">
        <v>402</v>
      </c>
      <c r="D88" s="71">
        <v>4839</v>
      </c>
      <c r="E88" s="50">
        <f t="shared" si="10"/>
        <v>5241</v>
      </c>
      <c r="F88" s="51">
        <f t="shared" si="11"/>
        <v>92.329708070978825</v>
      </c>
      <c r="G88" s="51">
        <f t="shared" si="12"/>
        <v>7.6702919290211797</v>
      </c>
      <c r="H88" s="3"/>
      <c r="I88" s="1"/>
      <c r="J88" s="1"/>
      <c r="K88" s="1"/>
      <c r="L88" s="1"/>
      <c r="M88" s="1"/>
      <c r="N88" s="1"/>
      <c r="O88" s="13" t="s">
        <v>201</v>
      </c>
      <c r="P88" s="11" t="s">
        <v>200</v>
      </c>
      <c r="Q88" s="9">
        <v>218</v>
      </c>
      <c r="R88" s="9">
        <v>7136</v>
      </c>
      <c r="S88" s="14">
        <f t="shared" si="2"/>
        <v>7354</v>
      </c>
      <c r="T88" s="15">
        <f t="shared" si="3"/>
        <v>97.035626869730763</v>
      </c>
      <c r="U88" s="15">
        <f t="shared" si="4"/>
        <v>2.9643731302692413</v>
      </c>
      <c r="V88" s="17"/>
      <c r="W88" s="17"/>
      <c r="AC88" s="4"/>
    </row>
    <row r="89" spans="1:29" ht="15.75" customHeight="1">
      <c r="A89" s="13" t="s">
        <v>203</v>
      </c>
      <c r="B89" s="66" t="s">
        <v>202</v>
      </c>
      <c r="C89" s="71">
        <v>694</v>
      </c>
      <c r="D89" s="71">
        <v>16098</v>
      </c>
      <c r="E89" s="50">
        <f t="shared" si="10"/>
        <v>16792</v>
      </c>
      <c r="F89" s="51">
        <f t="shared" si="11"/>
        <v>95.867079561696045</v>
      </c>
      <c r="G89" s="51">
        <f t="shared" si="12"/>
        <v>4.1329204383039544</v>
      </c>
      <c r="H89" s="3"/>
      <c r="I89" s="1"/>
      <c r="J89" s="1"/>
      <c r="K89" s="1"/>
      <c r="L89" s="1"/>
      <c r="M89" s="1"/>
      <c r="N89" s="1"/>
      <c r="O89" s="13" t="s">
        <v>203</v>
      </c>
      <c r="P89" s="11" t="s">
        <v>202</v>
      </c>
      <c r="Q89" s="9">
        <v>321</v>
      </c>
      <c r="R89" s="9">
        <v>17264</v>
      </c>
      <c r="S89" s="14">
        <f t="shared" si="2"/>
        <v>17585</v>
      </c>
      <c r="T89" s="15">
        <f t="shared" si="3"/>
        <v>98.174580608473121</v>
      </c>
      <c r="U89" s="15">
        <f t="shared" si="4"/>
        <v>1.8254193915268697</v>
      </c>
      <c r="V89" s="17"/>
      <c r="W89" s="17"/>
      <c r="AC89" s="4"/>
    </row>
    <row r="90" spans="1:29" ht="15.75" customHeight="1">
      <c r="A90" s="13" t="s">
        <v>205</v>
      </c>
      <c r="B90" s="66" t="s">
        <v>204</v>
      </c>
      <c r="C90" s="71">
        <v>1022</v>
      </c>
      <c r="D90" s="71">
        <v>15243</v>
      </c>
      <c r="E90" s="50">
        <f t="shared" si="10"/>
        <v>16265</v>
      </c>
      <c r="F90" s="51">
        <f t="shared" si="11"/>
        <v>93.716569320627116</v>
      </c>
      <c r="G90" s="51">
        <f t="shared" si="12"/>
        <v>6.2834306793728869</v>
      </c>
      <c r="H90" s="3"/>
      <c r="I90" s="1"/>
      <c r="J90" s="1"/>
      <c r="K90" s="1"/>
      <c r="L90" s="1"/>
      <c r="M90" s="1"/>
      <c r="N90" s="1"/>
      <c r="O90" s="13" t="s">
        <v>205</v>
      </c>
      <c r="P90" s="11" t="s">
        <v>204</v>
      </c>
      <c r="Q90" s="9">
        <v>638</v>
      </c>
      <c r="R90" s="9">
        <v>21732</v>
      </c>
      <c r="S90" s="14">
        <f t="shared" si="2"/>
        <v>22370</v>
      </c>
      <c r="T90" s="15">
        <f t="shared" si="3"/>
        <v>97.147966025927573</v>
      </c>
      <c r="U90" s="15">
        <f t="shared" si="4"/>
        <v>2.8520339740724188</v>
      </c>
      <c r="V90" s="17"/>
      <c r="W90" s="17"/>
      <c r="AC90" s="4"/>
    </row>
    <row r="91" spans="1:29" ht="15.75" customHeight="1">
      <c r="A91" s="13" t="s">
        <v>207</v>
      </c>
      <c r="B91" s="66" t="s">
        <v>206</v>
      </c>
      <c r="C91" s="71">
        <v>219</v>
      </c>
      <c r="D91" s="71">
        <v>5838</v>
      </c>
      <c r="E91" s="50">
        <f t="shared" si="10"/>
        <v>6057</v>
      </c>
      <c r="F91" s="51">
        <f t="shared" si="11"/>
        <v>96.384348687469043</v>
      </c>
      <c r="G91" s="51">
        <f t="shared" si="12"/>
        <v>3.6156513125309564</v>
      </c>
      <c r="H91" s="3"/>
      <c r="I91" s="1"/>
      <c r="J91" s="1"/>
      <c r="K91" s="1"/>
      <c r="L91" s="1"/>
      <c r="M91" s="1"/>
      <c r="N91" s="1"/>
      <c r="O91" s="13" t="s">
        <v>207</v>
      </c>
      <c r="P91" s="11" t="s">
        <v>206</v>
      </c>
      <c r="Q91" s="9">
        <v>101</v>
      </c>
      <c r="R91" s="9">
        <v>7242</v>
      </c>
      <c r="S91" s="14">
        <f t="shared" si="2"/>
        <v>7343</v>
      </c>
      <c r="T91" s="15">
        <f t="shared" si="3"/>
        <v>98.624540378591846</v>
      </c>
      <c r="U91" s="15">
        <f t="shared" si="4"/>
        <v>1.3754596214081438</v>
      </c>
      <c r="V91" s="17"/>
      <c r="W91" s="17"/>
      <c r="AC91" s="4"/>
    </row>
    <row r="92" spans="1:29" ht="15.75" customHeight="1">
      <c r="A92" s="13" t="s">
        <v>209</v>
      </c>
      <c r="B92" s="66" t="s">
        <v>208</v>
      </c>
      <c r="C92" s="71">
        <v>1437</v>
      </c>
      <c r="D92" s="71">
        <v>21582</v>
      </c>
      <c r="E92" s="50">
        <f t="shared" si="10"/>
        <v>23019</v>
      </c>
      <c r="F92" s="51">
        <f t="shared" si="11"/>
        <v>93.757330900560405</v>
      </c>
      <c r="G92" s="51">
        <f t="shared" si="12"/>
        <v>6.2426690994395937</v>
      </c>
      <c r="H92" s="3"/>
      <c r="I92" s="1"/>
      <c r="J92" s="1"/>
      <c r="K92" s="1"/>
      <c r="L92" s="1"/>
      <c r="M92" s="1"/>
      <c r="N92" s="1"/>
      <c r="O92" s="13" t="s">
        <v>209</v>
      </c>
      <c r="P92" s="11" t="s">
        <v>208</v>
      </c>
      <c r="Q92" s="9">
        <v>898</v>
      </c>
      <c r="R92" s="9">
        <v>24877</v>
      </c>
      <c r="S92" s="14">
        <f t="shared" si="2"/>
        <v>25775</v>
      </c>
      <c r="T92" s="15">
        <f t="shared" si="3"/>
        <v>96.516003879728416</v>
      </c>
      <c r="U92" s="15">
        <f t="shared" si="4"/>
        <v>3.483996120271581</v>
      </c>
      <c r="V92" s="17"/>
      <c r="W92" s="17"/>
      <c r="AC92" s="4"/>
    </row>
    <row r="93" spans="1:29" ht="15.75" customHeight="1">
      <c r="A93" s="13" t="s">
        <v>211</v>
      </c>
      <c r="B93" s="66" t="s">
        <v>210</v>
      </c>
      <c r="C93" s="71">
        <v>3076</v>
      </c>
      <c r="D93" s="71">
        <v>33937</v>
      </c>
      <c r="E93" s="50">
        <f t="shared" si="10"/>
        <v>37013</v>
      </c>
      <c r="F93" s="51">
        <f t="shared" si="11"/>
        <v>91.689406424769672</v>
      </c>
      <c r="G93" s="51">
        <f t="shared" si="12"/>
        <v>8.3105935752303246</v>
      </c>
      <c r="H93" s="3"/>
      <c r="I93" s="1"/>
      <c r="J93" s="1"/>
      <c r="K93" s="1"/>
      <c r="L93" s="1"/>
      <c r="M93" s="1"/>
      <c r="N93" s="1"/>
      <c r="O93" s="13" t="s">
        <v>211</v>
      </c>
      <c r="P93" s="11" t="s">
        <v>210</v>
      </c>
      <c r="Q93" s="9">
        <v>1680</v>
      </c>
      <c r="R93" s="9">
        <v>41509</v>
      </c>
      <c r="S93" s="14">
        <f t="shared" si="2"/>
        <v>43189</v>
      </c>
      <c r="T93" s="15">
        <f t="shared" si="3"/>
        <v>96.110120632568481</v>
      </c>
      <c r="U93" s="15">
        <f t="shared" si="4"/>
        <v>3.8898793674315217</v>
      </c>
      <c r="V93" s="17"/>
      <c r="W93" s="17"/>
      <c r="AC93" s="4"/>
    </row>
    <row r="94" spans="1:29" ht="15.75" customHeight="1">
      <c r="A94" s="13" t="s">
        <v>213</v>
      </c>
      <c r="B94" s="66" t="s">
        <v>212</v>
      </c>
      <c r="C94" s="71">
        <v>5832</v>
      </c>
      <c r="D94" s="71">
        <v>22752</v>
      </c>
      <c r="E94" s="50">
        <f t="shared" si="10"/>
        <v>28584</v>
      </c>
      <c r="F94" s="51">
        <f t="shared" si="11"/>
        <v>79.59697732997482</v>
      </c>
      <c r="G94" s="51">
        <f t="shared" si="12"/>
        <v>20.403022670025191</v>
      </c>
      <c r="H94" s="3"/>
      <c r="I94" s="1"/>
      <c r="J94" s="1"/>
      <c r="K94" s="1"/>
      <c r="L94" s="1"/>
      <c r="M94" s="1"/>
      <c r="N94" s="1"/>
      <c r="O94" s="13" t="s">
        <v>213</v>
      </c>
      <c r="P94" s="11" t="s">
        <v>212</v>
      </c>
      <c r="Q94" s="9">
        <v>4460</v>
      </c>
      <c r="R94" s="9">
        <v>43351</v>
      </c>
      <c r="S94" s="14">
        <f t="shared" si="2"/>
        <v>47811</v>
      </c>
      <c r="T94" s="15">
        <f t="shared" si="3"/>
        <v>90.671602769237197</v>
      </c>
      <c r="U94" s="15">
        <f t="shared" si="4"/>
        <v>9.3283972307627963</v>
      </c>
      <c r="V94" s="17"/>
      <c r="W94" s="17"/>
      <c r="AC94" s="4"/>
    </row>
    <row r="95" spans="1:29" ht="15.75" customHeight="1">
      <c r="A95" s="13" t="s">
        <v>215</v>
      </c>
      <c r="B95" s="66" t="s">
        <v>214</v>
      </c>
      <c r="C95" s="71">
        <v>4452</v>
      </c>
      <c r="D95" s="71">
        <v>18943</v>
      </c>
      <c r="E95" s="50">
        <f t="shared" si="10"/>
        <v>23395</v>
      </c>
      <c r="F95" s="51">
        <f t="shared" si="11"/>
        <v>80.970292797606319</v>
      </c>
      <c r="G95" s="51">
        <f t="shared" si="12"/>
        <v>19.029707202393674</v>
      </c>
      <c r="H95" s="3"/>
      <c r="I95" s="1"/>
      <c r="J95" s="1"/>
      <c r="K95" s="1"/>
      <c r="L95" s="1"/>
      <c r="M95" s="1"/>
      <c r="N95" s="1"/>
      <c r="O95" s="13" t="s">
        <v>215</v>
      </c>
      <c r="P95" s="11" t="s">
        <v>214</v>
      </c>
      <c r="Q95" s="9">
        <v>3024</v>
      </c>
      <c r="R95" s="9">
        <v>33961</v>
      </c>
      <c r="S95" s="14">
        <f t="shared" si="2"/>
        <v>36985</v>
      </c>
      <c r="T95" s="15">
        <f t="shared" si="3"/>
        <v>91.823712315803704</v>
      </c>
      <c r="U95" s="15">
        <f t="shared" si="4"/>
        <v>8.1762876841962964</v>
      </c>
      <c r="V95" s="17"/>
      <c r="W95" s="17"/>
      <c r="AC95" s="4"/>
    </row>
    <row r="96" spans="1:29" ht="15.75" customHeight="1">
      <c r="A96" s="13" t="s">
        <v>217</v>
      </c>
      <c r="B96" s="66" t="s">
        <v>216</v>
      </c>
      <c r="C96" s="71">
        <v>3204</v>
      </c>
      <c r="D96" s="71">
        <v>13402</v>
      </c>
      <c r="E96" s="50">
        <f t="shared" si="10"/>
        <v>16606</v>
      </c>
      <c r="F96" s="51">
        <f t="shared" si="11"/>
        <v>80.70576899915693</v>
      </c>
      <c r="G96" s="51">
        <f t="shared" si="12"/>
        <v>19.29423100084307</v>
      </c>
      <c r="H96" s="3"/>
      <c r="I96" s="1"/>
      <c r="J96" s="1"/>
      <c r="K96" s="1"/>
      <c r="L96" s="1"/>
      <c r="M96" s="1"/>
      <c r="N96" s="1"/>
      <c r="O96" s="13" t="s">
        <v>217</v>
      </c>
      <c r="P96" s="11" t="s">
        <v>216</v>
      </c>
      <c r="Q96" s="9">
        <v>2029</v>
      </c>
      <c r="R96" s="9">
        <v>17789</v>
      </c>
      <c r="S96" s="14">
        <f t="shared" si="2"/>
        <v>19818</v>
      </c>
      <c r="T96" s="15">
        <f t="shared" si="3"/>
        <v>89.761832677364012</v>
      </c>
      <c r="U96" s="15">
        <f t="shared" si="4"/>
        <v>10.238167322635988</v>
      </c>
      <c r="V96" s="17"/>
      <c r="W96" s="17"/>
      <c r="AC96" s="4"/>
    </row>
    <row r="97" spans="1:29" ht="15.75" customHeight="1">
      <c r="A97" s="13" t="s">
        <v>219</v>
      </c>
      <c r="B97" s="66" t="s">
        <v>218</v>
      </c>
      <c r="C97" s="71">
        <v>1753</v>
      </c>
      <c r="D97" s="71">
        <v>4471</v>
      </c>
      <c r="E97" s="50">
        <f t="shared" si="10"/>
        <v>6224</v>
      </c>
      <c r="F97" s="51">
        <f t="shared" si="11"/>
        <v>71.834832904884323</v>
      </c>
      <c r="G97" s="51">
        <f t="shared" si="12"/>
        <v>28.165167095115677</v>
      </c>
      <c r="H97" s="3"/>
      <c r="I97" s="1"/>
      <c r="J97" s="1"/>
      <c r="K97" s="1"/>
      <c r="L97" s="1"/>
      <c r="M97" s="1"/>
      <c r="N97" s="1"/>
      <c r="O97" s="13" t="s">
        <v>219</v>
      </c>
      <c r="P97" s="11" t="s">
        <v>218</v>
      </c>
      <c r="Q97" s="9">
        <v>893</v>
      </c>
      <c r="R97" s="9">
        <v>6751</v>
      </c>
      <c r="S97" s="14">
        <f t="shared" si="2"/>
        <v>7644</v>
      </c>
      <c r="T97" s="15">
        <f t="shared" si="3"/>
        <v>88.317634746206181</v>
      </c>
      <c r="U97" s="15">
        <f t="shared" si="4"/>
        <v>11.682365253793826</v>
      </c>
      <c r="V97" s="17"/>
      <c r="W97" s="17"/>
      <c r="AC97" s="4"/>
    </row>
    <row r="98" spans="1:29" ht="15.75" customHeight="1">
      <c r="A98" s="13" t="s">
        <v>221</v>
      </c>
      <c r="B98" s="66" t="s">
        <v>220</v>
      </c>
      <c r="C98" s="71">
        <v>3510</v>
      </c>
      <c r="D98" s="71">
        <v>26060</v>
      </c>
      <c r="E98" s="50">
        <f t="shared" si="10"/>
        <v>29570</v>
      </c>
      <c r="F98" s="51">
        <f t="shared" si="11"/>
        <v>88.129861345958744</v>
      </c>
      <c r="G98" s="51">
        <f t="shared" si="12"/>
        <v>11.870138654041257</v>
      </c>
      <c r="H98" s="3"/>
      <c r="I98" s="1"/>
      <c r="J98" s="1"/>
      <c r="K98" s="1"/>
      <c r="L98" s="1"/>
      <c r="M98" s="1"/>
      <c r="N98" s="1"/>
      <c r="O98" s="13" t="s">
        <v>221</v>
      </c>
      <c r="P98" s="11" t="s">
        <v>220</v>
      </c>
      <c r="Q98" s="9">
        <v>2083</v>
      </c>
      <c r="R98" s="9">
        <v>30347</v>
      </c>
      <c r="S98" s="14">
        <f t="shared" si="2"/>
        <v>32430</v>
      </c>
      <c r="T98" s="15">
        <f t="shared" si="3"/>
        <v>93.576934936786927</v>
      </c>
      <c r="U98" s="15">
        <f t="shared" si="4"/>
        <v>6.4230650632130732</v>
      </c>
      <c r="V98" s="17"/>
      <c r="W98" s="17"/>
      <c r="AC98" s="4"/>
    </row>
    <row r="99" spans="1:29" ht="15.75" customHeight="1">
      <c r="A99" s="13" t="s">
        <v>223</v>
      </c>
      <c r="B99" s="66" t="s">
        <v>222</v>
      </c>
      <c r="C99" s="71">
        <v>1001</v>
      </c>
      <c r="D99" s="71">
        <v>7492</v>
      </c>
      <c r="E99" s="50">
        <f t="shared" si="10"/>
        <v>8493</v>
      </c>
      <c r="F99" s="51">
        <f t="shared" si="11"/>
        <v>88.213823148475214</v>
      </c>
      <c r="G99" s="51">
        <f t="shared" si="12"/>
        <v>11.786176851524784</v>
      </c>
      <c r="H99" s="3"/>
      <c r="I99" s="1"/>
      <c r="J99" s="1"/>
      <c r="K99" s="1"/>
      <c r="L99" s="1"/>
      <c r="M99" s="1"/>
      <c r="N99" s="1"/>
      <c r="O99" s="13" t="s">
        <v>223</v>
      </c>
      <c r="P99" s="11" t="s">
        <v>222</v>
      </c>
      <c r="Q99" s="9">
        <v>702</v>
      </c>
      <c r="R99" s="9">
        <v>8098</v>
      </c>
      <c r="S99" s="14">
        <f t="shared" si="2"/>
        <v>8800</v>
      </c>
      <c r="T99" s="15">
        <f t="shared" si="3"/>
        <v>92.02272727272728</v>
      </c>
      <c r="U99" s="15">
        <f t="shared" si="4"/>
        <v>7.9772727272727275</v>
      </c>
      <c r="V99" s="17"/>
      <c r="W99" s="17"/>
      <c r="AC99" s="4"/>
    </row>
    <row r="100" spans="1:29" ht="15.75" customHeight="1">
      <c r="A100" s="13" t="s">
        <v>225</v>
      </c>
      <c r="B100" s="66" t="s">
        <v>224</v>
      </c>
      <c r="C100" s="71">
        <v>1010</v>
      </c>
      <c r="D100" s="71">
        <v>6385</v>
      </c>
      <c r="E100" s="50">
        <f t="shared" si="10"/>
        <v>7395</v>
      </c>
      <c r="F100" s="51">
        <f t="shared" si="11"/>
        <v>86.342123056119007</v>
      </c>
      <c r="G100" s="51">
        <f t="shared" si="12"/>
        <v>13.657876943881</v>
      </c>
      <c r="H100" s="3"/>
      <c r="I100" s="1"/>
      <c r="J100" s="1"/>
      <c r="K100" s="1"/>
      <c r="L100" s="1"/>
      <c r="M100" s="1"/>
      <c r="N100" s="1"/>
      <c r="O100" s="13" t="s">
        <v>225</v>
      </c>
      <c r="P100" s="11" t="s">
        <v>224</v>
      </c>
      <c r="Q100" s="9">
        <v>913</v>
      </c>
      <c r="R100" s="9">
        <v>9898</v>
      </c>
      <c r="S100" s="14">
        <f t="shared" si="2"/>
        <v>10811</v>
      </c>
      <c r="T100" s="15">
        <f t="shared" si="3"/>
        <v>91.554897789288688</v>
      </c>
      <c r="U100" s="15">
        <f t="shared" si="4"/>
        <v>8.4451022107113118</v>
      </c>
      <c r="V100" s="17"/>
      <c r="W100" s="17"/>
      <c r="AC100" s="4"/>
    </row>
    <row r="101" spans="1:29" ht="15.75" customHeight="1">
      <c r="A101" s="13" t="s">
        <v>227</v>
      </c>
      <c r="B101" s="66" t="s">
        <v>226</v>
      </c>
      <c r="C101" s="71">
        <v>1931</v>
      </c>
      <c r="D101" s="71">
        <v>9914</v>
      </c>
      <c r="E101" s="50">
        <f t="shared" si="10"/>
        <v>11845</v>
      </c>
      <c r="F101" s="51">
        <f t="shared" si="11"/>
        <v>83.697762769100891</v>
      </c>
      <c r="G101" s="51">
        <f t="shared" si="12"/>
        <v>16.302237230899113</v>
      </c>
      <c r="H101" s="3"/>
      <c r="I101" s="1"/>
      <c r="J101" s="1"/>
      <c r="K101" s="1"/>
      <c r="L101" s="1"/>
      <c r="M101" s="1"/>
      <c r="N101" s="1"/>
      <c r="O101" s="13" t="s">
        <v>227</v>
      </c>
      <c r="P101" s="11" t="s">
        <v>226</v>
      </c>
      <c r="Q101" s="9">
        <v>1130</v>
      </c>
      <c r="R101" s="9">
        <v>13579</v>
      </c>
      <c r="S101" s="14">
        <f t="shared" si="2"/>
        <v>14709</v>
      </c>
      <c r="T101" s="15">
        <f t="shared" si="3"/>
        <v>92.317628662723507</v>
      </c>
      <c r="U101" s="15">
        <f t="shared" si="4"/>
        <v>7.6823713372764972</v>
      </c>
      <c r="V101" s="17"/>
      <c r="W101" s="17"/>
      <c r="AC101" s="4"/>
    </row>
    <row r="102" spans="1:29" ht="15.75" customHeight="1">
      <c r="A102" s="13" t="s">
        <v>229</v>
      </c>
      <c r="B102" s="66" t="s">
        <v>228</v>
      </c>
      <c r="C102" s="71">
        <v>1875</v>
      </c>
      <c r="D102" s="71">
        <v>19630</v>
      </c>
      <c r="E102" s="50">
        <f t="shared" si="10"/>
        <v>21505</v>
      </c>
      <c r="F102" s="51">
        <f t="shared" si="11"/>
        <v>91.281097419204841</v>
      </c>
      <c r="G102" s="51">
        <f t="shared" si="12"/>
        <v>8.7189025807951648</v>
      </c>
      <c r="H102" s="3"/>
      <c r="I102" s="1"/>
      <c r="J102" s="1"/>
      <c r="K102" s="1"/>
      <c r="L102" s="1"/>
      <c r="M102" s="1"/>
      <c r="N102" s="1"/>
      <c r="O102" s="13" t="s">
        <v>229</v>
      </c>
      <c r="P102" s="11" t="s">
        <v>228</v>
      </c>
      <c r="Q102" s="9">
        <v>1066</v>
      </c>
      <c r="R102" s="9">
        <v>22992</v>
      </c>
      <c r="S102" s="14">
        <f t="shared" si="2"/>
        <v>24058</v>
      </c>
      <c r="T102" s="15">
        <f t="shared" si="3"/>
        <v>95.569041483082557</v>
      </c>
      <c r="U102" s="15">
        <f t="shared" si="4"/>
        <v>4.4309585169174497</v>
      </c>
      <c r="V102" s="17"/>
      <c r="W102" s="17"/>
      <c r="AC102" s="4"/>
    </row>
    <row r="103" spans="1:29" ht="15.75" customHeight="1">
      <c r="A103" s="13" t="s">
        <v>231</v>
      </c>
      <c r="B103" s="66" t="s">
        <v>230</v>
      </c>
      <c r="C103" s="71">
        <v>1031</v>
      </c>
      <c r="D103" s="71">
        <v>8315</v>
      </c>
      <c r="E103" s="50">
        <f t="shared" si="10"/>
        <v>9346</v>
      </c>
      <c r="F103" s="51">
        <f t="shared" si="11"/>
        <v>88.968542692060765</v>
      </c>
      <c r="G103" s="51">
        <f t="shared" si="12"/>
        <v>11.031457307939226</v>
      </c>
      <c r="H103" s="3"/>
      <c r="I103" s="1"/>
      <c r="J103" s="1"/>
      <c r="K103" s="1"/>
      <c r="L103" s="1"/>
      <c r="M103" s="1"/>
      <c r="N103" s="1"/>
      <c r="O103" s="13" t="s">
        <v>231</v>
      </c>
      <c r="P103" s="11" t="s">
        <v>230</v>
      </c>
      <c r="Q103" s="9">
        <v>633</v>
      </c>
      <c r="R103" s="9">
        <v>11166</v>
      </c>
      <c r="S103" s="14">
        <f t="shared" si="2"/>
        <v>11799</v>
      </c>
      <c r="T103" s="15">
        <f t="shared" si="3"/>
        <v>94.63513857106534</v>
      </c>
      <c r="U103" s="15">
        <f t="shared" si="4"/>
        <v>5.3648614289346561</v>
      </c>
      <c r="V103" s="17"/>
      <c r="W103" s="17"/>
      <c r="AC103" s="4"/>
    </row>
    <row r="104" spans="1:29" ht="15.75" customHeight="1">
      <c r="A104" s="13" t="s">
        <v>233</v>
      </c>
      <c r="B104" s="66" t="s">
        <v>232</v>
      </c>
      <c r="C104" s="71">
        <v>438</v>
      </c>
      <c r="D104" s="71">
        <v>4321</v>
      </c>
      <c r="E104" s="50">
        <f t="shared" si="10"/>
        <v>4759</v>
      </c>
      <c r="F104" s="51">
        <f t="shared" si="11"/>
        <v>90.796385795335155</v>
      </c>
      <c r="G104" s="51">
        <f t="shared" si="12"/>
        <v>9.203614204664845</v>
      </c>
      <c r="H104" s="3"/>
      <c r="I104" s="1"/>
      <c r="J104" s="1"/>
      <c r="K104" s="1"/>
      <c r="L104" s="1"/>
      <c r="M104" s="1"/>
      <c r="N104" s="1"/>
      <c r="O104" s="13" t="s">
        <v>233</v>
      </c>
      <c r="P104" s="11" t="s">
        <v>232</v>
      </c>
      <c r="Q104" s="9">
        <v>322</v>
      </c>
      <c r="R104" s="9">
        <v>4967</v>
      </c>
      <c r="S104" s="14">
        <f t="shared" si="2"/>
        <v>5289</v>
      </c>
      <c r="T104" s="15">
        <f t="shared" si="3"/>
        <v>93.911892607298171</v>
      </c>
      <c r="U104" s="15">
        <f t="shared" si="4"/>
        <v>6.0881073927018337</v>
      </c>
      <c r="V104" s="17"/>
      <c r="W104" s="17"/>
      <c r="AC104" s="4"/>
    </row>
    <row r="105" spans="1:29" ht="15.75" customHeight="1">
      <c r="A105" s="13" t="s">
        <v>235</v>
      </c>
      <c r="B105" s="66" t="s">
        <v>234</v>
      </c>
      <c r="C105" s="71">
        <v>1242</v>
      </c>
      <c r="D105" s="71">
        <v>17125</v>
      </c>
      <c r="E105" s="50">
        <f t="shared" si="10"/>
        <v>18367</v>
      </c>
      <c r="F105" s="51">
        <f t="shared" si="11"/>
        <v>93.237872270920676</v>
      </c>
      <c r="G105" s="51">
        <f t="shared" si="12"/>
        <v>6.7621277290793271</v>
      </c>
      <c r="H105" s="3"/>
      <c r="I105" s="1"/>
      <c r="J105" s="1"/>
      <c r="K105" s="1"/>
      <c r="L105" s="1"/>
      <c r="M105" s="1"/>
      <c r="N105" s="1"/>
      <c r="O105" s="13" t="s">
        <v>235</v>
      </c>
      <c r="P105" s="11" t="s">
        <v>234</v>
      </c>
      <c r="Q105" s="9">
        <v>795</v>
      </c>
      <c r="R105" s="9">
        <v>25829</v>
      </c>
      <c r="S105" s="14">
        <f t="shared" si="2"/>
        <v>26624</v>
      </c>
      <c r="T105" s="15">
        <f t="shared" si="3"/>
        <v>97.013972355769226</v>
      </c>
      <c r="U105" s="15">
        <f t="shared" si="4"/>
        <v>2.9860276442307692</v>
      </c>
      <c r="V105" s="17"/>
      <c r="W105" s="17"/>
      <c r="AC105" s="4"/>
    </row>
    <row r="106" spans="1:29" ht="15.75" customHeight="1">
      <c r="A106" s="13" t="s">
        <v>237</v>
      </c>
      <c r="B106" s="66" t="s">
        <v>236</v>
      </c>
      <c r="C106" s="71">
        <v>1032</v>
      </c>
      <c r="D106" s="71">
        <v>14984</v>
      </c>
      <c r="E106" s="50">
        <f t="shared" si="10"/>
        <v>16016</v>
      </c>
      <c r="F106" s="51">
        <f t="shared" si="11"/>
        <v>93.556443556443554</v>
      </c>
      <c r="G106" s="51">
        <f t="shared" si="12"/>
        <v>6.4435564435564432</v>
      </c>
      <c r="H106" s="3"/>
      <c r="I106" s="1"/>
      <c r="J106" s="1"/>
      <c r="K106" s="1"/>
      <c r="L106" s="1"/>
      <c r="M106" s="1"/>
      <c r="N106" s="1"/>
      <c r="O106" s="13" t="s">
        <v>237</v>
      </c>
      <c r="P106" s="11" t="s">
        <v>236</v>
      </c>
      <c r="Q106" s="9">
        <v>602</v>
      </c>
      <c r="R106" s="9">
        <v>22016</v>
      </c>
      <c r="S106" s="14">
        <f t="shared" si="2"/>
        <v>22618</v>
      </c>
      <c r="T106" s="15">
        <f t="shared" si="3"/>
        <v>97.338403041825089</v>
      </c>
      <c r="U106" s="15">
        <f t="shared" si="4"/>
        <v>2.6615969581749046</v>
      </c>
      <c r="V106" s="17"/>
      <c r="W106" s="17"/>
      <c r="AC106" s="4"/>
    </row>
    <row r="107" spans="1:29" ht="15.75" customHeight="1">
      <c r="A107" s="13" t="s">
        <v>238</v>
      </c>
      <c r="B107" s="66" t="s">
        <v>239</v>
      </c>
      <c r="C107" s="71">
        <v>687</v>
      </c>
      <c r="D107" s="71">
        <v>7871</v>
      </c>
      <c r="E107" s="50">
        <f t="shared" si="10"/>
        <v>8558</v>
      </c>
      <c r="F107" s="51">
        <f t="shared" si="11"/>
        <v>91.97242346342604</v>
      </c>
      <c r="G107" s="51">
        <f t="shared" si="12"/>
        <v>8.0275765365739655</v>
      </c>
      <c r="H107" s="3"/>
      <c r="I107" s="1"/>
      <c r="J107" s="1"/>
      <c r="K107" s="1"/>
      <c r="L107" s="1"/>
      <c r="M107" s="1"/>
      <c r="N107" s="1"/>
      <c r="O107" s="13" t="s">
        <v>238</v>
      </c>
      <c r="P107" s="11" t="s">
        <v>239</v>
      </c>
      <c r="Q107" s="9">
        <v>1097</v>
      </c>
      <c r="R107" s="9">
        <v>10781</v>
      </c>
      <c r="S107" s="14">
        <f t="shared" si="2"/>
        <v>11878</v>
      </c>
      <c r="T107" s="15">
        <f t="shared" si="3"/>
        <v>90.764438457652801</v>
      </c>
      <c r="U107" s="15">
        <f t="shared" si="4"/>
        <v>9.2355615423471971</v>
      </c>
      <c r="V107" s="17"/>
      <c r="W107" s="17"/>
      <c r="AC107" s="4"/>
    </row>
    <row r="108" spans="1:29" ht="15.75" customHeight="1">
      <c r="A108" s="13" t="s">
        <v>241</v>
      </c>
      <c r="B108" s="66" t="s">
        <v>240</v>
      </c>
      <c r="C108" s="71">
        <v>288</v>
      </c>
      <c r="D108" s="71">
        <v>7740</v>
      </c>
      <c r="E108" s="50">
        <f t="shared" si="10"/>
        <v>8028</v>
      </c>
      <c r="F108" s="51">
        <f t="shared" si="11"/>
        <v>96.412556053811656</v>
      </c>
      <c r="G108" s="51">
        <f t="shared" si="12"/>
        <v>3.5874439461883409</v>
      </c>
      <c r="H108" s="3"/>
      <c r="I108" s="1"/>
      <c r="J108" s="1"/>
      <c r="K108" s="1"/>
      <c r="L108" s="1"/>
      <c r="M108" s="1"/>
      <c r="N108" s="1"/>
      <c r="O108" s="13" t="s">
        <v>241</v>
      </c>
      <c r="P108" s="11" t="s">
        <v>240</v>
      </c>
      <c r="Q108" s="9">
        <v>245</v>
      </c>
      <c r="R108" s="9">
        <v>9283</v>
      </c>
      <c r="S108" s="14">
        <f t="shared" si="2"/>
        <v>9528</v>
      </c>
      <c r="T108" s="15">
        <f t="shared" si="3"/>
        <v>97.428631402183044</v>
      </c>
      <c r="U108" s="15">
        <f t="shared" si="4"/>
        <v>2.5713685978169605</v>
      </c>
      <c r="V108" s="17"/>
      <c r="W108" s="17"/>
      <c r="AC108" s="4"/>
    </row>
    <row r="109" spans="1:29" ht="15.75" customHeight="1">
      <c r="A109" s="13" t="s">
        <v>242</v>
      </c>
      <c r="B109" s="66" t="s">
        <v>243</v>
      </c>
      <c r="C109" s="71">
        <v>3861</v>
      </c>
      <c r="D109" s="71">
        <v>8289</v>
      </c>
      <c r="E109" s="50">
        <f t="shared" si="10"/>
        <v>12150</v>
      </c>
      <c r="F109" s="51">
        <f t="shared" si="11"/>
        <v>68.222222222222214</v>
      </c>
      <c r="G109" s="51">
        <f t="shared" si="12"/>
        <v>31.777777777777779</v>
      </c>
      <c r="H109" s="3"/>
      <c r="I109" s="1"/>
      <c r="J109" s="1"/>
      <c r="K109" s="1"/>
      <c r="L109" s="1"/>
      <c r="M109" s="1"/>
      <c r="N109" s="1"/>
      <c r="O109" s="13" t="s">
        <v>242</v>
      </c>
      <c r="P109" s="11" t="s">
        <v>243</v>
      </c>
      <c r="Q109" s="9">
        <v>2232</v>
      </c>
      <c r="R109" s="9">
        <v>12585</v>
      </c>
      <c r="S109" s="14">
        <f t="shared" si="2"/>
        <v>14817</v>
      </c>
      <c r="T109" s="15">
        <f t="shared" si="3"/>
        <v>84.936221907268688</v>
      </c>
      <c r="U109" s="15">
        <f t="shared" si="4"/>
        <v>15.063778092731322</v>
      </c>
      <c r="V109" s="17"/>
      <c r="W109" s="17"/>
      <c r="AC109" s="4"/>
    </row>
    <row r="110" spans="1:29" ht="15.75" customHeight="1">
      <c r="A110" s="13" t="s">
        <v>245</v>
      </c>
      <c r="B110" s="66" t="s">
        <v>244</v>
      </c>
      <c r="C110" s="71">
        <v>1128</v>
      </c>
      <c r="D110" s="71">
        <v>1917</v>
      </c>
      <c r="E110" s="50">
        <f t="shared" si="10"/>
        <v>3045</v>
      </c>
      <c r="F110" s="51">
        <f t="shared" si="11"/>
        <v>62.955665024630548</v>
      </c>
      <c r="G110" s="51">
        <f t="shared" si="12"/>
        <v>37.044334975369459</v>
      </c>
      <c r="H110" s="3"/>
      <c r="I110" s="1"/>
      <c r="J110" s="1"/>
      <c r="K110" s="1"/>
      <c r="L110" s="1"/>
      <c r="M110" s="1"/>
      <c r="N110" s="1"/>
      <c r="O110" s="13" t="s">
        <v>245</v>
      </c>
      <c r="P110" s="11" t="s">
        <v>244</v>
      </c>
      <c r="Q110" s="9">
        <v>1154</v>
      </c>
      <c r="R110" s="9">
        <v>5009</v>
      </c>
      <c r="S110" s="14">
        <f t="shared" si="2"/>
        <v>6163</v>
      </c>
      <c r="T110" s="15">
        <f t="shared" si="3"/>
        <v>81.275352912542601</v>
      </c>
      <c r="U110" s="15">
        <f t="shared" si="4"/>
        <v>18.724647087457409</v>
      </c>
      <c r="V110" s="17"/>
      <c r="W110" s="17"/>
      <c r="AC110" s="4"/>
    </row>
    <row r="111" spans="1:29" ht="15.75" customHeight="1">
      <c r="A111" s="13" t="s">
        <v>247</v>
      </c>
      <c r="B111" s="66" t="s">
        <v>246</v>
      </c>
      <c r="C111" s="71">
        <v>1977</v>
      </c>
      <c r="D111" s="71">
        <v>12284</v>
      </c>
      <c r="E111" s="50">
        <f t="shared" si="10"/>
        <v>14261</v>
      </c>
      <c r="F111" s="51">
        <f t="shared" si="11"/>
        <v>86.137017039478295</v>
      </c>
      <c r="G111" s="51">
        <f t="shared" si="12"/>
        <v>13.862982960521702</v>
      </c>
      <c r="H111" s="3"/>
      <c r="I111" s="1"/>
      <c r="J111" s="1"/>
      <c r="K111" s="1"/>
      <c r="L111" s="1"/>
      <c r="M111" s="1"/>
      <c r="N111" s="1"/>
      <c r="O111" s="13" t="s">
        <v>247</v>
      </c>
      <c r="P111" s="11" t="s">
        <v>246</v>
      </c>
      <c r="Q111" s="9">
        <v>1389</v>
      </c>
      <c r="R111" s="9">
        <v>15540</v>
      </c>
      <c r="S111" s="14">
        <f t="shared" si="2"/>
        <v>16929</v>
      </c>
      <c r="T111" s="15">
        <f t="shared" si="3"/>
        <v>91.795144426723368</v>
      </c>
      <c r="U111" s="15">
        <f t="shared" si="4"/>
        <v>8.2048555732766264</v>
      </c>
      <c r="V111" s="17"/>
      <c r="W111" s="17"/>
      <c r="AC111" s="4"/>
    </row>
    <row r="112" spans="1:29" ht="15.75" customHeight="1">
      <c r="A112" s="13" t="s">
        <v>249</v>
      </c>
      <c r="B112" s="66" t="s">
        <v>248</v>
      </c>
      <c r="C112" s="71">
        <v>710</v>
      </c>
      <c r="D112" s="71">
        <v>5152</v>
      </c>
      <c r="E112" s="50">
        <f t="shared" si="10"/>
        <v>5862</v>
      </c>
      <c r="F112" s="51">
        <f t="shared" si="11"/>
        <v>87.888092801091773</v>
      </c>
      <c r="G112" s="51">
        <f t="shared" si="12"/>
        <v>12.111907198908224</v>
      </c>
      <c r="H112" s="3"/>
      <c r="I112" s="1"/>
      <c r="J112" s="1"/>
      <c r="K112" s="1"/>
      <c r="L112" s="1"/>
      <c r="M112" s="1"/>
      <c r="N112" s="1"/>
      <c r="O112" s="13" t="s">
        <v>249</v>
      </c>
      <c r="P112" s="11" t="s">
        <v>248</v>
      </c>
      <c r="Q112" s="9">
        <v>613</v>
      </c>
      <c r="R112" s="9">
        <v>8330</v>
      </c>
      <c r="S112" s="14">
        <f t="shared" si="2"/>
        <v>8943</v>
      </c>
      <c r="T112" s="15">
        <f t="shared" si="3"/>
        <v>93.145476909314553</v>
      </c>
      <c r="U112" s="15">
        <f t="shared" si="4"/>
        <v>6.8545230906854524</v>
      </c>
      <c r="V112" s="17"/>
      <c r="W112" s="17"/>
      <c r="AC112" s="4"/>
    </row>
    <row r="113" spans="1:29" ht="15.75" customHeight="1">
      <c r="A113" s="13" t="s">
        <v>251</v>
      </c>
      <c r="B113" s="66" t="s">
        <v>250</v>
      </c>
      <c r="C113" s="71">
        <v>1019</v>
      </c>
      <c r="D113" s="71">
        <v>5047</v>
      </c>
      <c r="E113" s="50">
        <f t="shared" si="10"/>
        <v>6066</v>
      </c>
      <c r="F113" s="51">
        <f t="shared" si="11"/>
        <v>83.201450708869103</v>
      </c>
      <c r="G113" s="51">
        <f t="shared" si="12"/>
        <v>16.798549291130893</v>
      </c>
      <c r="H113" s="3"/>
      <c r="I113" s="1"/>
      <c r="J113" s="1"/>
      <c r="K113" s="1"/>
      <c r="L113" s="1"/>
      <c r="M113" s="1"/>
      <c r="N113" s="1"/>
      <c r="O113" s="13" t="s">
        <v>251</v>
      </c>
      <c r="P113" s="11" t="s">
        <v>250</v>
      </c>
      <c r="Q113" s="9">
        <v>798</v>
      </c>
      <c r="R113" s="9">
        <v>6578</v>
      </c>
      <c r="S113" s="14">
        <f t="shared" si="2"/>
        <v>7376</v>
      </c>
      <c r="T113" s="15">
        <f t="shared" si="3"/>
        <v>89.18112798264643</v>
      </c>
      <c r="U113" s="15">
        <f t="shared" si="4"/>
        <v>10.818872017353579</v>
      </c>
      <c r="V113" s="17"/>
      <c r="W113" s="17"/>
      <c r="AC113" s="4"/>
    </row>
    <row r="114" spans="1:29" ht="15.75" customHeight="1">
      <c r="A114" s="13" t="s">
        <v>253</v>
      </c>
      <c r="B114" s="66" t="s">
        <v>252</v>
      </c>
      <c r="C114" s="71">
        <v>1093</v>
      </c>
      <c r="D114" s="71">
        <v>7403</v>
      </c>
      <c r="E114" s="50">
        <f t="shared" si="10"/>
        <v>8496</v>
      </c>
      <c r="F114" s="51">
        <f t="shared" si="11"/>
        <v>87.135122410546145</v>
      </c>
      <c r="G114" s="51">
        <f t="shared" si="12"/>
        <v>12.86487758945386</v>
      </c>
      <c r="H114" s="3"/>
      <c r="I114" s="1"/>
      <c r="J114" s="1"/>
      <c r="K114" s="1"/>
      <c r="L114" s="1"/>
      <c r="M114" s="1"/>
      <c r="N114" s="1"/>
      <c r="O114" s="13" t="s">
        <v>253</v>
      </c>
      <c r="P114" s="11" t="s">
        <v>252</v>
      </c>
      <c r="Q114" s="9">
        <v>760</v>
      </c>
      <c r="R114" s="9">
        <v>8166</v>
      </c>
      <c r="S114" s="14">
        <f t="shared" si="2"/>
        <v>8926</v>
      </c>
      <c r="T114" s="15">
        <f t="shared" si="3"/>
        <v>91.485547837777276</v>
      </c>
      <c r="U114" s="15">
        <f t="shared" si="4"/>
        <v>8.5144521622227209</v>
      </c>
      <c r="V114" s="17"/>
      <c r="W114" s="17"/>
      <c r="AC114" s="4"/>
    </row>
    <row r="115" spans="1:29" ht="15.75" customHeight="1">
      <c r="A115" s="13" t="s">
        <v>255</v>
      </c>
      <c r="B115" s="66" t="s">
        <v>254</v>
      </c>
      <c r="C115" s="71">
        <v>869</v>
      </c>
      <c r="D115" s="71">
        <v>5813</v>
      </c>
      <c r="E115" s="50">
        <f t="shared" si="10"/>
        <v>6682</v>
      </c>
      <c r="F115" s="51">
        <f t="shared" si="11"/>
        <v>86.994911703082906</v>
      </c>
      <c r="G115" s="51">
        <f t="shared" si="12"/>
        <v>13.005088296917092</v>
      </c>
      <c r="H115" s="3"/>
      <c r="I115" s="1"/>
      <c r="J115" s="1"/>
      <c r="K115" s="1"/>
      <c r="L115" s="1"/>
      <c r="M115" s="1"/>
      <c r="N115" s="1"/>
      <c r="O115" s="13" t="s">
        <v>255</v>
      </c>
      <c r="P115" s="11" t="s">
        <v>254</v>
      </c>
      <c r="Q115" s="9">
        <v>408</v>
      </c>
      <c r="R115" s="9">
        <v>6031</v>
      </c>
      <c r="S115" s="14">
        <f t="shared" si="2"/>
        <v>6439</v>
      </c>
      <c r="T115" s="15">
        <f t="shared" si="3"/>
        <v>93.663612362168038</v>
      </c>
      <c r="U115" s="15">
        <f t="shared" si="4"/>
        <v>6.3363876378319608</v>
      </c>
      <c r="V115" s="17"/>
      <c r="W115" s="17"/>
      <c r="AC115" s="4"/>
    </row>
    <row r="116" spans="1:29" ht="15.75" customHeight="1">
      <c r="A116" s="13" t="s">
        <v>257</v>
      </c>
      <c r="B116" s="66" t="s">
        <v>256</v>
      </c>
      <c r="C116" s="71">
        <v>225</v>
      </c>
      <c r="D116" s="71">
        <v>1673</v>
      </c>
      <c r="E116" s="50">
        <f t="shared" si="10"/>
        <v>1898</v>
      </c>
      <c r="F116" s="51">
        <f t="shared" si="11"/>
        <v>88.14541622760801</v>
      </c>
      <c r="G116" s="51">
        <f t="shared" si="12"/>
        <v>11.85458377239199</v>
      </c>
      <c r="H116" s="3"/>
      <c r="I116" s="1"/>
      <c r="J116" s="1"/>
      <c r="K116" s="1"/>
      <c r="L116" s="1"/>
      <c r="M116" s="1"/>
      <c r="N116" s="1"/>
      <c r="O116" s="13" t="s">
        <v>257</v>
      </c>
      <c r="P116" s="11" t="s">
        <v>256</v>
      </c>
      <c r="Q116" s="9">
        <v>161</v>
      </c>
      <c r="R116" s="9">
        <v>1809</v>
      </c>
      <c r="S116" s="14">
        <f t="shared" si="2"/>
        <v>1970</v>
      </c>
      <c r="T116" s="15">
        <f t="shared" si="3"/>
        <v>91.827411167512693</v>
      </c>
      <c r="U116" s="15">
        <f t="shared" si="4"/>
        <v>8.1725888324873104</v>
      </c>
      <c r="V116" s="17"/>
      <c r="W116" s="17"/>
      <c r="AC116" s="4"/>
    </row>
    <row r="117" spans="1:29" ht="15.75" customHeight="1">
      <c r="A117" s="13" t="s">
        <v>259</v>
      </c>
      <c r="B117" s="66" t="s">
        <v>258</v>
      </c>
      <c r="C117" s="71">
        <v>431</v>
      </c>
      <c r="D117" s="71">
        <v>3998</v>
      </c>
      <c r="E117" s="50">
        <f t="shared" si="10"/>
        <v>4429</v>
      </c>
      <c r="F117" s="51">
        <f t="shared" si="11"/>
        <v>90.268683675773303</v>
      </c>
      <c r="G117" s="51">
        <f t="shared" si="12"/>
        <v>9.7313163242266878</v>
      </c>
      <c r="H117" s="3"/>
      <c r="I117" s="1"/>
      <c r="J117" s="1"/>
      <c r="K117" s="1"/>
      <c r="L117" s="1"/>
      <c r="M117" s="1"/>
      <c r="N117" s="1"/>
      <c r="O117" s="13" t="s">
        <v>259</v>
      </c>
      <c r="P117" s="11" t="s">
        <v>258</v>
      </c>
      <c r="Q117" s="9">
        <v>227</v>
      </c>
      <c r="R117" s="9">
        <v>6371</v>
      </c>
      <c r="S117" s="14">
        <f t="shared" si="2"/>
        <v>6598</v>
      </c>
      <c r="T117" s="15">
        <f t="shared" si="3"/>
        <v>96.559563504092154</v>
      </c>
      <c r="U117" s="15">
        <f t="shared" si="4"/>
        <v>3.4404364959078513</v>
      </c>
      <c r="V117" s="17"/>
      <c r="W117" s="17"/>
      <c r="AC117" s="4"/>
    </row>
    <row r="118" spans="1:29" ht="15.75" customHeight="1">
      <c r="A118" s="13" t="s">
        <v>261</v>
      </c>
      <c r="B118" s="66" t="s">
        <v>260</v>
      </c>
      <c r="C118" s="71">
        <v>176</v>
      </c>
      <c r="D118" s="71">
        <v>2537</v>
      </c>
      <c r="E118" s="50">
        <f t="shared" si="10"/>
        <v>2713</v>
      </c>
      <c r="F118" s="51">
        <f t="shared" si="11"/>
        <v>93.512716549944713</v>
      </c>
      <c r="G118" s="51">
        <f t="shared" si="12"/>
        <v>6.4872834500552896</v>
      </c>
      <c r="H118" s="3"/>
      <c r="I118" s="1"/>
      <c r="J118" s="1"/>
      <c r="K118" s="1"/>
      <c r="L118" s="1"/>
      <c r="M118" s="1"/>
      <c r="N118" s="1"/>
      <c r="O118" s="13" t="s">
        <v>261</v>
      </c>
      <c r="P118" s="11" t="s">
        <v>260</v>
      </c>
      <c r="Q118" s="9">
        <v>285</v>
      </c>
      <c r="R118" s="9">
        <v>4801</v>
      </c>
      <c r="S118" s="14">
        <f t="shared" si="2"/>
        <v>5086</v>
      </c>
      <c r="T118" s="15">
        <f t="shared" si="3"/>
        <v>94.396382225717659</v>
      </c>
      <c r="U118" s="15">
        <f t="shared" si="4"/>
        <v>5.603617774282343</v>
      </c>
      <c r="V118" s="17"/>
      <c r="W118" s="17"/>
      <c r="AC118" s="4"/>
    </row>
    <row r="119" spans="1:29" ht="15.75" customHeight="1">
      <c r="A119" s="13" t="s">
        <v>263</v>
      </c>
      <c r="B119" s="66" t="s">
        <v>262</v>
      </c>
      <c r="C119" s="71">
        <v>3329</v>
      </c>
      <c r="D119" s="71">
        <v>43793</v>
      </c>
      <c r="E119" s="50">
        <f t="shared" si="10"/>
        <v>47122</v>
      </c>
      <c r="F119" s="51">
        <f t="shared" si="11"/>
        <v>92.935359280166381</v>
      </c>
      <c r="G119" s="51">
        <f t="shared" si="12"/>
        <v>7.0646407198336227</v>
      </c>
      <c r="H119" s="3"/>
      <c r="I119" s="1"/>
      <c r="J119" s="1"/>
      <c r="K119" s="1"/>
      <c r="L119" s="1"/>
      <c r="M119" s="1"/>
      <c r="N119" s="1"/>
      <c r="O119" s="13" t="s">
        <v>263</v>
      </c>
      <c r="P119" s="11" t="s">
        <v>262</v>
      </c>
      <c r="Q119" s="9">
        <v>1697</v>
      </c>
      <c r="R119" s="9">
        <v>55127</v>
      </c>
      <c r="S119" s="14">
        <f t="shared" si="2"/>
        <v>56824</v>
      </c>
      <c r="T119" s="15">
        <f t="shared" si="3"/>
        <v>97.013585808813176</v>
      </c>
      <c r="U119" s="15">
        <f t="shared" si="4"/>
        <v>2.9864141911868223</v>
      </c>
      <c r="V119" s="17"/>
      <c r="W119" s="17"/>
      <c r="AC119" s="4"/>
    </row>
    <row r="120" spans="1:29" ht="15.75" customHeight="1">
      <c r="A120" s="13" t="s">
        <v>265</v>
      </c>
      <c r="B120" s="66" t="s">
        <v>264</v>
      </c>
      <c r="C120" s="71">
        <v>644</v>
      </c>
      <c r="D120" s="71">
        <v>9788</v>
      </c>
      <c r="E120" s="50">
        <f t="shared" si="10"/>
        <v>10432</v>
      </c>
      <c r="F120" s="51">
        <f t="shared" si="11"/>
        <v>93.826687116564429</v>
      </c>
      <c r="G120" s="51">
        <f t="shared" si="12"/>
        <v>6.1733128834355826</v>
      </c>
      <c r="H120" s="3"/>
      <c r="I120" s="1"/>
      <c r="J120" s="1"/>
      <c r="K120" s="1"/>
      <c r="L120" s="1"/>
      <c r="M120" s="1"/>
      <c r="N120" s="1"/>
      <c r="O120" s="13" t="s">
        <v>265</v>
      </c>
      <c r="P120" s="11" t="s">
        <v>264</v>
      </c>
      <c r="Q120" s="9">
        <v>265</v>
      </c>
      <c r="R120" s="9">
        <v>9901</v>
      </c>
      <c r="S120" s="14">
        <f t="shared" si="2"/>
        <v>10166</v>
      </c>
      <c r="T120" s="15">
        <f t="shared" si="3"/>
        <v>97.393271689946886</v>
      </c>
      <c r="U120" s="15">
        <f t="shared" si="4"/>
        <v>2.6067283100531182</v>
      </c>
      <c r="V120" s="17"/>
      <c r="W120" s="17"/>
      <c r="AC120" s="4"/>
    </row>
    <row r="121" spans="1:29" ht="15.75" customHeight="1">
      <c r="A121" s="13" t="s">
        <v>266</v>
      </c>
      <c r="B121" s="66" t="s">
        <v>20</v>
      </c>
      <c r="C121" s="71">
        <v>29056</v>
      </c>
      <c r="D121" s="71">
        <v>566673</v>
      </c>
      <c r="E121" s="50">
        <f t="shared" si="10"/>
        <v>595729</v>
      </c>
      <c r="F121" s="51">
        <f t="shared" si="11"/>
        <v>95.122614477388211</v>
      </c>
      <c r="G121" s="51">
        <f t="shared" si="12"/>
        <v>4.8773855226117915</v>
      </c>
      <c r="H121" s="3"/>
      <c r="I121" s="1"/>
      <c r="J121" s="1"/>
      <c r="K121" s="1"/>
      <c r="L121" s="1"/>
      <c r="M121" s="1"/>
      <c r="N121" s="1"/>
      <c r="O121" s="13" t="s">
        <v>266</v>
      </c>
      <c r="P121" s="11" t="s">
        <v>20</v>
      </c>
      <c r="Q121" s="9">
        <v>10859</v>
      </c>
      <c r="R121" s="9">
        <v>630807</v>
      </c>
      <c r="S121" s="14">
        <f t="shared" si="2"/>
        <v>641666</v>
      </c>
      <c r="T121" s="15">
        <f t="shared" si="3"/>
        <v>98.307686553440575</v>
      </c>
      <c r="U121" s="15">
        <f t="shared" si="4"/>
        <v>1.6923134465594249</v>
      </c>
      <c r="V121" s="17"/>
      <c r="W121" s="17"/>
      <c r="AC121" s="4"/>
    </row>
    <row r="122" spans="1:29" ht="15.75" customHeight="1">
      <c r="A122" s="13" t="s">
        <v>268</v>
      </c>
      <c r="B122" s="66" t="s">
        <v>267</v>
      </c>
      <c r="C122" s="71">
        <v>8124</v>
      </c>
      <c r="D122" s="71">
        <v>13620</v>
      </c>
      <c r="E122" s="50">
        <f t="shared" si="10"/>
        <v>21744</v>
      </c>
      <c r="F122" s="51">
        <f t="shared" si="11"/>
        <v>62.637969094922738</v>
      </c>
      <c r="G122" s="51">
        <f t="shared" si="12"/>
        <v>37.362030905077262</v>
      </c>
      <c r="H122" s="3"/>
      <c r="I122" s="1"/>
      <c r="J122" s="1"/>
      <c r="K122" s="1"/>
      <c r="L122" s="1"/>
      <c r="M122" s="1"/>
      <c r="N122" s="1"/>
      <c r="O122" s="13" t="s">
        <v>268</v>
      </c>
      <c r="P122" s="11" t="s">
        <v>267</v>
      </c>
      <c r="Q122" s="9">
        <v>4325</v>
      </c>
      <c r="R122" s="9">
        <v>17889</v>
      </c>
      <c r="S122" s="14">
        <f t="shared" si="2"/>
        <v>22214</v>
      </c>
      <c r="T122" s="15">
        <f t="shared" si="3"/>
        <v>80.530296209597552</v>
      </c>
      <c r="U122" s="15">
        <f t="shared" si="4"/>
        <v>19.469703790402448</v>
      </c>
      <c r="V122" s="17"/>
      <c r="W122" s="17"/>
      <c r="AC122" s="4"/>
    </row>
    <row r="123" spans="1:29" ht="15.75" customHeight="1">
      <c r="A123" s="13" t="s">
        <v>270</v>
      </c>
      <c r="B123" s="66" t="s">
        <v>269</v>
      </c>
      <c r="C123" s="71">
        <v>499</v>
      </c>
      <c r="D123" s="71">
        <v>6004</v>
      </c>
      <c r="E123" s="50">
        <f t="shared" si="10"/>
        <v>6503</v>
      </c>
      <c r="F123" s="51">
        <f t="shared" si="11"/>
        <v>92.326618483776727</v>
      </c>
      <c r="G123" s="51">
        <f t="shared" si="12"/>
        <v>7.6733815162232819</v>
      </c>
      <c r="H123" s="3"/>
      <c r="I123" s="1"/>
      <c r="J123" s="1"/>
      <c r="K123" s="1"/>
      <c r="L123" s="1"/>
      <c r="M123" s="1"/>
      <c r="N123" s="1"/>
      <c r="O123" s="13" t="s">
        <v>270</v>
      </c>
      <c r="P123" s="11" t="s">
        <v>269</v>
      </c>
      <c r="Q123" s="9">
        <v>77</v>
      </c>
      <c r="R123" s="9">
        <v>6170</v>
      </c>
      <c r="S123" s="14">
        <f t="shared" si="2"/>
        <v>6247</v>
      </c>
      <c r="T123" s="15">
        <f t="shared" si="3"/>
        <v>98.76740835601089</v>
      </c>
      <c r="U123" s="15">
        <f t="shared" si="4"/>
        <v>1.2325916439891147</v>
      </c>
      <c r="V123" s="17"/>
      <c r="W123" s="17"/>
      <c r="AC123" s="4"/>
    </row>
    <row r="124" spans="1:29" ht="15.75" customHeight="1">
      <c r="A124" s="13" t="s">
        <v>272</v>
      </c>
      <c r="B124" s="66" t="s">
        <v>271</v>
      </c>
      <c r="C124" s="71">
        <v>920</v>
      </c>
      <c r="D124" s="71">
        <v>4371</v>
      </c>
      <c r="E124" s="50">
        <f t="shared" si="10"/>
        <v>5291</v>
      </c>
      <c r="F124" s="51">
        <f t="shared" si="11"/>
        <v>82.611982611982612</v>
      </c>
      <c r="G124" s="51">
        <f t="shared" si="12"/>
        <v>17.388017388017388</v>
      </c>
      <c r="H124" s="3"/>
      <c r="I124" s="1"/>
      <c r="J124" s="1"/>
      <c r="K124" s="1"/>
      <c r="L124" s="1"/>
      <c r="M124" s="1"/>
      <c r="N124" s="1"/>
      <c r="O124" s="13" t="s">
        <v>272</v>
      </c>
      <c r="P124" s="11" t="s">
        <v>271</v>
      </c>
      <c r="Q124" s="9">
        <v>461</v>
      </c>
      <c r="R124" s="9">
        <v>5910</v>
      </c>
      <c r="S124" s="14">
        <f t="shared" si="2"/>
        <v>6371</v>
      </c>
      <c r="T124" s="15">
        <f t="shared" si="3"/>
        <v>92.764087270444193</v>
      </c>
      <c r="U124" s="15">
        <f t="shared" si="4"/>
        <v>7.2359127295558006</v>
      </c>
      <c r="V124" s="17"/>
      <c r="W124" s="17"/>
      <c r="AC124" s="4"/>
    </row>
    <row r="125" spans="1:29" ht="15.75" customHeight="1">
      <c r="A125" s="13" t="s">
        <v>273</v>
      </c>
      <c r="B125" s="66" t="s">
        <v>274</v>
      </c>
      <c r="C125" s="71">
        <v>9416</v>
      </c>
      <c r="D125" s="71">
        <v>12569</v>
      </c>
      <c r="E125" s="50">
        <f t="shared" si="10"/>
        <v>21985</v>
      </c>
      <c r="F125" s="51">
        <f t="shared" si="11"/>
        <v>57.170798271548783</v>
      </c>
      <c r="G125" s="51">
        <f t="shared" si="12"/>
        <v>42.829201728451217</v>
      </c>
      <c r="H125" s="3"/>
      <c r="I125" s="1"/>
      <c r="J125" s="1"/>
      <c r="K125" s="1"/>
      <c r="L125" s="1"/>
      <c r="M125" s="1"/>
      <c r="N125" s="1"/>
      <c r="O125" s="13" t="s">
        <v>273</v>
      </c>
      <c r="P125" s="11" t="s">
        <v>274</v>
      </c>
      <c r="Q125" s="9">
        <v>5853</v>
      </c>
      <c r="R125" s="9">
        <v>14885</v>
      </c>
      <c r="S125" s="14">
        <f t="shared" si="2"/>
        <v>20738</v>
      </c>
      <c r="T125" s="15">
        <f t="shared" si="3"/>
        <v>71.77644903076478</v>
      </c>
      <c r="U125" s="15">
        <f t="shared" si="4"/>
        <v>28.223550969235223</v>
      </c>
      <c r="V125" s="17"/>
      <c r="W125" s="17"/>
      <c r="AC125" s="4"/>
    </row>
    <row r="126" spans="1:29" ht="15.75" customHeight="1">
      <c r="A126" s="13" t="s">
        <v>276</v>
      </c>
      <c r="B126" s="66" t="s">
        <v>275</v>
      </c>
      <c r="C126" s="71">
        <v>5354</v>
      </c>
      <c r="D126" s="71">
        <v>6623</v>
      </c>
      <c r="E126" s="50">
        <f t="shared" si="10"/>
        <v>11977</v>
      </c>
      <c r="F126" s="51">
        <f t="shared" si="11"/>
        <v>55.297653836519999</v>
      </c>
      <c r="G126" s="51">
        <f t="shared" si="12"/>
        <v>44.702346163480009</v>
      </c>
      <c r="H126" s="3"/>
      <c r="I126" s="1"/>
      <c r="J126" s="1"/>
      <c r="K126" s="1"/>
      <c r="L126" s="1"/>
      <c r="M126" s="1"/>
      <c r="N126" s="1"/>
      <c r="O126" s="13" t="s">
        <v>276</v>
      </c>
      <c r="P126" s="11" t="s">
        <v>275</v>
      </c>
      <c r="Q126" s="9">
        <v>3513</v>
      </c>
      <c r="R126" s="9">
        <v>10536</v>
      </c>
      <c r="S126" s="14">
        <f t="shared" si="2"/>
        <v>14049</v>
      </c>
      <c r="T126" s="15">
        <f t="shared" si="3"/>
        <v>74.994661541746737</v>
      </c>
      <c r="U126" s="15">
        <f t="shared" si="4"/>
        <v>25.005338458253256</v>
      </c>
      <c r="V126" s="17"/>
      <c r="W126" s="17"/>
      <c r="AC126" s="4"/>
    </row>
    <row r="127" spans="1:29" ht="15.75" customHeight="1">
      <c r="A127" s="13" t="s">
        <v>278</v>
      </c>
      <c r="B127" s="66" t="s">
        <v>277</v>
      </c>
      <c r="C127" s="71">
        <v>6824</v>
      </c>
      <c r="D127" s="71">
        <v>9877</v>
      </c>
      <c r="E127" s="50">
        <f t="shared" si="10"/>
        <v>16701</v>
      </c>
      <c r="F127" s="51">
        <f t="shared" si="11"/>
        <v>59.140171247230697</v>
      </c>
      <c r="G127" s="51">
        <f t="shared" si="12"/>
        <v>40.859828752769296</v>
      </c>
      <c r="H127" s="3"/>
      <c r="I127" s="1"/>
      <c r="J127" s="1"/>
      <c r="K127" s="1"/>
      <c r="L127" s="1"/>
      <c r="M127" s="1"/>
      <c r="N127" s="1"/>
      <c r="O127" s="13" t="s">
        <v>278</v>
      </c>
      <c r="P127" s="11" t="s">
        <v>277</v>
      </c>
      <c r="Q127" s="9">
        <v>4636</v>
      </c>
      <c r="R127" s="9">
        <v>13775</v>
      </c>
      <c r="S127" s="14">
        <f t="shared" si="2"/>
        <v>18411</v>
      </c>
      <c r="T127" s="15">
        <f t="shared" si="3"/>
        <v>74.81940144478844</v>
      </c>
      <c r="U127" s="15">
        <f t="shared" si="4"/>
        <v>25.18059855521156</v>
      </c>
      <c r="V127" s="17"/>
      <c r="W127" s="17"/>
      <c r="AC127" s="4"/>
    </row>
    <row r="128" spans="1:29" ht="15.75" customHeight="1">
      <c r="A128" s="13" t="s">
        <v>279</v>
      </c>
      <c r="B128" s="66" t="s">
        <v>280</v>
      </c>
      <c r="C128" s="71">
        <v>1479</v>
      </c>
      <c r="D128" s="71">
        <v>6327</v>
      </c>
      <c r="E128" s="50">
        <f t="shared" si="10"/>
        <v>7806</v>
      </c>
      <c r="F128" s="51">
        <f t="shared" si="11"/>
        <v>81.053036126056881</v>
      </c>
      <c r="G128" s="51">
        <f t="shared" si="12"/>
        <v>18.946963873943119</v>
      </c>
      <c r="H128" s="3"/>
      <c r="I128" s="1"/>
      <c r="J128" s="1"/>
      <c r="K128" s="1"/>
      <c r="L128" s="1"/>
      <c r="M128" s="1"/>
      <c r="N128" s="1"/>
      <c r="O128" s="13" t="s">
        <v>279</v>
      </c>
      <c r="P128" s="11" t="s">
        <v>280</v>
      </c>
      <c r="Q128" s="9">
        <v>1371</v>
      </c>
      <c r="R128" s="9">
        <v>9450</v>
      </c>
      <c r="S128" s="14">
        <f t="shared" si="2"/>
        <v>10821</v>
      </c>
      <c r="T128" s="15">
        <f t="shared" si="3"/>
        <v>87.330191294704747</v>
      </c>
      <c r="U128" s="15">
        <f t="shared" si="4"/>
        <v>12.66980870529526</v>
      </c>
      <c r="V128" s="17"/>
      <c r="W128" s="17"/>
      <c r="AC128" s="4"/>
    </row>
    <row r="129" spans="1:29" ht="15.75" customHeight="1">
      <c r="A129" s="13" t="s">
        <v>282</v>
      </c>
      <c r="B129" s="66" t="s">
        <v>281</v>
      </c>
      <c r="C129" s="71">
        <v>3515</v>
      </c>
      <c r="D129" s="71">
        <v>3241</v>
      </c>
      <c r="E129" s="50">
        <f t="shared" si="10"/>
        <v>6756</v>
      </c>
      <c r="F129" s="51">
        <f t="shared" si="11"/>
        <v>47.972172883362937</v>
      </c>
      <c r="G129" s="51">
        <f t="shared" si="12"/>
        <v>52.027827116637063</v>
      </c>
      <c r="H129" s="3"/>
      <c r="I129" s="1"/>
      <c r="J129" s="1"/>
      <c r="K129" s="1"/>
      <c r="L129" s="1"/>
      <c r="M129" s="1"/>
      <c r="N129" s="1"/>
      <c r="O129" s="13" t="s">
        <v>282</v>
      </c>
      <c r="P129" s="11" t="s">
        <v>281</v>
      </c>
      <c r="Q129" s="9">
        <v>1890</v>
      </c>
      <c r="R129" s="9">
        <v>5167</v>
      </c>
      <c r="S129" s="14">
        <f t="shared" si="2"/>
        <v>7057</v>
      </c>
      <c r="T129" s="15">
        <f t="shared" si="3"/>
        <v>73.218081337678896</v>
      </c>
      <c r="U129" s="15">
        <f t="shared" si="4"/>
        <v>26.781918662321097</v>
      </c>
      <c r="V129" s="17"/>
      <c r="W129" s="17"/>
      <c r="AC129" s="4"/>
    </row>
    <row r="130" spans="1:29" ht="15.75" customHeight="1">
      <c r="A130" s="13" t="s">
        <v>284</v>
      </c>
      <c r="B130" s="66" t="s">
        <v>283</v>
      </c>
      <c r="C130" s="71">
        <v>2261</v>
      </c>
      <c r="D130" s="71">
        <v>14180</v>
      </c>
      <c r="E130" s="50">
        <f t="shared" si="10"/>
        <v>16441</v>
      </c>
      <c r="F130" s="51">
        <f t="shared" si="11"/>
        <v>86.247795146280637</v>
      </c>
      <c r="G130" s="51">
        <f t="shared" si="12"/>
        <v>13.752204853719361</v>
      </c>
      <c r="H130" s="3"/>
      <c r="I130" s="1"/>
      <c r="J130" s="1"/>
      <c r="K130" s="1"/>
      <c r="L130" s="1"/>
      <c r="M130" s="1"/>
      <c r="N130" s="1"/>
      <c r="O130" s="13" t="s">
        <v>284</v>
      </c>
      <c r="P130" s="11" t="s">
        <v>283</v>
      </c>
      <c r="Q130" s="9">
        <v>1642</v>
      </c>
      <c r="R130" s="9">
        <v>26290</v>
      </c>
      <c r="S130" s="14">
        <f t="shared" si="2"/>
        <v>27932</v>
      </c>
      <c r="T130" s="15">
        <f t="shared" si="3"/>
        <v>94.121437777459548</v>
      </c>
      <c r="U130" s="15">
        <f t="shared" si="4"/>
        <v>5.878562222540455</v>
      </c>
      <c r="V130" s="17"/>
      <c r="W130" s="17"/>
      <c r="AC130" s="4"/>
    </row>
    <row r="131" spans="1:29" ht="15.75" customHeight="1">
      <c r="A131" s="13" t="s">
        <v>286</v>
      </c>
      <c r="B131" s="66" t="s">
        <v>285</v>
      </c>
      <c r="C131" s="71">
        <v>1781</v>
      </c>
      <c r="D131" s="71">
        <v>2313</v>
      </c>
      <c r="E131" s="50">
        <f t="shared" si="10"/>
        <v>4094</v>
      </c>
      <c r="F131" s="51">
        <f t="shared" si="11"/>
        <v>56.497313141182218</v>
      </c>
      <c r="G131" s="51">
        <f t="shared" si="12"/>
        <v>43.502686858817782</v>
      </c>
      <c r="H131" s="3"/>
      <c r="I131" s="1"/>
      <c r="J131" s="1"/>
      <c r="K131" s="1"/>
      <c r="L131" s="1"/>
      <c r="M131" s="1"/>
      <c r="N131" s="1"/>
      <c r="O131" s="13" t="s">
        <v>286</v>
      </c>
      <c r="P131" s="11" t="s">
        <v>285</v>
      </c>
      <c r="Q131" s="9">
        <v>1159</v>
      </c>
      <c r="R131" s="9">
        <v>3660</v>
      </c>
      <c r="S131" s="14">
        <f t="shared" si="2"/>
        <v>4819</v>
      </c>
      <c r="T131" s="15">
        <f t="shared" si="3"/>
        <v>75.949367088607602</v>
      </c>
      <c r="U131" s="15">
        <f t="shared" si="4"/>
        <v>24.050632911392405</v>
      </c>
      <c r="V131" s="17"/>
      <c r="W131" s="17"/>
      <c r="AC131" s="4"/>
    </row>
    <row r="132" spans="1:29" ht="15.75" customHeight="1">
      <c r="A132" s="13" t="s">
        <v>288</v>
      </c>
      <c r="B132" s="66" t="s">
        <v>287</v>
      </c>
      <c r="C132" s="71">
        <v>1981</v>
      </c>
      <c r="D132" s="71">
        <v>7068</v>
      </c>
      <c r="E132" s="50">
        <f t="shared" si="10"/>
        <v>9049</v>
      </c>
      <c r="F132" s="51">
        <f t="shared" si="11"/>
        <v>78.108078240689579</v>
      </c>
      <c r="G132" s="51">
        <f t="shared" si="12"/>
        <v>21.891921759310421</v>
      </c>
      <c r="H132" s="3"/>
      <c r="I132" s="1"/>
      <c r="J132" s="1"/>
      <c r="K132" s="1"/>
      <c r="L132" s="1"/>
      <c r="M132" s="1"/>
      <c r="N132" s="1"/>
      <c r="O132" s="13" t="s">
        <v>288</v>
      </c>
      <c r="P132" s="11" t="s">
        <v>287</v>
      </c>
      <c r="Q132" s="9">
        <v>1315</v>
      </c>
      <c r="R132" s="9">
        <v>9480</v>
      </c>
      <c r="S132" s="14">
        <f t="shared" si="2"/>
        <v>10795</v>
      </c>
      <c r="T132" s="15">
        <f t="shared" si="3"/>
        <v>87.818434460398336</v>
      </c>
      <c r="U132" s="15">
        <f t="shared" si="4"/>
        <v>12.181565539601667</v>
      </c>
      <c r="V132" s="17"/>
      <c r="W132" s="17"/>
      <c r="AC132" s="4"/>
    </row>
    <row r="133" spans="1:29" ht="15.75" customHeight="1">
      <c r="A133" s="13" t="s">
        <v>290</v>
      </c>
      <c r="B133" s="66" t="s">
        <v>289</v>
      </c>
      <c r="C133" s="71">
        <v>3395</v>
      </c>
      <c r="D133" s="71">
        <v>5028</v>
      </c>
      <c r="E133" s="50">
        <f t="shared" si="10"/>
        <v>8423</v>
      </c>
      <c r="F133" s="51">
        <f t="shared" si="11"/>
        <v>59.693695832838657</v>
      </c>
      <c r="G133" s="51">
        <f t="shared" si="12"/>
        <v>40.306304167161343</v>
      </c>
      <c r="H133" s="3"/>
      <c r="I133" s="1"/>
      <c r="J133" s="1"/>
      <c r="K133" s="1"/>
      <c r="L133" s="1"/>
      <c r="M133" s="1"/>
      <c r="N133" s="1"/>
      <c r="O133" s="13" t="s">
        <v>290</v>
      </c>
      <c r="P133" s="11" t="s">
        <v>289</v>
      </c>
      <c r="Q133" s="9">
        <v>2285</v>
      </c>
      <c r="R133" s="9">
        <v>5813</v>
      </c>
      <c r="S133" s="14">
        <f t="shared" si="2"/>
        <v>8098</v>
      </c>
      <c r="T133" s="15">
        <f t="shared" si="3"/>
        <v>71.783156334897498</v>
      </c>
      <c r="U133" s="15">
        <f t="shared" si="4"/>
        <v>28.216843665102491</v>
      </c>
      <c r="V133" s="17"/>
      <c r="W133" s="17"/>
      <c r="AC133" s="4"/>
    </row>
    <row r="134" spans="1:29" ht="15.75" customHeight="1">
      <c r="A134" s="13" t="s">
        <v>291</v>
      </c>
      <c r="B134" s="66" t="s">
        <v>292</v>
      </c>
      <c r="C134" s="71">
        <v>5244</v>
      </c>
      <c r="D134" s="71">
        <v>4356</v>
      </c>
      <c r="E134" s="50">
        <f t="shared" ref="E134:E197" si="13">C134+D134</f>
        <v>9600</v>
      </c>
      <c r="F134" s="51">
        <f t="shared" ref="F134:F197" si="14">(D134/E134)*100</f>
        <v>45.375</v>
      </c>
      <c r="G134" s="51">
        <f t="shared" ref="G134:G197" si="15">(C134/E134)*100</f>
        <v>54.625</v>
      </c>
      <c r="H134" s="3"/>
      <c r="I134" s="1"/>
      <c r="J134" s="1"/>
      <c r="K134" s="1"/>
      <c r="L134" s="1"/>
      <c r="M134" s="1"/>
      <c r="N134" s="1"/>
      <c r="O134" s="13" t="s">
        <v>291</v>
      </c>
      <c r="P134" s="11" t="s">
        <v>292</v>
      </c>
      <c r="Q134" s="9">
        <v>3601</v>
      </c>
      <c r="R134" s="9">
        <v>6385</v>
      </c>
      <c r="S134" s="14">
        <f t="shared" si="2"/>
        <v>9986</v>
      </c>
      <c r="T134" s="15">
        <f t="shared" si="3"/>
        <v>63.939515321450038</v>
      </c>
      <c r="U134" s="15">
        <f t="shared" si="4"/>
        <v>36.060484678549969</v>
      </c>
      <c r="V134" s="17"/>
      <c r="W134" s="17"/>
      <c r="AC134" s="4"/>
    </row>
    <row r="135" spans="1:29" ht="15.75" customHeight="1">
      <c r="A135" s="13" t="s">
        <v>294</v>
      </c>
      <c r="B135" s="66" t="s">
        <v>293</v>
      </c>
      <c r="C135" s="71">
        <v>4572</v>
      </c>
      <c r="D135" s="71">
        <v>5048</v>
      </c>
      <c r="E135" s="50">
        <f t="shared" si="13"/>
        <v>9620</v>
      </c>
      <c r="F135" s="51">
        <f t="shared" si="14"/>
        <v>52.474012474012476</v>
      </c>
      <c r="G135" s="51">
        <f t="shared" si="15"/>
        <v>47.525987525987532</v>
      </c>
      <c r="H135" s="3"/>
      <c r="I135" s="1"/>
      <c r="J135" s="1"/>
      <c r="K135" s="1"/>
      <c r="L135" s="1"/>
      <c r="M135" s="1"/>
      <c r="N135" s="1"/>
      <c r="O135" s="13" t="s">
        <v>294</v>
      </c>
      <c r="P135" s="11" t="s">
        <v>293</v>
      </c>
      <c r="Q135" s="9">
        <v>2941</v>
      </c>
      <c r="R135" s="9">
        <v>7377</v>
      </c>
      <c r="S135" s="14">
        <f t="shared" si="2"/>
        <v>10318</v>
      </c>
      <c r="T135" s="15">
        <f t="shared" si="3"/>
        <v>71.496414033727461</v>
      </c>
      <c r="U135" s="15">
        <f t="shared" si="4"/>
        <v>28.503585966272531</v>
      </c>
      <c r="V135" s="17"/>
      <c r="W135" s="17"/>
      <c r="AC135" s="4"/>
    </row>
    <row r="136" spans="1:29" ht="15.75" customHeight="1">
      <c r="A136" s="13" t="s">
        <v>296</v>
      </c>
      <c r="B136" s="66" t="s">
        <v>295</v>
      </c>
      <c r="C136" s="71">
        <v>3725</v>
      </c>
      <c r="D136" s="71">
        <v>14462</v>
      </c>
      <c r="E136" s="50">
        <f t="shared" si="13"/>
        <v>18187</v>
      </c>
      <c r="F136" s="51">
        <f t="shared" si="14"/>
        <v>79.518337273876952</v>
      </c>
      <c r="G136" s="51">
        <f t="shared" si="15"/>
        <v>20.481662726123055</v>
      </c>
      <c r="H136" s="3"/>
      <c r="I136" s="1"/>
      <c r="J136" s="1"/>
      <c r="K136" s="1"/>
      <c r="L136" s="1"/>
      <c r="M136" s="1"/>
      <c r="N136" s="1"/>
      <c r="O136" s="13" t="s">
        <v>296</v>
      </c>
      <c r="P136" s="11" t="s">
        <v>295</v>
      </c>
      <c r="Q136" s="9">
        <v>2123</v>
      </c>
      <c r="R136" s="9">
        <v>16433</v>
      </c>
      <c r="S136" s="14">
        <f t="shared" si="2"/>
        <v>18556</v>
      </c>
      <c r="T136" s="15">
        <f t="shared" si="3"/>
        <v>88.558956671696492</v>
      </c>
      <c r="U136" s="15">
        <f t="shared" si="4"/>
        <v>11.441043328303515</v>
      </c>
      <c r="V136" s="17"/>
      <c r="W136" s="17"/>
      <c r="AC136" s="4"/>
    </row>
    <row r="137" spans="1:29" ht="15.75" customHeight="1">
      <c r="A137" s="13" t="s">
        <v>298</v>
      </c>
      <c r="B137" s="66" t="s">
        <v>297</v>
      </c>
      <c r="C137" s="71">
        <v>1274</v>
      </c>
      <c r="D137" s="71">
        <v>4912</v>
      </c>
      <c r="E137" s="50">
        <f t="shared" si="13"/>
        <v>6186</v>
      </c>
      <c r="F137" s="51">
        <f t="shared" si="14"/>
        <v>79.405108309085023</v>
      </c>
      <c r="G137" s="51">
        <f t="shared" si="15"/>
        <v>20.594891690914967</v>
      </c>
      <c r="H137" s="3"/>
      <c r="I137" s="1"/>
      <c r="J137" s="1"/>
      <c r="K137" s="1"/>
      <c r="L137" s="1"/>
      <c r="M137" s="1"/>
      <c r="N137" s="1"/>
      <c r="O137" s="13" t="s">
        <v>298</v>
      </c>
      <c r="P137" s="11" t="s">
        <v>297</v>
      </c>
      <c r="Q137" s="9">
        <v>654</v>
      </c>
      <c r="R137" s="9">
        <v>6960</v>
      </c>
      <c r="S137" s="14">
        <f t="shared" si="2"/>
        <v>7614</v>
      </c>
      <c r="T137" s="15">
        <f t="shared" si="3"/>
        <v>91.410559495665879</v>
      </c>
      <c r="U137" s="15">
        <f t="shared" si="4"/>
        <v>8.5894405043341209</v>
      </c>
      <c r="V137" s="17"/>
      <c r="W137" s="17"/>
      <c r="AC137" s="4"/>
    </row>
    <row r="138" spans="1:29" ht="15.75" customHeight="1">
      <c r="A138" s="13" t="s">
        <v>300</v>
      </c>
      <c r="B138" s="66" t="s">
        <v>299</v>
      </c>
      <c r="C138" s="71">
        <v>1373</v>
      </c>
      <c r="D138" s="71">
        <v>2074</v>
      </c>
      <c r="E138" s="50">
        <f t="shared" si="13"/>
        <v>3447</v>
      </c>
      <c r="F138" s="51">
        <f t="shared" si="14"/>
        <v>60.168262257035096</v>
      </c>
      <c r="G138" s="51">
        <f t="shared" si="15"/>
        <v>39.831737742964897</v>
      </c>
      <c r="H138" s="3"/>
      <c r="I138" s="1"/>
      <c r="J138" s="1"/>
      <c r="K138" s="1"/>
      <c r="L138" s="1"/>
      <c r="M138" s="1"/>
      <c r="N138" s="1"/>
      <c r="O138" s="13" t="s">
        <v>300</v>
      </c>
      <c r="P138" s="11" t="s">
        <v>299</v>
      </c>
      <c r="Q138" s="9">
        <v>618</v>
      </c>
      <c r="R138" s="9">
        <v>3171</v>
      </c>
      <c r="S138" s="14">
        <f t="shared" si="2"/>
        <v>3789</v>
      </c>
      <c r="T138" s="15">
        <f t="shared" si="3"/>
        <v>83.689627870150446</v>
      </c>
      <c r="U138" s="15">
        <f t="shared" si="4"/>
        <v>16.310372129849565</v>
      </c>
      <c r="V138" s="17"/>
      <c r="W138" s="17"/>
      <c r="AC138" s="4"/>
    </row>
    <row r="139" spans="1:29" ht="15.75" customHeight="1">
      <c r="A139" s="13" t="s">
        <v>302</v>
      </c>
      <c r="B139" s="66" t="s">
        <v>301</v>
      </c>
      <c r="C139" s="71">
        <v>2585</v>
      </c>
      <c r="D139" s="71">
        <v>18054</v>
      </c>
      <c r="E139" s="50">
        <f t="shared" si="13"/>
        <v>20639</v>
      </c>
      <c r="F139" s="51">
        <f t="shared" si="14"/>
        <v>87.475168370560581</v>
      </c>
      <c r="G139" s="51">
        <f t="shared" si="15"/>
        <v>12.524831629439412</v>
      </c>
      <c r="H139" s="3"/>
      <c r="I139" s="1"/>
      <c r="J139" s="1"/>
      <c r="K139" s="1"/>
      <c r="L139" s="1"/>
      <c r="M139" s="1"/>
      <c r="N139" s="1"/>
      <c r="O139" s="13" t="s">
        <v>302</v>
      </c>
      <c r="P139" s="11" t="s">
        <v>301</v>
      </c>
      <c r="Q139" s="9">
        <v>1509</v>
      </c>
      <c r="R139" s="9">
        <v>18732</v>
      </c>
      <c r="S139" s="14">
        <f t="shared" si="2"/>
        <v>20241</v>
      </c>
      <c r="T139" s="15">
        <f t="shared" si="3"/>
        <v>92.544834741366529</v>
      </c>
      <c r="U139" s="15">
        <f t="shared" si="4"/>
        <v>7.4551652586334676</v>
      </c>
      <c r="V139" s="17"/>
      <c r="W139" s="17"/>
      <c r="AC139" s="4"/>
    </row>
    <row r="140" spans="1:29" ht="15.75" customHeight="1">
      <c r="A140" s="13" t="s">
        <v>303</v>
      </c>
      <c r="B140" s="66" t="s">
        <v>304</v>
      </c>
      <c r="C140" s="71">
        <v>1579</v>
      </c>
      <c r="D140" s="71">
        <v>5179</v>
      </c>
      <c r="E140" s="50">
        <f t="shared" si="13"/>
        <v>6758</v>
      </c>
      <c r="F140" s="51">
        <f t="shared" si="14"/>
        <v>76.635099141757905</v>
      </c>
      <c r="G140" s="51">
        <f t="shared" si="15"/>
        <v>23.364900858242084</v>
      </c>
      <c r="H140" s="3"/>
      <c r="I140" s="1"/>
      <c r="J140" s="1"/>
      <c r="K140" s="1"/>
      <c r="L140" s="1"/>
      <c r="M140" s="1"/>
      <c r="N140" s="1"/>
      <c r="O140" s="13" t="s">
        <v>303</v>
      </c>
      <c r="P140" s="11" t="s">
        <v>304</v>
      </c>
      <c r="Q140" s="9">
        <v>983</v>
      </c>
      <c r="R140" s="9">
        <v>6114</v>
      </c>
      <c r="S140" s="14">
        <f t="shared" si="2"/>
        <v>7097</v>
      </c>
      <c r="T140" s="15">
        <f t="shared" si="3"/>
        <v>86.14907707482034</v>
      </c>
      <c r="U140" s="15">
        <f t="shared" si="4"/>
        <v>13.850922925179654</v>
      </c>
      <c r="V140" s="17"/>
      <c r="W140" s="17"/>
      <c r="AC140" s="4"/>
    </row>
    <row r="141" spans="1:29" ht="15.75" customHeight="1">
      <c r="A141" s="13" t="s">
        <v>306</v>
      </c>
      <c r="B141" s="66" t="s">
        <v>305</v>
      </c>
      <c r="C141" s="71">
        <v>498</v>
      </c>
      <c r="D141" s="71">
        <v>4774</v>
      </c>
      <c r="E141" s="50">
        <f t="shared" si="13"/>
        <v>5272</v>
      </c>
      <c r="F141" s="51">
        <f t="shared" si="14"/>
        <v>90.553869499241273</v>
      </c>
      <c r="G141" s="51">
        <f t="shared" si="15"/>
        <v>9.4461305007587253</v>
      </c>
      <c r="H141" s="3"/>
      <c r="I141" s="1"/>
      <c r="J141" s="1"/>
      <c r="K141" s="1"/>
      <c r="L141" s="1"/>
      <c r="M141" s="1"/>
      <c r="N141" s="1"/>
      <c r="O141" s="13" t="s">
        <v>306</v>
      </c>
      <c r="P141" s="11" t="s">
        <v>305</v>
      </c>
      <c r="Q141" s="9">
        <v>301</v>
      </c>
      <c r="R141" s="9">
        <v>8062</v>
      </c>
      <c r="S141" s="14">
        <f t="shared" si="2"/>
        <v>8363</v>
      </c>
      <c r="T141" s="15">
        <f t="shared" si="3"/>
        <v>96.40081310534498</v>
      </c>
      <c r="U141" s="15">
        <f t="shared" si="4"/>
        <v>3.5991868946550278</v>
      </c>
      <c r="V141" s="17"/>
      <c r="W141" s="17"/>
      <c r="AC141" s="4"/>
    </row>
    <row r="142" spans="1:29" ht="15.75" customHeight="1">
      <c r="A142" s="13" t="s">
        <v>308</v>
      </c>
      <c r="B142" s="66" t="s">
        <v>307</v>
      </c>
      <c r="C142" s="71">
        <v>10129</v>
      </c>
      <c r="D142" s="71">
        <v>118707</v>
      </c>
      <c r="E142" s="50">
        <f t="shared" si="13"/>
        <v>128836</v>
      </c>
      <c r="F142" s="51">
        <f t="shared" si="14"/>
        <v>92.138066999906854</v>
      </c>
      <c r="G142" s="51">
        <f t="shared" si="15"/>
        <v>7.861933000093142</v>
      </c>
      <c r="H142" s="3"/>
      <c r="I142" s="1"/>
      <c r="J142" s="1"/>
      <c r="K142" s="1"/>
      <c r="L142" s="1"/>
      <c r="M142" s="1"/>
      <c r="N142" s="1"/>
      <c r="O142" s="13" t="s">
        <v>308</v>
      </c>
      <c r="P142" s="11" t="s">
        <v>307</v>
      </c>
      <c r="Q142" s="9">
        <v>4114</v>
      </c>
      <c r="R142" s="9">
        <v>155684</v>
      </c>
      <c r="S142" s="14">
        <f t="shared" si="2"/>
        <v>159798</v>
      </c>
      <c r="T142" s="15">
        <f t="shared" si="3"/>
        <v>97.425499693362866</v>
      </c>
      <c r="U142" s="15">
        <f t="shared" si="4"/>
        <v>2.5745003066371295</v>
      </c>
      <c r="V142" s="17"/>
      <c r="W142" s="17"/>
      <c r="AC142" s="4"/>
    </row>
    <row r="143" spans="1:29" ht="15.75" customHeight="1">
      <c r="A143" s="13" t="s">
        <v>309</v>
      </c>
      <c r="B143" s="66" t="s">
        <v>310</v>
      </c>
      <c r="C143" s="71">
        <v>6627</v>
      </c>
      <c r="D143" s="71">
        <v>32132</v>
      </c>
      <c r="E143" s="50">
        <f t="shared" si="13"/>
        <v>38759</v>
      </c>
      <c r="F143" s="51">
        <f t="shared" si="14"/>
        <v>82.902035656234688</v>
      </c>
      <c r="G143" s="51">
        <f t="shared" si="15"/>
        <v>17.097964343765319</v>
      </c>
      <c r="H143" s="3"/>
      <c r="I143" s="1"/>
      <c r="J143" s="1"/>
      <c r="K143" s="1"/>
      <c r="L143" s="1"/>
      <c r="M143" s="1"/>
      <c r="N143" s="1"/>
      <c r="O143" s="13" t="s">
        <v>309</v>
      </c>
      <c r="P143" s="11" t="s">
        <v>310</v>
      </c>
      <c r="Q143" s="9">
        <v>3562</v>
      </c>
      <c r="R143" s="9">
        <v>49409</v>
      </c>
      <c r="S143" s="14">
        <f t="shared" si="2"/>
        <v>52971</v>
      </c>
      <c r="T143" s="15">
        <f t="shared" si="3"/>
        <v>93.275565875667823</v>
      </c>
      <c r="U143" s="15">
        <f t="shared" si="4"/>
        <v>6.7244341243321823</v>
      </c>
      <c r="V143" s="17"/>
      <c r="W143" s="17"/>
      <c r="AC143" s="4"/>
    </row>
    <row r="144" spans="1:29" ht="15.75" customHeight="1">
      <c r="A144" s="13" t="s">
        <v>312</v>
      </c>
      <c r="B144" s="66" t="s">
        <v>311</v>
      </c>
      <c r="C144" s="71">
        <v>4610</v>
      </c>
      <c r="D144" s="71">
        <v>46034</v>
      </c>
      <c r="E144" s="50">
        <f t="shared" si="13"/>
        <v>50644</v>
      </c>
      <c r="F144" s="51">
        <f t="shared" si="14"/>
        <v>90.897243503672698</v>
      </c>
      <c r="G144" s="51">
        <f t="shared" si="15"/>
        <v>9.1027564963273058</v>
      </c>
      <c r="H144" s="3"/>
      <c r="I144" s="1"/>
      <c r="J144" s="1"/>
      <c r="K144" s="1"/>
      <c r="L144" s="1"/>
      <c r="M144" s="1"/>
      <c r="N144" s="1"/>
      <c r="O144" s="13" t="s">
        <v>312</v>
      </c>
      <c r="P144" s="11" t="s">
        <v>311</v>
      </c>
      <c r="Q144" s="9">
        <v>1579</v>
      </c>
      <c r="R144" s="9">
        <v>57894</v>
      </c>
      <c r="S144" s="14">
        <f t="shared" si="2"/>
        <v>59473</v>
      </c>
      <c r="T144" s="15">
        <f t="shared" si="3"/>
        <v>97.345013703697475</v>
      </c>
      <c r="U144" s="15">
        <f t="shared" si="4"/>
        <v>2.6549862963025239</v>
      </c>
      <c r="V144" s="17"/>
      <c r="W144" s="17"/>
      <c r="AC144" s="4"/>
    </row>
    <row r="145" spans="1:29" ht="15.75" customHeight="1">
      <c r="A145" s="13" t="s">
        <v>313</v>
      </c>
      <c r="B145" s="66" t="s">
        <v>314</v>
      </c>
      <c r="C145" s="71">
        <v>4424</v>
      </c>
      <c r="D145" s="71">
        <v>44078</v>
      </c>
      <c r="E145" s="50">
        <f t="shared" si="13"/>
        <v>48502</v>
      </c>
      <c r="F145" s="51">
        <f t="shared" si="14"/>
        <v>90.878726650447405</v>
      </c>
      <c r="G145" s="51">
        <f t="shared" si="15"/>
        <v>9.1212733495525953</v>
      </c>
      <c r="H145" s="3"/>
      <c r="I145" s="1"/>
      <c r="J145" s="1"/>
      <c r="K145" s="1"/>
      <c r="L145" s="1"/>
      <c r="M145" s="1"/>
      <c r="N145" s="1"/>
      <c r="O145" s="13" t="s">
        <v>313</v>
      </c>
      <c r="P145" s="11" t="s">
        <v>314</v>
      </c>
      <c r="Q145" s="9">
        <v>2249</v>
      </c>
      <c r="R145" s="9">
        <v>51245</v>
      </c>
      <c r="S145" s="14">
        <f t="shared" si="2"/>
        <v>53494</v>
      </c>
      <c r="T145" s="15">
        <f t="shared" si="3"/>
        <v>95.795790182076487</v>
      </c>
      <c r="U145" s="15">
        <f t="shared" si="4"/>
        <v>4.2042098179235055</v>
      </c>
      <c r="V145" s="17"/>
      <c r="W145" s="17"/>
      <c r="AC145" s="4"/>
    </row>
    <row r="146" spans="1:29" ht="15.75" customHeight="1">
      <c r="A146" s="13" t="s">
        <v>316</v>
      </c>
      <c r="B146" s="66" t="s">
        <v>315</v>
      </c>
      <c r="C146" s="71">
        <v>2252</v>
      </c>
      <c r="D146" s="71">
        <v>46783</v>
      </c>
      <c r="E146" s="50">
        <f t="shared" si="13"/>
        <v>49035</v>
      </c>
      <c r="F146" s="51">
        <f t="shared" si="14"/>
        <v>95.407362088304268</v>
      </c>
      <c r="G146" s="51">
        <f t="shared" si="15"/>
        <v>4.5926379116957277</v>
      </c>
      <c r="H146" s="3"/>
      <c r="I146" s="1"/>
      <c r="J146" s="1"/>
      <c r="K146" s="1"/>
      <c r="L146" s="1"/>
      <c r="M146" s="1"/>
      <c r="N146" s="1"/>
      <c r="O146" s="13" t="s">
        <v>316</v>
      </c>
      <c r="P146" s="11" t="s">
        <v>315</v>
      </c>
      <c r="Q146" s="9">
        <v>851</v>
      </c>
      <c r="R146" s="9">
        <v>63261</v>
      </c>
      <c r="S146" s="14">
        <f t="shared" si="2"/>
        <v>64112</v>
      </c>
      <c r="T146" s="15">
        <f t="shared" si="3"/>
        <v>98.672635388070873</v>
      </c>
      <c r="U146" s="15">
        <f t="shared" si="4"/>
        <v>1.327364611929124</v>
      </c>
      <c r="V146" s="17"/>
      <c r="W146" s="17"/>
      <c r="AC146" s="4"/>
    </row>
    <row r="147" spans="1:29" ht="15.75" customHeight="1">
      <c r="A147" s="13" t="s">
        <v>318</v>
      </c>
      <c r="B147" s="66" t="s">
        <v>317</v>
      </c>
      <c r="C147" s="71">
        <v>13691</v>
      </c>
      <c r="D147" s="71">
        <v>148164</v>
      </c>
      <c r="E147" s="50">
        <f t="shared" si="13"/>
        <v>161855</v>
      </c>
      <c r="F147" s="51">
        <f t="shared" si="14"/>
        <v>91.541194278829821</v>
      </c>
      <c r="G147" s="51">
        <f t="shared" si="15"/>
        <v>8.458805721170183</v>
      </c>
      <c r="H147" s="3"/>
      <c r="I147" s="1"/>
      <c r="J147" s="1"/>
      <c r="K147" s="1"/>
      <c r="L147" s="1"/>
      <c r="M147" s="1"/>
      <c r="N147" s="1"/>
      <c r="O147" s="13" t="s">
        <v>318</v>
      </c>
      <c r="P147" s="11" t="s">
        <v>317</v>
      </c>
      <c r="Q147" s="9">
        <v>7005</v>
      </c>
      <c r="R147" s="9">
        <v>203414</v>
      </c>
      <c r="S147" s="14">
        <f t="shared" si="2"/>
        <v>210419</v>
      </c>
      <c r="T147" s="15">
        <f t="shared" si="3"/>
        <v>96.67092800555082</v>
      </c>
      <c r="U147" s="15">
        <f t="shared" si="4"/>
        <v>3.3290719944491705</v>
      </c>
      <c r="V147" s="17"/>
      <c r="W147" s="17"/>
      <c r="AC147" s="4"/>
    </row>
    <row r="148" spans="1:29" ht="15.75" customHeight="1">
      <c r="A148" s="13" t="s">
        <v>320</v>
      </c>
      <c r="B148" s="66" t="s">
        <v>319</v>
      </c>
      <c r="C148" s="71">
        <v>4989</v>
      </c>
      <c r="D148" s="71">
        <v>12983</v>
      </c>
      <c r="E148" s="50">
        <f t="shared" si="13"/>
        <v>17972</v>
      </c>
      <c r="F148" s="51">
        <f t="shared" si="14"/>
        <v>72.240151346539065</v>
      </c>
      <c r="G148" s="51">
        <f t="shared" si="15"/>
        <v>27.759848653460939</v>
      </c>
      <c r="H148" s="3"/>
      <c r="I148" s="1"/>
      <c r="J148" s="1"/>
      <c r="K148" s="1"/>
      <c r="L148" s="1"/>
      <c r="M148" s="1"/>
      <c r="N148" s="1"/>
      <c r="O148" s="13" t="s">
        <v>320</v>
      </c>
      <c r="P148" s="11" t="s">
        <v>319</v>
      </c>
      <c r="Q148" s="9">
        <v>3002</v>
      </c>
      <c r="R148" s="9">
        <v>17862</v>
      </c>
      <c r="S148" s="14">
        <f t="shared" si="2"/>
        <v>20864</v>
      </c>
      <c r="T148" s="15">
        <f t="shared" si="3"/>
        <v>85.611579754601223</v>
      </c>
      <c r="U148" s="15">
        <f t="shared" si="4"/>
        <v>14.388420245398773</v>
      </c>
      <c r="V148" s="17"/>
      <c r="W148" s="17"/>
      <c r="AC148" s="4"/>
    </row>
    <row r="149" spans="1:29" ht="15.75" customHeight="1">
      <c r="A149" s="13" t="s">
        <v>322</v>
      </c>
      <c r="B149" s="66" t="s">
        <v>321</v>
      </c>
      <c r="C149" s="71">
        <v>12062</v>
      </c>
      <c r="D149" s="71">
        <v>53981</v>
      </c>
      <c r="E149" s="50">
        <f t="shared" si="13"/>
        <v>66043</v>
      </c>
      <c r="F149" s="51">
        <f t="shared" si="14"/>
        <v>81.736141604712088</v>
      </c>
      <c r="G149" s="51">
        <f t="shared" si="15"/>
        <v>18.263858395287919</v>
      </c>
      <c r="H149" s="3"/>
      <c r="I149" s="1"/>
      <c r="J149" s="1"/>
      <c r="K149" s="1"/>
      <c r="L149" s="1"/>
      <c r="M149" s="1"/>
      <c r="N149" s="1"/>
      <c r="O149" s="13" t="s">
        <v>322</v>
      </c>
      <c r="P149" s="11" t="s">
        <v>321</v>
      </c>
      <c r="Q149" s="9">
        <v>7746</v>
      </c>
      <c r="R149" s="9">
        <v>81470</v>
      </c>
      <c r="S149" s="14">
        <f t="shared" si="2"/>
        <v>89216</v>
      </c>
      <c r="T149" s="15">
        <f t="shared" si="3"/>
        <v>91.317700860832147</v>
      </c>
      <c r="U149" s="15">
        <f t="shared" si="4"/>
        <v>8.6822991391678617</v>
      </c>
      <c r="V149" s="17"/>
      <c r="W149" s="17"/>
      <c r="AC149" s="4"/>
    </row>
    <row r="150" spans="1:29" ht="15.75" customHeight="1">
      <c r="A150" s="13" t="s">
        <v>324</v>
      </c>
      <c r="B150" s="66" t="s">
        <v>323</v>
      </c>
      <c r="C150" s="71">
        <v>11481</v>
      </c>
      <c r="D150" s="71">
        <v>11461</v>
      </c>
      <c r="E150" s="50">
        <f t="shared" si="13"/>
        <v>22942</v>
      </c>
      <c r="F150" s="51">
        <f t="shared" si="14"/>
        <v>49.956411821114116</v>
      </c>
      <c r="G150" s="51">
        <f t="shared" si="15"/>
        <v>50.043588178885891</v>
      </c>
      <c r="H150" s="3"/>
      <c r="I150" s="1"/>
      <c r="J150" s="1"/>
      <c r="K150" s="1"/>
      <c r="L150" s="1"/>
      <c r="M150" s="1"/>
      <c r="N150" s="1"/>
      <c r="O150" s="13" t="s">
        <v>324</v>
      </c>
      <c r="P150" s="11" t="s">
        <v>323</v>
      </c>
      <c r="Q150" s="9">
        <v>7220</v>
      </c>
      <c r="R150" s="9">
        <v>16227</v>
      </c>
      <c r="S150" s="14">
        <f t="shared" si="2"/>
        <v>23447</v>
      </c>
      <c r="T150" s="15">
        <f t="shared" si="3"/>
        <v>69.207148035996084</v>
      </c>
      <c r="U150" s="15">
        <f t="shared" si="4"/>
        <v>30.792851964003926</v>
      </c>
      <c r="V150" s="17"/>
      <c r="W150" s="17"/>
      <c r="AC150" s="4"/>
    </row>
    <row r="151" spans="1:29" ht="15.75" customHeight="1">
      <c r="A151" s="13" t="s">
        <v>325</v>
      </c>
      <c r="B151" s="66" t="s">
        <v>326</v>
      </c>
      <c r="C151" s="71">
        <v>5521</v>
      </c>
      <c r="D151" s="71">
        <v>8079</v>
      </c>
      <c r="E151" s="50">
        <f t="shared" si="13"/>
        <v>13600</v>
      </c>
      <c r="F151" s="51">
        <f t="shared" si="14"/>
        <v>59.404411764705877</v>
      </c>
      <c r="G151" s="51">
        <f t="shared" si="15"/>
        <v>40.595588235294116</v>
      </c>
      <c r="H151" s="3"/>
      <c r="I151" s="1"/>
      <c r="J151" s="1"/>
      <c r="K151" s="1"/>
      <c r="L151" s="1"/>
      <c r="M151" s="1"/>
      <c r="N151" s="1"/>
      <c r="O151" s="13" t="s">
        <v>325</v>
      </c>
      <c r="P151" s="11" t="s">
        <v>326</v>
      </c>
      <c r="Q151" s="9">
        <v>2819</v>
      </c>
      <c r="R151" s="9">
        <v>11139</v>
      </c>
      <c r="S151" s="14">
        <f t="shared" si="2"/>
        <v>13958</v>
      </c>
      <c r="T151" s="15">
        <f t="shared" si="3"/>
        <v>79.803696804699811</v>
      </c>
      <c r="U151" s="15">
        <f t="shared" si="4"/>
        <v>20.196303195300185</v>
      </c>
      <c r="V151" s="17"/>
      <c r="W151" s="17"/>
      <c r="AC151" s="4"/>
    </row>
    <row r="152" spans="1:29" ht="15.75" customHeight="1">
      <c r="A152" s="13" t="s">
        <v>328</v>
      </c>
      <c r="B152" s="66" t="s">
        <v>327</v>
      </c>
      <c r="C152" s="71">
        <v>3522</v>
      </c>
      <c r="D152" s="71">
        <v>5843</v>
      </c>
      <c r="E152" s="50">
        <f t="shared" si="13"/>
        <v>9365</v>
      </c>
      <c r="F152" s="51">
        <f t="shared" si="14"/>
        <v>62.391884676988788</v>
      </c>
      <c r="G152" s="51">
        <f t="shared" si="15"/>
        <v>37.608115323011212</v>
      </c>
      <c r="H152" s="3"/>
      <c r="I152" s="1"/>
      <c r="J152" s="1"/>
      <c r="K152" s="1"/>
      <c r="L152" s="1"/>
      <c r="M152" s="1"/>
      <c r="N152" s="1"/>
      <c r="O152" s="13" t="s">
        <v>328</v>
      </c>
      <c r="P152" s="11" t="s">
        <v>327</v>
      </c>
      <c r="Q152" s="9">
        <v>1703</v>
      </c>
      <c r="R152" s="9">
        <v>9519</v>
      </c>
      <c r="S152" s="14">
        <f t="shared" si="2"/>
        <v>11222</v>
      </c>
      <c r="T152" s="15">
        <f t="shared" si="3"/>
        <v>84.82445196934593</v>
      </c>
      <c r="U152" s="15">
        <f t="shared" si="4"/>
        <v>15.175548030654074</v>
      </c>
      <c r="V152" s="17"/>
      <c r="W152" s="17"/>
      <c r="AC152" s="4"/>
    </row>
    <row r="153" spans="1:29" ht="15.75" customHeight="1">
      <c r="A153" s="13" t="s">
        <v>330</v>
      </c>
      <c r="B153" s="66" t="s">
        <v>329</v>
      </c>
      <c r="C153" s="71">
        <v>3802</v>
      </c>
      <c r="D153" s="71">
        <v>6333</v>
      </c>
      <c r="E153" s="50">
        <f t="shared" si="13"/>
        <v>10135</v>
      </c>
      <c r="F153" s="51">
        <f t="shared" si="14"/>
        <v>62.486433152442032</v>
      </c>
      <c r="G153" s="51">
        <f t="shared" si="15"/>
        <v>37.513566847557968</v>
      </c>
      <c r="H153" s="3"/>
      <c r="I153" s="1"/>
      <c r="J153" s="1"/>
      <c r="K153" s="1"/>
      <c r="L153" s="1"/>
      <c r="M153" s="1"/>
      <c r="N153" s="1"/>
      <c r="O153" s="13" t="s">
        <v>330</v>
      </c>
      <c r="P153" s="11" t="s">
        <v>329</v>
      </c>
      <c r="Q153" s="9">
        <v>2258</v>
      </c>
      <c r="R153" s="9">
        <v>9467</v>
      </c>
      <c r="S153" s="14">
        <f t="shared" si="2"/>
        <v>11725</v>
      </c>
      <c r="T153" s="15">
        <f t="shared" si="3"/>
        <v>80.742004264392321</v>
      </c>
      <c r="U153" s="15">
        <f t="shared" si="4"/>
        <v>19.257995735607675</v>
      </c>
      <c r="V153" s="17"/>
      <c r="W153" s="17"/>
      <c r="AC153" s="4"/>
    </row>
    <row r="154" spans="1:29" ht="15.75" customHeight="1">
      <c r="A154" s="13" t="s">
        <v>332</v>
      </c>
      <c r="B154" s="66" t="s">
        <v>331</v>
      </c>
      <c r="C154" s="71">
        <v>2560</v>
      </c>
      <c r="D154" s="71">
        <v>17505</v>
      </c>
      <c r="E154" s="50">
        <f t="shared" si="13"/>
        <v>20065</v>
      </c>
      <c r="F154" s="51">
        <f t="shared" si="14"/>
        <v>87.241465237976584</v>
      </c>
      <c r="G154" s="51">
        <f t="shared" si="15"/>
        <v>12.758534762023425</v>
      </c>
      <c r="H154" s="3"/>
      <c r="I154" s="1"/>
      <c r="J154" s="1"/>
      <c r="K154" s="1"/>
      <c r="L154" s="1"/>
      <c r="M154" s="1"/>
      <c r="N154" s="1"/>
      <c r="O154" s="13" t="s">
        <v>332</v>
      </c>
      <c r="P154" s="11" t="s">
        <v>331</v>
      </c>
      <c r="Q154" s="9">
        <v>1532</v>
      </c>
      <c r="R154" s="9">
        <v>24685</v>
      </c>
      <c r="S154" s="14">
        <f t="shared" si="2"/>
        <v>26217</v>
      </c>
      <c r="T154" s="15">
        <f t="shared" si="3"/>
        <v>94.156463363466457</v>
      </c>
      <c r="U154" s="15">
        <f t="shared" si="4"/>
        <v>5.843536636533547</v>
      </c>
      <c r="V154" s="17"/>
      <c r="W154" s="17"/>
      <c r="AC154" s="4"/>
    </row>
    <row r="155" spans="1:29" ht="15.75" customHeight="1">
      <c r="A155" s="13" t="s">
        <v>334</v>
      </c>
      <c r="B155" s="66" t="s">
        <v>333</v>
      </c>
      <c r="C155" s="71">
        <v>6332</v>
      </c>
      <c r="D155" s="71">
        <v>36998</v>
      </c>
      <c r="E155" s="50">
        <f t="shared" si="13"/>
        <v>43330</v>
      </c>
      <c r="F155" s="51">
        <f t="shared" si="14"/>
        <v>85.386568197553657</v>
      </c>
      <c r="G155" s="51">
        <f t="shared" si="15"/>
        <v>14.613431802446343</v>
      </c>
      <c r="H155" s="3"/>
      <c r="I155" s="1"/>
      <c r="J155" s="1"/>
      <c r="K155" s="1"/>
      <c r="L155" s="1"/>
      <c r="M155" s="1"/>
      <c r="N155" s="1"/>
      <c r="O155" s="13" t="s">
        <v>334</v>
      </c>
      <c r="P155" s="11" t="s">
        <v>333</v>
      </c>
      <c r="Q155" s="9">
        <v>4016</v>
      </c>
      <c r="R155" s="9">
        <v>57199</v>
      </c>
      <c r="S155" s="14">
        <f t="shared" si="2"/>
        <v>61215</v>
      </c>
      <c r="T155" s="15">
        <f t="shared" si="3"/>
        <v>93.439516458384389</v>
      </c>
      <c r="U155" s="15">
        <f t="shared" si="4"/>
        <v>6.5604835416156169</v>
      </c>
      <c r="V155" s="17"/>
      <c r="W155" s="17"/>
      <c r="AC155" s="4"/>
    </row>
    <row r="156" spans="1:29" ht="15.75" customHeight="1">
      <c r="A156" s="13" t="s">
        <v>336</v>
      </c>
      <c r="B156" s="66" t="s">
        <v>335</v>
      </c>
      <c r="C156" s="71">
        <v>3576</v>
      </c>
      <c r="D156" s="71">
        <v>25887</v>
      </c>
      <c r="E156" s="50">
        <f t="shared" si="13"/>
        <v>29463</v>
      </c>
      <c r="F156" s="51">
        <f t="shared" si="14"/>
        <v>87.862743101517154</v>
      </c>
      <c r="G156" s="51">
        <f t="shared" si="15"/>
        <v>12.137256898482843</v>
      </c>
      <c r="H156" s="3"/>
      <c r="I156" s="1"/>
      <c r="J156" s="1"/>
      <c r="K156" s="1"/>
      <c r="L156" s="1"/>
      <c r="M156" s="1"/>
      <c r="N156" s="1"/>
      <c r="O156" s="13" t="s">
        <v>336</v>
      </c>
      <c r="P156" s="11" t="s">
        <v>335</v>
      </c>
      <c r="Q156" s="9">
        <v>2457</v>
      </c>
      <c r="R156" s="9">
        <v>41005</v>
      </c>
      <c r="S156" s="14">
        <f t="shared" si="2"/>
        <v>43462</v>
      </c>
      <c r="T156" s="15">
        <f t="shared" si="3"/>
        <v>94.346785697851004</v>
      </c>
      <c r="U156" s="15">
        <f t="shared" si="4"/>
        <v>5.6532143021490038</v>
      </c>
      <c r="V156" s="17"/>
      <c r="W156" s="17"/>
      <c r="AC156" s="4"/>
    </row>
    <row r="157" spans="1:29" ht="15.75" customHeight="1">
      <c r="A157" s="13" t="s">
        <v>338</v>
      </c>
      <c r="B157" s="66" t="s">
        <v>337</v>
      </c>
      <c r="C157" s="71">
        <v>6679</v>
      </c>
      <c r="D157" s="71">
        <v>11728</v>
      </c>
      <c r="E157" s="50">
        <f t="shared" si="13"/>
        <v>18407</v>
      </c>
      <c r="F157" s="51">
        <f t="shared" si="14"/>
        <v>63.71489107404792</v>
      </c>
      <c r="G157" s="51">
        <f t="shared" si="15"/>
        <v>36.28510892595208</v>
      </c>
      <c r="H157" s="3"/>
      <c r="I157" s="1"/>
      <c r="J157" s="1"/>
      <c r="K157" s="1"/>
      <c r="L157" s="1"/>
      <c r="M157" s="1"/>
      <c r="N157" s="1"/>
      <c r="O157" s="13" t="s">
        <v>338</v>
      </c>
      <c r="P157" s="11" t="s">
        <v>337</v>
      </c>
      <c r="Q157" s="9">
        <v>3475</v>
      </c>
      <c r="R157" s="9">
        <v>15424</v>
      </c>
      <c r="S157" s="14">
        <f t="shared" si="2"/>
        <v>18899</v>
      </c>
      <c r="T157" s="15">
        <f t="shared" si="3"/>
        <v>81.612783745171697</v>
      </c>
      <c r="U157" s="15">
        <f t="shared" si="4"/>
        <v>18.387216254828299</v>
      </c>
      <c r="V157" s="17"/>
      <c r="W157" s="17"/>
      <c r="AC157" s="4"/>
    </row>
    <row r="158" spans="1:29" ht="15.75" customHeight="1">
      <c r="A158" s="13" t="s">
        <v>340</v>
      </c>
      <c r="B158" s="66" t="s">
        <v>339</v>
      </c>
      <c r="C158" s="71">
        <v>2841</v>
      </c>
      <c r="D158" s="71">
        <v>2168</v>
      </c>
      <c r="E158" s="50">
        <f t="shared" si="13"/>
        <v>5009</v>
      </c>
      <c r="F158" s="51">
        <f t="shared" si="14"/>
        <v>43.282092233978837</v>
      </c>
      <c r="G158" s="51">
        <f t="shared" si="15"/>
        <v>56.717907766021156</v>
      </c>
      <c r="H158" s="3"/>
      <c r="I158" s="1"/>
      <c r="J158" s="1"/>
      <c r="K158" s="1"/>
      <c r="L158" s="1"/>
      <c r="M158" s="1"/>
      <c r="N158" s="1"/>
      <c r="O158" s="13" t="s">
        <v>340</v>
      </c>
      <c r="P158" s="11" t="s">
        <v>339</v>
      </c>
      <c r="Q158" s="9">
        <v>1732</v>
      </c>
      <c r="R158" s="9">
        <v>3037</v>
      </c>
      <c r="S158" s="14">
        <f t="shared" si="2"/>
        <v>4769</v>
      </c>
      <c r="T158" s="15">
        <f t="shared" si="3"/>
        <v>63.682113650660519</v>
      </c>
      <c r="U158" s="15">
        <f t="shared" si="4"/>
        <v>36.317886349339481</v>
      </c>
      <c r="V158" s="17"/>
      <c r="W158" s="17"/>
      <c r="AC158" s="4"/>
    </row>
    <row r="159" spans="1:29" ht="15.75" customHeight="1">
      <c r="A159" s="13" t="s">
        <v>342</v>
      </c>
      <c r="B159" s="66" t="s">
        <v>341</v>
      </c>
      <c r="C159" s="71">
        <v>1820</v>
      </c>
      <c r="D159" s="71">
        <v>1386</v>
      </c>
      <c r="E159" s="50">
        <f t="shared" si="13"/>
        <v>3206</v>
      </c>
      <c r="F159" s="51">
        <f t="shared" si="14"/>
        <v>43.231441048034938</v>
      </c>
      <c r="G159" s="51">
        <f t="shared" si="15"/>
        <v>56.768558951965062</v>
      </c>
      <c r="H159" s="3"/>
      <c r="I159" s="1"/>
      <c r="J159" s="1"/>
      <c r="K159" s="1"/>
      <c r="L159" s="1"/>
      <c r="M159" s="1"/>
      <c r="N159" s="1"/>
      <c r="O159" s="13" t="s">
        <v>342</v>
      </c>
      <c r="P159" s="11" t="s">
        <v>341</v>
      </c>
      <c r="Q159" s="9">
        <v>1185</v>
      </c>
      <c r="R159" s="9">
        <v>2181</v>
      </c>
      <c r="S159" s="14">
        <f t="shared" si="2"/>
        <v>3366</v>
      </c>
      <c r="T159" s="15">
        <f t="shared" si="3"/>
        <v>64.795008912655973</v>
      </c>
      <c r="U159" s="15">
        <f t="shared" si="4"/>
        <v>35.204991087344027</v>
      </c>
      <c r="V159" s="17"/>
      <c r="W159" s="17"/>
      <c r="AC159" s="4"/>
    </row>
    <row r="160" spans="1:29" ht="15.75" customHeight="1">
      <c r="A160" s="13" t="s">
        <v>344</v>
      </c>
      <c r="B160" s="66" t="s">
        <v>345</v>
      </c>
      <c r="C160" s="71">
        <v>5101</v>
      </c>
      <c r="D160" s="71">
        <v>1360</v>
      </c>
      <c r="E160" s="50">
        <f t="shared" si="13"/>
        <v>6461</v>
      </c>
      <c r="F160" s="51">
        <f t="shared" si="14"/>
        <v>21.049373162049218</v>
      </c>
      <c r="G160" s="51">
        <f t="shared" si="15"/>
        <v>78.950626837950779</v>
      </c>
      <c r="H160" s="3"/>
      <c r="I160" s="1"/>
      <c r="J160" s="1"/>
      <c r="K160" s="1"/>
      <c r="L160" s="1"/>
      <c r="M160" s="1"/>
      <c r="N160" s="1"/>
      <c r="O160" s="13" t="s">
        <v>344</v>
      </c>
      <c r="P160" s="11" t="s">
        <v>345</v>
      </c>
      <c r="Q160" s="9">
        <v>3961</v>
      </c>
      <c r="R160" s="9">
        <v>3643</v>
      </c>
      <c r="S160" s="14">
        <f t="shared" si="2"/>
        <v>7604</v>
      </c>
      <c r="T160" s="15">
        <f t="shared" si="3"/>
        <v>47.908995265649658</v>
      </c>
      <c r="U160" s="15">
        <f t="shared" si="4"/>
        <v>52.091004734350342</v>
      </c>
      <c r="V160" s="17"/>
      <c r="W160" s="17"/>
      <c r="AC160" s="4"/>
    </row>
    <row r="161" spans="1:29" ht="15.75" customHeight="1">
      <c r="A161" s="13" t="s">
        <v>347</v>
      </c>
      <c r="B161" s="66" t="s">
        <v>343</v>
      </c>
      <c r="C161" s="71">
        <v>3639</v>
      </c>
      <c r="D161" s="71">
        <v>23723</v>
      </c>
      <c r="E161" s="50">
        <f t="shared" si="13"/>
        <v>27362</v>
      </c>
      <c r="F161" s="51">
        <f t="shared" si="14"/>
        <v>86.70053358672611</v>
      </c>
      <c r="G161" s="51">
        <f t="shared" si="15"/>
        <v>13.299466413273883</v>
      </c>
      <c r="H161" s="3"/>
      <c r="I161" s="1"/>
      <c r="J161" s="1"/>
      <c r="K161" s="1"/>
      <c r="L161" s="1"/>
      <c r="M161" s="1"/>
      <c r="N161" s="1"/>
      <c r="O161" s="13" t="s">
        <v>347</v>
      </c>
      <c r="P161" s="11" t="s">
        <v>343</v>
      </c>
      <c r="Q161" s="9">
        <v>2280</v>
      </c>
      <c r="R161" s="9">
        <v>31503</v>
      </c>
      <c r="S161" s="14">
        <f t="shared" si="2"/>
        <v>33783</v>
      </c>
      <c r="T161" s="15">
        <f t="shared" si="3"/>
        <v>93.251043424207452</v>
      </c>
      <c r="U161" s="15">
        <f t="shared" si="4"/>
        <v>6.7489565757925583</v>
      </c>
      <c r="V161" s="17"/>
      <c r="W161" s="17"/>
      <c r="AC161" s="4"/>
    </row>
    <row r="162" spans="1:29" ht="15.75" customHeight="1">
      <c r="A162" s="13" t="s">
        <v>349</v>
      </c>
      <c r="B162" s="66" t="s">
        <v>346</v>
      </c>
      <c r="C162" s="71">
        <v>1790</v>
      </c>
      <c r="D162" s="71">
        <v>5850</v>
      </c>
      <c r="E162" s="50">
        <f t="shared" si="13"/>
        <v>7640</v>
      </c>
      <c r="F162" s="51">
        <f t="shared" si="14"/>
        <v>76.570680628272243</v>
      </c>
      <c r="G162" s="51">
        <f t="shared" si="15"/>
        <v>23.42931937172775</v>
      </c>
      <c r="H162" s="3"/>
      <c r="I162" s="1"/>
      <c r="J162" s="1"/>
      <c r="K162" s="1"/>
      <c r="L162" s="1"/>
      <c r="M162" s="1"/>
      <c r="N162" s="1"/>
      <c r="O162" s="13" t="s">
        <v>349</v>
      </c>
      <c r="P162" s="11" t="s">
        <v>346</v>
      </c>
      <c r="Q162" s="9">
        <v>1059</v>
      </c>
      <c r="R162" s="9">
        <v>7168</v>
      </c>
      <c r="S162" s="14">
        <f t="shared" si="2"/>
        <v>8227</v>
      </c>
      <c r="T162" s="15">
        <f t="shared" si="3"/>
        <v>87.12775009116325</v>
      </c>
      <c r="U162" s="15">
        <f t="shared" si="4"/>
        <v>12.872249908836759</v>
      </c>
      <c r="V162" s="17"/>
      <c r="W162" s="17"/>
      <c r="AC162" s="4"/>
    </row>
    <row r="163" spans="1:29" ht="15.75" customHeight="1">
      <c r="A163" s="13" t="s">
        <v>351</v>
      </c>
      <c r="B163" s="66" t="s">
        <v>348</v>
      </c>
      <c r="C163" s="71">
        <v>1921</v>
      </c>
      <c r="D163" s="71">
        <v>10914</v>
      </c>
      <c r="E163" s="50">
        <f t="shared" si="13"/>
        <v>12835</v>
      </c>
      <c r="F163" s="51">
        <f t="shared" si="14"/>
        <v>85.033112582781456</v>
      </c>
      <c r="G163" s="51">
        <f t="shared" si="15"/>
        <v>14.966887417218544</v>
      </c>
      <c r="H163" s="3"/>
      <c r="I163" s="1"/>
      <c r="J163" s="1"/>
      <c r="K163" s="1"/>
      <c r="L163" s="1"/>
      <c r="M163" s="1"/>
      <c r="N163" s="1"/>
      <c r="O163" s="13" t="s">
        <v>351</v>
      </c>
      <c r="P163" s="11" t="s">
        <v>348</v>
      </c>
      <c r="Q163" s="9">
        <v>798</v>
      </c>
      <c r="R163" s="9">
        <v>11737</v>
      </c>
      <c r="S163" s="14">
        <f t="shared" si="2"/>
        <v>12535</v>
      </c>
      <c r="T163" s="15">
        <f t="shared" si="3"/>
        <v>93.63382528919027</v>
      </c>
      <c r="U163" s="15">
        <f t="shared" si="4"/>
        <v>6.3661747108097329</v>
      </c>
      <c r="V163" s="17"/>
      <c r="W163" s="17"/>
      <c r="AC163" s="4"/>
    </row>
    <row r="164" spans="1:29" ht="15.75" customHeight="1">
      <c r="A164" s="13" t="s">
        <v>352</v>
      </c>
      <c r="B164" s="66" t="s">
        <v>350</v>
      </c>
      <c r="C164" s="71">
        <v>227</v>
      </c>
      <c r="D164" s="71">
        <v>1018</v>
      </c>
      <c r="E164" s="50">
        <f t="shared" si="13"/>
        <v>1245</v>
      </c>
      <c r="F164" s="51">
        <f t="shared" si="14"/>
        <v>81.767068273092363</v>
      </c>
      <c r="G164" s="51">
        <f t="shared" si="15"/>
        <v>18.23293172690763</v>
      </c>
      <c r="H164" s="3"/>
      <c r="I164" s="1"/>
      <c r="J164" s="1"/>
      <c r="K164" s="1"/>
      <c r="L164" s="1"/>
      <c r="M164" s="1"/>
      <c r="N164" s="1"/>
      <c r="O164" s="13" t="s">
        <v>352</v>
      </c>
      <c r="P164" s="11" t="s">
        <v>350</v>
      </c>
      <c r="Q164" s="9">
        <v>101</v>
      </c>
      <c r="R164" s="9">
        <v>1135</v>
      </c>
      <c r="S164" s="14">
        <f t="shared" si="2"/>
        <v>1236</v>
      </c>
      <c r="T164" s="15">
        <f t="shared" si="3"/>
        <v>91.828478964401299</v>
      </c>
      <c r="U164" s="15">
        <f t="shared" si="4"/>
        <v>8.1715210355987047</v>
      </c>
      <c r="V164" s="17"/>
      <c r="W164" s="17"/>
      <c r="AC164" s="4"/>
    </row>
    <row r="165" spans="1:29" ht="15.75" customHeight="1">
      <c r="A165" s="13" t="s">
        <v>354</v>
      </c>
      <c r="B165" s="66" t="s">
        <v>355</v>
      </c>
      <c r="C165" s="71">
        <v>617</v>
      </c>
      <c r="D165" s="71">
        <v>1983</v>
      </c>
      <c r="E165" s="50">
        <f t="shared" si="13"/>
        <v>2600</v>
      </c>
      <c r="F165" s="51">
        <f t="shared" si="14"/>
        <v>76.269230769230774</v>
      </c>
      <c r="G165" s="51">
        <f t="shared" si="15"/>
        <v>23.73076923076923</v>
      </c>
      <c r="H165" s="3"/>
      <c r="I165" s="1"/>
      <c r="J165" s="1"/>
      <c r="K165" s="1"/>
      <c r="L165" s="1"/>
      <c r="M165" s="1"/>
      <c r="N165" s="1"/>
      <c r="O165" s="13" t="s">
        <v>354</v>
      </c>
      <c r="P165" s="11" t="s">
        <v>355</v>
      </c>
      <c r="Q165" s="9">
        <v>611</v>
      </c>
      <c r="R165" s="9">
        <v>3062</v>
      </c>
      <c r="S165" s="14">
        <f t="shared" si="2"/>
        <v>3673</v>
      </c>
      <c r="T165" s="15">
        <f t="shared" si="3"/>
        <v>83.365096651238773</v>
      </c>
      <c r="U165" s="15">
        <f t="shared" si="4"/>
        <v>16.634903348761231</v>
      </c>
      <c r="V165" s="17"/>
      <c r="W165" s="17"/>
      <c r="AC165" s="4"/>
    </row>
    <row r="166" spans="1:29" ht="15.75" customHeight="1">
      <c r="A166" s="13" t="s">
        <v>357</v>
      </c>
      <c r="B166" s="66" t="s">
        <v>353</v>
      </c>
      <c r="C166" s="71">
        <v>2961</v>
      </c>
      <c r="D166" s="71">
        <v>3890</v>
      </c>
      <c r="E166" s="50">
        <f t="shared" si="13"/>
        <v>6851</v>
      </c>
      <c r="F166" s="51">
        <f t="shared" si="14"/>
        <v>56.780032112100422</v>
      </c>
      <c r="G166" s="51">
        <f t="shared" si="15"/>
        <v>43.219967887899571</v>
      </c>
      <c r="H166" s="3"/>
      <c r="I166" s="1"/>
      <c r="J166" s="1"/>
      <c r="K166" s="1"/>
      <c r="L166" s="1"/>
      <c r="M166" s="1"/>
      <c r="N166" s="1"/>
      <c r="O166" s="13" t="s">
        <v>357</v>
      </c>
      <c r="P166" s="11" t="s">
        <v>353</v>
      </c>
      <c r="Q166" s="9">
        <v>1938</v>
      </c>
      <c r="R166" s="9">
        <v>5898</v>
      </c>
      <c r="S166" s="14">
        <f t="shared" si="2"/>
        <v>7836</v>
      </c>
      <c r="T166" s="15">
        <f t="shared" si="3"/>
        <v>75.267993874425727</v>
      </c>
      <c r="U166" s="15">
        <f t="shared" si="4"/>
        <v>24.732006125574273</v>
      </c>
      <c r="V166" s="17"/>
      <c r="W166" s="17"/>
      <c r="AC166" s="4"/>
    </row>
    <row r="167" spans="1:29" ht="15.75" customHeight="1">
      <c r="A167" s="13" t="s">
        <v>359</v>
      </c>
      <c r="B167" s="66" t="s">
        <v>356</v>
      </c>
      <c r="C167" s="71">
        <v>6958</v>
      </c>
      <c r="D167" s="71">
        <v>12885</v>
      </c>
      <c r="E167" s="50">
        <f t="shared" si="13"/>
        <v>19843</v>
      </c>
      <c r="F167" s="51">
        <f t="shared" si="14"/>
        <v>64.934737690873362</v>
      </c>
      <c r="G167" s="51">
        <f t="shared" si="15"/>
        <v>35.065262309126645</v>
      </c>
      <c r="H167" s="3"/>
      <c r="I167" s="1"/>
      <c r="J167" s="1"/>
      <c r="K167" s="1"/>
      <c r="L167" s="1"/>
      <c r="M167" s="1"/>
      <c r="N167" s="1"/>
      <c r="O167" s="13" t="s">
        <v>359</v>
      </c>
      <c r="P167" s="11" t="s">
        <v>356</v>
      </c>
      <c r="Q167" s="9">
        <v>3718</v>
      </c>
      <c r="R167" s="9">
        <v>13993</v>
      </c>
      <c r="S167" s="14">
        <f t="shared" si="2"/>
        <v>17711</v>
      </c>
      <c r="T167" s="15">
        <f t="shared" si="3"/>
        <v>79.007396533227933</v>
      </c>
      <c r="U167" s="15">
        <f t="shared" si="4"/>
        <v>20.99260346677206</v>
      </c>
      <c r="V167" s="17"/>
      <c r="W167" s="17"/>
      <c r="AC167" s="4"/>
    </row>
    <row r="168" spans="1:29" ht="15.75" customHeight="1">
      <c r="A168" s="13" t="s">
        <v>360</v>
      </c>
      <c r="B168" s="66" t="s">
        <v>358</v>
      </c>
      <c r="C168" s="71">
        <v>2946</v>
      </c>
      <c r="D168" s="71">
        <v>16403</v>
      </c>
      <c r="E168" s="50">
        <f t="shared" si="13"/>
        <v>19349</v>
      </c>
      <c r="F168" s="51">
        <f t="shared" si="14"/>
        <v>84.774406946095411</v>
      </c>
      <c r="G168" s="51">
        <f t="shared" si="15"/>
        <v>15.225593053904596</v>
      </c>
      <c r="H168" s="3"/>
      <c r="I168" s="1"/>
      <c r="J168" s="1"/>
      <c r="K168" s="1"/>
      <c r="L168" s="1"/>
      <c r="M168" s="1"/>
      <c r="N168" s="1"/>
      <c r="O168" s="13" t="s">
        <v>360</v>
      </c>
      <c r="P168" s="11" t="s">
        <v>358</v>
      </c>
      <c r="Q168" s="9">
        <v>1839</v>
      </c>
      <c r="R168" s="9">
        <v>24036</v>
      </c>
      <c r="S168" s="14">
        <f t="shared" si="2"/>
        <v>25875</v>
      </c>
      <c r="T168" s="15">
        <f t="shared" si="3"/>
        <v>92.892753623188412</v>
      </c>
      <c r="U168" s="15">
        <f t="shared" si="4"/>
        <v>7.1072463768115952</v>
      </c>
      <c r="V168" s="17"/>
      <c r="W168" s="17"/>
      <c r="AC168" s="4"/>
    </row>
    <row r="169" spans="1:29" ht="15.75" customHeight="1">
      <c r="A169" s="13" t="s">
        <v>362</v>
      </c>
      <c r="B169" s="66" t="s">
        <v>22</v>
      </c>
      <c r="C169" s="71">
        <v>13163</v>
      </c>
      <c r="D169" s="71">
        <v>234833</v>
      </c>
      <c r="E169" s="50">
        <f t="shared" si="13"/>
        <v>247996</v>
      </c>
      <c r="F169" s="51">
        <f t="shared" si="14"/>
        <v>94.692253100856462</v>
      </c>
      <c r="G169" s="51">
        <f t="shared" si="15"/>
        <v>5.3077468991435346</v>
      </c>
      <c r="H169" s="3"/>
      <c r="I169" s="1"/>
      <c r="J169" s="1"/>
      <c r="K169" s="1"/>
      <c r="L169" s="1"/>
      <c r="M169" s="1"/>
      <c r="N169" s="1"/>
      <c r="O169" s="13" t="s">
        <v>362</v>
      </c>
      <c r="P169" s="11" t="s">
        <v>22</v>
      </c>
      <c r="Q169" s="9">
        <v>5126</v>
      </c>
      <c r="R169" s="9">
        <v>280789</v>
      </c>
      <c r="S169" s="14">
        <f t="shared" si="2"/>
        <v>285915</v>
      </c>
      <c r="T169" s="15">
        <f t="shared" si="3"/>
        <v>98.207159470471993</v>
      </c>
      <c r="U169" s="15">
        <f t="shared" si="4"/>
        <v>1.7928405295280065</v>
      </c>
      <c r="V169" s="17"/>
      <c r="W169" s="17"/>
      <c r="AC169" s="4"/>
    </row>
    <row r="170" spans="1:29" ht="15.75" customHeight="1">
      <c r="A170" s="13" t="s">
        <v>364</v>
      </c>
      <c r="B170" s="66" t="s">
        <v>361</v>
      </c>
      <c r="C170" s="71">
        <v>2656</v>
      </c>
      <c r="D170" s="71">
        <v>19078</v>
      </c>
      <c r="E170" s="50">
        <f t="shared" si="13"/>
        <v>21734</v>
      </c>
      <c r="F170" s="51">
        <f t="shared" si="14"/>
        <v>87.779515965767914</v>
      </c>
      <c r="G170" s="51">
        <f t="shared" si="15"/>
        <v>12.220484034232079</v>
      </c>
      <c r="H170" s="3"/>
      <c r="I170" s="1"/>
      <c r="J170" s="1"/>
      <c r="K170" s="1"/>
      <c r="L170" s="1"/>
      <c r="M170" s="1"/>
      <c r="N170" s="1"/>
      <c r="O170" s="13" t="s">
        <v>364</v>
      </c>
      <c r="P170" s="11" t="s">
        <v>361</v>
      </c>
      <c r="Q170" s="9">
        <v>962</v>
      </c>
      <c r="R170" s="9">
        <v>20921</v>
      </c>
      <c r="S170" s="14">
        <f t="shared" si="2"/>
        <v>21883</v>
      </c>
      <c r="T170" s="15">
        <f t="shared" si="3"/>
        <v>95.60389343325869</v>
      </c>
      <c r="U170" s="15">
        <f t="shared" si="4"/>
        <v>4.396106566741306</v>
      </c>
      <c r="V170" s="17"/>
      <c r="W170" s="17"/>
      <c r="AC170" s="4"/>
    </row>
    <row r="171" spans="1:29" ht="15.75" customHeight="1">
      <c r="A171" s="13" t="s">
        <v>365</v>
      </c>
      <c r="B171" s="66" t="s">
        <v>363</v>
      </c>
      <c r="C171" s="71">
        <v>981</v>
      </c>
      <c r="D171" s="71">
        <v>7264</v>
      </c>
      <c r="E171" s="50">
        <f t="shared" si="13"/>
        <v>8245</v>
      </c>
      <c r="F171" s="51">
        <f t="shared" si="14"/>
        <v>88.101879927228623</v>
      </c>
      <c r="G171" s="51">
        <f t="shared" si="15"/>
        <v>11.898120072771375</v>
      </c>
      <c r="H171" s="3"/>
      <c r="I171" s="1"/>
      <c r="J171" s="1"/>
      <c r="K171" s="1"/>
      <c r="L171" s="1"/>
      <c r="M171" s="1"/>
      <c r="N171" s="1"/>
      <c r="O171" s="13" t="s">
        <v>365</v>
      </c>
      <c r="P171" s="11" t="s">
        <v>363</v>
      </c>
      <c r="Q171" s="9">
        <v>582</v>
      </c>
      <c r="R171" s="9">
        <v>8971</v>
      </c>
      <c r="S171" s="14">
        <f t="shared" si="2"/>
        <v>9553</v>
      </c>
      <c r="T171" s="15">
        <f t="shared" si="3"/>
        <v>93.907672982309222</v>
      </c>
      <c r="U171" s="15">
        <f t="shared" si="4"/>
        <v>6.0923270176907778</v>
      </c>
      <c r="V171" s="17"/>
      <c r="W171" s="17"/>
      <c r="AC171" s="4"/>
    </row>
    <row r="172" spans="1:29" ht="15.75" customHeight="1">
      <c r="A172" s="13" t="s">
        <v>367</v>
      </c>
      <c r="B172" s="66" t="s">
        <v>368</v>
      </c>
      <c r="C172" s="71">
        <v>1774</v>
      </c>
      <c r="D172" s="71">
        <v>10348</v>
      </c>
      <c r="E172" s="50">
        <f t="shared" si="13"/>
        <v>12122</v>
      </c>
      <c r="F172" s="51">
        <f t="shared" si="14"/>
        <v>85.365451245669036</v>
      </c>
      <c r="G172" s="51">
        <f t="shared" si="15"/>
        <v>14.634548754330968</v>
      </c>
      <c r="H172" s="3"/>
      <c r="I172" s="1"/>
      <c r="J172" s="1"/>
      <c r="K172" s="1"/>
      <c r="L172" s="1"/>
      <c r="M172" s="1"/>
      <c r="N172" s="1"/>
      <c r="O172" s="13" t="s">
        <v>367</v>
      </c>
      <c r="P172" s="11" t="s">
        <v>368</v>
      </c>
      <c r="Q172" s="9">
        <v>1169</v>
      </c>
      <c r="R172" s="9">
        <v>13880</v>
      </c>
      <c r="S172" s="14">
        <f t="shared" si="2"/>
        <v>15049</v>
      </c>
      <c r="T172" s="15">
        <f t="shared" si="3"/>
        <v>92.232041996145924</v>
      </c>
      <c r="U172" s="15">
        <f t="shared" si="4"/>
        <v>7.7679580038540763</v>
      </c>
      <c r="V172" s="17"/>
      <c r="W172" s="17"/>
      <c r="AC172" s="4"/>
    </row>
    <row r="173" spans="1:29" ht="15.75" customHeight="1">
      <c r="A173" s="13" t="s">
        <v>369</v>
      </c>
      <c r="B173" s="66" t="s">
        <v>366</v>
      </c>
      <c r="C173" s="71">
        <v>6149</v>
      </c>
      <c r="D173" s="71">
        <v>20904</v>
      </c>
      <c r="E173" s="50">
        <f t="shared" si="13"/>
        <v>27053</v>
      </c>
      <c r="F173" s="51">
        <f t="shared" si="14"/>
        <v>77.270543008169142</v>
      </c>
      <c r="G173" s="51">
        <f t="shared" si="15"/>
        <v>22.729456991830851</v>
      </c>
      <c r="H173" s="3"/>
      <c r="I173" s="1"/>
      <c r="J173" s="1"/>
      <c r="K173" s="1"/>
      <c r="L173" s="1"/>
      <c r="M173" s="1"/>
      <c r="N173" s="1"/>
      <c r="O173" s="13" t="s">
        <v>369</v>
      </c>
      <c r="P173" s="11" t="s">
        <v>366</v>
      </c>
      <c r="Q173" s="9">
        <v>3895</v>
      </c>
      <c r="R173" s="9">
        <v>29777</v>
      </c>
      <c r="S173" s="14">
        <f t="shared" si="2"/>
        <v>33672</v>
      </c>
      <c r="T173" s="15">
        <f t="shared" si="3"/>
        <v>88.432525540508436</v>
      </c>
      <c r="U173" s="15">
        <f t="shared" si="4"/>
        <v>11.567474459491565</v>
      </c>
      <c r="V173" s="17"/>
      <c r="W173" s="17"/>
      <c r="AC173" s="4"/>
    </row>
    <row r="174" spans="1:29" ht="15.75" customHeight="1">
      <c r="A174" s="13" t="s">
        <v>371</v>
      </c>
      <c r="B174" s="66" t="s">
        <v>372</v>
      </c>
      <c r="C174" s="71">
        <v>635</v>
      </c>
      <c r="D174" s="71">
        <v>3160</v>
      </c>
      <c r="E174" s="50">
        <f t="shared" si="13"/>
        <v>3795</v>
      </c>
      <c r="F174" s="51">
        <f t="shared" si="14"/>
        <v>83.267457180500656</v>
      </c>
      <c r="G174" s="51">
        <f t="shared" si="15"/>
        <v>16.73254281949934</v>
      </c>
      <c r="H174" s="3"/>
      <c r="I174" s="1"/>
      <c r="J174" s="1"/>
      <c r="K174" s="1"/>
      <c r="L174" s="1"/>
      <c r="M174" s="1"/>
      <c r="N174" s="1"/>
      <c r="O174" s="13" t="s">
        <v>371</v>
      </c>
      <c r="P174" s="11" t="s">
        <v>372</v>
      </c>
      <c r="Q174" s="9">
        <v>202</v>
      </c>
      <c r="R174" s="9">
        <v>4793</v>
      </c>
      <c r="S174" s="14">
        <f t="shared" si="2"/>
        <v>4995</v>
      </c>
      <c r="T174" s="15">
        <f t="shared" si="3"/>
        <v>95.955955955955957</v>
      </c>
      <c r="U174" s="15">
        <f t="shared" si="4"/>
        <v>4.0440440440440444</v>
      </c>
      <c r="V174" s="17"/>
      <c r="W174" s="17"/>
      <c r="AC174" s="4"/>
    </row>
    <row r="175" spans="1:29" ht="15.75" customHeight="1">
      <c r="A175" s="13" t="s">
        <v>373</v>
      </c>
      <c r="B175" s="66" t="s">
        <v>370</v>
      </c>
      <c r="C175" s="71">
        <v>1077</v>
      </c>
      <c r="D175" s="71">
        <v>7648</v>
      </c>
      <c r="E175" s="50">
        <f t="shared" si="13"/>
        <v>8725</v>
      </c>
      <c r="F175" s="51">
        <f t="shared" si="14"/>
        <v>87.656160458452732</v>
      </c>
      <c r="G175" s="51">
        <f t="shared" si="15"/>
        <v>12.343839541547277</v>
      </c>
      <c r="H175" s="3"/>
      <c r="I175" s="1"/>
      <c r="J175" s="1"/>
      <c r="K175" s="1"/>
      <c r="L175" s="1"/>
      <c r="M175" s="1"/>
      <c r="N175" s="1"/>
      <c r="O175" s="13" t="s">
        <v>373</v>
      </c>
      <c r="P175" s="11" t="s">
        <v>370</v>
      </c>
      <c r="Q175" s="9">
        <v>624</v>
      </c>
      <c r="R175" s="9">
        <v>14865</v>
      </c>
      <c r="S175" s="14">
        <f t="shared" si="2"/>
        <v>15489</v>
      </c>
      <c r="T175" s="15">
        <f t="shared" si="3"/>
        <v>95.971334495448374</v>
      </c>
      <c r="U175" s="15">
        <f t="shared" si="4"/>
        <v>4.0286655045516175</v>
      </c>
      <c r="V175" s="17"/>
      <c r="W175" s="17"/>
      <c r="AC175" s="4"/>
    </row>
    <row r="176" spans="1:29" ht="15.75" customHeight="1">
      <c r="A176" s="13" t="s">
        <v>375</v>
      </c>
      <c r="B176" s="66" t="s">
        <v>376</v>
      </c>
      <c r="C176" s="71">
        <v>122</v>
      </c>
      <c r="D176" s="71">
        <v>1640</v>
      </c>
      <c r="E176" s="50">
        <f t="shared" si="13"/>
        <v>1762</v>
      </c>
      <c r="F176" s="51">
        <f t="shared" si="14"/>
        <v>93.076049943246304</v>
      </c>
      <c r="G176" s="51">
        <f t="shared" si="15"/>
        <v>6.9239500567536885</v>
      </c>
      <c r="H176" s="3"/>
      <c r="I176" s="1"/>
      <c r="J176" s="1"/>
      <c r="K176" s="1"/>
      <c r="L176" s="1"/>
      <c r="M176" s="1"/>
      <c r="N176" s="1"/>
      <c r="O176" s="13" t="s">
        <v>375</v>
      </c>
      <c r="P176" s="11" t="s">
        <v>376</v>
      </c>
      <c r="Q176" s="9">
        <v>68</v>
      </c>
      <c r="R176" s="9">
        <v>2342</v>
      </c>
      <c r="S176" s="14">
        <f t="shared" si="2"/>
        <v>2410</v>
      </c>
      <c r="T176" s="15">
        <f t="shared" si="3"/>
        <v>97.178423236514519</v>
      </c>
      <c r="U176" s="15">
        <f t="shared" si="4"/>
        <v>2.8215767634854774</v>
      </c>
      <c r="V176" s="17"/>
      <c r="W176" s="17"/>
      <c r="AC176" s="4"/>
    </row>
    <row r="177" spans="1:29" ht="15.75" customHeight="1">
      <c r="A177" s="13" t="s">
        <v>378</v>
      </c>
      <c r="B177" s="66" t="s">
        <v>374</v>
      </c>
      <c r="C177" s="71">
        <v>344</v>
      </c>
      <c r="D177" s="71">
        <v>3631</v>
      </c>
      <c r="E177" s="50">
        <f t="shared" si="13"/>
        <v>3975</v>
      </c>
      <c r="F177" s="51">
        <f t="shared" si="14"/>
        <v>91.345911949685529</v>
      </c>
      <c r="G177" s="51">
        <f t="shared" si="15"/>
        <v>8.6540880503144653</v>
      </c>
      <c r="H177" s="3"/>
      <c r="I177" s="1"/>
      <c r="J177" s="1"/>
      <c r="K177" s="1"/>
      <c r="L177" s="1"/>
      <c r="M177" s="1"/>
      <c r="N177" s="1"/>
      <c r="O177" s="13" t="s">
        <v>378</v>
      </c>
      <c r="P177" s="11" t="s">
        <v>374</v>
      </c>
      <c r="Q177" s="9">
        <v>239</v>
      </c>
      <c r="R177" s="9">
        <v>6238</v>
      </c>
      <c r="S177" s="14">
        <f t="shared" si="2"/>
        <v>6477</v>
      </c>
      <c r="T177" s="15">
        <f t="shared" si="3"/>
        <v>96.310020071020531</v>
      </c>
      <c r="U177" s="15">
        <f t="shared" si="4"/>
        <v>3.6899799289794659</v>
      </c>
      <c r="V177" s="17"/>
      <c r="W177" s="17"/>
      <c r="AC177" s="4"/>
    </row>
    <row r="178" spans="1:29" ht="15.75" customHeight="1">
      <c r="A178" s="13" t="s">
        <v>380</v>
      </c>
      <c r="B178" s="66" t="s">
        <v>377</v>
      </c>
      <c r="C178" s="71">
        <v>297</v>
      </c>
      <c r="D178" s="71">
        <v>4624</v>
      </c>
      <c r="E178" s="50">
        <f t="shared" si="13"/>
        <v>4921</v>
      </c>
      <c r="F178" s="51">
        <f t="shared" si="14"/>
        <v>93.964641333062389</v>
      </c>
      <c r="G178" s="51">
        <f t="shared" si="15"/>
        <v>6.0353586669376149</v>
      </c>
      <c r="H178" s="3"/>
      <c r="I178" s="1"/>
      <c r="J178" s="1"/>
      <c r="K178" s="1"/>
      <c r="L178" s="1"/>
      <c r="M178" s="1"/>
      <c r="N178" s="1"/>
      <c r="O178" s="13" t="s">
        <v>380</v>
      </c>
      <c r="P178" s="11" t="s">
        <v>377</v>
      </c>
      <c r="Q178" s="9">
        <v>157</v>
      </c>
      <c r="R178" s="9">
        <v>5418</v>
      </c>
      <c r="S178" s="14">
        <f t="shared" si="2"/>
        <v>5575</v>
      </c>
      <c r="T178" s="15">
        <f t="shared" si="3"/>
        <v>97.183856502242151</v>
      </c>
      <c r="U178" s="15">
        <f t="shared" si="4"/>
        <v>2.8161434977578477</v>
      </c>
      <c r="V178" s="17"/>
      <c r="W178" s="17"/>
      <c r="AC178" s="4"/>
    </row>
    <row r="179" spans="1:29" ht="15.75" customHeight="1">
      <c r="A179" s="13" t="s">
        <v>382</v>
      </c>
      <c r="B179" s="66" t="s">
        <v>379</v>
      </c>
      <c r="C179" s="71">
        <v>48</v>
      </c>
      <c r="D179" s="71">
        <v>915</v>
      </c>
      <c r="E179" s="50">
        <f t="shared" si="13"/>
        <v>963</v>
      </c>
      <c r="F179" s="51">
        <f t="shared" si="14"/>
        <v>95.015576323987545</v>
      </c>
      <c r="G179" s="51">
        <f t="shared" si="15"/>
        <v>4.9844236760124607</v>
      </c>
      <c r="H179" s="3"/>
      <c r="I179" s="1"/>
      <c r="J179" s="1"/>
      <c r="K179" s="1"/>
      <c r="L179" s="1"/>
      <c r="M179" s="1"/>
      <c r="N179" s="1"/>
      <c r="O179" s="13" t="s">
        <v>382</v>
      </c>
      <c r="P179" s="11" t="s">
        <v>379</v>
      </c>
      <c r="Q179" s="9">
        <v>61</v>
      </c>
      <c r="R179" s="9">
        <v>3805</v>
      </c>
      <c r="S179" s="14">
        <f t="shared" si="2"/>
        <v>3866</v>
      </c>
      <c r="T179" s="15">
        <f t="shared" si="3"/>
        <v>98.422141748577346</v>
      </c>
      <c r="U179" s="15">
        <f t="shared" si="4"/>
        <v>1.5778582514226591</v>
      </c>
      <c r="V179" s="17"/>
      <c r="W179" s="17"/>
      <c r="AC179" s="4"/>
    </row>
    <row r="180" spans="1:29" ht="15.75" customHeight="1">
      <c r="A180" s="13" t="s">
        <v>384</v>
      </c>
      <c r="B180" s="66" t="s">
        <v>381</v>
      </c>
      <c r="C180" s="71">
        <v>325</v>
      </c>
      <c r="D180" s="71">
        <v>3641</v>
      </c>
      <c r="E180" s="50">
        <f t="shared" si="13"/>
        <v>3966</v>
      </c>
      <c r="F180" s="51">
        <f t="shared" si="14"/>
        <v>91.805345436207759</v>
      </c>
      <c r="G180" s="51">
        <f t="shared" si="15"/>
        <v>8.1946545637922341</v>
      </c>
      <c r="H180" s="3"/>
      <c r="I180" s="1"/>
      <c r="J180" s="1"/>
      <c r="K180" s="1"/>
      <c r="L180" s="1"/>
      <c r="M180" s="1"/>
      <c r="N180" s="1"/>
      <c r="O180" s="13" t="s">
        <v>384</v>
      </c>
      <c r="P180" s="11" t="s">
        <v>381</v>
      </c>
      <c r="Q180" s="9">
        <v>99</v>
      </c>
      <c r="R180" s="9">
        <v>3955</v>
      </c>
      <c r="S180" s="14">
        <f t="shared" si="2"/>
        <v>4054</v>
      </c>
      <c r="T180" s="15">
        <f t="shared" si="3"/>
        <v>97.557967439565857</v>
      </c>
      <c r="U180" s="15">
        <f t="shared" si="4"/>
        <v>2.4420325604341393</v>
      </c>
      <c r="V180" s="17"/>
      <c r="W180" s="17"/>
      <c r="AC180" s="4"/>
    </row>
    <row r="181" spans="1:29" ht="15.75" customHeight="1">
      <c r="A181" s="13" t="s">
        <v>385</v>
      </c>
      <c r="B181" s="66" t="s">
        <v>383</v>
      </c>
      <c r="C181" s="71">
        <v>88</v>
      </c>
      <c r="D181" s="71">
        <v>1742</v>
      </c>
      <c r="E181" s="50">
        <f t="shared" si="13"/>
        <v>1830</v>
      </c>
      <c r="F181" s="51">
        <f t="shared" si="14"/>
        <v>95.191256830601091</v>
      </c>
      <c r="G181" s="51">
        <f t="shared" si="15"/>
        <v>4.8087431693989071</v>
      </c>
      <c r="H181" s="3"/>
      <c r="I181" s="1"/>
      <c r="J181" s="1"/>
      <c r="K181" s="1"/>
      <c r="L181" s="1"/>
      <c r="M181" s="1"/>
      <c r="N181" s="1"/>
      <c r="O181" s="13" t="s">
        <v>385</v>
      </c>
      <c r="P181" s="11" t="s">
        <v>383</v>
      </c>
      <c r="Q181" s="9">
        <v>27</v>
      </c>
      <c r="R181" s="9">
        <v>1433</v>
      </c>
      <c r="S181" s="14">
        <f t="shared" si="2"/>
        <v>1460</v>
      </c>
      <c r="T181" s="15">
        <f t="shared" si="3"/>
        <v>98.150684931506845</v>
      </c>
      <c r="U181" s="15">
        <f t="shared" si="4"/>
        <v>1.8493150684931507</v>
      </c>
      <c r="V181" s="17"/>
      <c r="W181" s="17"/>
      <c r="AC181" s="4"/>
    </row>
    <row r="182" spans="1:29" ht="15.75" customHeight="1">
      <c r="A182" s="13" t="s">
        <v>387</v>
      </c>
      <c r="B182" s="66" t="s">
        <v>388</v>
      </c>
      <c r="C182" s="71">
        <v>25</v>
      </c>
      <c r="D182" s="71">
        <v>464</v>
      </c>
      <c r="E182" s="50">
        <f t="shared" si="13"/>
        <v>489</v>
      </c>
      <c r="F182" s="51">
        <f t="shared" si="14"/>
        <v>94.88752556237219</v>
      </c>
      <c r="G182" s="51">
        <f t="shared" si="15"/>
        <v>5.112474437627812</v>
      </c>
      <c r="H182" s="3"/>
      <c r="I182" s="1"/>
      <c r="J182" s="1"/>
      <c r="K182" s="1"/>
      <c r="L182" s="1"/>
      <c r="M182" s="1"/>
      <c r="N182" s="1"/>
      <c r="O182" s="13" t="s">
        <v>387</v>
      </c>
      <c r="P182" s="11" t="s">
        <v>388</v>
      </c>
      <c r="Q182" s="9">
        <v>15</v>
      </c>
      <c r="R182" s="9">
        <v>821</v>
      </c>
      <c r="S182" s="14">
        <f t="shared" si="2"/>
        <v>836</v>
      </c>
      <c r="T182" s="15">
        <f t="shared" si="3"/>
        <v>98.205741626794264</v>
      </c>
      <c r="U182" s="15">
        <f t="shared" si="4"/>
        <v>1.7942583732057416</v>
      </c>
      <c r="V182" s="17"/>
      <c r="W182" s="17"/>
      <c r="AC182" s="4"/>
    </row>
    <row r="183" spans="1:29" ht="15.75" customHeight="1">
      <c r="A183" s="13" t="s">
        <v>390</v>
      </c>
      <c r="B183" s="66" t="s">
        <v>386</v>
      </c>
      <c r="C183" s="71">
        <v>200</v>
      </c>
      <c r="D183" s="71">
        <v>2277</v>
      </c>
      <c r="E183" s="50">
        <f t="shared" si="13"/>
        <v>2477</v>
      </c>
      <c r="F183" s="51">
        <f t="shared" si="14"/>
        <v>91.925716592652407</v>
      </c>
      <c r="G183" s="51">
        <f t="shared" si="15"/>
        <v>8.0742834073475969</v>
      </c>
      <c r="H183" s="3"/>
      <c r="I183" s="1"/>
      <c r="J183" s="1"/>
      <c r="K183" s="1"/>
      <c r="L183" s="1"/>
      <c r="M183" s="1"/>
      <c r="N183" s="1"/>
      <c r="O183" s="13" t="s">
        <v>390</v>
      </c>
      <c r="P183" s="11" t="s">
        <v>386</v>
      </c>
      <c r="Q183" s="9">
        <v>69</v>
      </c>
      <c r="R183" s="9">
        <v>3616</v>
      </c>
      <c r="S183" s="14">
        <f t="shared" si="2"/>
        <v>3685</v>
      </c>
      <c r="T183" s="15">
        <f t="shared" si="3"/>
        <v>98.12754409769336</v>
      </c>
      <c r="U183" s="15">
        <f t="shared" si="4"/>
        <v>1.8724559023066485</v>
      </c>
      <c r="V183" s="17"/>
      <c r="W183" s="17"/>
      <c r="AC183" s="4"/>
    </row>
    <row r="184" spans="1:29" ht="15.75" customHeight="1">
      <c r="A184" s="13" t="s">
        <v>392</v>
      </c>
      <c r="B184" s="66" t="s">
        <v>389</v>
      </c>
      <c r="C184" s="71">
        <v>986</v>
      </c>
      <c r="D184" s="71">
        <v>6213</v>
      </c>
      <c r="E184" s="50">
        <f t="shared" si="13"/>
        <v>7199</v>
      </c>
      <c r="F184" s="51">
        <f t="shared" si="14"/>
        <v>86.303653285178498</v>
      </c>
      <c r="G184" s="51">
        <f t="shared" si="15"/>
        <v>13.696346714821503</v>
      </c>
      <c r="H184" s="3"/>
      <c r="I184" s="1"/>
      <c r="J184" s="1"/>
      <c r="K184" s="1"/>
      <c r="L184" s="1"/>
      <c r="M184" s="1"/>
      <c r="N184" s="1"/>
      <c r="O184" s="13" t="s">
        <v>392</v>
      </c>
      <c r="P184" s="11" t="s">
        <v>389</v>
      </c>
      <c r="Q184" s="9">
        <v>350</v>
      </c>
      <c r="R184" s="9">
        <v>8382</v>
      </c>
      <c r="S184" s="14">
        <f t="shared" si="2"/>
        <v>8732</v>
      </c>
      <c r="T184" s="15">
        <f t="shared" si="3"/>
        <v>95.991754466330732</v>
      </c>
      <c r="U184" s="15">
        <f t="shared" si="4"/>
        <v>4.0082455336692631</v>
      </c>
      <c r="V184" s="17"/>
      <c r="W184" s="17"/>
      <c r="AC184" s="4"/>
    </row>
    <row r="185" spans="1:29" ht="15.75" customHeight="1">
      <c r="A185" s="13" t="s">
        <v>394</v>
      </c>
      <c r="B185" s="66" t="s">
        <v>391</v>
      </c>
      <c r="C185" s="71">
        <v>554</v>
      </c>
      <c r="D185" s="71">
        <v>5040</v>
      </c>
      <c r="E185" s="50">
        <f t="shared" si="13"/>
        <v>5594</v>
      </c>
      <c r="F185" s="51">
        <f t="shared" si="14"/>
        <v>90.096531998569901</v>
      </c>
      <c r="G185" s="51">
        <f t="shared" si="15"/>
        <v>9.9034680014301024</v>
      </c>
      <c r="H185" s="3"/>
      <c r="I185" s="1"/>
      <c r="J185" s="1"/>
      <c r="K185" s="1"/>
      <c r="L185" s="1"/>
      <c r="M185" s="1"/>
      <c r="N185" s="1"/>
      <c r="O185" s="13" t="s">
        <v>394</v>
      </c>
      <c r="P185" s="11" t="s">
        <v>391</v>
      </c>
      <c r="Q185" s="9">
        <v>263</v>
      </c>
      <c r="R185" s="9">
        <v>3822</v>
      </c>
      <c r="S185" s="14">
        <f t="shared" si="2"/>
        <v>4085</v>
      </c>
      <c r="T185" s="15">
        <f t="shared" si="3"/>
        <v>93.561811505507947</v>
      </c>
      <c r="U185" s="15">
        <f t="shared" si="4"/>
        <v>6.4381884944920431</v>
      </c>
      <c r="V185" s="17"/>
      <c r="W185" s="17"/>
      <c r="AC185" s="4"/>
    </row>
    <row r="186" spans="1:29" ht="15.75" customHeight="1">
      <c r="A186" s="13" t="s">
        <v>396</v>
      </c>
      <c r="B186" s="66" t="s">
        <v>393</v>
      </c>
      <c r="C186" s="71">
        <v>355</v>
      </c>
      <c r="D186" s="71">
        <v>2704</v>
      </c>
      <c r="E186" s="50">
        <f t="shared" si="13"/>
        <v>3059</v>
      </c>
      <c r="F186" s="51">
        <f t="shared" si="14"/>
        <v>88.394900294213798</v>
      </c>
      <c r="G186" s="51">
        <f t="shared" si="15"/>
        <v>11.605099705786206</v>
      </c>
      <c r="H186" s="3"/>
      <c r="I186" s="1"/>
      <c r="J186" s="1"/>
      <c r="K186" s="1"/>
      <c r="L186" s="1"/>
      <c r="M186" s="1"/>
      <c r="N186" s="1"/>
      <c r="O186" s="13" t="s">
        <v>396</v>
      </c>
      <c r="P186" s="11" t="s">
        <v>393</v>
      </c>
      <c r="Q186" s="9">
        <v>134</v>
      </c>
      <c r="R186" s="9">
        <v>3405</v>
      </c>
      <c r="S186" s="14">
        <f t="shared" si="2"/>
        <v>3539</v>
      </c>
      <c r="T186" s="15">
        <f t="shared" si="3"/>
        <v>96.213619666572484</v>
      </c>
      <c r="U186" s="15">
        <f t="shared" si="4"/>
        <v>3.7863803334275219</v>
      </c>
      <c r="V186" s="17"/>
      <c r="W186" s="17"/>
      <c r="AC186" s="4"/>
    </row>
    <row r="187" spans="1:29" ht="15.75" customHeight="1">
      <c r="A187" s="13" t="s">
        <v>398</v>
      </c>
      <c r="B187" s="66" t="s">
        <v>395</v>
      </c>
      <c r="C187" s="71">
        <v>2381</v>
      </c>
      <c r="D187" s="71">
        <v>20647</v>
      </c>
      <c r="E187" s="50">
        <f t="shared" si="13"/>
        <v>23028</v>
      </c>
      <c r="F187" s="51">
        <f t="shared" si="14"/>
        <v>89.660413409762029</v>
      </c>
      <c r="G187" s="51">
        <f t="shared" si="15"/>
        <v>10.339586590237971</v>
      </c>
      <c r="H187" s="3"/>
      <c r="I187" s="1"/>
      <c r="J187" s="1"/>
      <c r="K187" s="1"/>
      <c r="L187" s="1"/>
      <c r="M187" s="1"/>
      <c r="N187" s="1"/>
      <c r="O187" s="13" t="s">
        <v>398</v>
      </c>
      <c r="P187" s="11" t="s">
        <v>395</v>
      </c>
      <c r="Q187" s="9">
        <v>943</v>
      </c>
      <c r="R187" s="9">
        <v>18485</v>
      </c>
      <c r="S187" s="14">
        <f t="shared" si="2"/>
        <v>19428</v>
      </c>
      <c r="T187" s="15">
        <f t="shared" si="3"/>
        <v>95.146180770022653</v>
      </c>
      <c r="U187" s="15">
        <f t="shared" si="4"/>
        <v>4.8538192299773524</v>
      </c>
      <c r="V187" s="17"/>
      <c r="W187" s="17"/>
      <c r="AC187" s="4"/>
    </row>
    <row r="188" spans="1:29" ht="15.75" customHeight="1">
      <c r="A188" s="13" t="s">
        <v>399</v>
      </c>
      <c r="B188" s="66" t="s">
        <v>397</v>
      </c>
      <c r="C188" s="71">
        <v>335</v>
      </c>
      <c r="D188" s="71">
        <v>4197</v>
      </c>
      <c r="E188" s="50">
        <f t="shared" si="13"/>
        <v>4532</v>
      </c>
      <c r="F188" s="51">
        <f t="shared" si="14"/>
        <v>92.608120035304495</v>
      </c>
      <c r="G188" s="51">
        <f t="shared" si="15"/>
        <v>7.391879964695498</v>
      </c>
      <c r="H188" s="3"/>
      <c r="I188" s="1"/>
      <c r="J188" s="1"/>
      <c r="K188" s="1"/>
      <c r="L188" s="1"/>
      <c r="M188" s="1"/>
      <c r="N188" s="1"/>
      <c r="O188" s="13" t="s">
        <v>399</v>
      </c>
      <c r="P188" s="11" t="s">
        <v>397</v>
      </c>
      <c r="Q188" s="9">
        <v>130</v>
      </c>
      <c r="R188" s="9">
        <v>5727</v>
      </c>
      <c r="S188" s="14">
        <f t="shared" si="2"/>
        <v>5857</v>
      </c>
      <c r="T188" s="15">
        <f t="shared" si="3"/>
        <v>97.780433669113876</v>
      </c>
      <c r="U188" s="15">
        <f t="shared" si="4"/>
        <v>2.2195663308861189</v>
      </c>
      <c r="V188" s="17"/>
      <c r="W188" s="17"/>
      <c r="AC188" s="4"/>
    </row>
    <row r="189" spans="1:29" ht="15.75" customHeight="1">
      <c r="A189" s="13" t="s">
        <v>401</v>
      </c>
      <c r="B189" s="66" t="s">
        <v>402</v>
      </c>
      <c r="C189" s="71">
        <v>1035</v>
      </c>
      <c r="D189" s="71">
        <v>10105</v>
      </c>
      <c r="E189" s="50">
        <f t="shared" si="13"/>
        <v>11140</v>
      </c>
      <c r="F189" s="51">
        <f t="shared" si="14"/>
        <v>90.709156193895865</v>
      </c>
      <c r="G189" s="51">
        <f t="shared" si="15"/>
        <v>9.2908438061041299</v>
      </c>
      <c r="H189" s="3"/>
      <c r="I189" s="1"/>
      <c r="J189" s="1"/>
      <c r="K189" s="1"/>
      <c r="L189" s="1"/>
      <c r="M189" s="1"/>
      <c r="N189" s="1"/>
      <c r="O189" s="13" t="s">
        <v>401</v>
      </c>
      <c r="P189" s="11" t="s">
        <v>402</v>
      </c>
      <c r="Q189" s="9">
        <v>442</v>
      </c>
      <c r="R189" s="9">
        <v>14805</v>
      </c>
      <c r="S189" s="14">
        <f t="shared" si="2"/>
        <v>15247</v>
      </c>
      <c r="T189" s="15">
        <f t="shared" si="3"/>
        <v>97.101069062766442</v>
      </c>
      <c r="U189" s="15">
        <f t="shared" si="4"/>
        <v>2.8989309372335543</v>
      </c>
      <c r="V189" s="17"/>
      <c r="W189" s="17"/>
      <c r="AC189" s="4"/>
    </row>
    <row r="190" spans="1:29" ht="15.75" customHeight="1">
      <c r="A190" s="13" t="s">
        <v>404</v>
      </c>
      <c r="B190" s="66" t="s">
        <v>400</v>
      </c>
      <c r="C190" s="71">
        <v>375</v>
      </c>
      <c r="D190" s="71">
        <v>2395</v>
      </c>
      <c r="E190" s="50">
        <f t="shared" si="13"/>
        <v>2770</v>
      </c>
      <c r="F190" s="51">
        <f t="shared" si="14"/>
        <v>86.462093862815877</v>
      </c>
      <c r="G190" s="51">
        <f t="shared" si="15"/>
        <v>13.537906137184116</v>
      </c>
      <c r="H190" s="3"/>
      <c r="I190" s="1"/>
      <c r="J190" s="1"/>
      <c r="K190" s="1"/>
      <c r="L190" s="1"/>
      <c r="M190" s="1"/>
      <c r="N190" s="1"/>
      <c r="O190" s="13" t="s">
        <v>404</v>
      </c>
      <c r="P190" s="11" t="s">
        <v>400</v>
      </c>
      <c r="Q190" s="9">
        <v>133</v>
      </c>
      <c r="R190" s="9">
        <v>2932</v>
      </c>
      <c r="S190" s="14">
        <f t="shared" si="2"/>
        <v>3065</v>
      </c>
      <c r="T190" s="15">
        <f t="shared" si="3"/>
        <v>95.660685154975539</v>
      </c>
      <c r="U190" s="15">
        <f t="shared" si="4"/>
        <v>4.3393148450244698</v>
      </c>
      <c r="V190" s="17"/>
      <c r="W190" s="17"/>
      <c r="AC190" s="4"/>
    </row>
    <row r="191" spans="1:29" ht="15.75" customHeight="1">
      <c r="A191" s="13" t="s">
        <v>406</v>
      </c>
      <c r="B191" s="66" t="s">
        <v>403</v>
      </c>
      <c r="C191" s="71">
        <v>352</v>
      </c>
      <c r="D191" s="71">
        <v>7087</v>
      </c>
      <c r="E191" s="50">
        <f t="shared" si="13"/>
        <v>7439</v>
      </c>
      <c r="F191" s="51">
        <f t="shared" si="14"/>
        <v>95.2681812071515</v>
      </c>
      <c r="G191" s="51">
        <f t="shared" si="15"/>
        <v>4.7318187928485012</v>
      </c>
      <c r="H191" s="3"/>
      <c r="I191" s="1"/>
      <c r="J191" s="1"/>
      <c r="K191" s="1"/>
      <c r="L191" s="1"/>
      <c r="M191" s="1"/>
      <c r="N191" s="1"/>
      <c r="O191" s="13" t="s">
        <v>406</v>
      </c>
      <c r="P191" s="11" t="s">
        <v>403</v>
      </c>
      <c r="Q191" s="9">
        <v>297</v>
      </c>
      <c r="R191" s="9">
        <v>14412</v>
      </c>
      <c r="S191" s="14">
        <f t="shared" si="2"/>
        <v>14709</v>
      </c>
      <c r="T191" s="15">
        <f t="shared" si="3"/>
        <v>97.980828064450336</v>
      </c>
      <c r="U191" s="15">
        <f t="shared" si="4"/>
        <v>2.0191719355496636</v>
      </c>
      <c r="V191" s="17"/>
      <c r="W191" s="17"/>
      <c r="AC191" s="4"/>
    </row>
    <row r="192" spans="1:29" ht="15.75" customHeight="1">
      <c r="A192" s="13" t="s">
        <v>408</v>
      </c>
      <c r="B192" s="66" t="s">
        <v>405</v>
      </c>
      <c r="C192" s="71">
        <v>13</v>
      </c>
      <c r="D192" s="71">
        <v>830</v>
      </c>
      <c r="E192" s="50">
        <f t="shared" si="13"/>
        <v>843</v>
      </c>
      <c r="F192" s="51">
        <f t="shared" si="14"/>
        <v>98.457888493475693</v>
      </c>
      <c r="G192" s="51">
        <f t="shared" si="15"/>
        <v>1.5421115065243181</v>
      </c>
      <c r="H192" s="3"/>
      <c r="I192" s="1"/>
      <c r="J192" s="1"/>
      <c r="K192" s="1"/>
      <c r="L192" s="1"/>
      <c r="M192" s="1"/>
      <c r="N192" s="1"/>
      <c r="O192" s="13" t="s">
        <v>408</v>
      </c>
      <c r="P192" s="11" t="s">
        <v>405</v>
      </c>
      <c r="Q192" s="9">
        <v>36</v>
      </c>
      <c r="R192" s="9">
        <v>1274</v>
      </c>
      <c r="S192" s="14">
        <f t="shared" si="2"/>
        <v>1310</v>
      </c>
      <c r="T192" s="15">
        <f t="shared" si="3"/>
        <v>97.251908396946561</v>
      </c>
      <c r="U192" s="15">
        <f t="shared" si="4"/>
        <v>2.7480916030534353</v>
      </c>
      <c r="V192" s="17"/>
      <c r="W192" s="17"/>
      <c r="AC192" s="4"/>
    </row>
    <row r="193" spans="1:29" ht="15.75" customHeight="1">
      <c r="A193" s="13" t="s">
        <v>410</v>
      </c>
      <c r="B193" s="66" t="s">
        <v>407</v>
      </c>
      <c r="C193" s="71">
        <v>179</v>
      </c>
      <c r="D193" s="71">
        <v>1691</v>
      </c>
      <c r="E193" s="50">
        <f t="shared" si="13"/>
        <v>1870</v>
      </c>
      <c r="F193" s="51">
        <f t="shared" si="14"/>
        <v>90.427807486631025</v>
      </c>
      <c r="G193" s="51">
        <f t="shared" si="15"/>
        <v>9.572192513368984</v>
      </c>
      <c r="H193" s="3"/>
      <c r="I193" s="1"/>
      <c r="J193" s="1"/>
      <c r="K193" s="1"/>
      <c r="L193" s="1"/>
      <c r="M193" s="1"/>
      <c r="N193" s="1"/>
      <c r="O193" s="13" t="s">
        <v>410</v>
      </c>
      <c r="P193" s="11" t="s">
        <v>407</v>
      </c>
      <c r="Q193" s="9">
        <v>146</v>
      </c>
      <c r="R193" s="9">
        <v>2081</v>
      </c>
      <c r="S193" s="14">
        <f t="shared" si="2"/>
        <v>2227</v>
      </c>
      <c r="T193" s="15">
        <f t="shared" si="3"/>
        <v>93.44409519533005</v>
      </c>
      <c r="U193" s="15">
        <f t="shared" si="4"/>
        <v>6.55590480466996</v>
      </c>
      <c r="V193" s="17"/>
      <c r="W193" s="17"/>
      <c r="AC193" s="4"/>
    </row>
    <row r="194" spans="1:29" ht="15.75" customHeight="1">
      <c r="A194" s="13" t="s">
        <v>412</v>
      </c>
      <c r="B194" s="66" t="s">
        <v>409</v>
      </c>
      <c r="C194" s="71">
        <v>1262</v>
      </c>
      <c r="D194" s="71">
        <v>8390</v>
      </c>
      <c r="E194" s="50">
        <f t="shared" si="13"/>
        <v>9652</v>
      </c>
      <c r="F194" s="51">
        <f t="shared" si="14"/>
        <v>86.92498963945296</v>
      </c>
      <c r="G194" s="51">
        <f t="shared" si="15"/>
        <v>13.075010360547038</v>
      </c>
      <c r="H194" s="3"/>
      <c r="I194" s="1"/>
      <c r="J194" s="1"/>
      <c r="K194" s="1"/>
      <c r="L194" s="1"/>
      <c r="M194" s="1"/>
      <c r="N194" s="1"/>
      <c r="O194" s="13" t="s">
        <v>412</v>
      </c>
      <c r="P194" s="11" t="s">
        <v>409</v>
      </c>
      <c r="Q194" s="9">
        <v>445</v>
      </c>
      <c r="R194" s="9">
        <v>11422</v>
      </c>
      <c r="S194" s="14">
        <f t="shared" si="2"/>
        <v>11867</v>
      </c>
      <c r="T194" s="15">
        <f t="shared" si="3"/>
        <v>96.250105334119823</v>
      </c>
      <c r="U194" s="15">
        <f t="shared" si="4"/>
        <v>3.7498946658801722</v>
      </c>
      <c r="V194" s="17"/>
      <c r="W194" s="17"/>
      <c r="AC194" s="4"/>
    </row>
    <row r="195" spans="1:29" ht="15.75" customHeight="1">
      <c r="A195" s="13" t="s">
        <v>414</v>
      </c>
      <c r="B195" s="66" t="s">
        <v>411</v>
      </c>
      <c r="C195" s="71">
        <v>603</v>
      </c>
      <c r="D195" s="71">
        <v>4357</v>
      </c>
      <c r="E195" s="50">
        <f t="shared" si="13"/>
        <v>4960</v>
      </c>
      <c r="F195" s="51">
        <f t="shared" si="14"/>
        <v>87.842741935483872</v>
      </c>
      <c r="G195" s="51">
        <f t="shared" si="15"/>
        <v>12.157258064516128</v>
      </c>
      <c r="H195" s="3"/>
      <c r="I195" s="1"/>
      <c r="J195" s="1"/>
      <c r="K195" s="1"/>
      <c r="L195" s="1"/>
      <c r="M195" s="1"/>
      <c r="N195" s="1"/>
      <c r="O195" s="13" t="s">
        <v>414</v>
      </c>
      <c r="P195" s="11" t="s">
        <v>411</v>
      </c>
      <c r="Q195" s="9">
        <v>316</v>
      </c>
      <c r="R195" s="9">
        <v>4820</v>
      </c>
      <c r="S195" s="14">
        <f t="shared" si="2"/>
        <v>5136</v>
      </c>
      <c r="T195" s="15">
        <f t="shared" si="3"/>
        <v>93.847352024922117</v>
      </c>
      <c r="U195" s="15">
        <f t="shared" si="4"/>
        <v>6.1526479750778815</v>
      </c>
      <c r="V195" s="17"/>
      <c r="W195" s="17"/>
      <c r="AC195" s="4"/>
    </row>
    <row r="196" spans="1:29" ht="15.75" customHeight="1">
      <c r="A196" s="13" t="s">
        <v>416</v>
      </c>
      <c r="B196" s="66" t="s">
        <v>413</v>
      </c>
      <c r="C196" s="71">
        <v>966</v>
      </c>
      <c r="D196" s="71">
        <v>4006</v>
      </c>
      <c r="E196" s="50">
        <f t="shared" si="13"/>
        <v>4972</v>
      </c>
      <c r="F196" s="51">
        <f t="shared" si="14"/>
        <v>80.571198712791642</v>
      </c>
      <c r="G196" s="51">
        <f t="shared" si="15"/>
        <v>19.428801287208366</v>
      </c>
      <c r="H196" s="3"/>
      <c r="I196" s="1"/>
      <c r="J196" s="1"/>
      <c r="K196" s="1"/>
      <c r="L196" s="1"/>
      <c r="M196" s="1"/>
      <c r="N196" s="1"/>
      <c r="O196" s="13" t="s">
        <v>416</v>
      </c>
      <c r="P196" s="11" t="s">
        <v>413</v>
      </c>
      <c r="Q196" s="9">
        <v>404</v>
      </c>
      <c r="R196" s="9">
        <v>5719</v>
      </c>
      <c r="S196" s="14">
        <f t="shared" si="2"/>
        <v>6123</v>
      </c>
      <c r="T196" s="15">
        <f t="shared" si="3"/>
        <v>93.401927159888942</v>
      </c>
      <c r="U196" s="15">
        <f t="shared" si="4"/>
        <v>6.5980728401110564</v>
      </c>
      <c r="V196" s="17"/>
      <c r="W196" s="17"/>
      <c r="AC196" s="4"/>
    </row>
    <row r="197" spans="1:29" ht="15.75" customHeight="1">
      <c r="A197" s="13" t="s">
        <v>418</v>
      </c>
      <c r="B197" s="66" t="s">
        <v>415</v>
      </c>
      <c r="C197" s="71">
        <v>273</v>
      </c>
      <c r="D197" s="71">
        <v>1621</v>
      </c>
      <c r="E197" s="50">
        <f t="shared" si="13"/>
        <v>1894</v>
      </c>
      <c r="F197" s="51">
        <f t="shared" si="14"/>
        <v>85.586061246040117</v>
      </c>
      <c r="G197" s="51">
        <f t="shared" si="15"/>
        <v>14.413938753959874</v>
      </c>
      <c r="H197" s="3"/>
      <c r="I197" s="1"/>
      <c r="J197" s="1"/>
      <c r="K197" s="1"/>
      <c r="L197" s="1"/>
      <c r="M197" s="1"/>
      <c r="N197" s="1"/>
      <c r="O197" s="13" t="s">
        <v>418</v>
      </c>
      <c r="P197" s="11" t="s">
        <v>415</v>
      </c>
      <c r="Q197" s="9">
        <v>186</v>
      </c>
      <c r="R197" s="9">
        <v>2775</v>
      </c>
      <c r="S197" s="14">
        <f t="shared" si="2"/>
        <v>2961</v>
      </c>
      <c r="T197" s="15">
        <f t="shared" si="3"/>
        <v>93.718338399189463</v>
      </c>
      <c r="U197" s="15">
        <f t="shared" si="4"/>
        <v>6.281661600810537</v>
      </c>
      <c r="V197" s="17"/>
      <c r="W197" s="17"/>
      <c r="AC197" s="4"/>
    </row>
    <row r="198" spans="1:29" ht="15.75" customHeight="1">
      <c r="A198" s="13" t="s">
        <v>419</v>
      </c>
      <c r="B198" s="66" t="s">
        <v>417</v>
      </c>
      <c r="C198" s="71">
        <v>662</v>
      </c>
      <c r="D198" s="71">
        <v>4560</v>
      </c>
      <c r="E198" s="50">
        <f t="shared" ref="E198:E261" si="16">C198+D198</f>
        <v>5222</v>
      </c>
      <c r="F198" s="51">
        <f t="shared" ref="F198:F261" si="17">(D198/E198)*100</f>
        <v>87.322864802757564</v>
      </c>
      <c r="G198" s="51">
        <f t="shared" ref="G198:G261" si="18">(C198/E198)*100</f>
        <v>12.677135197242437</v>
      </c>
      <c r="H198" s="3"/>
      <c r="I198" s="1"/>
      <c r="J198" s="1"/>
      <c r="K198" s="1"/>
      <c r="L198" s="1"/>
      <c r="M198" s="1"/>
      <c r="N198" s="1"/>
      <c r="O198" s="13" t="s">
        <v>419</v>
      </c>
      <c r="P198" s="11" t="s">
        <v>417</v>
      </c>
      <c r="Q198" s="9">
        <v>466</v>
      </c>
      <c r="R198" s="9">
        <v>5930</v>
      </c>
      <c r="S198" s="14">
        <f t="shared" si="2"/>
        <v>6396</v>
      </c>
      <c r="T198" s="15">
        <f t="shared" si="3"/>
        <v>92.714196372732957</v>
      </c>
      <c r="U198" s="15">
        <f t="shared" si="4"/>
        <v>7.2858036272670414</v>
      </c>
      <c r="V198" s="17"/>
      <c r="W198" s="17"/>
      <c r="AC198" s="4"/>
    </row>
    <row r="199" spans="1:29" ht="15.75" customHeight="1">
      <c r="A199" s="13" t="s">
        <v>421</v>
      </c>
      <c r="B199" s="66" t="s">
        <v>422</v>
      </c>
      <c r="C199" s="71">
        <v>2684</v>
      </c>
      <c r="D199" s="71">
        <v>9841</v>
      </c>
      <c r="E199" s="50">
        <f t="shared" si="16"/>
        <v>12525</v>
      </c>
      <c r="F199" s="51">
        <f t="shared" si="17"/>
        <v>78.570858283433125</v>
      </c>
      <c r="G199" s="51">
        <f t="shared" si="18"/>
        <v>21.429141716566864</v>
      </c>
      <c r="H199" s="3"/>
      <c r="I199" s="1"/>
      <c r="J199" s="1"/>
      <c r="K199" s="1"/>
      <c r="L199" s="1"/>
      <c r="M199" s="1"/>
      <c r="N199" s="1"/>
      <c r="O199" s="13" t="s">
        <v>421</v>
      </c>
      <c r="P199" s="11" t="s">
        <v>422</v>
      </c>
      <c r="Q199" s="9">
        <v>1331</v>
      </c>
      <c r="R199" s="9">
        <v>11588</v>
      </c>
      <c r="S199" s="14">
        <f t="shared" si="2"/>
        <v>12919</v>
      </c>
      <c r="T199" s="15">
        <f t="shared" si="3"/>
        <v>89.697344995742696</v>
      </c>
      <c r="U199" s="15">
        <f t="shared" si="4"/>
        <v>10.302655004257295</v>
      </c>
      <c r="V199" s="17"/>
      <c r="W199" s="17"/>
      <c r="AC199" s="4"/>
    </row>
    <row r="200" spans="1:29" ht="15.75" customHeight="1">
      <c r="A200" s="13" t="s">
        <v>424</v>
      </c>
      <c r="B200" s="66" t="s">
        <v>420</v>
      </c>
      <c r="C200" s="71">
        <v>6</v>
      </c>
      <c r="D200" s="71">
        <v>458</v>
      </c>
      <c r="E200" s="50">
        <f t="shared" si="16"/>
        <v>464</v>
      </c>
      <c r="F200" s="51">
        <f t="shared" si="17"/>
        <v>98.706896551724128</v>
      </c>
      <c r="G200" s="51">
        <f t="shared" si="18"/>
        <v>1.2931034482758621</v>
      </c>
      <c r="H200" s="3"/>
      <c r="I200" s="1"/>
      <c r="J200" s="1"/>
      <c r="K200" s="1"/>
      <c r="L200" s="1"/>
      <c r="M200" s="1"/>
      <c r="N200" s="1"/>
      <c r="O200" s="13" t="s">
        <v>424</v>
      </c>
      <c r="P200" s="11" t="s">
        <v>420</v>
      </c>
      <c r="Q200" s="9">
        <v>14</v>
      </c>
      <c r="R200" s="9">
        <v>1184</v>
      </c>
      <c r="S200" s="14">
        <f t="shared" si="2"/>
        <v>1198</v>
      </c>
      <c r="T200" s="15">
        <f t="shared" si="3"/>
        <v>98.831385642737899</v>
      </c>
      <c r="U200" s="15">
        <f t="shared" si="4"/>
        <v>1.1686143572621035</v>
      </c>
      <c r="V200" s="17"/>
      <c r="W200" s="17"/>
      <c r="AC200" s="4"/>
    </row>
    <row r="201" spans="1:29" ht="15.75" customHeight="1">
      <c r="A201" s="13" t="s">
        <v>426</v>
      </c>
      <c r="B201" s="66" t="s">
        <v>423</v>
      </c>
      <c r="C201" s="71">
        <v>17</v>
      </c>
      <c r="D201" s="71">
        <v>661</v>
      </c>
      <c r="E201" s="50">
        <f t="shared" si="16"/>
        <v>678</v>
      </c>
      <c r="F201" s="51">
        <f t="shared" si="17"/>
        <v>97.492625368731566</v>
      </c>
      <c r="G201" s="51">
        <f t="shared" si="18"/>
        <v>2.5073746312684366</v>
      </c>
      <c r="H201" s="3"/>
      <c r="I201" s="1"/>
      <c r="J201" s="1"/>
      <c r="K201" s="1"/>
      <c r="L201" s="1"/>
      <c r="M201" s="1"/>
      <c r="N201" s="1"/>
      <c r="O201" s="13" t="s">
        <v>426</v>
      </c>
      <c r="P201" s="11" t="s">
        <v>423</v>
      </c>
      <c r="Q201" s="9">
        <v>11</v>
      </c>
      <c r="R201" s="9">
        <v>1065</v>
      </c>
      <c r="S201" s="14">
        <f t="shared" si="2"/>
        <v>1076</v>
      </c>
      <c r="T201" s="15">
        <f t="shared" si="3"/>
        <v>98.977695167286257</v>
      </c>
      <c r="U201" s="15">
        <f t="shared" si="4"/>
        <v>1.0223048327137547</v>
      </c>
      <c r="V201" s="17"/>
      <c r="W201" s="17"/>
      <c r="AC201" s="4"/>
    </row>
    <row r="202" spans="1:29" ht="15.75" customHeight="1">
      <c r="A202" s="13" t="s">
        <v>427</v>
      </c>
      <c r="B202" s="66" t="s">
        <v>425</v>
      </c>
      <c r="C202" s="71">
        <v>31</v>
      </c>
      <c r="D202" s="71">
        <v>738</v>
      </c>
      <c r="E202" s="50">
        <f t="shared" si="16"/>
        <v>769</v>
      </c>
      <c r="F202" s="51">
        <f t="shared" si="17"/>
        <v>95.968790637191162</v>
      </c>
      <c r="G202" s="51">
        <f t="shared" si="18"/>
        <v>4.031209362808843</v>
      </c>
      <c r="H202" s="3"/>
      <c r="I202" s="1"/>
      <c r="J202" s="1"/>
      <c r="K202" s="1"/>
      <c r="L202" s="1"/>
      <c r="M202" s="1"/>
      <c r="N202" s="1"/>
      <c r="O202" s="13" t="s">
        <v>427</v>
      </c>
      <c r="P202" s="11" t="s">
        <v>425</v>
      </c>
      <c r="Q202" s="9">
        <v>19</v>
      </c>
      <c r="R202" s="9">
        <v>1054</v>
      </c>
      <c r="S202" s="14">
        <f t="shared" si="2"/>
        <v>1073</v>
      </c>
      <c r="T202" s="15">
        <f t="shared" si="3"/>
        <v>98.229263746505126</v>
      </c>
      <c r="U202" s="15">
        <f t="shared" si="4"/>
        <v>1.7707362534948743</v>
      </c>
      <c r="V202" s="17"/>
      <c r="W202" s="17"/>
      <c r="AC202" s="4"/>
    </row>
    <row r="203" spans="1:29" ht="15.75" customHeight="1">
      <c r="A203" s="13" t="s">
        <v>429</v>
      </c>
      <c r="B203" s="66" t="s">
        <v>430</v>
      </c>
      <c r="C203" s="71">
        <v>536</v>
      </c>
      <c r="D203" s="71">
        <v>4740</v>
      </c>
      <c r="E203" s="50">
        <f t="shared" si="16"/>
        <v>5276</v>
      </c>
      <c r="F203" s="51">
        <f t="shared" si="17"/>
        <v>89.840788476118277</v>
      </c>
      <c r="G203" s="51">
        <f t="shared" si="18"/>
        <v>10.159211523881728</v>
      </c>
      <c r="H203" s="3"/>
      <c r="I203" s="1"/>
      <c r="J203" s="1"/>
      <c r="K203" s="1"/>
      <c r="L203" s="1"/>
      <c r="M203" s="1"/>
      <c r="N203" s="1"/>
      <c r="O203" s="13" t="s">
        <v>429</v>
      </c>
      <c r="P203" s="11" t="s">
        <v>430</v>
      </c>
      <c r="Q203" s="9">
        <v>304</v>
      </c>
      <c r="R203" s="9">
        <v>5532</v>
      </c>
      <c r="S203" s="14">
        <f t="shared" si="2"/>
        <v>5836</v>
      </c>
      <c r="T203" s="15">
        <f t="shared" si="3"/>
        <v>94.790952707333787</v>
      </c>
      <c r="U203" s="15">
        <f t="shared" si="4"/>
        <v>5.2090472926662104</v>
      </c>
      <c r="V203" s="17"/>
      <c r="W203" s="17"/>
      <c r="AC203" s="4"/>
    </row>
    <row r="204" spans="1:29" ht="15.75" customHeight="1">
      <c r="A204" s="13" t="s">
        <v>432</v>
      </c>
      <c r="B204" s="66" t="s">
        <v>428</v>
      </c>
      <c r="C204" s="71">
        <v>10199</v>
      </c>
      <c r="D204" s="71">
        <v>167416</v>
      </c>
      <c r="E204" s="50">
        <f t="shared" si="16"/>
        <v>177615</v>
      </c>
      <c r="F204" s="51">
        <f t="shared" si="17"/>
        <v>94.257804802522301</v>
      </c>
      <c r="G204" s="51">
        <f t="shared" si="18"/>
        <v>5.7421951974776908</v>
      </c>
      <c r="H204" s="3"/>
      <c r="I204" s="1"/>
      <c r="J204" s="1"/>
      <c r="K204" s="1"/>
      <c r="L204" s="1"/>
      <c r="M204" s="1"/>
      <c r="N204" s="1"/>
      <c r="O204" s="13" t="s">
        <v>432</v>
      </c>
      <c r="P204" s="11" t="s">
        <v>428</v>
      </c>
      <c r="Q204" s="9">
        <v>4807</v>
      </c>
      <c r="R204" s="9">
        <v>202986</v>
      </c>
      <c r="S204" s="14">
        <f t="shared" si="2"/>
        <v>207793</v>
      </c>
      <c r="T204" s="15">
        <f t="shared" si="3"/>
        <v>97.686640069684742</v>
      </c>
      <c r="U204" s="15">
        <f t="shared" si="4"/>
        <v>2.3133599303152659</v>
      </c>
      <c r="V204" s="17"/>
      <c r="W204" s="17"/>
      <c r="AC204" s="4"/>
    </row>
    <row r="205" spans="1:29" ht="15.75" customHeight="1">
      <c r="A205" s="13" t="s">
        <v>434</v>
      </c>
      <c r="B205" s="66" t="s">
        <v>431</v>
      </c>
      <c r="C205" s="71">
        <v>12057</v>
      </c>
      <c r="D205" s="71">
        <v>13033</v>
      </c>
      <c r="E205" s="50">
        <f t="shared" si="16"/>
        <v>25090</v>
      </c>
      <c r="F205" s="51">
        <f t="shared" si="17"/>
        <v>51.944998007174171</v>
      </c>
      <c r="G205" s="51">
        <f t="shared" si="18"/>
        <v>48.055001992825822</v>
      </c>
      <c r="H205" s="3"/>
      <c r="I205" s="1"/>
      <c r="J205" s="1"/>
      <c r="K205" s="1"/>
      <c r="L205" s="1"/>
      <c r="M205" s="1"/>
      <c r="N205" s="1"/>
      <c r="O205" s="13" t="s">
        <v>434</v>
      </c>
      <c r="P205" s="11" t="s">
        <v>431</v>
      </c>
      <c r="Q205" s="9">
        <v>6365</v>
      </c>
      <c r="R205" s="9">
        <v>20821</v>
      </c>
      <c r="S205" s="14">
        <f t="shared" si="2"/>
        <v>27186</v>
      </c>
      <c r="T205" s="15">
        <f t="shared" si="3"/>
        <v>76.587214007209596</v>
      </c>
      <c r="U205" s="15">
        <f t="shared" si="4"/>
        <v>23.412785992790408</v>
      </c>
      <c r="V205" s="17"/>
      <c r="W205" s="17"/>
      <c r="AC205" s="4"/>
    </row>
    <row r="206" spans="1:29" ht="15.75" customHeight="1">
      <c r="A206" s="13" t="s">
        <v>435</v>
      </c>
      <c r="B206" s="66" t="s">
        <v>433</v>
      </c>
      <c r="C206" s="71">
        <v>1271</v>
      </c>
      <c r="D206" s="71">
        <v>7254</v>
      </c>
      <c r="E206" s="50">
        <f t="shared" si="16"/>
        <v>8525</v>
      </c>
      <c r="F206" s="51">
        <f t="shared" si="17"/>
        <v>85.090909090909093</v>
      </c>
      <c r="G206" s="51">
        <f t="shared" si="18"/>
        <v>14.909090909090908</v>
      </c>
      <c r="H206" s="3"/>
      <c r="I206" s="1"/>
      <c r="J206" s="1"/>
      <c r="K206" s="1"/>
      <c r="L206" s="1"/>
      <c r="M206" s="1"/>
      <c r="N206" s="1"/>
      <c r="O206" s="13" t="s">
        <v>435</v>
      </c>
      <c r="P206" s="11" t="s">
        <v>433</v>
      </c>
      <c r="Q206" s="9">
        <v>801</v>
      </c>
      <c r="R206" s="9">
        <v>10952</v>
      </c>
      <c r="S206" s="14">
        <f t="shared" si="2"/>
        <v>11753</v>
      </c>
      <c r="T206" s="15">
        <f t="shared" si="3"/>
        <v>93.184718795201221</v>
      </c>
      <c r="U206" s="15">
        <f t="shared" si="4"/>
        <v>6.815281204798775</v>
      </c>
      <c r="V206" s="17"/>
      <c r="W206" s="17"/>
      <c r="AC206" s="4"/>
    </row>
    <row r="207" spans="1:29" ht="15.75" customHeight="1">
      <c r="A207" s="13" t="s">
        <v>436</v>
      </c>
      <c r="B207" s="66" t="s">
        <v>437</v>
      </c>
      <c r="C207" s="71">
        <v>1260</v>
      </c>
      <c r="D207" s="71">
        <v>1325</v>
      </c>
      <c r="E207" s="50">
        <f t="shared" si="16"/>
        <v>2585</v>
      </c>
      <c r="F207" s="51">
        <f t="shared" si="17"/>
        <v>51.257253384912957</v>
      </c>
      <c r="G207" s="51">
        <f t="shared" si="18"/>
        <v>48.742746615087043</v>
      </c>
      <c r="H207" s="3"/>
      <c r="I207" s="1"/>
      <c r="J207" s="1"/>
      <c r="K207" s="1"/>
      <c r="L207" s="1"/>
      <c r="M207" s="1"/>
      <c r="N207" s="1"/>
      <c r="O207" s="13" t="s">
        <v>436</v>
      </c>
      <c r="P207" s="11" t="s">
        <v>437</v>
      </c>
      <c r="Q207" s="9">
        <v>1066</v>
      </c>
      <c r="R207" s="9">
        <v>1942</v>
      </c>
      <c r="S207" s="14">
        <f t="shared" si="2"/>
        <v>3008</v>
      </c>
      <c r="T207" s="15">
        <f t="shared" si="3"/>
        <v>64.561170212765958</v>
      </c>
      <c r="U207" s="15">
        <f t="shared" si="4"/>
        <v>35.438829787234042</v>
      </c>
      <c r="V207" s="17"/>
      <c r="W207" s="17"/>
      <c r="AC207" s="4"/>
    </row>
    <row r="208" spans="1:29" ht="15.75" customHeight="1">
      <c r="A208" s="13" t="s">
        <v>439</v>
      </c>
      <c r="B208" s="66" t="s">
        <v>440</v>
      </c>
      <c r="C208" s="71">
        <v>6199</v>
      </c>
      <c r="D208" s="71">
        <v>14415</v>
      </c>
      <c r="E208" s="50">
        <f t="shared" si="16"/>
        <v>20614</v>
      </c>
      <c r="F208" s="51">
        <f t="shared" si="17"/>
        <v>69.928204133113411</v>
      </c>
      <c r="G208" s="51">
        <f t="shared" si="18"/>
        <v>30.071795866886582</v>
      </c>
      <c r="H208" s="3"/>
      <c r="I208" s="1"/>
      <c r="J208" s="1"/>
      <c r="K208" s="1"/>
      <c r="L208" s="1"/>
      <c r="M208" s="1"/>
      <c r="N208" s="1"/>
      <c r="O208" s="13" t="s">
        <v>439</v>
      </c>
      <c r="P208" s="11" t="s">
        <v>440</v>
      </c>
      <c r="Q208" s="9">
        <v>4002</v>
      </c>
      <c r="R208" s="9">
        <v>17757</v>
      </c>
      <c r="S208" s="14">
        <f t="shared" si="2"/>
        <v>21759</v>
      </c>
      <c r="T208" s="15">
        <f t="shared" si="3"/>
        <v>81.607610643871496</v>
      </c>
      <c r="U208" s="15">
        <f t="shared" si="4"/>
        <v>18.392389356128501</v>
      </c>
      <c r="V208" s="17"/>
      <c r="W208" s="17"/>
      <c r="AC208" s="4"/>
    </row>
    <row r="209" spans="1:29" ht="15.75" customHeight="1">
      <c r="A209" s="13" t="s">
        <v>442</v>
      </c>
      <c r="B209" s="66" t="s">
        <v>438</v>
      </c>
      <c r="C209" s="71">
        <v>5017</v>
      </c>
      <c r="D209" s="71">
        <v>9969</v>
      </c>
      <c r="E209" s="50">
        <f t="shared" si="16"/>
        <v>14986</v>
      </c>
      <c r="F209" s="51">
        <f t="shared" si="17"/>
        <v>66.522087281462689</v>
      </c>
      <c r="G209" s="51">
        <f t="shared" si="18"/>
        <v>33.477912718537297</v>
      </c>
      <c r="H209" s="3"/>
      <c r="I209" s="1"/>
      <c r="J209" s="1"/>
      <c r="K209" s="1"/>
      <c r="L209" s="1"/>
      <c r="M209" s="1"/>
      <c r="N209" s="1"/>
      <c r="O209" s="13" t="s">
        <v>442</v>
      </c>
      <c r="P209" s="11" t="s">
        <v>438</v>
      </c>
      <c r="Q209" s="9">
        <v>3032</v>
      </c>
      <c r="R209" s="9">
        <v>12246</v>
      </c>
      <c r="S209" s="14">
        <f t="shared" si="2"/>
        <v>15278</v>
      </c>
      <c r="T209" s="15">
        <f t="shared" si="3"/>
        <v>80.154470480429367</v>
      </c>
      <c r="U209" s="15">
        <f t="shared" si="4"/>
        <v>19.845529519570622</v>
      </c>
      <c r="V209" s="17"/>
      <c r="W209" s="17"/>
      <c r="AC209" s="4"/>
    </row>
    <row r="210" spans="1:29" ht="15.75" customHeight="1">
      <c r="A210" s="13" t="s">
        <v>443</v>
      </c>
      <c r="B210" s="66" t="s">
        <v>441</v>
      </c>
      <c r="C210" s="71">
        <v>5763</v>
      </c>
      <c r="D210" s="71">
        <v>32560</v>
      </c>
      <c r="E210" s="50">
        <f t="shared" si="16"/>
        <v>38323</v>
      </c>
      <c r="F210" s="51">
        <f t="shared" si="17"/>
        <v>84.96203324374396</v>
      </c>
      <c r="G210" s="51">
        <f t="shared" si="18"/>
        <v>15.037966756256035</v>
      </c>
      <c r="H210" s="3"/>
      <c r="I210" s="1"/>
      <c r="J210" s="1"/>
      <c r="K210" s="1"/>
      <c r="L210" s="1"/>
      <c r="M210" s="1"/>
      <c r="N210" s="1"/>
      <c r="O210" s="13" t="s">
        <v>443</v>
      </c>
      <c r="P210" s="11" t="s">
        <v>441</v>
      </c>
      <c r="Q210" s="9">
        <v>2942</v>
      </c>
      <c r="R210" s="9">
        <v>36953</v>
      </c>
      <c r="S210" s="14">
        <f t="shared" si="2"/>
        <v>39895</v>
      </c>
      <c r="T210" s="15">
        <f t="shared" si="3"/>
        <v>92.625642311066542</v>
      </c>
      <c r="U210" s="15">
        <f t="shared" si="4"/>
        <v>7.3743576889334497</v>
      </c>
      <c r="V210" s="17"/>
      <c r="W210" s="17"/>
      <c r="AC210" s="4"/>
    </row>
    <row r="211" spans="1:29" ht="15.75" customHeight="1">
      <c r="A211" s="13" t="s">
        <v>445</v>
      </c>
      <c r="B211" s="66" t="s">
        <v>446</v>
      </c>
      <c r="C211" s="71">
        <v>3810</v>
      </c>
      <c r="D211" s="71">
        <v>3547</v>
      </c>
      <c r="E211" s="50">
        <f t="shared" si="16"/>
        <v>7357</v>
      </c>
      <c r="F211" s="51">
        <f t="shared" si="17"/>
        <v>48.212586652168007</v>
      </c>
      <c r="G211" s="51">
        <f t="shared" si="18"/>
        <v>51.787413347832</v>
      </c>
      <c r="H211" s="3"/>
      <c r="I211" s="1"/>
      <c r="J211" s="1"/>
      <c r="K211" s="1"/>
      <c r="L211" s="1"/>
      <c r="M211" s="1"/>
      <c r="N211" s="1"/>
      <c r="O211" s="13" t="s">
        <v>445</v>
      </c>
      <c r="P211" s="11" t="s">
        <v>446</v>
      </c>
      <c r="Q211" s="9">
        <v>2113</v>
      </c>
      <c r="R211" s="9">
        <v>5702</v>
      </c>
      <c r="S211" s="14">
        <f t="shared" si="2"/>
        <v>7815</v>
      </c>
      <c r="T211" s="15">
        <f t="shared" si="3"/>
        <v>72.962252079334604</v>
      </c>
      <c r="U211" s="15">
        <f t="shared" si="4"/>
        <v>27.037747920665389</v>
      </c>
      <c r="V211" s="17"/>
      <c r="W211" s="17"/>
      <c r="AC211" s="4"/>
    </row>
    <row r="212" spans="1:29" ht="15.75" customHeight="1">
      <c r="A212" s="13" t="s">
        <v>448</v>
      </c>
      <c r="B212" s="66" t="s">
        <v>444</v>
      </c>
      <c r="C212" s="71">
        <v>9347</v>
      </c>
      <c r="D212" s="71">
        <v>22538</v>
      </c>
      <c r="E212" s="50">
        <f t="shared" si="16"/>
        <v>31885</v>
      </c>
      <c r="F212" s="51">
        <f t="shared" si="17"/>
        <v>70.685275207777948</v>
      </c>
      <c r="G212" s="51">
        <f t="shared" si="18"/>
        <v>29.314724792222048</v>
      </c>
      <c r="H212" s="3"/>
      <c r="I212" s="1"/>
      <c r="J212" s="1"/>
      <c r="K212" s="1"/>
      <c r="L212" s="1"/>
      <c r="M212" s="1"/>
      <c r="N212" s="1"/>
      <c r="O212" s="13" t="s">
        <v>448</v>
      </c>
      <c r="P212" s="11" t="s">
        <v>444</v>
      </c>
      <c r="Q212" s="9">
        <v>5271</v>
      </c>
      <c r="R212" s="9">
        <v>25216</v>
      </c>
      <c r="S212" s="14">
        <f t="shared" si="2"/>
        <v>30487</v>
      </c>
      <c r="T212" s="15">
        <f t="shared" si="3"/>
        <v>82.710663561518032</v>
      </c>
      <c r="U212" s="15">
        <f t="shared" si="4"/>
        <v>17.289336438481975</v>
      </c>
      <c r="V212" s="17"/>
      <c r="W212" s="17"/>
      <c r="AC212" s="4"/>
    </row>
    <row r="213" spans="1:29" ht="15.75" customHeight="1">
      <c r="A213" s="13" t="s">
        <v>450</v>
      </c>
      <c r="B213" s="66" t="s">
        <v>447</v>
      </c>
      <c r="C213" s="71">
        <v>2475</v>
      </c>
      <c r="D213" s="71">
        <v>6885</v>
      </c>
      <c r="E213" s="50">
        <f t="shared" si="16"/>
        <v>9360</v>
      </c>
      <c r="F213" s="51">
        <f t="shared" si="17"/>
        <v>73.557692307692307</v>
      </c>
      <c r="G213" s="51">
        <f t="shared" si="18"/>
        <v>26.442307692307693</v>
      </c>
      <c r="H213" s="3"/>
      <c r="I213" s="1"/>
      <c r="J213" s="1"/>
      <c r="K213" s="1"/>
      <c r="L213" s="1"/>
      <c r="M213" s="1"/>
      <c r="N213" s="1"/>
      <c r="O213" s="13" t="s">
        <v>450</v>
      </c>
      <c r="P213" s="11" t="s">
        <v>447</v>
      </c>
      <c r="Q213" s="9">
        <v>1120</v>
      </c>
      <c r="R213" s="9">
        <v>7756</v>
      </c>
      <c r="S213" s="14">
        <f t="shared" si="2"/>
        <v>8876</v>
      </c>
      <c r="T213" s="15">
        <f t="shared" si="3"/>
        <v>87.381703470031553</v>
      </c>
      <c r="U213" s="15">
        <f t="shared" si="4"/>
        <v>12.618296529968454</v>
      </c>
      <c r="V213" s="17"/>
      <c r="W213" s="17"/>
      <c r="AC213" s="4"/>
    </row>
    <row r="214" spans="1:29" ht="15.75" customHeight="1">
      <c r="A214" s="13" t="s">
        <v>452</v>
      </c>
      <c r="B214" s="66" t="s">
        <v>449</v>
      </c>
      <c r="C214" s="71">
        <v>5090</v>
      </c>
      <c r="D214" s="71">
        <v>5983</v>
      </c>
      <c r="E214" s="50">
        <f t="shared" si="16"/>
        <v>11073</v>
      </c>
      <c r="F214" s="51">
        <f t="shared" si="17"/>
        <v>54.032330894969746</v>
      </c>
      <c r="G214" s="51">
        <f t="shared" si="18"/>
        <v>45.967669105030254</v>
      </c>
      <c r="H214" s="3"/>
      <c r="I214" s="1"/>
      <c r="J214" s="1"/>
      <c r="K214" s="1"/>
      <c r="L214" s="1"/>
      <c r="M214" s="1"/>
      <c r="N214" s="1"/>
      <c r="O214" s="13" t="s">
        <v>452</v>
      </c>
      <c r="P214" s="11" t="s">
        <v>449</v>
      </c>
      <c r="Q214" s="9">
        <v>3695</v>
      </c>
      <c r="R214" s="9">
        <v>9948</v>
      </c>
      <c r="S214" s="14">
        <f t="shared" si="2"/>
        <v>13643</v>
      </c>
      <c r="T214" s="15">
        <f t="shared" si="3"/>
        <v>72.916513963204579</v>
      </c>
      <c r="U214" s="15">
        <f t="shared" si="4"/>
        <v>27.083486036795428</v>
      </c>
      <c r="V214" s="17"/>
      <c r="W214" s="17"/>
      <c r="AC214" s="4"/>
    </row>
    <row r="215" spans="1:29" ht="15.75" customHeight="1">
      <c r="A215" s="13" t="s">
        <v>454</v>
      </c>
      <c r="B215" s="66" t="s">
        <v>451</v>
      </c>
      <c r="C215" s="71">
        <v>6197</v>
      </c>
      <c r="D215" s="71">
        <v>7978</v>
      </c>
      <c r="E215" s="50">
        <f t="shared" si="16"/>
        <v>14175</v>
      </c>
      <c r="F215" s="51">
        <f t="shared" si="17"/>
        <v>56.282186948853621</v>
      </c>
      <c r="G215" s="51">
        <f t="shared" si="18"/>
        <v>43.717813051146386</v>
      </c>
      <c r="H215" s="3"/>
      <c r="I215" s="1"/>
      <c r="J215" s="1"/>
      <c r="K215" s="1"/>
      <c r="L215" s="1"/>
      <c r="M215" s="1"/>
      <c r="N215" s="1"/>
      <c r="O215" s="13" t="s">
        <v>454</v>
      </c>
      <c r="P215" s="11" t="s">
        <v>451</v>
      </c>
      <c r="Q215" s="9">
        <v>4804</v>
      </c>
      <c r="R215" s="9">
        <v>10623</v>
      </c>
      <c r="S215" s="14">
        <f t="shared" si="2"/>
        <v>15427</v>
      </c>
      <c r="T215" s="15">
        <f t="shared" si="3"/>
        <v>68.859791275037281</v>
      </c>
      <c r="U215" s="15">
        <f t="shared" si="4"/>
        <v>31.140208724962726</v>
      </c>
      <c r="V215" s="17"/>
      <c r="W215" s="17"/>
      <c r="AC215" s="4"/>
    </row>
    <row r="216" spans="1:29" ht="15.75" customHeight="1">
      <c r="A216" s="13" t="s">
        <v>456</v>
      </c>
      <c r="B216" s="66" t="s">
        <v>453</v>
      </c>
      <c r="C216" s="71">
        <v>10072</v>
      </c>
      <c r="D216" s="71">
        <v>9830</v>
      </c>
      <c r="E216" s="50">
        <f t="shared" si="16"/>
        <v>19902</v>
      </c>
      <c r="F216" s="51">
        <f t="shared" si="17"/>
        <v>49.392020902421869</v>
      </c>
      <c r="G216" s="51">
        <f t="shared" si="18"/>
        <v>50.607979097578138</v>
      </c>
      <c r="H216" s="3"/>
      <c r="I216" s="1"/>
      <c r="J216" s="1"/>
      <c r="K216" s="1"/>
      <c r="L216" s="1"/>
      <c r="M216" s="1"/>
      <c r="N216" s="1"/>
      <c r="O216" s="13" t="s">
        <v>456</v>
      </c>
      <c r="P216" s="11" t="s">
        <v>453</v>
      </c>
      <c r="Q216" s="9">
        <v>5982</v>
      </c>
      <c r="R216" s="9">
        <v>10306</v>
      </c>
      <c r="S216" s="14">
        <f t="shared" si="2"/>
        <v>16288</v>
      </c>
      <c r="T216" s="15">
        <f t="shared" si="3"/>
        <v>63.273575638506877</v>
      </c>
      <c r="U216" s="15">
        <f t="shared" si="4"/>
        <v>36.726424361493123</v>
      </c>
      <c r="V216" s="17"/>
      <c r="W216" s="17"/>
      <c r="AC216" s="4"/>
    </row>
    <row r="217" spans="1:29" ht="15.75" customHeight="1">
      <c r="A217" s="13" t="s">
        <v>458</v>
      </c>
      <c r="B217" s="66" t="s">
        <v>455</v>
      </c>
      <c r="C217" s="71">
        <v>10662</v>
      </c>
      <c r="D217" s="71">
        <v>13983</v>
      </c>
      <c r="E217" s="50">
        <f t="shared" si="16"/>
        <v>24645</v>
      </c>
      <c r="F217" s="51">
        <f t="shared" si="17"/>
        <v>56.737674984783936</v>
      </c>
      <c r="G217" s="51">
        <f t="shared" si="18"/>
        <v>43.262325015216071</v>
      </c>
      <c r="H217" s="3"/>
      <c r="I217" s="1"/>
      <c r="J217" s="1"/>
      <c r="K217" s="1"/>
      <c r="L217" s="1"/>
      <c r="M217" s="1"/>
      <c r="N217" s="1"/>
      <c r="O217" s="13" t="s">
        <v>458</v>
      </c>
      <c r="P217" s="11" t="s">
        <v>455</v>
      </c>
      <c r="Q217" s="9">
        <v>7417</v>
      </c>
      <c r="R217" s="9">
        <v>23537</v>
      </c>
      <c r="S217" s="14">
        <f t="shared" si="2"/>
        <v>30954</v>
      </c>
      <c r="T217" s="15">
        <f t="shared" si="3"/>
        <v>76.038637978936492</v>
      </c>
      <c r="U217" s="15">
        <f t="shared" si="4"/>
        <v>23.961362021063515</v>
      </c>
      <c r="V217" s="17"/>
      <c r="W217" s="17"/>
      <c r="AC217" s="4"/>
    </row>
    <row r="218" spans="1:29" ht="15.75" customHeight="1">
      <c r="A218" s="13" t="s">
        <v>459</v>
      </c>
      <c r="B218" s="66" t="s">
        <v>457</v>
      </c>
      <c r="C218" s="71">
        <v>7494</v>
      </c>
      <c r="D218" s="71">
        <v>7445</v>
      </c>
      <c r="E218" s="50">
        <f t="shared" si="16"/>
        <v>14939</v>
      </c>
      <c r="F218" s="51">
        <f t="shared" si="17"/>
        <v>49.83599973224446</v>
      </c>
      <c r="G218" s="51">
        <f t="shared" si="18"/>
        <v>50.16400026775554</v>
      </c>
      <c r="H218" s="3"/>
      <c r="I218" s="1"/>
      <c r="J218" s="1"/>
      <c r="K218" s="1"/>
      <c r="L218" s="1"/>
      <c r="M218" s="1"/>
      <c r="N218" s="1"/>
      <c r="O218" s="13" t="s">
        <v>459</v>
      </c>
      <c r="P218" s="11" t="s">
        <v>457</v>
      </c>
      <c r="Q218" s="9">
        <v>4474</v>
      </c>
      <c r="R218" s="9">
        <v>9371</v>
      </c>
      <c r="S218" s="14">
        <f t="shared" si="2"/>
        <v>13845</v>
      </c>
      <c r="T218" s="15">
        <f t="shared" si="3"/>
        <v>67.685084868183466</v>
      </c>
      <c r="U218" s="15">
        <f t="shared" si="4"/>
        <v>32.314915131816541</v>
      </c>
      <c r="V218" s="17"/>
      <c r="W218" s="17"/>
      <c r="AC218" s="4"/>
    </row>
    <row r="219" spans="1:29" ht="15.75" customHeight="1">
      <c r="A219" s="13" t="s">
        <v>461</v>
      </c>
      <c r="B219" s="66" t="s">
        <v>462</v>
      </c>
      <c r="C219" s="71">
        <v>7865</v>
      </c>
      <c r="D219" s="71">
        <v>10609</v>
      </c>
      <c r="E219" s="50">
        <f t="shared" si="16"/>
        <v>18474</v>
      </c>
      <c r="F219" s="51">
        <f t="shared" si="17"/>
        <v>57.426653675435745</v>
      </c>
      <c r="G219" s="51">
        <f t="shared" si="18"/>
        <v>42.573346324564255</v>
      </c>
      <c r="H219" s="3"/>
      <c r="I219" s="1"/>
      <c r="J219" s="1"/>
      <c r="K219" s="1"/>
      <c r="L219" s="1"/>
      <c r="M219" s="1"/>
      <c r="N219" s="1"/>
      <c r="O219" s="13" t="s">
        <v>461</v>
      </c>
      <c r="P219" s="11" t="s">
        <v>462</v>
      </c>
      <c r="Q219" s="9">
        <v>4652</v>
      </c>
      <c r="R219" s="9">
        <v>15297</v>
      </c>
      <c r="S219" s="14">
        <f t="shared" si="2"/>
        <v>19949</v>
      </c>
      <c r="T219" s="15">
        <f t="shared" si="3"/>
        <v>76.680535365181214</v>
      </c>
      <c r="U219" s="15">
        <f t="shared" si="4"/>
        <v>23.319464634818786</v>
      </c>
      <c r="V219" s="17"/>
      <c r="W219" s="17"/>
      <c r="AC219" s="4"/>
    </row>
    <row r="220" spans="1:29" ht="15.75" customHeight="1">
      <c r="A220" s="13" t="s">
        <v>464</v>
      </c>
      <c r="B220" s="66" t="s">
        <v>465</v>
      </c>
      <c r="C220" s="71">
        <v>16631</v>
      </c>
      <c r="D220" s="71">
        <v>11113</v>
      </c>
      <c r="E220" s="50">
        <f t="shared" si="16"/>
        <v>27744</v>
      </c>
      <c r="F220" s="51">
        <f t="shared" si="17"/>
        <v>40.055507497116494</v>
      </c>
      <c r="G220" s="51">
        <f t="shared" si="18"/>
        <v>59.944492502883506</v>
      </c>
      <c r="H220" s="3"/>
      <c r="I220" s="1"/>
      <c r="J220" s="1"/>
      <c r="K220" s="1"/>
      <c r="L220" s="1"/>
      <c r="M220" s="1"/>
      <c r="N220" s="1"/>
      <c r="O220" s="13" t="s">
        <v>464</v>
      </c>
      <c r="P220" s="11" t="s">
        <v>465</v>
      </c>
      <c r="Q220" s="9">
        <v>11451</v>
      </c>
      <c r="R220" s="9">
        <v>15358</v>
      </c>
      <c r="S220" s="14">
        <f t="shared" si="2"/>
        <v>26809</v>
      </c>
      <c r="T220" s="15">
        <f t="shared" si="3"/>
        <v>57.286732067589242</v>
      </c>
      <c r="U220" s="15">
        <f t="shared" si="4"/>
        <v>42.713267932410758</v>
      </c>
      <c r="V220" s="17"/>
      <c r="W220" s="17"/>
      <c r="AC220" s="4"/>
    </row>
    <row r="221" spans="1:29" ht="15.75" customHeight="1">
      <c r="A221" s="13" t="s">
        <v>467</v>
      </c>
      <c r="B221" s="66" t="s">
        <v>460</v>
      </c>
      <c r="C221" s="71">
        <v>4743</v>
      </c>
      <c r="D221" s="71">
        <v>5404</v>
      </c>
      <c r="E221" s="50">
        <f t="shared" si="16"/>
        <v>10147</v>
      </c>
      <c r="F221" s="51">
        <f t="shared" si="17"/>
        <v>53.257120331132356</v>
      </c>
      <c r="G221" s="51">
        <f t="shared" si="18"/>
        <v>46.742879668867644</v>
      </c>
      <c r="H221" s="3"/>
      <c r="I221" s="1"/>
      <c r="J221" s="1"/>
      <c r="K221" s="1"/>
      <c r="L221" s="1"/>
      <c r="M221" s="1"/>
      <c r="N221" s="1"/>
      <c r="O221" s="13" t="s">
        <v>467</v>
      </c>
      <c r="P221" s="11" t="s">
        <v>460</v>
      </c>
      <c r="Q221" s="9">
        <v>2915</v>
      </c>
      <c r="R221" s="9">
        <v>7246</v>
      </c>
      <c r="S221" s="14">
        <f t="shared" si="2"/>
        <v>10161</v>
      </c>
      <c r="T221" s="15">
        <f t="shared" si="3"/>
        <v>71.311878752091332</v>
      </c>
      <c r="U221" s="15">
        <f t="shared" si="4"/>
        <v>28.688121247908672</v>
      </c>
      <c r="V221" s="17"/>
      <c r="W221" s="17"/>
      <c r="AC221" s="4"/>
    </row>
    <row r="222" spans="1:29" ht="15.75" customHeight="1">
      <c r="A222" s="13" t="s">
        <v>468</v>
      </c>
      <c r="B222" s="66" t="s">
        <v>463</v>
      </c>
      <c r="C222" s="71">
        <v>3822</v>
      </c>
      <c r="D222" s="71">
        <v>26078</v>
      </c>
      <c r="E222" s="50">
        <f t="shared" si="16"/>
        <v>29900</v>
      </c>
      <c r="F222" s="51">
        <f t="shared" si="17"/>
        <v>87.217391304347828</v>
      </c>
      <c r="G222" s="51">
        <f t="shared" si="18"/>
        <v>12.782608695652172</v>
      </c>
      <c r="H222" s="3"/>
      <c r="I222" s="1"/>
      <c r="J222" s="1"/>
      <c r="K222" s="1"/>
      <c r="L222" s="1"/>
      <c r="M222" s="1"/>
      <c r="N222" s="1"/>
      <c r="O222" s="13" t="s">
        <v>468</v>
      </c>
      <c r="P222" s="11" t="s">
        <v>463</v>
      </c>
      <c r="Q222" s="9">
        <v>2067</v>
      </c>
      <c r="R222" s="9">
        <v>25981</v>
      </c>
      <c r="S222" s="14">
        <f t="shared" si="2"/>
        <v>28048</v>
      </c>
      <c r="T222" s="15">
        <f t="shared" si="3"/>
        <v>92.630490587564168</v>
      </c>
      <c r="U222" s="15">
        <f t="shared" si="4"/>
        <v>7.3695094124358249</v>
      </c>
      <c r="V222" s="17"/>
      <c r="W222" s="17"/>
      <c r="AC222" s="4"/>
    </row>
    <row r="223" spans="1:29" ht="15.75" customHeight="1">
      <c r="A223" s="13" t="s">
        <v>470</v>
      </c>
      <c r="B223" s="66" t="s">
        <v>466</v>
      </c>
      <c r="C223" s="71">
        <v>2184</v>
      </c>
      <c r="D223" s="71">
        <v>7889</v>
      </c>
      <c r="E223" s="50">
        <f t="shared" si="16"/>
        <v>10073</v>
      </c>
      <c r="F223" s="51">
        <f t="shared" si="17"/>
        <v>78.318276580959008</v>
      </c>
      <c r="G223" s="51">
        <f t="shared" si="18"/>
        <v>21.681723419041003</v>
      </c>
      <c r="H223" s="3"/>
      <c r="I223" s="1"/>
      <c r="J223" s="1"/>
      <c r="K223" s="1"/>
      <c r="L223" s="1"/>
      <c r="M223" s="1"/>
      <c r="N223" s="1"/>
      <c r="O223" s="13" t="s">
        <v>470</v>
      </c>
      <c r="P223" s="11" t="s">
        <v>466</v>
      </c>
      <c r="Q223" s="9">
        <v>986</v>
      </c>
      <c r="R223" s="9">
        <v>8806</v>
      </c>
      <c r="S223" s="14">
        <f t="shared" si="2"/>
        <v>9792</v>
      </c>
      <c r="T223" s="15">
        <f t="shared" si="3"/>
        <v>89.930555555555557</v>
      </c>
      <c r="U223" s="15">
        <f t="shared" si="4"/>
        <v>10.069444444444445</v>
      </c>
      <c r="V223" s="17"/>
      <c r="W223" s="17"/>
      <c r="AC223" s="4"/>
    </row>
    <row r="224" spans="1:29" ht="15.75" customHeight="1">
      <c r="A224" s="13" t="s">
        <v>472</v>
      </c>
      <c r="B224" s="66" t="s">
        <v>473</v>
      </c>
      <c r="C224" s="71">
        <v>10182</v>
      </c>
      <c r="D224" s="71">
        <v>7996</v>
      </c>
      <c r="E224" s="50">
        <f t="shared" si="16"/>
        <v>18178</v>
      </c>
      <c r="F224" s="51">
        <f t="shared" si="17"/>
        <v>43.987237319837163</v>
      </c>
      <c r="G224" s="51">
        <f t="shared" si="18"/>
        <v>56.01276268016283</v>
      </c>
      <c r="H224" s="3"/>
      <c r="I224" s="1"/>
      <c r="J224" s="1"/>
      <c r="K224" s="1"/>
      <c r="L224" s="1"/>
      <c r="M224" s="1"/>
      <c r="N224" s="1"/>
      <c r="O224" s="13" t="s">
        <v>472</v>
      </c>
      <c r="P224" s="11" t="s">
        <v>473</v>
      </c>
      <c r="Q224" s="9">
        <v>6463</v>
      </c>
      <c r="R224" s="9">
        <v>9805</v>
      </c>
      <c r="S224" s="14">
        <f t="shared" si="2"/>
        <v>16268</v>
      </c>
      <c r="T224" s="15">
        <f t="shared" si="3"/>
        <v>60.271699041062213</v>
      </c>
      <c r="U224" s="15">
        <f t="shared" si="4"/>
        <v>39.728300958937787</v>
      </c>
      <c r="V224" s="17"/>
      <c r="W224" s="17"/>
      <c r="AC224" s="4"/>
    </row>
    <row r="225" spans="1:29" ht="15.75" customHeight="1">
      <c r="A225" s="13" t="s">
        <v>475</v>
      </c>
      <c r="B225" s="66" t="s">
        <v>469</v>
      </c>
      <c r="C225" s="71">
        <v>4586</v>
      </c>
      <c r="D225" s="71">
        <v>3538</v>
      </c>
      <c r="E225" s="50">
        <f t="shared" si="16"/>
        <v>8124</v>
      </c>
      <c r="F225" s="51">
        <f t="shared" si="17"/>
        <v>43.549975381585426</v>
      </c>
      <c r="G225" s="51">
        <f t="shared" si="18"/>
        <v>56.450024618414574</v>
      </c>
      <c r="H225" s="3"/>
      <c r="I225" s="1"/>
      <c r="J225" s="1"/>
      <c r="K225" s="1"/>
      <c r="L225" s="1"/>
      <c r="M225" s="1"/>
      <c r="N225" s="1"/>
      <c r="O225" s="13" t="s">
        <v>475</v>
      </c>
      <c r="P225" s="11" t="s">
        <v>469</v>
      </c>
      <c r="Q225" s="9">
        <v>2939</v>
      </c>
      <c r="R225" s="9">
        <v>5120</v>
      </c>
      <c r="S225" s="14">
        <f t="shared" si="2"/>
        <v>8059</v>
      </c>
      <c r="T225" s="15">
        <f t="shared" si="3"/>
        <v>63.531455515572652</v>
      </c>
      <c r="U225" s="15">
        <f t="shared" si="4"/>
        <v>36.468544484427348</v>
      </c>
      <c r="V225" s="17"/>
      <c r="W225" s="17"/>
      <c r="AC225" s="4"/>
    </row>
    <row r="226" spans="1:29" ht="15.75" customHeight="1">
      <c r="A226" s="13" t="s">
        <v>476</v>
      </c>
      <c r="B226" s="66" t="s">
        <v>471</v>
      </c>
      <c r="C226" s="71">
        <v>2019</v>
      </c>
      <c r="D226" s="71">
        <v>39941</v>
      </c>
      <c r="E226" s="50">
        <f t="shared" si="16"/>
        <v>41960</v>
      </c>
      <c r="F226" s="51">
        <f t="shared" si="17"/>
        <v>95.188274547187802</v>
      </c>
      <c r="G226" s="51">
        <f t="shared" si="18"/>
        <v>4.811725452812202</v>
      </c>
      <c r="H226" s="3"/>
      <c r="I226" s="1"/>
      <c r="J226" s="1"/>
      <c r="K226" s="1"/>
      <c r="L226" s="1"/>
      <c r="M226" s="1"/>
      <c r="N226" s="1"/>
      <c r="O226" s="13" t="s">
        <v>476</v>
      </c>
      <c r="P226" s="11" t="s">
        <v>471</v>
      </c>
      <c r="Q226" s="9">
        <v>630</v>
      </c>
      <c r="R226" s="9">
        <v>43123</v>
      </c>
      <c r="S226" s="14">
        <f t="shared" si="2"/>
        <v>43753</v>
      </c>
      <c r="T226" s="15">
        <f t="shared" si="3"/>
        <v>98.560098736086672</v>
      </c>
      <c r="U226" s="15">
        <f t="shared" si="4"/>
        <v>1.4399012639133317</v>
      </c>
      <c r="V226" s="17"/>
      <c r="W226" s="17"/>
      <c r="AC226" s="4"/>
    </row>
    <row r="227" spans="1:29" ht="15.75" customHeight="1">
      <c r="A227" s="13" t="s">
        <v>478</v>
      </c>
      <c r="B227" s="66" t="s">
        <v>474</v>
      </c>
      <c r="C227" s="71">
        <v>416</v>
      </c>
      <c r="D227" s="71">
        <v>10003</v>
      </c>
      <c r="E227" s="50">
        <f t="shared" si="16"/>
        <v>10419</v>
      </c>
      <c r="F227" s="51">
        <f t="shared" si="17"/>
        <v>96.007294366061998</v>
      </c>
      <c r="G227" s="51">
        <f t="shared" si="18"/>
        <v>3.9927056339379976</v>
      </c>
      <c r="H227" s="3"/>
      <c r="I227" s="1"/>
      <c r="J227" s="1"/>
      <c r="K227" s="1"/>
      <c r="L227" s="1"/>
      <c r="M227" s="1"/>
      <c r="N227" s="1"/>
      <c r="O227" s="13" t="s">
        <v>478</v>
      </c>
      <c r="P227" s="11" t="s">
        <v>474</v>
      </c>
      <c r="Q227" s="9">
        <v>135</v>
      </c>
      <c r="R227" s="9">
        <v>9054</v>
      </c>
      <c r="S227" s="14">
        <f t="shared" si="2"/>
        <v>9189</v>
      </c>
      <c r="T227" s="15">
        <f t="shared" si="3"/>
        <v>98.530852105778649</v>
      </c>
      <c r="U227" s="15">
        <f t="shared" si="4"/>
        <v>1.4691478942213516</v>
      </c>
      <c r="V227" s="17"/>
      <c r="W227" s="17"/>
      <c r="AC227" s="4"/>
    </row>
    <row r="228" spans="1:29" ht="15.75" customHeight="1">
      <c r="A228" s="13" t="s">
        <v>480</v>
      </c>
      <c r="B228" s="66" t="s">
        <v>481</v>
      </c>
      <c r="C228" s="71">
        <v>1034</v>
      </c>
      <c r="D228" s="71">
        <v>11181</v>
      </c>
      <c r="E228" s="50">
        <f t="shared" si="16"/>
        <v>12215</v>
      </c>
      <c r="F228" s="51">
        <f t="shared" si="17"/>
        <v>91.53499795333606</v>
      </c>
      <c r="G228" s="51">
        <f t="shared" si="18"/>
        <v>8.4650020466639369</v>
      </c>
      <c r="H228" s="3"/>
      <c r="I228" s="1"/>
      <c r="J228" s="1"/>
      <c r="K228" s="1"/>
      <c r="L228" s="1"/>
      <c r="M228" s="1"/>
      <c r="N228" s="1"/>
      <c r="O228" s="13" t="s">
        <v>480</v>
      </c>
      <c r="P228" s="11" t="s">
        <v>481</v>
      </c>
      <c r="Q228" s="9">
        <v>325</v>
      </c>
      <c r="R228" s="9">
        <v>11870</v>
      </c>
      <c r="S228" s="14">
        <f t="shared" si="2"/>
        <v>12195</v>
      </c>
      <c r="T228" s="15">
        <f t="shared" si="3"/>
        <v>97.334973349733502</v>
      </c>
      <c r="U228" s="15">
        <f t="shared" si="4"/>
        <v>2.6650266502665025</v>
      </c>
      <c r="V228" s="17"/>
      <c r="W228" s="17"/>
      <c r="AC228" s="4"/>
    </row>
    <row r="229" spans="1:29" ht="15.75" customHeight="1">
      <c r="A229" s="13" t="s">
        <v>483</v>
      </c>
      <c r="B229" s="66" t="s">
        <v>477</v>
      </c>
      <c r="C229" s="71">
        <v>30</v>
      </c>
      <c r="D229" s="71">
        <v>983</v>
      </c>
      <c r="E229" s="50">
        <f t="shared" si="16"/>
        <v>1013</v>
      </c>
      <c r="F229" s="51">
        <f t="shared" si="17"/>
        <v>97.038499506416585</v>
      </c>
      <c r="G229" s="51">
        <f t="shared" si="18"/>
        <v>2.9615004935834155</v>
      </c>
      <c r="H229" s="3"/>
      <c r="I229" s="1"/>
      <c r="J229" s="1"/>
      <c r="K229" s="1"/>
      <c r="L229" s="1"/>
      <c r="M229" s="1"/>
      <c r="N229" s="1"/>
      <c r="O229" s="13" t="s">
        <v>483</v>
      </c>
      <c r="P229" s="11" t="s">
        <v>477</v>
      </c>
      <c r="Q229" s="9">
        <v>41</v>
      </c>
      <c r="R229" s="9">
        <v>1524</v>
      </c>
      <c r="S229" s="14">
        <f t="shared" si="2"/>
        <v>1565</v>
      </c>
      <c r="T229" s="15">
        <f t="shared" si="3"/>
        <v>97.380191693290726</v>
      </c>
      <c r="U229" s="15">
        <f t="shared" si="4"/>
        <v>2.619808306709265</v>
      </c>
      <c r="V229" s="17"/>
      <c r="W229" s="17"/>
      <c r="AC229" s="4"/>
    </row>
    <row r="230" spans="1:29" ht="15.75" customHeight="1">
      <c r="A230" s="13" t="s">
        <v>485</v>
      </c>
      <c r="B230" s="66" t="s">
        <v>479</v>
      </c>
      <c r="C230" s="71">
        <v>323</v>
      </c>
      <c r="D230" s="71">
        <v>2789</v>
      </c>
      <c r="E230" s="50">
        <f t="shared" si="16"/>
        <v>3112</v>
      </c>
      <c r="F230" s="51">
        <f t="shared" si="17"/>
        <v>89.620822622107966</v>
      </c>
      <c r="G230" s="51">
        <f t="shared" si="18"/>
        <v>10.379177377892031</v>
      </c>
      <c r="H230" s="3"/>
      <c r="I230" s="1"/>
      <c r="J230" s="1"/>
      <c r="K230" s="1"/>
      <c r="L230" s="1"/>
      <c r="M230" s="1"/>
      <c r="N230" s="1"/>
      <c r="O230" s="13" t="s">
        <v>485</v>
      </c>
      <c r="P230" s="11" t="s">
        <v>479</v>
      </c>
      <c r="Q230" s="9">
        <v>185</v>
      </c>
      <c r="R230" s="9">
        <v>2829</v>
      </c>
      <c r="S230" s="14">
        <f t="shared" si="2"/>
        <v>3014</v>
      </c>
      <c r="T230" s="15">
        <f t="shared" si="3"/>
        <v>93.861977438619775</v>
      </c>
      <c r="U230" s="15">
        <f t="shared" si="4"/>
        <v>6.1380225613802253</v>
      </c>
      <c r="V230" s="17"/>
      <c r="W230" s="17"/>
      <c r="AC230" s="4"/>
    </row>
    <row r="231" spans="1:29" ht="15.75" customHeight="1">
      <c r="A231" s="13" t="s">
        <v>487</v>
      </c>
      <c r="B231" s="66" t="s">
        <v>482</v>
      </c>
      <c r="C231" s="71">
        <v>91</v>
      </c>
      <c r="D231" s="71">
        <v>991</v>
      </c>
      <c r="E231" s="50">
        <f t="shared" si="16"/>
        <v>1082</v>
      </c>
      <c r="F231" s="51">
        <f t="shared" si="17"/>
        <v>91.589648798521267</v>
      </c>
      <c r="G231" s="51">
        <f t="shared" si="18"/>
        <v>8.4103512014787434</v>
      </c>
      <c r="H231" s="3"/>
      <c r="I231" s="1"/>
      <c r="J231" s="1"/>
      <c r="K231" s="1"/>
      <c r="L231" s="1"/>
      <c r="M231" s="1"/>
      <c r="N231" s="1"/>
      <c r="O231" s="13" t="s">
        <v>487</v>
      </c>
      <c r="P231" s="11" t="s">
        <v>482</v>
      </c>
      <c r="Q231" s="9">
        <v>25</v>
      </c>
      <c r="R231" s="9">
        <v>961</v>
      </c>
      <c r="S231" s="14">
        <f t="shared" si="2"/>
        <v>986</v>
      </c>
      <c r="T231" s="15">
        <f t="shared" si="3"/>
        <v>97.464503042596348</v>
      </c>
      <c r="U231" s="15">
        <f t="shared" si="4"/>
        <v>2.5354969574036512</v>
      </c>
      <c r="V231" s="17"/>
      <c r="W231" s="17"/>
      <c r="AC231" s="4"/>
    </row>
    <row r="232" spans="1:29" ht="15.75" customHeight="1">
      <c r="A232" s="13" t="s">
        <v>489</v>
      </c>
      <c r="B232" s="66" t="s">
        <v>484</v>
      </c>
      <c r="C232" s="71">
        <v>178</v>
      </c>
      <c r="D232" s="71">
        <v>1957</v>
      </c>
      <c r="E232" s="50">
        <f t="shared" si="16"/>
        <v>2135</v>
      </c>
      <c r="F232" s="51">
        <f t="shared" si="17"/>
        <v>91.662763466042151</v>
      </c>
      <c r="G232" s="51">
        <f t="shared" si="18"/>
        <v>8.3372365339578458</v>
      </c>
      <c r="H232" s="3"/>
      <c r="I232" s="1"/>
      <c r="J232" s="1"/>
      <c r="K232" s="1"/>
      <c r="L232" s="1"/>
      <c r="M232" s="1"/>
      <c r="N232" s="1"/>
      <c r="O232" s="13" t="s">
        <v>489</v>
      </c>
      <c r="P232" s="11" t="s">
        <v>484</v>
      </c>
      <c r="Q232" s="9">
        <v>236</v>
      </c>
      <c r="R232" s="9">
        <v>1605</v>
      </c>
      <c r="S232" s="14">
        <f t="shared" si="2"/>
        <v>1841</v>
      </c>
      <c r="T232" s="15">
        <f t="shared" si="3"/>
        <v>87.180879956545354</v>
      </c>
      <c r="U232" s="15">
        <f t="shared" si="4"/>
        <v>12.819120043454642</v>
      </c>
      <c r="V232" s="17"/>
      <c r="W232" s="17"/>
      <c r="AC232" s="4"/>
    </row>
    <row r="233" spans="1:29" ht="15.75" customHeight="1">
      <c r="A233" s="13" t="s">
        <v>491</v>
      </c>
      <c r="B233" s="66" t="s">
        <v>486</v>
      </c>
      <c r="C233" s="71">
        <v>4756</v>
      </c>
      <c r="D233" s="71">
        <v>15900</v>
      </c>
      <c r="E233" s="50">
        <f t="shared" si="16"/>
        <v>20656</v>
      </c>
      <c r="F233" s="51">
        <f t="shared" si="17"/>
        <v>76.975213013168087</v>
      </c>
      <c r="G233" s="51">
        <f t="shared" si="18"/>
        <v>23.024786986831913</v>
      </c>
      <c r="H233" s="3"/>
      <c r="I233" s="1"/>
      <c r="J233" s="1"/>
      <c r="K233" s="1"/>
      <c r="L233" s="1"/>
      <c r="M233" s="1"/>
      <c r="N233" s="1"/>
      <c r="O233" s="13" t="s">
        <v>491</v>
      </c>
      <c r="P233" s="11" t="s">
        <v>486</v>
      </c>
      <c r="Q233" s="9">
        <v>2234</v>
      </c>
      <c r="R233" s="9">
        <v>13536</v>
      </c>
      <c r="S233" s="14">
        <f t="shared" si="2"/>
        <v>15770</v>
      </c>
      <c r="T233" s="15">
        <f t="shared" si="3"/>
        <v>85.83386176284084</v>
      </c>
      <c r="U233" s="15">
        <f t="shared" si="4"/>
        <v>14.166138237159162</v>
      </c>
      <c r="V233" s="17"/>
      <c r="W233" s="17"/>
      <c r="AC233" s="4"/>
    </row>
    <row r="234" spans="1:29" ht="15.75" customHeight="1">
      <c r="A234" s="13" t="s">
        <v>493</v>
      </c>
      <c r="B234" s="66" t="s">
        <v>488</v>
      </c>
      <c r="C234" s="71">
        <v>1712</v>
      </c>
      <c r="D234" s="71">
        <v>9690</v>
      </c>
      <c r="E234" s="50">
        <f t="shared" si="16"/>
        <v>11402</v>
      </c>
      <c r="F234" s="51">
        <f t="shared" si="17"/>
        <v>84.985090335028943</v>
      </c>
      <c r="G234" s="51">
        <f t="shared" si="18"/>
        <v>15.014909664971057</v>
      </c>
      <c r="H234" s="3"/>
      <c r="I234" s="1"/>
      <c r="J234" s="1"/>
      <c r="K234" s="1"/>
      <c r="L234" s="1"/>
      <c r="M234" s="1"/>
      <c r="N234" s="1"/>
      <c r="O234" s="13" t="s">
        <v>493</v>
      </c>
      <c r="P234" s="11" t="s">
        <v>488</v>
      </c>
      <c r="Q234" s="9">
        <v>1017</v>
      </c>
      <c r="R234" s="9">
        <v>11382</v>
      </c>
      <c r="S234" s="14">
        <f t="shared" si="2"/>
        <v>12399</v>
      </c>
      <c r="T234" s="15">
        <f t="shared" si="3"/>
        <v>91.797725623034125</v>
      </c>
      <c r="U234" s="15">
        <f t="shared" si="4"/>
        <v>8.2022743769658852</v>
      </c>
      <c r="V234" s="17"/>
      <c r="W234" s="17"/>
      <c r="AC234" s="4"/>
    </row>
    <row r="235" spans="1:29" ht="15.75" customHeight="1">
      <c r="A235" s="13" t="s">
        <v>495</v>
      </c>
      <c r="B235" s="66" t="s">
        <v>490</v>
      </c>
      <c r="C235" s="71">
        <v>6314</v>
      </c>
      <c r="D235" s="71">
        <v>8279</v>
      </c>
      <c r="E235" s="50">
        <f t="shared" si="16"/>
        <v>14593</v>
      </c>
      <c r="F235" s="51">
        <f t="shared" si="17"/>
        <v>56.732680052079765</v>
      </c>
      <c r="G235" s="51">
        <f t="shared" si="18"/>
        <v>43.267319947920235</v>
      </c>
      <c r="H235" s="3"/>
      <c r="I235" s="1"/>
      <c r="J235" s="1"/>
      <c r="K235" s="1"/>
      <c r="L235" s="1"/>
      <c r="M235" s="1"/>
      <c r="N235" s="1"/>
      <c r="O235" s="13" t="s">
        <v>495</v>
      </c>
      <c r="P235" s="11" t="s">
        <v>490</v>
      </c>
      <c r="Q235" s="9">
        <v>3518</v>
      </c>
      <c r="R235" s="9">
        <v>9990</v>
      </c>
      <c r="S235" s="14">
        <f t="shared" si="2"/>
        <v>13508</v>
      </c>
      <c r="T235" s="15">
        <f t="shared" si="3"/>
        <v>73.956174119040568</v>
      </c>
      <c r="U235" s="15">
        <f t="shared" si="4"/>
        <v>26.043825880959432</v>
      </c>
      <c r="V235" s="17"/>
      <c r="W235" s="17"/>
      <c r="AC235" s="4"/>
    </row>
    <row r="236" spans="1:29" ht="15.75" customHeight="1">
      <c r="A236" s="13" t="s">
        <v>497</v>
      </c>
      <c r="B236" s="66" t="s">
        <v>492</v>
      </c>
      <c r="C236" s="71">
        <v>2183</v>
      </c>
      <c r="D236" s="71">
        <v>25381</v>
      </c>
      <c r="E236" s="50">
        <f t="shared" si="16"/>
        <v>27564</v>
      </c>
      <c r="F236" s="51">
        <f t="shared" si="17"/>
        <v>92.080249600928738</v>
      </c>
      <c r="G236" s="51">
        <f t="shared" si="18"/>
        <v>7.919750399071253</v>
      </c>
      <c r="H236" s="3"/>
      <c r="I236" s="1"/>
      <c r="J236" s="1"/>
      <c r="K236" s="1"/>
      <c r="L236" s="1"/>
      <c r="M236" s="1"/>
      <c r="N236" s="1"/>
      <c r="O236" s="13" t="s">
        <v>497</v>
      </c>
      <c r="P236" s="11" t="s">
        <v>492</v>
      </c>
      <c r="Q236" s="9">
        <v>920</v>
      </c>
      <c r="R236" s="9">
        <v>32902</v>
      </c>
      <c r="S236" s="14">
        <f t="shared" si="2"/>
        <v>33822</v>
      </c>
      <c r="T236" s="15">
        <f t="shared" si="3"/>
        <v>97.279877003134047</v>
      </c>
      <c r="U236" s="15">
        <f t="shared" si="4"/>
        <v>2.7201229968659453</v>
      </c>
      <c r="V236" s="17"/>
      <c r="W236" s="17"/>
      <c r="AC236" s="4"/>
    </row>
    <row r="237" spans="1:29" ht="15.75" customHeight="1">
      <c r="A237" s="13" t="s">
        <v>499</v>
      </c>
      <c r="B237" s="66" t="s">
        <v>494</v>
      </c>
      <c r="C237" s="71">
        <v>1031</v>
      </c>
      <c r="D237" s="71">
        <v>7275</v>
      </c>
      <c r="E237" s="50">
        <f t="shared" si="16"/>
        <v>8306</v>
      </c>
      <c r="F237" s="51">
        <f t="shared" si="17"/>
        <v>87.587286299060921</v>
      </c>
      <c r="G237" s="51">
        <f t="shared" si="18"/>
        <v>12.412713700939081</v>
      </c>
      <c r="H237" s="3"/>
      <c r="I237" s="1"/>
      <c r="J237" s="1"/>
      <c r="K237" s="1"/>
      <c r="L237" s="1"/>
      <c r="M237" s="1"/>
      <c r="N237" s="1"/>
      <c r="O237" s="13" t="s">
        <v>499</v>
      </c>
      <c r="P237" s="11" t="s">
        <v>494</v>
      </c>
      <c r="Q237" s="9">
        <v>378</v>
      </c>
      <c r="R237" s="9">
        <v>7161</v>
      </c>
      <c r="S237" s="14">
        <f t="shared" si="2"/>
        <v>7539</v>
      </c>
      <c r="T237" s="15">
        <f t="shared" si="3"/>
        <v>94.986072423398326</v>
      </c>
      <c r="U237" s="15">
        <f t="shared" si="4"/>
        <v>5.0139275766016711</v>
      </c>
      <c r="V237" s="17"/>
      <c r="W237" s="17"/>
      <c r="AC237" s="4"/>
    </row>
    <row r="238" spans="1:29" ht="15.75" customHeight="1">
      <c r="A238" s="13" t="s">
        <v>501</v>
      </c>
      <c r="B238" s="66" t="s">
        <v>496</v>
      </c>
      <c r="C238" s="71">
        <v>773</v>
      </c>
      <c r="D238" s="71">
        <v>9097</v>
      </c>
      <c r="E238" s="50">
        <f t="shared" si="16"/>
        <v>9870</v>
      </c>
      <c r="F238" s="51">
        <f t="shared" si="17"/>
        <v>92.168186423505574</v>
      </c>
      <c r="G238" s="51">
        <f t="shared" si="18"/>
        <v>7.8318135764944268</v>
      </c>
      <c r="H238" s="3"/>
      <c r="I238" s="1"/>
      <c r="J238" s="1"/>
      <c r="K238" s="1"/>
      <c r="L238" s="1"/>
      <c r="M238" s="1"/>
      <c r="N238" s="1"/>
      <c r="O238" s="13" t="s">
        <v>501</v>
      </c>
      <c r="P238" s="11" t="s">
        <v>496</v>
      </c>
      <c r="Q238" s="9">
        <v>410</v>
      </c>
      <c r="R238" s="9">
        <v>13453</v>
      </c>
      <c r="S238" s="14">
        <f t="shared" si="2"/>
        <v>13863</v>
      </c>
      <c r="T238" s="15">
        <f t="shared" si="3"/>
        <v>97.042487196133592</v>
      </c>
      <c r="U238" s="15">
        <f t="shared" si="4"/>
        <v>2.9575128038664071</v>
      </c>
      <c r="V238" s="17"/>
      <c r="W238" s="17"/>
      <c r="AC238" s="4"/>
    </row>
    <row r="239" spans="1:29" ht="15.75" customHeight="1">
      <c r="A239" s="13" t="s">
        <v>503</v>
      </c>
      <c r="B239" s="66" t="s">
        <v>504</v>
      </c>
      <c r="C239" s="71">
        <v>911</v>
      </c>
      <c r="D239" s="71">
        <v>4595</v>
      </c>
      <c r="E239" s="50">
        <f t="shared" si="16"/>
        <v>5506</v>
      </c>
      <c r="F239" s="51">
        <f t="shared" si="17"/>
        <v>83.454413367235745</v>
      </c>
      <c r="G239" s="51">
        <f t="shared" si="18"/>
        <v>16.545586632764255</v>
      </c>
      <c r="H239" s="3"/>
      <c r="I239" s="1"/>
      <c r="J239" s="1"/>
      <c r="K239" s="1"/>
      <c r="L239" s="1"/>
      <c r="M239" s="1"/>
      <c r="N239" s="1"/>
      <c r="O239" s="13" t="s">
        <v>503</v>
      </c>
      <c r="P239" s="11" t="s">
        <v>504</v>
      </c>
      <c r="Q239" s="9">
        <v>375</v>
      </c>
      <c r="R239" s="9">
        <v>5195</v>
      </c>
      <c r="S239" s="14">
        <f t="shared" si="2"/>
        <v>5570</v>
      </c>
      <c r="T239" s="15">
        <f t="shared" si="3"/>
        <v>93.267504488330346</v>
      </c>
      <c r="U239" s="15">
        <f t="shared" si="4"/>
        <v>6.7324955116696588</v>
      </c>
      <c r="V239" s="17"/>
      <c r="W239" s="17"/>
      <c r="AC239" s="4"/>
    </row>
    <row r="240" spans="1:29" ht="15.75" customHeight="1">
      <c r="A240" s="13" t="s">
        <v>506</v>
      </c>
      <c r="B240" s="66" t="s">
        <v>498</v>
      </c>
      <c r="C240" s="71">
        <v>1489</v>
      </c>
      <c r="D240" s="71">
        <v>2349</v>
      </c>
      <c r="E240" s="50">
        <f t="shared" si="16"/>
        <v>3838</v>
      </c>
      <c r="F240" s="51">
        <f t="shared" si="17"/>
        <v>61.203751954142781</v>
      </c>
      <c r="G240" s="51">
        <f t="shared" si="18"/>
        <v>38.796248045857219</v>
      </c>
      <c r="H240" s="3"/>
      <c r="I240" s="1"/>
      <c r="J240" s="1"/>
      <c r="K240" s="1"/>
      <c r="L240" s="1"/>
      <c r="M240" s="1"/>
      <c r="N240" s="1"/>
      <c r="O240" s="13" t="s">
        <v>506</v>
      </c>
      <c r="P240" s="11" t="s">
        <v>498</v>
      </c>
      <c r="Q240" s="9">
        <v>1073</v>
      </c>
      <c r="R240" s="9">
        <v>2414</v>
      </c>
      <c r="S240" s="14">
        <f t="shared" si="2"/>
        <v>3487</v>
      </c>
      <c r="T240" s="15">
        <f t="shared" si="3"/>
        <v>69.228563234872382</v>
      </c>
      <c r="U240" s="15">
        <f t="shared" si="4"/>
        <v>30.771436765127618</v>
      </c>
      <c r="V240" s="17"/>
      <c r="W240" s="17"/>
      <c r="AC240" s="4"/>
    </row>
    <row r="241" spans="1:29" ht="15.75" customHeight="1">
      <c r="A241" s="13" t="s">
        <v>508</v>
      </c>
      <c r="B241" s="66" t="s">
        <v>500</v>
      </c>
      <c r="C241" s="71">
        <v>2537</v>
      </c>
      <c r="D241" s="71">
        <v>3186</v>
      </c>
      <c r="E241" s="50">
        <f t="shared" si="16"/>
        <v>5723</v>
      </c>
      <c r="F241" s="51">
        <f t="shared" si="17"/>
        <v>55.670103092783506</v>
      </c>
      <c r="G241" s="51">
        <f t="shared" si="18"/>
        <v>44.329896907216494</v>
      </c>
      <c r="H241" s="3"/>
      <c r="I241" s="1"/>
      <c r="J241" s="1"/>
      <c r="K241" s="1"/>
      <c r="L241" s="1"/>
      <c r="M241" s="1"/>
      <c r="N241" s="1"/>
      <c r="O241" s="13" t="s">
        <v>508</v>
      </c>
      <c r="P241" s="11" t="s">
        <v>500</v>
      </c>
      <c r="Q241" s="9">
        <v>1446</v>
      </c>
      <c r="R241" s="9">
        <v>2858</v>
      </c>
      <c r="S241" s="14">
        <f t="shared" si="2"/>
        <v>4304</v>
      </c>
      <c r="T241" s="15">
        <f t="shared" si="3"/>
        <v>66.403345724907055</v>
      </c>
      <c r="U241" s="15">
        <f t="shared" si="4"/>
        <v>33.596654275092938</v>
      </c>
      <c r="V241" s="17"/>
      <c r="W241" s="17"/>
      <c r="AC241" s="4"/>
    </row>
    <row r="242" spans="1:29" ht="15.75" customHeight="1">
      <c r="A242" s="13" t="s">
        <v>510</v>
      </c>
      <c r="B242" s="66" t="s">
        <v>502</v>
      </c>
      <c r="C242" s="71">
        <v>169</v>
      </c>
      <c r="D242" s="71">
        <v>3732</v>
      </c>
      <c r="E242" s="50">
        <f t="shared" si="16"/>
        <v>3901</v>
      </c>
      <c r="F242" s="51">
        <f t="shared" si="17"/>
        <v>95.66777749295052</v>
      </c>
      <c r="G242" s="51">
        <f t="shared" si="18"/>
        <v>4.3322225070494751</v>
      </c>
      <c r="H242" s="3"/>
      <c r="I242" s="1"/>
      <c r="J242" s="1"/>
      <c r="K242" s="1"/>
      <c r="L242" s="1"/>
      <c r="M242" s="1"/>
      <c r="N242" s="1"/>
      <c r="O242" s="13" t="s">
        <v>510</v>
      </c>
      <c r="P242" s="11" t="s">
        <v>502</v>
      </c>
      <c r="Q242" s="9">
        <v>37</v>
      </c>
      <c r="R242" s="9">
        <v>3987</v>
      </c>
      <c r="S242" s="14">
        <f t="shared" si="2"/>
        <v>4024</v>
      </c>
      <c r="T242" s="15">
        <f t="shared" si="3"/>
        <v>99.080516898608352</v>
      </c>
      <c r="U242" s="15">
        <f t="shared" si="4"/>
        <v>0.91948310139165002</v>
      </c>
      <c r="V242" s="17"/>
      <c r="W242" s="17"/>
      <c r="AC242" s="4"/>
    </row>
    <row r="243" spans="1:29" ht="15.75" customHeight="1">
      <c r="A243" s="13" t="s">
        <v>511</v>
      </c>
      <c r="B243" s="66" t="s">
        <v>505</v>
      </c>
      <c r="C243" s="71">
        <v>70</v>
      </c>
      <c r="D243" s="71">
        <v>1532</v>
      </c>
      <c r="E243" s="50">
        <f t="shared" si="16"/>
        <v>1602</v>
      </c>
      <c r="F243" s="51">
        <f t="shared" si="17"/>
        <v>95.630461922596751</v>
      </c>
      <c r="G243" s="51">
        <f t="shared" si="18"/>
        <v>4.369538077403246</v>
      </c>
      <c r="H243" s="3"/>
      <c r="I243" s="1"/>
      <c r="J243" s="1"/>
      <c r="K243" s="1"/>
      <c r="L243" s="1"/>
      <c r="M243" s="1"/>
      <c r="N243" s="1"/>
      <c r="O243" s="13" t="s">
        <v>511</v>
      </c>
      <c r="P243" s="11" t="s">
        <v>505</v>
      </c>
      <c r="Q243" s="9">
        <v>30</v>
      </c>
      <c r="R243" s="9">
        <v>1466</v>
      </c>
      <c r="S243" s="14">
        <f t="shared" si="2"/>
        <v>1496</v>
      </c>
      <c r="T243" s="15">
        <f t="shared" si="3"/>
        <v>97.994652406417117</v>
      </c>
      <c r="U243" s="15">
        <f t="shared" si="4"/>
        <v>2.0053475935828877</v>
      </c>
      <c r="V243" s="17"/>
      <c r="W243" s="17"/>
      <c r="AC243" s="4"/>
    </row>
    <row r="244" spans="1:29" ht="15.75" customHeight="1">
      <c r="A244" s="13" t="s">
        <v>513</v>
      </c>
      <c r="B244" s="66" t="s">
        <v>507</v>
      </c>
      <c r="C244" s="71">
        <v>2129</v>
      </c>
      <c r="D244" s="71">
        <v>40013</v>
      </c>
      <c r="E244" s="50">
        <f t="shared" si="16"/>
        <v>42142</v>
      </c>
      <c r="F244" s="51">
        <f t="shared" si="17"/>
        <v>94.948032841345935</v>
      </c>
      <c r="G244" s="51">
        <f t="shared" si="18"/>
        <v>5.0519671586540742</v>
      </c>
      <c r="H244" s="3"/>
      <c r="I244" s="1"/>
      <c r="J244" s="1"/>
      <c r="K244" s="1"/>
      <c r="L244" s="1"/>
      <c r="M244" s="1"/>
      <c r="N244" s="1"/>
      <c r="O244" s="13" t="s">
        <v>513</v>
      </c>
      <c r="P244" s="11" t="s">
        <v>507</v>
      </c>
      <c r="Q244" s="9">
        <v>1061</v>
      </c>
      <c r="R244" s="9">
        <v>46097</v>
      </c>
      <c r="S244" s="14">
        <f t="shared" si="2"/>
        <v>47158</v>
      </c>
      <c r="T244" s="15">
        <f t="shared" si="3"/>
        <v>97.750116629203958</v>
      </c>
      <c r="U244" s="15">
        <f t="shared" si="4"/>
        <v>2.2498833707960473</v>
      </c>
      <c r="V244" s="17"/>
      <c r="W244" s="17"/>
      <c r="AC244" s="4"/>
    </row>
    <row r="245" spans="1:29" ht="15.75" customHeight="1">
      <c r="A245" s="13" t="s">
        <v>515</v>
      </c>
      <c r="B245" s="66" t="s">
        <v>509</v>
      </c>
      <c r="C245" s="71">
        <v>125</v>
      </c>
      <c r="D245" s="71">
        <v>1466</v>
      </c>
      <c r="E245" s="50">
        <f t="shared" si="16"/>
        <v>1591</v>
      </c>
      <c r="F245" s="51">
        <f t="shared" si="17"/>
        <v>92.143306096794461</v>
      </c>
      <c r="G245" s="51">
        <f t="shared" si="18"/>
        <v>7.8566939032055307</v>
      </c>
      <c r="H245" s="3"/>
      <c r="I245" s="1"/>
      <c r="J245" s="1"/>
      <c r="K245" s="1"/>
      <c r="L245" s="1"/>
      <c r="M245" s="1"/>
      <c r="N245" s="1"/>
      <c r="O245" s="13" t="s">
        <v>515</v>
      </c>
      <c r="P245" s="11" t="s">
        <v>509</v>
      </c>
      <c r="Q245" s="9">
        <v>48</v>
      </c>
      <c r="R245" s="9">
        <v>1992</v>
      </c>
      <c r="S245" s="14">
        <f t="shared" si="2"/>
        <v>2040</v>
      </c>
      <c r="T245" s="15">
        <f t="shared" si="3"/>
        <v>97.647058823529406</v>
      </c>
      <c r="U245" s="15">
        <f t="shared" si="4"/>
        <v>2.3529411764705883</v>
      </c>
      <c r="V245" s="17"/>
      <c r="W245" s="17"/>
      <c r="AC245" s="4"/>
    </row>
    <row r="246" spans="1:29" ht="15.75" customHeight="1">
      <c r="A246" s="13" t="s">
        <v>517</v>
      </c>
      <c r="B246" s="66" t="s">
        <v>28</v>
      </c>
      <c r="C246" s="71">
        <v>3309</v>
      </c>
      <c r="D246" s="71">
        <v>190205</v>
      </c>
      <c r="E246" s="50">
        <f t="shared" si="16"/>
        <v>193514</v>
      </c>
      <c r="F246" s="51">
        <f t="shared" si="17"/>
        <v>98.290046198207875</v>
      </c>
      <c r="G246" s="51">
        <f t="shared" si="18"/>
        <v>1.7099538017921183</v>
      </c>
      <c r="H246" s="3"/>
      <c r="I246" s="1"/>
      <c r="J246" s="1"/>
      <c r="K246" s="1"/>
      <c r="L246" s="1"/>
      <c r="M246" s="1"/>
      <c r="N246" s="1"/>
      <c r="O246" s="13" t="s">
        <v>517</v>
      </c>
      <c r="P246" s="11" t="s">
        <v>28</v>
      </c>
      <c r="Q246" s="9">
        <v>1961</v>
      </c>
      <c r="R246" s="9">
        <v>228802</v>
      </c>
      <c r="S246" s="14">
        <f t="shared" si="2"/>
        <v>230763</v>
      </c>
      <c r="T246" s="15">
        <f t="shared" si="3"/>
        <v>99.150210389013836</v>
      </c>
      <c r="U246" s="15">
        <f t="shared" si="4"/>
        <v>0.84978961098616335</v>
      </c>
      <c r="V246" s="17"/>
      <c r="W246" s="17"/>
      <c r="AC246" s="4"/>
    </row>
    <row r="247" spans="1:29" ht="15.75" customHeight="1">
      <c r="A247" s="13" t="s">
        <v>519</v>
      </c>
      <c r="B247" s="66" t="s">
        <v>512</v>
      </c>
      <c r="C247" s="71">
        <v>463</v>
      </c>
      <c r="D247" s="71">
        <v>17110</v>
      </c>
      <c r="E247" s="50">
        <f t="shared" si="16"/>
        <v>17573</v>
      </c>
      <c r="F247" s="51">
        <f t="shared" si="17"/>
        <v>97.365276276105391</v>
      </c>
      <c r="G247" s="51">
        <f t="shared" si="18"/>
        <v>2.6347237238946111</v>
      </c>
      <c r="H247" s="3"/>
      <c r="I247" s="1"/>
      <c r="J247" s="1"/>
      <c r="K247" s="1"/>
      <c r="L247" s="1"/>
      <c r="M247" s="1"/>
      <c r="N247" s="1"/>
      <c r="O247" s="13" t="s">
        <v>519</v>
      </c>
      <c r="P247" s="11" t="s">
        <v>512</v>
      </c>
      <c r="Q247" s="9">
        <v>171</v>
      </c>
      <c r="R247" s="9">
        <v>17030</v>
      </c>
      <c r="S247" s="14">
        <f t="shared" si="2"/>
        <v>17201</v>
      </c>
      <c r="T247" s="15">
        <f t="shared" si="3"/>
        <v>99.005871751642346</v>
      </c>
      <c r="U247" s="15">
        <f t="shared" si="4"/>
        <v>0.99412824835765357</v>
      </c>
      <c r="V247" s="17"/>
      <c r="W247" s="17"/>
      <c r="AC247" s="4"/>
    </row>
    <row r="248" spans="1:29" ht="15.75" customHeight="1">
      <c r="A248" s="13" t="s">
        <v>520</v>
      </c>
      <c r="B248" s="66" t="s">
        <v>514</v>
      </c>
      <c r="C248" s="71">
        <v>687</v>
      </c>
      <c r="D248" s="71">
        <v>31774</v>
      </c>
      <c r="E248" s="50">
        <f t="shared" si="16"/>
        <v>32461</v>
      </c>
      <c r="F248" s="51">
        <f t="shared" si="17"/>
        <v>97.883614183173648</v>
      </c>
      <c r="G248" s="51">
        <f t="shared" si="18"/>
        <v>2.1163858168263454</v>
      </c>
      <c r="H248" s="3"/>
      <c r="I248" s="1"/>
      <c r="J248" s="1"/>
      <c r="K248" s="1"/>
      <c r="L248" s="1"/>
      <c r="M248" s="1"/>
      <c r="N248" s="1"/>
      <c r="O248" s="13" t="s">
        <v>520</v>
      </c>
      <c r="P248" s="11" t="s">
        <v>514</v>
      </c>
      <c r="Q248" s="9">
        <v>343</v>
      </c>
      <c r="R248" s="9">
        <v>35332</v>
      </c>
      <c r="S248" s="14">
        <f t="shared" si="2"/>
        <v>35675</v>
      </c>
      <c r="T248" s="15">
        <f t="shared" si="3"/>
        <v>99.038542396636302</v>
      </c>
      <c r="U248" s="15">
        <f t="shared" si="4"/>
        <v>0.96145760336370012</v>
      </c>
      <c r="V248" s="17"/>
      <c r="W248" s="17"/>
      <c r="AC248" s="4"/>
    </row>
    <row r="249" spans="1:29" ht="15.75" customHeight="1">
      <c r="A249" s="13" t="s">
        <v>522</v>
      </c>
      <c r="B249" s="66" t="s">
        <v>516</v>
      </c>
      <c r="C249" s="71">
        <v>4461</v>
      </c>
      <c r="D249" s="71">
        <v>81895</v>
      </c>
      <c r="E249" s="50">
        <f t="shared" si="16"/>
        <v>86356</v>
      </c>
      <c r="F249" s="51">
        <f t="shared" si="17"/>
        <v>94.83417481124647</v>
      </c>
      <c r="G249" s="51">
        <f t="shared" si="18"/>
        <v>5.1658251887535318</v>
      </c>
      <c r="H249" s="3"/>
      <c r="I249" s="1"/>
      <c r="J249" s="1"/>
      <c r="K249" s="1"/>
      <c r="L249" s="1"/>
      <c r="M249" s="1"/>
      <c r="N249" s="1"/>
      <c r="O249" s="13" t="s">
        <v>522</v>
      </c>
      <c r="P249" s="11" t="s">
        <v>516</v>
      </c>
      <c r="Q249" s="9">
        <v>3832</v>
      </c>
      <c r="R249" s="9">
        <v>89758</v>
      </c>
      <c r="S249" s="14">
        <f t="shared" si="2"/>
        <v>93590</v>
      </c>
      <c r="T249" s="15">
        <f t="shared" si="3"/>
        <v>95.905545464259006</v>
      </c>
      <c r="U249" s="15">
        <f t="shared" si="4"/>
        <v>4.094454535740998</v>
      </c>
      <c r="V249" s="17"/>
      <c r="W249" s="17"/>
      <c r="AC249" s="4"/>
    </row>
    <row r="250" spans="1:29" ht="15.75" customHeight="1">
      <c r="A250" s="13" t="s">
        <v>524</v>
      </c>
      <c r="B250" s="66" t="s">
        <v>518</v>
      </c>
      <c r="C250" s="71">
        <v>452</v>
      </c>
      <c r="D250" s="71">
        <v>13961</v>
      </c>
      <c r="E250" s="50">
        <f t="shared" si="16"/>
        <v>14413</v>
      </c>
      <c r="F250" s="51">
        <f t="shared" si="17"/>
        <v>96.86394227433567</v>
      </c>
      <c r="G250" s="51">
        <f t="shared" si="18"/>
        <v>3.1360577256643309</v>
      </c>
      <c r="H250" s="3"/>
      <c r="I250" s="1"/>
      <c r="J250" s="1"/>
      <c r="K250" s="1"/>
      <c r="L250" s="1"/>
      <c r="M250" s="1"/>
      <c r="N250" s="1"/>
      <c r="O250" s="13" t="s">
        <v>524</v>
      </c>
      <c r="P250" s="11" t="s">
        <v>518</v>
      </c>
      <c r="Q250" s="9">
        <v>205</v>
      </c>
      <c r="R250" s="9">
        <v>14670</v>
      </c>
      <c r="S250" s="14">
        <f t="shared" si="2"/>
        <v>14875</v>
      </c>
      <c r="T250" s="15">
        <f t="shared" si="3"/>
        <v>98.621848739495803</v>
      </c>
      <c r="U250" s="15">
        <f t="shared" si="4"/>
        <v>1.3781512605042017</v>
      </c>
      <c r="V250" s="17"/>
      <c r="W250" s="17"/>
      <c r="AC250" s="4"/>
    </row>
    <row r="251" spans="1:29" ht="15.75" customHeight="1">
      <c r="A251" s="13" t="s">
        <v>526</v>
      </c>
      <c r="B251" s="66" t="s">
        <v>527</v>
      </c>
      <c r="C251" s="71">
        <v>1935</v>
      </c>
      <c r="D251" s="71">
        <v>35297</v>
      </c>
      <c r="E251" s="50">
        <f t="shared" si="16"/>
        <v>37232</v>
      </c>
      <c r="F251" s="51">
        <f t="shared" si="17"/>
        <v>94.802857756768361</v>
      </c>
      <c r="G251" s="51">
        <f t="shared" si="18"/>
        <v>5.197142243231629</v>
      </c>
      <c r="H251" s="3"/>
      <c r="I251" s="1"/>
      <c r="J251" s="1"/>
      <c r="K251" s="1"/>
      <c r="L251" s="1"/>
      <c r="M251" s="1"/>
      <c r="N251" s="1"/>
      <c r="O251" s="13" t="s">
        <v>526</v>
      </c>
      <c r="P251" s="11" t="s">
        <v>527</v>
      </c>
      <c r="Q251" s="9">
        <v>1749</v>
      </c>
      <c r="R251" s="9">
        <v>42420</v>
      </c>
      <c r="S251" s="14">
        <f t="shared" si="2"/>
        <v>44169</v>
      </c>
      <c r="T251" s="15">
        <f t="shared" si="3"/>
        <v>96.040209196495269</v>
      </c>
      <c r="U251" s="15">
        <f t="shared" si="4"/>
        <v>3.9597908035047205</v>
      </c>
      <c r="V251" s="17"/>
      <c r="W251" s="17"/>
      <c r="AC251" s="4"/>
    </row>
    <row r="252" spans="1:29" ht="15.75" customHeight="1">
      <c r="A252" s="13" t="s">
        <v>529</v>
      </c>
      <c r="B252" s="66" t="s">
        <v>521</v>
      </c>
      <c r="C252" s="71">
        <v>278</v>
      </c>
      <c r="D252" s="71">
        <v>13671</v>
      </c>
      <c r="E252" s="50">
        <f t="shared" si="16"/>
        <v>13949</v>
      </c>
      <c r="F252" s="51">
        <f t="shared" si="17"/>
        <v>98.007025593232484</v>
      </c>
      <c r="G252" s="51">
        <f t="shared" si="18"/>
        <v>1.9929744067675101</v>
      </c>
      <c r="H252" s="3"/>
      <c r="I252" s="1"/>
      <c r="J252" s="1"/>
      <c r="K252" s="1"/>
      <c r="L252" s="1"/>
      <c r="M252" s="1"/>
      <c r="N252" s="1"/>
      <c r="O252" s="13" t="s">
        <v>529</v>
      </c>
      <c r="P252" s="11" t="s">
        <v>521</v>
      </c>
      <c r="Q252" s="9">
        <v>133</v>
      </c>
      <c r="R252" s="9">
        <v>15169</v>
      </c>
      <c r="S252" s="14">
        <f t="shared" si="2"/>
        <v>15302</v>
      </c>
      <c r="T252" s="15">
        <f t="shared" si="3"/>
        <v>99.130832570905767</v>
      </c>
      <c r="U252" s="15">
        <f t="shared" si="4"/>
        <v>0.86916742909423605</v>
      </c>
      <c r="V252" s="17"/>
      <c r="W252" s="17"/>
      <c r="AC252" s="4"/>
    </row>
    <row r="253" spans="1:29" ht="15.75" customHeight="1">
      <c r="A253" s="13" t="s">
        <v>530</v>
      </c>
      <c r="B253" s="66" t="s">
        <v>523</v>
      </c>
      <c r="C253" s="71">
        <v>65</v>
      </c>
      <c r="D253" s="71">
        <v>5047</v>
      </c>
      <c r="E253" s="50">
        <f t="shared" si="16"/>
        <v>5112</v>
      </c>
      <c r="F253" s="51">
        <f t="shared" si="17"/>
        <v>98.728482003129898</v>
      </c>
      <c r="G253" s="51">
        <f t="shared" si="18"/>
        <v>1.2715179968701096</v>
      </c>
      <c r="H253" s="3"/>
      <c r="I253" s="1"/>
      <c r="J253" s="1"/>
      <c r="K253" s="1"/>
      <c r="L253" s="1"/>
      <c r="M253" s="1"/>
      <c r="N253" s="1"/>
      <c r="O253" s="13" t="s">
        <v>530</v>
      </c>
      <c r="P253" s="11" t="s">
        <v>523</v>
      </c>
      <c r="Q253" s="9">
        <v>36</v>
      </c>
      <c r="R253" s="9">
        <v>4518</v>
      </c>
      <c r="S253" s="14">
        <f t="shared" si="2"/>
        <v>4554</v>
      </c>
      <c r="T253" s="15">
        <f t="shared" si="3"/>
        <v>99.209486166007906</v>
      </c>
      <c r="U253" s="15">
        <f t="shared" si="4"/>
        <v>0.79051383399209485</v>
      </c>
      <c r="V253" s="17"/>
      <c r="W253" s="17"/>
      <c r="AC253" s="4"/>
    </row>
    <row r="254" spans="1:29" ht="15.75" customHeight="1">
      <c r="A254" s="13" t="s">
        <v>532</v>
      </c>
      <c r="B254" s="66" t="s">
        <v>525</v>
      </c>
      <c r="C254" s="71">
        <v>423</v>
      </c>
      <c r="D254" s="71">
        <v>22003</v>
      </c>
      <c r="E254" s="50">
        <f t="shared" si="16"/>
        <v>22426</v>
      </c>
      <c r="F254" s="51">
        <f t="shared" si="17"/>
        <v>98.113796486221347</v>
      </c>
      <c r="G254" s="51">
        <f t="shared" si="18"/>
        <v>1.8862035137786497</v>
      </c>
      <c r="H254" s="3"/>
      <c r="I254" s="1"/>
      <c r="J254" s="1"/>
      <c r="K254" s="1"/>
      <c r="L254" s="1"/>
      <c r="M254" s="1"/>
      <c r="N254" s="1"/>
      <c r="O254" s="13" t="s">
        <v>532</v>
      </c>
      <c r="P254" s="11" t="s">
        <v>525</v>
      </c>
      <c r="Q254" s="9">
        <v>302</v>
      </c>
      <c r="R254" s="9">
        <v>28971</v>
      </c>
      <c r="S254" s="14">
        <f t="shared" si="2"/>
        <v>29273</v>
      </c>
      <c r="T254" s="15">
        <f t="shared" si="3"/>
        <v>98.968332593174608</v>
      </c>
      <c r="U254" s="15">
        <f t="shared" si="4"/>
        <v>1.0316674068254021</v>
      </c>
      <c r="V254" s="17"/>
      <c r="W254" s="17"/>
      <c r="AC254" s="4"/>
    </row>
    <row r="255" spans="1:29" ht="15.75" customHeight="1">
      <c r="A255" s="13" t="s">
        <v>534</v>
      </c>
      <c r="B255" s="66" t="s">
        <v>528</v>
      </c>
      <c r="C255" s="71">
        <v>217</v>
      </c>
      <c r="D255" s="71">
        <v>10422</v>
      </c>
      <c r="E255" s="50">
        <f t="shared" si="16"/>
        <v>10639</v>
      </c>
      <c r="F255" s="51">
        <f t="shared" si="17"/>
        <v>97.960334617915208</v>
      </c>
      <c r="G255" s="51">
        <f t="shared" si="18"/>
        <v>2.0396653820847823</v>
      </c>
      <c r="H255" s="3"/>
      <c r="I255" s="1"/>
      <c r="J255" s="1"/>
      <c r="K255" s="1"/>
      <c r="L255" s="1"/>
      <c r="M255" s="1"/>
      <c r="N255" s="1"/>
      <c r="O255" s="13" t="s">
        <v>534</v>
      </c>
      <c r="P255" s="11" t="s">
        <v>528</v>
      </c>
      <c r="Q255" s="9">
        <v>56</v>
      </c>
      <c r="R255" s="9">
        <v>9154</v>
      </c>
      <c r="S255" s="14">
        <f t="shared" si="2"/>
        <v>9210</v>
      </c>
      <c r="T255" s="15">
        <f t="shared" si="3"/>
        <v>99.39196525515743</v>
      </c>
      <c r="U255" s="15">
        <f t="shared" si="4"/>
        <v>0.60803474484256248</v>
      </c>
      <c r="V255" s="17"/>
      <c r="W255" s="17"/>
      <c r="AC255" s="4"/>
    </row>
    <row r="256" spans="1:29" ht="15.75" customHeight="1">
      <c r="A256" s="13" t="s">
        <v>536</v>
      </c>
      <c r="B256" s="66" t="s">
        <v>335</v>
      </c>
      <c r="C256" s="71">
        <v>876</v>
      </c>
      <c r="D256" s="71">
        <v>19628</v>
      </c>
      <c r="E256" s="50">
        <f t="shared" si="16"/>
        <v>20504</v>
      </c>
      <c r="F256" s="51">
        <f t="shared" si="17"/>
        <v>95.727662895044872</v>
      </c>
      <c r="G256" s="51">
        <f t="shared" si="18"/>
        <v>4.2723371049551302</v>
      </c>
      <c r="H256" s="3"/>
      <c r="I256" s="1"/>
      <c r="J256" s="1"/>
      <c r="K256" s="1"/>
      <c r="L256" s="1"/>
      <c r="M256" s="1"/>
      <c r="N256" s="1"/>
      <c r="O256" s="13" t="s">
        <v>536</v>
      </c>
      <c r="P256" s="11" t="s">
        <v>335</v>
      </c>
      <c r="Q256" s="9">
        <v>552</v>
      </c>
      <c r="R256" s="9">
        <v>19464</v>
      </c>
      <c r="S256" s="14">
        <f t="shared" si="2"/>
        <v>20016</v>
      </c>
      <c r="T256" s="15">
        <f t="shared" si="3"/>
        <v>97.242206235011992</v>
      </c>
      <c r="U256" s="15">
        <f t="shared" si="4"/>
        <v>2.7577937649880093</v>
      </c>
      <c r="V256" s="17"/>
      <c r="W256" s="17"/>
      <c r="AC256" s="4"/>
    </row>
    <row r="257" spans="1:29" ht="15.75" customHeight="1">
      <c r="A257" s="13" t="s">
        <v>538</v>
      </c>
      <c r="B257" s="66" t="s">
        <v>531</v>
      </c>
      <c r="C257" s="71">
        <v>51220</v>
      </c>
      <c r="D257" s="71">
        <v>1302938</v>
      </c>
      <c r="E257" s="50">
        <f t="shared" si="16"/>
        <v>1354158</v>
      </c>
      <c r="F257" s="51">
        <f t="shared" si="17"/>
        <v>96.217575792485079</v>
      </c>
      <c r="G257" s="51">
        <f t="shared" si="18"/>
        <v>3.7824242075149286</v>
      </c>
      <c r="H257" s="3"/>
      <c r="I257" s="1"/>
      <c r="J257" s="1"/>
      <c r="K257" s="1"/>
      <c r="L257" s="1"/>
      <c r="M257" s="1"/>
      <c r="N257" s="1"/>
      <c r="O257" s="13" t="s">
        <v>538</v>
      </c>
      <c r="P257" s="11" t="s">
        <v>531</v>
      </c>
      <c r="Q257" s="9">
        <v>20803</v>
      </c>
      <c r="R257" s="9">
        <v>1526065</v>
      </c>
      <c r="S257" s="14">
        <f t="shared" si="2"/>
        <v>1546868</v>
      </c>
      <c r="T257" s="15">
        <f t="shared" si="3"/>
        <v>98.655153510189621</v>
      </c>
      <c r="U257" s="15">
        <f t="shared" si="4"/>
        <v>1.344846489810378</v>
      </c>
      <c r="V257" s="17"/>
      <c r="W257" s="17"/>
      <c r="AC257" s="4"/>
    </row>
    <row r="258" spans="1:29" ht="15.75" customHeight="1">
      <c r="A258" s="13" t="s">
        <v>540</v>
      </c>
      <c r="B258" s="66" t="s">
        <v>533</v>
      </c>
      <c r="C258" s="71">
        <v>2901</v>
      </c>
      <c r="D258" s="71">
        <v>48434</v>
      </c>
      <c r="E258" s="50">
        <f t="shared" si="16"/>
        <v>51335</v>
      </c>
      <c r="F258" s="51">
        <f t="shared" si="17"/>
        <v>94.348884776468296</v>
      </c>
      <c r="G258" s="51">
        <f t="shared" si="18"/>
        <v>5.6511152235317033</v>
      </c>
      <c r="H258" s="3"/>
      <c r="I258" s="1"/>
      <c r="J258" s="1"/>
      <c r="K258" s="1"/>
      <c r="L258" s="1"/>
      <c r="M258" s="1"/>
      <c r="N258" s="1"/>
      <c r="O258" s="13" t="s">
        <v>540</v>
      </c>
      <c r="P258" s="11" t="s">
        <v>533</v>
      </c>
      <c r="Q258" s="9">
        <v>1687</v>
      </c>
      <c r="R258" s="9">
        <v>99337</v>
      </c>
      <c r="S258" s="14">
        <f t="shared" si="2"/>
        <v>101024</v>
      </c>
      <c r="T258" s="15">
        <f t="shared" si="3"/>
        <v>98.330099778270508</v>
      </c>
      <c r="U258" s="15">
        <f t="shared" si="4"/>
        <v>1.6699002217294903</v>
      </c>
      <c r="V258" s="17"/>
      <c r="W258" s="17"/>
      <c r="AC258" s="4"/>
    </row>
    <row r="259" spans="1:29" ht="15.75" customHeight="1">
      <c r="A259" s="13" t="s">
        <v>542</v>
      </c>
      <c r="B259" s="66" t="s">
        <v>535</v>
      </c>
      <c r="C259" s="71">
        <v>783</v>
      </c>
      <c r="D259" s="71">
        <v>13481</v>
      </c>
      <c r="E259" s="50">
        <f t="shared" si="16"/>
        <v>14264</v>
      </c>
      <c r="F259" s="51">
        <f t="shared" si="17"/>
        <v>94.510656197420076</v>
      </c>
      <c r="G259" s="51">
        <f t="shared" si="18"/>
        <v>5.4893438025799215</v>
      </c>
      <c r="H259" s="3"/>
      <c r="I259" s="1"/>
      <c r="J259" s="1"/>
      <c r="K259" s="1"/>
      <c r="L259" s="1"/>
      <c r="M259" s="1"/>
      <c r="N259" s="1"/>
      <c r="O259" s="13" t="s">
        <v>542</v>
      </c>
      <c r="P259" s="11" t="s">
        <v>535</v>
      </c>
      <c r="Q259" s="9">
        <v>267</v>
      </c>
      <c r="R259" s="9">
        <v>21955</v>
      </c>
      <c r="S259" s="14">
        <f t="shared" si="2"/>
        <v>22222</v>
      </c>
      <c r="T259" s="15">
        <f t="shared" si="3"/>
        <v>98.798487984879841</v>
      </c>
      <c r="U259" s="15">
        <f t="shared" si="4"/>
        <v>1.2015120151201513</v>
      </c>
      <c r="V259" s="17"/>
      <c r="W259" s="17"/>
      <c r="AC259" s="4"/>
    </row>
    <row r="260" spans="1:29" ht="15.75" customHeight="1">
      <c r="A260" s="13" t="s">
        <v>544</v>
      </c>
      <c r="B260" s="66" t="s">
        <v>537</v>
      </c>
      <c r="C260" s="71">
        <v>4613</v>
      </c>
      <c r="D260" s="71">
        <v>78556</v>
      </c>
      <c r="E260" s="50">
        <f t="shared" si="16"/>
        <v>83169</v>
      </c>
      <c r="F260" s="51">
        <f t="shared" si="17"/>
        <v>94.453462227512659</v>
      </c>
      <c r="G260" s="51">
        <f t="shared" si="18"/>
        <v>5.546537772487345</v>
      </c>
      <c r="H260" s="3"/>
      <c r="I260" s="1"/>
      <c r="J260" s="1"/>
      <c r="K260" s="1"/>
      <c r="L260" s="1"/>
      <c r="M260" s="1"/>
      <c r="N260" s="1"/>
      <c r="O260" s="13" t="s">
        <v>544</v>
      </c>
      <c r="P260" s="11" t="s">
        <v>537</v>
      </c>
      <c r="Q260" s="9">
        <v>2098</v>
      </c>
      <c r="R260" s="9">
        <v>138750</v>
      </c>
      <c r="S260" s="14">
        <f t="shared" ref="S260:S347" si="19">Q260+R260</f>
        <v>140848</v>
      </c>
      <c r="T260" s="15">
        <f t="shared" ref="T260:T347" si="20">(R260/S260)*100</f>
        <v>98.51045098261956</v>
      </c>
      <c r="U260" s="15">
        <f t="shared" ref="U260:U347" si="21">(Q260/S260)*100</f>
        <v>1.4895490173804384</v>
      </c>
      <c r="V260" s="17"/>
      <c r="W260" s="17"/>
      <c r="AC260" s="4"/>
    </row>
    <row r="261" spans="1:29" ht="15.75" customHeight="1">
      <c r="A261" s="13" t="s">
        <v>545</v>
      </c>
      <c r="B261" s="66" t="s">
        <v>539</v>
      </c>
      <c r="C261" s="71">
        <v>2914</v>
      </c>
      <c r="D261" s="71">
        <v>43506</v>
      </c>
      <c r="E261" s="50">
        <f t="shared" si="16"/>
        <v>46420</v>
      </c>
      <c r="F261" s="51">
        <f t="shared" si="17"/>
        <v>93.722533390779844</v>
      </c>
      <c r="G261" s="51">
        <f t="shared" si="18"/>
        <v>6.2774666092201645</v>
      </c>
      <c r="H261" s="3"/>
      <c r="I261" s="1"/>
      <c r="J261" s="1"/>
      <c r="K261" s="1"/>
      <c r="L261" s="1"/>
      <c r="M261" s="1"/>
      <c r="N261" s="1"/>
      <c r="O261" s="13" t="s">
        <v>545</v>
      </c>
      <c r="P261" s="11" t="s">
        <v>539</v>
      </c>
      <c r="Q261" s="9">
        <v>998</v>
      </c>
      <c r="R261" s="9">
        <v>52236</v>
      </c>
      <c r="S261" s="14">
        <f t="shared" si="19"/>
        <v>53234</v>
      </c>
      <c r="T261" s="15">
        <f t="shared" si="20"/>
        <v>98.125258293571775</v>
      </c>
      <c r="U261" s="15">
        <f t="shared" si="21"/>
        <v>1.8747417064282224</v>
      </c>
      <c r="V261" s="17"/>
      <c r="W261" s="17"/>
      <c r="AC261" s="4"/>
    </row>
    <row r="262" spans="1:29" ht="15.75" customHeight="1">
      <c r="A262" s="13" t="s">
        <v>546</v>
      </c>
      <c r="B262" s="66" t="s">
        <v>541</v>
      </c>
      <c r="C262" s="71">
        <v>3395</v>
      </c>
      <c r="D262" s="71">
        <v>85819</v>
      </c>
      <c r="E262" s="50">
        <f t="shared" ref="E262:E325" si="22">C262+D262</f>
        <v>89214</v>
      </c>
      <c r="F262" s="51">
        <f t="shared" ref="F262:F325" si="23">(D262/E262)*100</f>
        <v>96.194543457304903</v>
      </c>
      <c r="G262" s="51">
        <f t="shared" ref="G262:G325" si="24">(C262/E262)*100</f>
        <v>3.8054565426950924</v>
      </c>
      <c r="H262" s="3"/>
      <c r="I262" s="1"/>
      <c r="J262" s="1"/>
      <c r="K262" s="1"/>
      <c r="L262" s="1"/>
      <c r="M262" s="1"/>
      <c r="N262" s="1"/>
      <c r="O262" s="13" t="s">
        <v>546</v>
      </c>
      <c r="P262" s="11" t="s">
        <v>541</v>
      </c>
      <c r="Q262" s="9">
        <v>2746</v>
      </c>
      <c r="R262" s="9">
        <v>141186</v>
      </c>
      <c r="S262" s="14">
        <f t="shared" si="19"/>
        <v>143932</v>
      </c>
      <c r="T262" s="15">
        <f t="shared" si="20"/>
        <v>98.092154628574605</v>
      </c>
      <c r="U262" s="15">
        <f t="shared" si="21"/>
        <v>1.9078453714253953</v>
      </c>
      <c r="V262" s="17"/>
      <c r="W262" s="17"/>
      <c r="AC262" s="4"/>
    </row>
    <row r="263" spans="1:29" ht="15.75" customHeight="1">
      <c r="A263" s="13" t="s">
        <v>548</v>
      </c>
      <c r="B263" s="66" t="s">
        <v>543</v>
      </c>
      <c r="C263" s="71">
        <v>544</v>
      </c>
      <c r="D263" s="71">
        <v>10952</v>
      </c>
      <c r="E263" s="50">
        <f t="shared" si="22"/>
        <v>11496</v>
      </c>
      <c r="F263" s="51">
        <f t="shared" si="23"/>
        <v>95.267919276270007</v>
      </c>
      <c r="G263" s="51">
        <f t="shared" si="24"/>
        <v>4.7320807237299931</v>
      </c>
      <c r="H263" s="3"/>
      <c r="I263" s="1"/>
      <c r="J263" s="1"/>
      <c r="K263" s="1"/>
      <c r="L263" s="1"/>
      <c r="M263" s="1"/>
      <c r="N263" s="1"/>
      <c r="O263" s="13" t="s">
        <v>548</v>
      </c>
      <c r="P263" s="11" t="s">
        <v>543</v>
      </c>
      <c r="Q263" s="9">
        <v>160</v>
      </c>
      <c r="R263" s="9">
        <v>9963</v>
      </c>
      <c r="S263" s="14">
        <f t="shared" si="19"/>
        <v>10123</v>
      </c>
      <c r="T263" s="15">
        <f t="shared" si="20"/>
        <v>98.41944087721032</v>
      </c>
      <c r="U263" s="15">
        <f t="shared" si="21"/>
        <v>1.5805591227896869</v>
      </c>
      <c r="V263" s="17"/>
      <c r="W263" s="17"/>
      <c r="AC263" s="4"/>
    </row>
    <row r="264" spans="1:29" ht="15.75" customHeight="1">
      <c r="A264" s="13" t="s">
        <v>550</v>
      </c>
      <c r="B264" s="66" t="s">
        <v>551</v>
      </c>
      <c r="C264" s="71">
        <v>2878</v>
      </c>
      <c r="D264" s="71">
        <v>45193</v>
      </c>
      <c r="E264" s="50">
        <f t="shared" si="22"/>
        <v>48071</v>
      </c>
      <c r="F264" s="51">
        <f t="shared" si="23"/>
        <v>94.013022404360214</v>
      </c>
      <c r="G264" s="51">
        <f t="shared" si="24"/>
        <v>5.9869775956397833</v>
      </c>
      <c r="H264" s="3"/>
      <c r="I264" s="1"/>
      <c r="J264" s="1"/>
      <c r="K264" s="1"/>
      <c r="L264" s="1"/>
      <c r="M264" s="1"/>
      <c r="N264" s="1"/>
      <c r="O264" s="13" t="s">
        <v>550</v>
      </c>
      <c r="P264" s="11" t="s">
        <v>551</v>
      </c>
      <c r="Q264" s="9">
        <v>4758</v>
      </c>
      <c r="R264" s="9">
        <v>58124</v>
      </c>
      <c r="S264" s="14">
        <f t="shared" si="19"/>
        <v>62882</v>
      </c>
      <c r="T264" s="15">
        <f t="shared" si="20"/>
        <v>92.433446773321464</v>
      </c>
      <c r="U264" s="15">
        <f t="shared" si="21"/>
        <v>7.5665532266785407</v>
      </c>
      <c r="V264" s="17"/>
      <c r="W264" s="17"/>
      <c r="AC264" s="4"/>
    </row>
    <row r="265" spans="1:29" ht="15.75" customHeight="1">
      <c r="A265" s="13" t="s">
        <v>553</v>
      </c>
      <c r="B265" s="66" t="s">
        <v>554</v>
      </c>
      <c r="C265" s="71">
        <v>256</v>
      </c>
      <c r="D265" s="71">
        <v>10235</v>
      </c>
      <c r="E265" s="50">
        <f t="shared" si="22"/>
        <v>10491</v>
      </c>
      <c r="F265" s="51">
        <f t="shared" si="23"/>
        <v>97.559813173196076</v>
      </c>
      <c r="G265" s="51">
        <f t="shared" si="24"/>
        <v>2.4401868268039273</v>
      </c>
      <c r="H265" s="3"/>
      <c r="I265" s="1"/>
      <c r="J265" s="1"/>
      <c r="K265" s="1"/>
      <c r="L265" s="1"/>
      <c r="M265" s="1"/>
      <c r="N265" s="1"/>
      <c r="O265" s="13" t="s">
        <v>553</v>
      </c>
      <c r="P265" s="11" t="s">
        <v>554</v>
      </c>
      <c r="Q265" s="9">
        <v>1139</v>
      </c>
      <c r="R265" s="9">
        <v>13200</v>
      </c>
      <c r="S265" s="14">
        <f t="shared" si="19"/>
        <v>14339</v>
      </c>
      <c r="T265" s="15">
        <f t="shared" si="20"/>
        <v>92.056628774670486</v>
      </c>
      <c r="U265" s="15">
        <f t="shared" si="21"/>
        <v>7.9433712253295212</v>
      </c>
      <c r="V265" s="17"/>
      <c r="W265" s="17"/>
      <c r="AC265" s="4"/>
    </row>
    <row r="266" spans="1:29" ht="15.75" customHeight="1">
      <c r="A266" s="13" t="s">
        <v>556</v>
      </c>
      <c r="B266" s="66" t="s">
        <v>547</v>
      </c>
      <c r="C266" s="71">
        <v>154</v>
      </c>
      <c r="D266" s="71">
        <v>5474</v>
      </c>
      <c r="E266" s="50">
        <f t="shared" si="22"/>
        <v>5628</v>
      </c>
      <c r="F266" s="51">
        <f t="shared" si="23"/>
        <v>97.263681592039802</v>
      </c>
      <c r="G266" s="51">
        <f t="shared" si="24"/>
        <v>2.7363184079601992</v>
      </c>
      <c r="H266" s="3"/>
      <c r="I266" s="1"/>
      <c r="J266" s="1"/>
      <c r="K266" s="1"/>
      <c r="L266" s="1"/>
      <c r="M266" s="1"/>
      <c r="N266" s="1"/>
      <c r="O266" s="13" t="s">
        <v>556</v>
      </c>
      <c r="P266" s="11" t="s">
        <v>547</v>
      </c>
      <c r="Q266" s="9">
        <v>897</v>
      </c>
      <c r="R266" s="9">
        <v>7461</v>
      </c>
      <c r="S266" s="14">
        <f t="shared" si="19"/>
        <v>8358</v>
      </c>
      <c r="T266" s="15">
        <f t="shared" si="20"/>
        <v>89.267767408470917</v>
      </c>
      <c r="U266" s="15">
        <f t="shared" si="21"/>
        <v>10.732232591529074</v>
      </c>
      <c r="V266" s="17"/>
      <c r="W266" s="17"/>
      <c r="AC266" s="4"/>
    </row>
    <row r="267" spans="1:29" ht="15.75" customHeight="1">
      <c r="A267" s="13" t="s">
        <v>557</v>
      </c>
      <c r="B267" s="66" t="s">
        <v>549</v>
      </c>
      <c r="C267" s="71">
        <v>470</v>
      </c>
      <c r="D267" s="71">
        <v>11549</v>
      </c>
      <c r="E267" s="50">
        <f t="shared" si="22"/>
        <v>12019</v>
      </c>
      <c r="F267" s="51">
        <f t="shared" si="23"/>
        <v>96.089524918878439</v>
      </c>
      <c r="G267" s="51">
        <f t="shared" si="24"/>
        <v>3.9104750811215574</v>
      </c>
      <c r="H267" s="3"/>
      <c r="I267" s="1"/>
      <c r="J267" s="1"/>
      <c r="K267" s="1"/>
      <c r="L267" s="1"/>
      <c r="M267" s="1"/>
      <c r="N267" s="1"/>
      <c r="O267" s="13" t="s">
        <v>557</v>
      </c>
      <c r="P267" s="11" t="s">
        <v>549</v>
      </c>
      <c r="Q267" s="9">
        <v>305</v>
      </c>
      <c r="R267" s="9">
        <v>12686</v>
      </c>
      <c r="S267" s="14">
        <f t="shared" si="19"/>
        <v>12991</v>
      </c>
      <c r="T267" s="15">
        <f t="shared" si="20"/>
        <v>97.652220768224154</v>
      </c>
      <c r="U267" s="15">
        <f t="shared" si="21"/>
        <v>2.3477792317758448</v>
      </c>
      <c r="V267" s="17"/>
      <c r="W267" s="17"/>
      <c r="AC267" s="4"/>
    </row>
    <row r="268" spans="1:29" ht="15.75" customHeight="1">
      <c r="A268" s="13" t="s">
        <v>559</v>
      </c>
      <c r="B268" s="66" t="s">
        <v>552</v>
      </c>
      <c r="C268" s="71">
        <v>808</v>
      </c>
      <c r="D268" s="71">
        <v>17872</v>
      </c>
      <c r="E268" s="50">
        <f t="shared" si="22"/>
        <v>18680</v>
      </c>
      <c r="F268" s="51">
        <f t="shared" si="23"/>
        <v>95.674518201284798</v>
      </c>
      <c r="G268" s="51">
        <f t="shared" si="24"/>
        <v>4.3254817987152032</v>
      </c>
      <c r="H268" s="3"/>
      <c r="I268" s="1"/>
      <c r="J268" s="1"/>
      <c r="K268" s="1"/>
      <c r="L268" s="1"/>
      <c r="M268" s="1"/>
      <c r="N268" s="1"/>
      <c r="O268" s="13" t="s">
        <v>559</v>
      </c>
      <c r="P268" s="11" t="s">
        <v>552</v>
      </c>
      <c r="Q268" s="9">
        <v>283</v>
      </c>
      <c r="R268" s="9">
        <v>17787</v>
      </c>
      <c r="S268" s="14">
        <f t="shared" si="19"/>
        <v>18070</v>
      </c>
      <c r="T268" s="15">
        <f t="shared" si="20"/>
        <v>98.433868289983394</v>
      </c>
      <c r="U268" s="15">
        <f t="shared" si="21"/>
        <v>1.5661317100166023</v>
      </c>
      <c r="V268" s="17"/>
      <c r="W268" s="17"/>
      <c r="AC268" s="4"/>
    </row>
    <row r="269" spans="1:29" ht="15.75" customHeight="1">
      <c r="A269" s="13" t="s">
        <v>561</v>
      </c>
      <c r="B269" s="66" t="s">
        <v>555</v>
      </c>
      <c r="C269" s="71">
        <v>3565</v>
      </c>
      <c r="D269" s="71">
        <v>43537</v>
      </c>
      <c r="E269" s="50">
        <f t="shared" si="22"/>
        <v>47102</v>
      </c>
      <c r="F269" s="51">
        <f t="shared" si="23"/>
        <v>92.431319264574753</v>
      </c>
      <c r="G269" s="51">
        <f t="shared" si="24"/>
        <v>7.5686807354252466</v>
      </c>
      <c r="H269" s="3"/>
      <c r="I269" s="1"/>
      <c r="J269" s="1"/>
      <c r="K269" s="1"/>
      <c r="L269" s="1"/>
      <c r="M269" s="1"/>
      <c r="N269" s="1"/>
      <c r="O269" s="13" t="s">
        <v>561</v>
      </c>
      <c r="P269" s="11" t="s">
        <v>555</v>
      </c>
      <c r="Q269" s="9">
        <v>1400</v>
      </c>
      <c r="R269" s="9">
        <v>53793</v>
      </c>
      <c r="S269" s="14">
        <f t="shared" si="19"/>
        <v>55193</v>
      </c>
      <c r="T269" s="15">
        <f t="shared" si="20"/>
        <v>97.463446451542765</v>
      </c>
      <c r="U269" s="15">
        <f t="shared" si="21"/>
        <v>2.5365535484572317</v>
      </c>
      <c r="V269" s="17"/>
      <c r="W269" s="17"/>
      <c r="AC269" s="4"/>
    </row>
    <row r="270" spans="1:29" ht="15.75" customHeight="1">
      <c r="A270" s="13" t="s">
        <v>563</v>
      </c>
      <c r="B270" s="66" t="s">
        <v>564</v>
      </c>
      <c r="C270" s="71">
        <v>660</v>
      </c>
      <c r="D270" s="71">
        <v>7872</v>
      </c>
      <c r="E270" s="50">
        <f t="shared" si="22"/>
        <v>8532</v>
      </c>
      <c r="F270" s="51">
        <f t="shared" si="23"/>
        <v>92.264416315049232</v>
      </c>
      <c r="G270" s="51">
        <f t="shared" si="24"/>
        <v>7.7355836849507735</v>
      </c>
      <c r="H270" s="3"/>
      <c r="I270" s="1"/>
      <c r="J270" s="1"/>
      <c r="K270" s="1"/>
      <c r="L270" s="1"/>
      <c r="M270" s="1"/>
      <c r="N270" s="1"/>
      <c r="O270" s="13" t="s">
        <v>563</v>
      </c>
      <c r="P270" s="11" t="s">
        <v>564</v>
      </c>
      <c r="Q270" s="9">
        <v>178</v>
      </c>
      <c r="R270" s="9">
        <v>9559</v>
      </c>
      <c r="S270" s="14">
        <f t="shared" si="19"/>
        <v>9737</v>
      </c>
      <c r="T270" s="15">
        <f t="shared" si="20"/>
        <v>98.17192153640751</v>
      </c>
      <c r="U270" s="15">
        <f t="shared" si="21"/>
        <v>1.8280784635924825</v>
      </c>
      <c r="V270" s="17"/>
      <c r="W270" s="17"/>
      <c r="AC270" s="4"/>
    </row>
    <row r="271" spans="1:29" ht="15.75" customHeight="1">
      <c r="A271" s="13" t="s">
        <v>566</v>
      </c>
      <c r="B271" s="66" t="s">
        <v>558</v>
      </c>
      <c r="C271" s="71">
        <v>8100</v>
      </c>
      <c r="D271" s="71">
        <v>18491</v>
      </c>
      <c r="E271" s="50">
        <f t="shared" si="22"/>
        <v>26591</v>
      </c>
      <c r="F271" s="51">
        <f t="shared" si="23"/>
        <v>69.53856568011733</v>
      </c>
      <c r="G271" s="51">
        <f t="shared" si="24"/>
        <v>30.46143431988267</v>
      </c>
      <c r="H271" s="3"/>
      <c r="I271" s="1"/>
      <c r="J271" s="1"/>
      <c r="K271" s="1"/>
      <c r="L271" s="1"/>
      <c r="M271" s="1"/>
      <c r="N271" s="1"/>
      <c r="O271" s="13" t="s">
        <v>566</v>
      </c>
      <c r="P271" s="11" t="s">
        <v>558</v>
      </c>
      <c r="Q271" s="9">
        <v>10963</v>
      </c>
      <c r="R271" s="9">
        <v>27084</v>
      </c>
      <c r="S271" s="14">
        <f t="shared" si="19"/>
        <v>38047</v>
      </c>
      <c r="T271" s="15">
        <f t="shared" si="20"/>
        <v>71.185638815149687</v>
      </c>
      <c r="U271" s="15">
        <f t="shared" si="21"/>
        <v>28.814361184850316</v>
      </c>
      <c r="V271" s="17"/>
      <c r="W271" s="17"/>
      <c r="AC271" s="4"/>
    </row>
    <row r="272" spans="1:29" ht="15.75" customHeight="1">
      <c r="A272" s="13" t="s">
        <v>568</v>
      </c>
      <c r="B272" s="66" t="s">
        <v>560</v>
      </c>
      <c r="C272" s="71">
        <v>12424</v>
      </c>
      <c r="D272" s="71">
        <v>21839</v>
      </c>
      <c r="E272" s="50">
        <f t="shared" si="22"/>
        <v>34263</v>
      </c>
      <c r="F272" s="51">
        <f t="shared" si="23"/>
        <v>63.739310626623471</v>
      </c>
      <c r="G272" s="51">
        <f t="shared" si="24"/>
        <v>36.260689373376529</v>
      </c>
      <c r="H272" s="3"/>
      <c r="I272" s="1"/>
      <c r="J272" s="1"/>
      <c r="K272" s="1"/>
      <c r="L272" s="1"/>
      <c r="M272" s="1"/>
      <c r="N272" s="1"/>
      <c r="O272" s="13" t="s">
        <v>568</v>
      </c>
      <c r="P272" s="11" t="s">
        <v>560</v>
      </c>
      <c r="Q272" s="9">
        <v>13238</v>
      </c>
      <c r="R272" s="9">
        <v>36947</v>
      </c>
      <c r="S272" s="14">
        <f t="shared" si="19"/>
        <v>50185</v>
      </c>
      <c r="T272" s="15">
        <f t="shared" si="20"/>
        <v>73.62160007970509</v>
      </c>
      <c r="U272" s="15">
        <f t="shared" si="21"/>
        <v>26.37839992029491</v>
      </c>
      <c r="V272" s="17"/>
      <c r="W272" s="17"/>
      <c r="AC272" s="4"/>
    </row>
    <row r="273" spans="1:29" ht="15.75" customHeight="1">
      <c r="A273" s="13" t="s">
        <v>569</v>
      </c>
      <c r="B273" s="66" t="s">
        <v>562</v>
      </c>
      <c r="C273" s="71">
        <v>333</v>
      </c>
      <c r="D273" s="71">
        <v>14422</v>
      </c>
      <c r="E273" s="50">
        <f t="shared" si="22"/>
        <v>14755</v>
      </c>
      <c r="F273" s="51">
        <f t="shared" si="23"/>
        <v>97.74313791934938</v>
      </c>
      <c r="G273" s="51">
        <f t="shared" si="24"/>
        <v>2.256862080650627</v>
      </c>
      <c r="H273" s="3"/>
      <c r="I273" s="1"/>
      <c r="J273" s="1"/>
      <c r="K273" s="1"/>
      <c r="L273" s="1"/>
      <c r="M273" s="1"/>
      <c r="N273" s="1"/>
      <c r="O273" s="13" t="s">
        <v>569</v>
      </c>
      <c r="P273" s="11" t="s">
        <v>562</v>
      </c>
      <c r="Q273" s="9">
        <v>844</v>
      </c>
      <c r="R273" s="9">
        <v>16935</v>
      </c>
      <c r="S273" s="14">
        <f t="shared" si="19"/>
        <v>17779</v>
      </c>
      <c r="T273" s="15">
        <f t="shared" si="20"/>
        <v>95.252826368187186</v>
      </c>
      <c r="U273" s="15">
        <f t="shared" si="21"/>
        <v>4.7471736318128128</v>
      </c>
      <c r="V273" s="17"/>
      <c r="W273" s="17"/>
      <c r="AC273" s="4"/>
    </row>
    <row r="274" spans="1:29" ht="15.75" customHeight="1">
      <c r="A274" s="13" t="s">
        <v>571</v>
      </c>
      <c r="B274" s="66" t="s">
        <v>565</v>
      </c>
      <c r="C274" s="71">
        <v>505</v>
      </c>
      <c r="D274" s="71">
        <v>16143</v>
      </c>
      <c r="E274" s="50">
        <f t="shared" si="22"/>
        <v>16648</v>
      </c>
      <c r="F274" s="51">
        <f t="shared" si="23"/>
        <v>96.966602594906291</v>
      </c>
      <c r="G274" s="51">
        <f t="shared" si="24"/>
        <v>3.0333974050937051</v>
      </c>
      <c r="H274" s="3"/>
      <c r="I274" s="1"/>
      <c r="J274" s="1"/>
      <c r="K274" s="1"/>
      <c r="L274" s="1"/>
      <c r="M274" s="1"/>
      <c r="N274" s="1"/>
      <c r="O274" s="13" t="s">
        <v>571</v>
      </c>
      <c r="P274" s="11" t="s">
        <v>565</v>
      </c>
      <c r="Q274" s="9">
        <v>237</v>
      </c>
      <c r="R274" s="9">
        <v>19531</v>
      </c>
      <c r="S274" s="14">
        <f t="shared" si="19"/>
        <v>19768</v>
      </c>
      <c r="T274" s="15">
        <f t="shared" si="20"/>
        <v>98.801092675030361</v>
      </c>
      <c r="U274" s="15">
        <f t="shared" si="21"/>
        <v>1.198907324969648</v>
      </c>
      <c r="V274" s="17"/>
      <c r="W274" s="17"/>
      <c r="AC274" s="4"/>
    </row>
    <row r="275" spans="1:29" ht="15.75" customHeight="1">
      <c r="A275" s="13" t="s">
        <v>573</v>
      </c>
      <c r="B275" s="66" t="s">
        <v>567</v>
      </c>
      <c r="C275" s="71">
        <v>1075</v>
      </c>
      <c r="D275" s="71">
        <v>16793</v>
      </c>
      <c r="E275" s="50">
        <f t="shared" si="22"/>
        <v>17868</v>
      </c>
      <c r="F275" s="51">
        <f t="shared" si="23"/>
        <v>93.983657935974932</v>
      </c>
      <c r="G275" s="51">
        <f t="shared" si="24"/>
        <v>6.0163420640250731</v>
      </c>
      <c r="H275" s="3"/>
      <c r="I275" s="1"/>
      <c r="J275" s="1"/>
      <c r="K275" s="1"/>
      <c r="L275" s="1"/>
      <c r="M275" s="1"/>
      <c r="N275" s="1"/>
      <c r="O275" s="13" t="s">
        <v>573</v>
      </c>
      <c r="P275" s="11" t="s">
        <v>567</v>
      </c>
      <c r="Q275" s="9">
        <v>358</v>
      </c>
      <c r="R275" s="9">
        <v>16886</v>
      </c>
      <c r="S275" s="14">
        <f t="shared" si="19"/>
        <v>17244</v>
      </c>
      <c r="T275" s="15">
        <f t="shared" si="20"/>
        <v>97.923915564834147</v>
      </c>
      <c r="U275" s="15">
        <f t="shared" si="21"/>
        <v>2.0760844351658547</v>
      </c>
      <c r="V275" s="17"/>
      <c r="W275" s="17"/>
      <c r="AC275" s="4"/>
    </row>
    <row r="276" spans="1:29" ht="15.75" customHeight="1">
      <c r="A276" s="13" t="s">
        <v>575</v>
      </c>
      <c r="B276" s="66" t="s">
        <v>576</v>
      </c>
      <c r="C276" s="71">
        <v>315</v>
      </c>
      <c r="D276" s="71">
        <v>5267</v>
      </c>
      <c r="E276" s="50">
        <f t="shared" si="22"/>
        <v>5582</v>
      </c>
      <c r="F276" s="51">
        <f t="shared" si="23"/>
        <v>94.35686134002151</v>
      </c>
      <c r="G276" s="51">
        <f t="shared" si="24"/>
        <v>5.6431386599785016</v>
      </c>
      <c r="H276" s="3"/>
      <c r="I276" s="1"/>
      <c r="J276" s="1"/>
      <c r="K276" s="1"/>
      <c r="L276" s="1"/>
      <c r="M276" s="1"/>
      <c r="N276" s="1"/>
      <c r="O276" s="13" t="s">
        <v>575</v>
      </c>
      <c r="P276" s="11" t="s">
        <v>576</v>
      </c>
      <c r="Q276" s="9">
        <v>66</v>
      </c>
      <c r="R276" s="9">
        <v>5660</v>
      </c>
      <c r="S276" s="14">
        <f t="shared" si="19"/>
        <v>5726</v>
      </c>
      <c r="T276" s="15">
        <f t="shared" si="20"/>
        <v>98.847362906042619</v>
      </c>
      <c r="U276" s="15">
        <f t="shared" si="21"/>
        <v>1.1526370939573873</v>
      </c>
      <c r="V276" s="17"/>
      <c r="W276" s="17"/>
      <c r="AC276" s="4"/>
    </row>
    <row r="277" spans="1:29" ht="15.75" customHeight="1">
      <c r="A277" s="13" t="s">
        <v>577</v>
      </c>
      <c r="B277" s="66" t="s">
        <v>570</v>
      </c>
      <c r="C277" s="71">
        <v>277</v>
      </c>
      <c r="D277" s="71">
        <v>4713</v>
      </c>
      <c r="E277" s="50">
        <f t="shared" si="22"/>
        <v>4990</v>
      </c>
      <c r="F277" s="51">
        <f t="shared" si="23"/>
        <v>94.448897795591179</v>
      </c>
      <c r="G277" s="51">
        <f t="shared" si="24"/>
        <v>5.5511022044088181</v>
      </c>
      <c r="H277" s="3"/>
      <c r="I277" s="1"/>
      <c r="J277" s="1"/>
      <c r="K277" s="1"/>
      <c r="L277" s="1"/>
      <c r="M277" s="1"/>
      <c r="N277" s="1"/>
      <c r="O277" s="13" t="s">
        <v>577</v>
      </c>
      <c r="P277" s="11" t="s">
        <v>570</v>
      </c>
      <c r="Q277" s="9">
        <v>335</v>
      </c>
      <c r="R277" s="9">
        <v>5283</v>
      </c>
      <c r="S277" s="14">
        <f t="shared" si="19"/>
        <v>5618</v>
      </c>
      <c r="T277" s="15">
        <f t="shared" si="20"/>
        <v>94.037023851904593</v>
      </c>
      <c r="U277" s="15">
        <f t="shared" si="21"/>
        <v>5.9629761480954082</v>
      </c>
      <c r="V277" s="17"/>
      <c r="W277" s="17"/>
      <c r="AC277" s="4"/>
    </row>
    <row r="278" spans="1:29" ht="15.75" customHeight="1">
      <c r="A278" s="13" t="s">
        <v>579</v>
      </c>
      <c r="B278" s="66" t="s">
        <v>572</v>
      </c>
      <c r="C278" s="71">
        <v>9248</v>
      </c>
      <c r="D278" s="71">
        <v>20141</v>
      </c>
      <c r="E278" s="50">
        <f t="shared" si="22"/>
        <v>29389</v>
      </c>
      <c r="F278" s="51">
        <f t="shared" si="23"/>
        <v>68.532444111742478</v>
      </c>
      <c r="G278" s="51">
        <f t="shared" si="24"/>
        <v>31.467555888257507</v>
      </c>
      <c r="H278" s="3"/>
      <c r="I278" s="1"/>
      <c r="J278" s="1"/>
      <c r="K278" s="1"/>
      <c r="L278" s="1"/>
      <c r="M278" s="1"/>
      <c r="N278" s="1"/>
      <c r="O278" s="13" t="s">
        <v>579</v>
      </c>
      <c r="P278" s="11" t="s">
        <v>572</v>
      </c>
      <c r="Q278" s="9">
        <v>9269</v>
      </c>
      <c r="R278" s="9">
        <v>26651</v>
      </c>
      <c r="S278" s="14">
        <f t="shared" si="19"/>
        <v>35920</v>
      </c>
      <c r="T278" s="15">
        <f t="shared" si="20"/>
        <v>74.195434298440972</v>
      </c>
      <c r="U278" s="15">
        <f t="shared" si="21"/>
        <v>25.804565701559017</v>
      </c>
      <c r="V278" s="17"/>
      <c r="W278" s="17"/>
      <c r="AC278" s="4"/>
    </row>
    <row r="279" spans="1:29" ht="15.75" customHeight="1">
      <c r="A279" s="13" t="s">
        <v>581</v>
      </c>
      <c r="B279" s="66" t="s">
        <v>574</v>
      </c>
      <c r="C279" s="71">
        <v>5918</v>
      </c>
      <c r="D279" s="71">
        <v>18351</v>
      </c>
      <c r="E279" s="50">
        <f t="shared" si="22"/>
        <v>24269</v>
      </c>
      <c r="F279" s="51">
        <f t="shared" si="23"/>
        <v>75.614982075899292</v>
      </c>
      <c r="G279" s="51">
        <f t="shared" si="24"/>
        <v>24.385017924100705</v>
      </c>
      <c r="H279" s="3"/>
      <c r="I279" s="1"/>
      <c r="J279" s="1"/>
      <c r="K279" s="1"/>
      <c r="L279" s="1"/>
      <c r="M279" s="1"/>
      <c r="N279" s="1"/>
      <c r="O279" s="13" t="s">
        <v>581</v>
      </c>
      <c r="P279" s="11" t="s">
        <v>574</v>
      </c>
      <c r="Q279" s="9">
        <v>6774</v>
      </c>
      <c r="R279" s="9">
        <v>24141</v>
      </c>
      <c r="S279" s="14">
        <f t="shared" si="19"/>
        <v>30915</v>
      </c>
      <c r="T279" s="15">
        <f t="shared" si="20"/>
        <v>78.088306647258605</v>
      </c>
      <c r="U279" s="15">
        <f t="shared" si="21"/>
        <v>21.911693352741388</v>
      </c>
      <c r="V279" s="17"/>
      <c r="W279" s="17"/>
      <c r="AC279" s="4"/>
    </row>
    <row r="280" spans="1:29" ht="15.75" customHeight="1">
      <c r="A280" s="13" t="s">
        <v>583</v>
      </c>
      <c r="B280" s="66" t="s">
        <v>584</v>
      </c>
      <c r="C280" s="71">
        <v>386</v>
      </c>
      <c r="D280" s="71">
        <v>4285</v>
      </c>
      <c r="E280" s="50">
        <f t="shared" si="22"/>
        <v>4671</v>
      </c>
      <c r="F280" s="51">
        <f t="shared" si="23"/>
        <v>91.736244915435677</v>
      </c>
      <c r="G280" s="51">
        <f t="shared" si="24"/>
        <v>8.2637550845643339</v>
      </c>
      <c r="H280" s="3"/>
      <c r="I280" s="1"/>
      <c r="J280" s="1"/>
      <c r="K280" s="1"/>
      <c r="L280" s="1"/>
      <c r="M280" s="1"/>
      <c r="N280" s="1"/>
      <c r="O280" s="13" t="s">
        <v>583</v>
      </c>
      <c r="P280" s="11" t="s">
        <v>584</v>
      </c>
      <c r="Q280" s="9">
        <v>166</v>
      </c>
      <c r="R280" s="9">
        <v>4968</v>
      </c>
      <c r="S280" s="14">
        <f t="shared" si="19"/>
        <v>5134</v>
      </c>
      <c r="T280" s="15">
        <f t="shared" si="20"/>
        <v>96.766653681340088</v>
      </c>
      <c r="U280" s="15">
        <f t="shared" si="21"/>
        <v>3.2333463186599145</v>
      </c>
      <c r="V280" s="17"/>
      <c r="W280" s="17"/>
      <c r="AC280" s="4"/>
    </row>
    <row r="281" spans="1:29" ht="15.75" customHeight="1">
      <c r="A281" s="13" t="s">
        <v>586</v>
      </c>
      <c r="B281" s="66" t="s">
        <v>578</v>
      </c>
      <c r="C281" s="71">
        <v>1695</v>
      </c>
      <c r="D281" s="71">
        <v>9557</v>
      </c>
      <c r="E281" s="50">
        <f t="shared" si="22"/>
        <v>11252</v>
      </c>
      <c r="F281" s="51">
        <f t="shared" si="23"/>
        <v>84.936011375755413</v>
      </c>
      <c r="G281" s="51">
        <f t="shared" si="24"/>
        <v>15.063988624244578</v>
      </c>
      <c r="H281" s="3"/>
      <c r="I281" s="1"/>
      <c r="J281" s="1"/>
      <c r="K281" s="1"/>
      <c r="L281" s="1"/>
      <c r="M281" s="1"/>
      <c r="N281" s="1"/>
      <c r="O281" s="13" t="s">
        <v>586</v>
      </c>
      <c r="P281" s="11" t="s">
        <v>578</v>
      </c>
      <c r="Q281" s="9">
        <v>1439</v>
      </c>
      <c r="R281" s="9">
        <v>11955</v>
      </c>
      <c r="S281" s="14">
        <f t="shared" si="19"/>
        <v>13394</v>
      </c>
      <c r="T281" s="15">
        <f t="shared" si="20"/>
        <v>89.256383455278481</v>
      </c>
      <c r="U281" s="15">
        <f t="shared" si="21"/>
        <v>10.743616544721517</v>
      </c>
      <c r="V281" s="17"/>
      <c r="W281" s="17"/>
      <c r="AC281" s="4"/>
    </row>
    <row r="282" spans="1:29" ht="15.75" customHeight="1">
      <c r="A282" s="13" t="s">
        <v>587</v>
      </c>
      <c r="B282" s="66" t="s">
        <v>580</v>
      </c>
      <c r="C282" s="71">
        <v>1412</v>
      </c>
      <c r="D282" s="71">
        <v>30415</v>
      </c>
      <c r="E282" s="50">
        <f t="shared" si="22"/>
        <v>31827</v>
      </c>
      <c r="F282" s="51">
        <f t="shared" si="23"/>
        <v>95.563515254343798</v>
      </c>
      <c r="G282" s="51">
        <f t="shared" si="24"/>
        <v>4.4364847456562035</v>
      </c>
      <c r="H282" s="3"/>
      <c r="I282" s="1"/>
      <c r="J282" s="1"/>
      <c r="K282" s="1"/>
      <c r="L282" s="1"/>
      <c r="M282" s="1"/>
      <c r="N282" s="1"/>
      <c r="O282" s="13" t="s">
        <v>587</v>
      </c>
      <c r="P282" s="11" t="s">
        <v>580</v>
      </c>
      <c r="Q282" s="9">
        <v>708</v>
      </c>
      <c r="R282" s="9">
        <v>30364</v>
      </c>
      <c r="S282" s="14">
        <f t="shared" si="19"/>
        <v>31072</v>
      </c>
      <c r="T282" s="15">
        <f t="shared" si="20"/>
        <v>97.721421215242017</v>
      </c>
      <c r="U282" s="15">
        <f t="shared" si="21"/>
        <v>2.2785787847579813</v>
      </c>
      <c r="V282" s="17"/>
      <c r="W282" s="17"/>
      <c r="AC282" s="4"/>
    </row>
    <row r="283" spans="1:29" ht="15.75" customHeight="1">
      <c r="A283" s="13" t="s">
        <v>589</v>
      </c>
      <c r="B283" s="66" t="s">
        <v>582</v>
      </c>
      <c r="C283" s="71">
        <v>144</v>
      </c>
      <c r="D283" s="71">
        <v>4626</v>
      </c>
      <c r="E283" s="50">
        <f t="shared" si="22"/>
        <v>4770</v>
      </c>
      <c r="F283" s="51">
        <f t="shared" si="23"/>
        <v>96.981132075471692</v>
      </c>
      <c r="G283" s="51">
        <f t="shared" si="24"/>
        <v>3.0188679245283021</v>
      </c>
      <c r="H283" s="3"/>
      <c r="I283" s="1"/>
      <c r="J283" s="1"/>
      <c r="K283" s="1"/>
      <c r="L283" s="1"/>
      <c r="M283" s="1"/>
      <c r="N283" s="1"/>
      <c r="O283" s="13" t="s">
        <v>589</v>
      </c>
      <c r="P283" s="11" t="s">
        <v>582</v>
      </c>
      <c r="Q283" s="9">
        <v>495</v>
      </c>
      <c r="R283" s="9">
        <v>4762</v>
      </c>
      <c r="S283" s="14">
        <f t="shared" si="19"/>
        <v>5257</v>
      </c>
      <c r="T283" s="15">
        <f t="shared" si="20"/>
        <v>90.583983260414684</v>
      </c>
      <c r="U283" s="15">
        <f t="shared" si="21"/>
        <v>9.4160167395853147</v>
      </c>
      <c r="V283" s="17"/>
      <c r="W283" s="17"/>
      <c r="AC283" s="4"/>
    </row>
    <row r="284" spans="1:29" ht="15.75" customHeight="1">
      <c r="A284" s="13" t="s">
        <v>590</v>
      </c>
      <c r="B284" s="66" t="s">
        <v>585</v>
      </c>
      <c r="C284" s="71">
        <v>662</v>
      </c>
      <c r="D284" s="71">
        <v>15584</v>
      </c>
      <c r="E284" s="50">
        <f t="shared" si="22"/>
        <v>16246</v>
      </c>
      <c r="F284" s="51">
        <f t="shared" si="23"/>
        <v>95.925150806352335</v>
      </c>
      <c r="G284" s="51">
        <f t="shared" si="24"/>
        <v>4.0748491936476672</v>
      </c>
      <c r="H284" s="3"/>
      <c r="I284" s="1"/>
      <c r="J284" s="1"/>
      <c r="K284" s="1"/>
      <c r="L284" s="1"/>
      <c r="M284" s="1"/>
      <c r="N284" s="1"/>
      <c r="O284" s="13" t="s">
        <v>590</v>
      </c>
      <c r="P284" s="11" t="s">
        <v>585</v>
      </c>
      <c r="Q284" s="9">
        <v>245</v>
      </c>
      <c r="R284" s="9">
        <v>16386</v>
      </c>
      <c r="S284" s="14">
        <f t="shared" si="19"/>
        <v>16631</v>
      </c>
      <c r="T284" s="15">
        <f t="shared" si="20"/>
        <v>98.526847453550602</v>
      </c>
      <c r="U284" s="15">
        <f t="shared" si="21"/>
        <v>1.4731525464494017</v>
      </c>
      <c r="V284" s="17"/>
      <c r="W284" s="17"/>
      <c r="AC284" s="4"/>
    </row>
    <row r="285" spans="1:29" ht="15.75" customHeight="1">
      <c r="A285" s="13" t="s">
        <v>592</v>
      </c>
      <c r="B285" s="66" t="s">
        <v>593</v>
      </c>
      <c r="C285" s="71">
        <v>25</v>
      </c>
      <c r="D285" s="71">
        <v>1977</v>
      </c>
      <c r="E285" s="50">
        <f t="shared" si="22"/>
        <v>2002</v>
      </c>
      <c r="F285" s="51">
        <f t="shared" si="23"/>
        <v>98.751248751248752</v>
      </c>
      <c r="G285" s="51">
        <f t="shared" si="24"/>
        <v>1.2487512487512489</v>
      </c>
      <c r="H285" s="3"/>
      <c r="I285" s="1"/>
      <c r="J285" s="1"/>
      <c r="K285" s="1"/>
      <c r="L285" s="1"/>
      <c r="M285" s="1"/>
      <c r="N285" s="1"/>
      <c r="O285" s="13" t="s">
        <v>592</v>
      </c>
      <c r="P285" s="11" t="s">
        <v>593</v>
      </c>
      <c r="Q285" s="9">
        <v>22</v>
      </c>
      <c r="R285" s="9">
        <v>2255</v>
      </c>
      <c r="S285" s="14">
        <f t="shared" si="19"/>
        <v>2277</v>
      </c>
      <c r="T285" s="15">
        <f t="shared" si="20"/>
        <v>99.033816425120762</v>
      </c>
      <c r="U285" s="15">
        <f t="shared" si="21"/>
        <v>0.96618357487922701</v>
      </c>
      <c r="V285" s="17"/>
      <c r="W285" s="17"/>
      <c r="AC285" s="4"/>
    </row>
    <row r="286" spans="1:29" ht="15.75" customHeight="1">
      <c r="A286" s="13" t="s">
        <v>595</v>
      </c>
      <c r="B286" s="66" t="s">
        <v>588</v>
      </c>
      <c r="C286" s="71">
        <v>47</v>
      </c>
      <c r="D286" s="71">
        <v>2564</v>
      </c>
      <c r="E286" s="50">
        <f t="shared" si="22"/>
        <v>2611</v>
      </c>
      <c r="F286" s="51">
        <f t="shared" si="23"/>
        <v>98.199923400995786</v>
      </c>
      <c r="G286" s="51">
        <f t="shared" si="24"/>
        <v>1.8000765990042129</v>
      </c>
      <c r="H286" s="3"/>
      <c r="I286" s="1"/>
      <c r="J286" s="1"/>
      <c r="K286" s="1"/>
      <c r="L286" s="1"/>
      <c r="M286" s="1"/>
      <c r="N286" s="1"/>
      <c r="O286" s="13" t="s">
        <v>595</v>
      </c>
      <c r="P286" s="11" t="s">
        <v>588</v>
      </c>
      <c r="Q286" s="9">
        <v>39</v>
      </c>
      <c r="R286" s="9">
        <v>2652</v>
      </c>
      <c r="S286" s="14">
        <f t="shared" si="19"/>
        <v>2691</v>
      </c>
      <c r="T286" s="15">
        <f t="shared" si="20"/>
        <v>98.550724637681171</v>
      </c>
      <c r="U286" s="15">
        <f t="shared" si="21"/>
        <v>1.4492753623188406</v>
      </c>
      <c r="V286" s="17"/>
      <c r="W286" s="17"/>
      <c r="AC286" s="4"/>
    </row>
    <row r="287" spans="1:29" ht="15.75" customHeight="1">
      <c r="A287" s="13" t="s">
        <v>597</v>
      </c>
      <c r="B287" s="66" t="s">
        <v>598</v>
      </c>
      <c r="C287" s="71">
        <v>45</v>
      </c>
      <c r="D287" s="71">
        <v>2191</v>
      </c>
      <c r="E287" s="50">
        <f t="shared" si="22"/>
        <v>2236</v>
      </c>
      <c r="F287" s="51">
        <f t="shared" si="23"/>
        <v>97.987477638640428</v>
      </c>
      <c r="G287" s="51">
        <f t="shared" si="24"/>
        <v>2.0125223613595709</v>
      </c>
      <c r="H287" s="3"/>
      <c r="I287" s="1"/>
      <c r="J287" s="1"/>
      <c r="K287" s="1"/>
      <c r="L287" s="1"/>
      <c r="M287" s="1"/>
      <c r="N287" s="1"/>
      <c r="O287" s="13" t="s">
        <v>597</v>
      </c>
      <c r="P287" s="11" t="s">
        <v>598</v>
      </c>
      <c r="Q287" s="9">
        <v>55</v>
      </c>
      <c r="R287" s="9">
        <v>1692</v>
      </c>
      <c r="S287" s="14">
        <f t="shared" si="19"/>
        <v>1747</v>
      </c>
      <c r="T287" s="15">
        <f t="shared" si="20"/>
        <v>96.851745850028621</v>
      </c>
      <c r="U287" s="15">
        <f t="shared" si="21"/>
        <v>3.1482541499713794</v>
      </c>
      <c r="V287" s="17"/>
      <c r="W287" s="17"/>
      <c r="AC287" s="4"/>
    </row>
    <row r="288" spans="1:29" ht="15.75" customHeight="1">
      <c r="A288" s="13" t="s">
        <v>600</v>
      </c>
      <c r="B288" s="66" t="s">
        <v>591</v>
      </c>
      <c r="C288" s="71">
        <v>55</v>
      </c>
      <c r="D288" s="71">
        <v>1902</v>
      </c>
      <c r="E288" s="50">
        <f t="shared" si="22"/>
        <v>1957</v>
      </c>
      <c r="F288" s="51">
        <f t="shared" si="23"/>
        <v>97.189575881451191</v>
      </c>
      <c r="G288" s="51">
        <f t="shared" si="24"/>
        <v>2.810424118548799</v>
      </c>
      <c r="H288" s="3"/>
      <c r="I288" s="1"/>
      <c r="J288" s="1"/>
      <c r="K288" s="1"/>
      <c r="L288" s="1"/>
      <c r="M288" s="1"/>
      <c r="N288" s="1"/>
      <c r="O288" s="13" t="s">
        <v>600</v>
      </c>
      <c r="P288" s="11" t="s">
        <v>591</v>
      </c>
      <c r="Q288" s="9">
        <v>23</v>
      </c>
      <c r="R288" s="9">
        <v>1913</v>
      </c>
      <c r="S288" s="14">
        <f t="shared" si="19"/>
        <v>1936</v>
      </c>
      <c r="T288" s="15">
        <f t="shared" si="20"/>
        <v>98.811983471074385</v>
      </c>
      <c r="U288" s="15">
        <f t="shared" si="21"/>
        <v>1.1880165289256199</v>
      </c>
      <c r="V288" s="17"/>
      <c r="W288" s="17"/>
      <c r="AC288" s="4"/>
    </row>
    <row r="289" spans="1:29" ht="15.75" customHeight="1">
      <c r="A289" s="13" t="s">
        <v>602</v>
      </c>
      <c r="B289" s="66" t="s">
        <v>594</v>
      </c>
      <c r="C289" s="71">
        <v>546</v>
      </c>
      <c r="D289" s="71">
        <v>9277</v>
      </c>
      <c r="E289" s="50">
        <f t="shared" si="22"/>
        <v>9823</v>
      </c>
      <c r="F289" s="51">
        <f t="shared" si="23"/>
        <v>94.441616614069019</v>
      </c>
      <c r="G289" s="51">
        <f t="shared" si="24"/>
        <v>5.5583833859309779</v>
      </c>
      <c r="H289" s="3"/>
      <c r="I289" s="1"/>
      <c r="J289" s="1"/>
      <c r="K289" s="1"/>
      <c r="L289" s="1"/>
      <c r="M289" s="1"/>
      <c r="N289" s="1"/>
      <c r="O289" s="13" t="s">
        <v>602</v>
      </c>
      <c r="P289" s="11" t="s">
        <v>594</v>
      </c>
      <c r="Q289" s="9">
        <v>316</v>
      </c>
      <c r="R289" s="9">
        <v>11061</v>
      </c>
      <c r="S289" s="14">
        <f t="shared" si="19"/>
        <v>11377</v>
      </c>
      <c r="T289" s="15">
        <f t="shared" si="20"/>
        <v>97.222466379537664</v>
      </c>
      <c r="U289" s="15">
        <f t="shared" si="21"/>
        <v>2.7775336204623366</v>
      </c>
      <c r="V289" s="17"/>
      <c r="W289" s="17"/>
      <c r="AC289" s="4"/>
    </row>
    <row r="290" spans="1:29" ht="15.75" customHeight="1">
      <c r="A290" s="13" t="s">
        <v>604</v>
      </c>
      <c r="B290" s="66" t="s">
        <v>596</v>
      </c>
      <c r="C290" s="71">
        <v>526</v>
      </c>
      <c r="D290" s="71">
        <v>8083</v>
      </c>
      <c r="E290" s="50">
        <f t="shared" si="22"/>
        <v>8609</v>
      </c>
      <c r="F290" s="51">
        <f t="shared" si="23"/>
        <v>93.890114995934482</v>
      </c>
      <c r="G290" s="51">
        <f t="shared" si="24"/>
        <v>6.1098850040655126</v>
      </c>
      <c r="H290" s="3"/>
      <c r="I290" s="1"/>
      <c r="J290" s="1"/>
      <c r="K290" s="1"/>
      <c r="L290" s="1"/>
      <c r="M290" s="1"/>
      <c r="N290" s="1"/>
      <c r="O290" s="13" t="s">
        <v>604</v>
      </c>
      <c r="P290" s="11" t="s">
        <v>596</v>
      </c>
      <c r="Q290" s="9">
        <v>248</v>
      </c>
      <c r="R290" s="9">
        <v>8922</v>
      </c>
      <c r="S290" s="14">
        <f t="shared" si="19"/>
        <v>9170</v>
      </c>
      <c r="T290" s="15">
        <f t="shared" si="20"/>
        <v>97.295528898582333</v>
      </c>
      <c r="U290" s="15">
        <f t="shared" si="21"/>
        <v>2.7044711014176661</v>
      </c>
      <c r="V290" s="17"/>
      <c r="W290" s="17"/>
      <c r="AC290" s="4"/>
    </row>
    <row r="291" spans="1:29" ht="15.75" customHeight="1">
      <c r="A291" s="13" t="s">
        <v>605</v>
      </c>
      <c r="B291" s="66" t="s">
        <v>599</v>
      </c>
      <c r="C291" s="71">
        <v>540</v>
      </c>
      <c r="D291" s="71">
        <v>8927</v>
      </c>
      <c r="E291" s="50">
        <f t="shared" si="22"/>
        <v>9467</v>
      </c>
      <c r="F291" s="51">
        <f t="shared" si="23"/>
        <v>94.295975493820634</v>
      </c>
      <c r="G291" s="51">
        <f t="shared" si="24"/>
        <v>5.7040245061793602</v>
      </c>
      <c r="H291" s="3"/>
      <c r="I291" s="1"/>
      <c r="J291" s="1"/>
      <c r="K291" s="1"/>
      <c r="L291" s="1"/>
      <c r="M291" s="1"/>
      <c r="N291" s="1"/>
      <c r="O291" s="13" t="s">
        <v>605</v>
      </c>
      <c r="P291" s="11" t="s">
        <v>599</v>
      </c>
      <c r="Q291" s="9">
        <v>334</v>
      </c>
      <c r="R291" s="9">
        <v>11738</v>
      </c>
      <c r="S291" s="14">
        <f t="shared" si="19"/>
        <v>12072</v>
      </c>
      <c r="T291" s="15">
        <f t="shared" si="20"/>
        <v>97.23326706428098</v>
      </c>
      <c r="U291" s="15">
        <f t="shared" si="21"/>
        <v>2.7667329357190193</v>
      </c>
      <c r="V291" s="17"/>
      <c r="W291" s="17"/>
      <c r="AC291" s="4"/>
    </row>
    <row r="292" spans="1:29" ht="15.75" customHeight="1">
      <c r="A292" s="13" t="s">
        <v>607</v>
      </c>
      <c r="B292" s="66" t="s">
        <v>601</v>
      </c>
      <c r="C292" s="71">
        <v>45</v>
      </c>
      <c r="D292" s="71">
        <v>2773</v>
      </c>
      <c r="E292" s="50">
        <f t="shared" si="22"/>
        <v>2818</v>
      </c>
      <c r="F292" s="51">
        <f t="shared" si="23"/>
        <v>98.403122782114977</v>
      </c>
      <c r="G292" s="51">
        <f t="shared" si="24"/>
        <v>1.596877217885025</v>
      </c>
      <c r="H292" s="3"/>
      <c r="I292" s="1"/>
      <c r="J292" s="1"/>
      <c r="K292" s="1"/>
      <c r="L292" s="1"/>
      <c r="M292" s="1"/>
      <c r="N292" s="1"/>
      <c r="O292" s="13" t="s">
        <v>607</v>
      </c>
      <c r="P292" s="11" t="s">
        <v>601</v>
      </c>
      <c r="Q292" s="9">
        <v>40</v>
      </c>
      <c r="R292" s="9">
        <v>2930</v>
      </c>
      <c r="S292" s="14">
        <f t="shared" si="19"/>
        <v>2970</v>
      </c>
      <c r="T292" s="15">
        <f t="shared" si="20"/>
        <v>98.653198653198643</v>
      </c>
      <c r="U292" s="15">
        <f t="shared" si="21"/>
        <v>1.3468013468013467</v>
      </c>
      <c r="V292" s="17"/>
      <c r="W292" s="17"/>
      <c r="AC292" s="4"/>
    </row>
    <row r="293" spans="1:29" ht="15.75" customHeight="1">
      <c r="A293" s="13" t="s">
        <v>608</v>
      </c>
      <c r="B293" s="66" t="s">
        <v>603</v>
      </c>
      <c r="C293" s="71">
        <v>3723</v>
      </c>
      <c r="D293" s="71">
        <v>98681</v>
      </c>
      <c r="E293" s="50">
        <f t="shared" si="22"/>
        <v>102404</v>
      </c>
      <c r="F293" s="51">
        <f t="shared" si="23"/>
        <v>96.36439982813171</v>
      </c>
      <c r="G293" s="51">
        <f t="shared" si="24"/>
        <v>3.635600171868286</v>
      </c>
      <c r="H293" s="3"/>
      <c r="I293" s="1"/>
      <c r="J293" s="1"/>
      <c r="K293" s="1"/>
      <c r="L293" s="1"/>
      <c r="M293" s="1"/>
      <c r="N293" s="1"/>
      <c r="O293" s="13" t="s">
        <v>608</v>
      </c>
      <c r="P293" s="11" t="s">
        <v>603</v>
      </c>
      <c r="Q293" s="9">
        <v>1923</v>
      </c>
      <c r="R293" s="9">
        <v>118716</v>
      </c>
      <c r="S293" s="14">
        <f t="shared" si="19"/>
        <v>120639</v>
      </c>
      <c r="T293" s="15">
        <f t="shared" si="20"/>
        <v>98.405988113296701</v>
      </c>
      <c r="U293" s="15">
        <f t="shared" si="21"/>
        <v>1.5940118867033048</v>
      </c>
      <c r="V293" s="17"/>
      <c r="W293" s="17"/>
      <c r="AC293" s="4"/>
    </row>
    <row r="294" spans="1:29" ht="15.75" customHeight="1">
      <c r="A294" s="13" t="s">
        <v>610</v>
      </c>
      <c r="B294" s="66" t="s">
        <v>611</v>
      </c>
      <c r="C294" s="71">
        <v>957</v>
      </c>
      <c r="D294" s="71">
        <v>12228</v>
      </c>
      <c r="E294" s="50">
        <f t="shared" si="22"/>
        <v>13185</v>
      </c>
      <c r="F294" s="51">
        <f t="shared" si="23"/>
        <v>92.741751990898749</v>
      </c>
      <c r="G294" s="51">
        <f t="shared" si="24"/>
        <v>7.2582480091012505</v>
      </c>
      <c r="H294" s="3"/>
      <c r="I294" s="1"/>
      <c r="J294" s="1"/>
      <c r="K294" s="1"/>
      <c r="L294" s="1"/>
      <c r="M294" s="1"/>
      <c r="N294" s="1"/>
      <c r="O294" s="13" t="s">
        <v>610</v>
      </c>
      <c r="P294" s="11" t="s">
        <v>611</v>
      </c>
      <c r="Q294" s="9">
        <v>504</v>
      </c>
      <c r="R294" s="9">
        <v>15196</v>
      </c>
      <c r="S294" s="14">
        <f t="shared" si="19"/>
        <v>15700</v>
      </c>
      <c r="T294" s="15">
        <f t="shared" si="20"/>
        <v>96.789808917197448</v>
      </c>
      <c r="U294" s="15">
        <f t="shared" si="21"/>
        <v>3.2101910828025479</v>
      </c>
      <c r="V294" s="17"/>
      <c r="W294" s="17"/>
      <c r="AC294" s="4"/>
    </row>
    <row r="295" spans="1:29" ht="15.75" customHeight="1">
      <c r="A295" s="13" t="s">
        <v>613</v>
      </c>
      <c r="B295" s="66" t="s">
        <v>606</v>
      </c>
      <c r="C295" s="71">
        <v>1172</v>
      </c>
      <c r="D295" s="71">
        <v>20298</v>
      </c>
      <c r="E295" s="50">
        <f t="shared" si="22"/>
        <v>21470</v>
      </c>
      <c r="F295" s="51">
        <f t="shared" si="23"/>
        <v>94.541220307405681</v>
      </c>
      <c r="G295" s="51">
        <f t="shared" si="24"/>
        <v>5.4587796925943177</v>
      </c>
      <c r="H295" s="3"/>
      <c r="I295" s="1"/>
      <c r="J295" s="1"/>
      <c r="K295" s="1"/>
      <c r="L295" s="1"/>
      <c r="M295" s="1"/>
      <c r="N295" s="1"/>
      <c r="O295" s="13" t="s">
        <v>613</v>
      </c>
      <c r="P295" s="11" t="s">
        <v>606</v>
      </c>
      <c r="Q295" s="9">
        <v>400</v>
      </c>
      <c r="R295" s="9">
        <v>21469</v>
      </c>
      <c r="S295" s="14">
        <f t="shared" si="19"/>
        <v>21869</v>
      </c>
      <c r="T295" s="15">
        <f t="shared" si="20"/>
        <v>98.170926882802149</v>
      </c>
      <c r="U295" s="15">
        <f t="shared" si="21"/>
        <v>1.8290731171978598</v>
      </c>
      <c r="V295" s="17"/>
      <c r="W295" s="17"/>
      <c r="AC295" s="4"/>
    </row>
    <row r="296" spans="1:29" ht="15.75" customHeight="1">
      <c r="A296" s="13" t="s">
        <v>615</v>
      </c>
      <c r="B296" s="66" t="s">
        <v>616</v>
      </c>
      <c r="C296" s="71">
        <v>811</v>
      </c>
      <c r="D296" s="71">
        <v>13258</v>
      </c>
      <c r="E296" s="50">
        <f t="shared" si="22"/>
        <v>14069</v>
      </c>
      <c r="F296" s="51">
        <f t="shared" si="23"/>
        <v>94.235553344232002</v>
      </c>
      <c r="G296" s="51">
        <f t="shared" si="24"/>
        <v>5.7644466557680003</v>
      </c>
      <c r="H296" s="3"/>
      <c r="I296" s="1"/>
      <c r="J296" s="1"/>
      <c r="K296" s="1"/>
      <c r="L296" s="1"/>
      <c r="M296" s="1"/>
      <c r="N296" s="1"/>
      <c r="O296" s="13" t="s">
        <v>615</v>
      </c>
      <c r="P296" s="11" t="s">
        <v>616</v>
      </c>
      <c r="Q296" s="9">
        <v>373</v>
      </c>
      <c r="R296" s="9">
        <v>13606</v>
      </c>
      <c r="S296" s="14">
        <f t="shared" si="19"/>
        <v>13979</v>
      </c>
      <c r="T296" s="15">
        <f t="shared" si="20"/>
        <v>97.331711853494525</v>
      </c>
      <c r="U296" s="15">
        <f t="shared" si="21"/>
        <v>2.6682881465054726</v>
      </c>
      <c r="V296" s="17"/>
      <c r="W296" s="17"/>
      <c r="AC296" s="4"/>
    </row>
    <row r="297" spans="1:29" ht="15.75" customHeight="1">
      <c r="A297" s="13" t="s">
        <v>618</v>
      </c>
      <c r="B297" s="66" t="s">
        <v>609</v>
      </c>
      <c r="C297" s="71">
        <v>792</v>
      </c>
      <c r="D297" s="71">
        <v>17083</v>
      </c>
      <c r="E297" s="50">
        <f t="shared" si="22"/>
        <v>17875</v>
      </c>
      <c r="F297" s="51">
        <f t="shared" si="23"/>
        <v>95.569230769230771</v>
      </c>
      <c r="G297" s="51">
        <f t="shared" si="24"/>
        <v>4.4307692307692301</v>
      </c>
      <c r="H297" s="3"/>
      <c r="I297" s="1"/>
      <c r="J297" s="1"/>
      <c r="K297" s="1"/>
      <c r="L297" s="1"/>
      <c r="M297" s="1"/>
      <c r="N297" s="1"/>
      <c r="O297" s="13" t="s">
        <v>618</v>
      </c>
      <c r="P297" s="11" t="s">
        <v>609</v>
      </c>
      <c r="Q297" s="9">
        <v>212</v>
      </c>
      <c r="R297" s="9">
        <v>14312</v>
      </c>
      <c r="S297" s="14">
        <f t="shared" si="19"/>
        <v>14524</v>
      </c>
      <c r="T297" s="15">
        <f t="shared" si="20"/>
        <v>98.540347011842471</v>
      </c>
      <c r="U297" s="15">
        <f t="shared" si="21"/>
        <v>1.4596529881575324</v>
      </c>
      <c r="V297" s="17"/>
      <c r="W297" s="17"/>
      <c r="AC297" s="4"/>
    </row>
    <row r="298" spans="1:29" ht="15.75" customHeight="1">
      <c r="A298" s="13" t="s">
        <v>620</v>
      </c>
      <c r="B298" s="66" t="s">
        <v>612</v>
      </c>
      <c r="C298" s="71">
        <v>674</v>
      </c>
      <c r="D298" s="71">
        <v>16649</v>
      </c>
      <c r="E298" s="50">
        <f t="shared" si="22"/>
        <v>17323</v>
      </c>
      <c r="F298" s="51">
        <f t="shared" si="23"/>
        <v>96.109218957455411</v>
      </c>
      <c r="G298" s="51">
        <f t="shared" si="24"/>
        <v>3.8907810425445937</v>
      </c>
      <c r="H298" s="3"/>
      <c r="I298" s="1"/>
      <c r="J298" s="1"/>
      <c r="K298" s="1"/>
      <c r="L298" s="1"/>
      <c r="M298" s="1"/>
      <c r="N298" s="1"/>
      <c r="O298" s="13" t="s">
        <v>620</v>
      </c>
      <c r="P298" s="11" t="s">
        <v>612</v>
      </c>
      <c r="Q298" s="9">
        <v>1306</v>
      </c>
      <c r="R298" s="9">
        <v>27015</v>
      </c>
      <c r="S298" s="14">
        <f t="shared" si="19"/>
        <v>28321</v>
      </c>
      <c r="T298" s="15">
        <f t="shared" si="20"/>
        <v>95.388580911690966</v>
      </c>
      <c r="U298" s="15">
        <f t="shared" si="21"/>
        <v>4.6114190883090291</v>
      </c>
      <c r="V298" s="17"/>
      <c r="W298" s="17"/>
      <c r="AC298" s="4"/>
    </row>
    <row r="299" spans="1:29" ht="15.75" customHeight="1">
      <c r="A299" s="13" t="s">
        <v>621</v>
      </c>
      <c r="B299" s="66" t="s">
        <v>614</v>
      </c>
      <c r="C299" s="71">
        <v>694</v>
      </c>
      <c r="D299" s="71">
        <v>11878</v>
      </c>
      <c r="E299" s="50">
        <f t="shared" si="22"/>
        <v>12572</v>
      </c>
      <c r="F299" s="51">
        <f t="shared" si="23"/>
        <v>94.479796372892139</v>
      </c>
      <c r="G299" s="51">
        <f t="shared" si="24"/>
        <v>5.5202036271078585</v>
      </c>
      <c r="H299" s="3"/>
      <c r="I299" s="1"/>
      <c r="J299" s="1"/>
      <c r="K299" s="1"/>
      <c r="L299" s="1"/>
      <c r="M299" s="1"/>
      <c r="N299" s="1"/>
      <c r="O299" s="13" t="s">
        <v>621</v>
      </c>
      <c r="P299" s="11" t="s">
        <v>614</v>
      </c>
      <c r="Q299" s="9">
        <v>213</v>
      </c>
      <c r="R299" s="9">
        <v>13741</v>
      </c>
      <c r="S299" s="14">
        <f t="shared" si="19"/>
        <v>13954</v>
      </c>
      <c r="T299" s="15">
        <f t="shared" si="20"/>
        <v>98.473555969614452</v>
      </c>
      <c r="U299" s="15">
        <f t="shared" si="21"/>
        <v>1.5264440303855524</v>
      </c>
      <c r="V299" s="17"/>
      <c r="W299" s="17"/>
      <c r="AC299" s="4"/>
    </row>
    <row r="300" spans="1:29" ht="15.75" customHeight="1">
      <c r="A300" s="13" t="s">
        <v>623</v>
      </c>
      <c r="B300" s="66" t="s">
        <v>617</v>
      </c>
      <c r="C300" s="71">
        <v>4317</v>
      </c>
      <c r="D300" s="71">
        <v>39511</v>
      </c>
      <c r="E300" s="50">
        <f t="shared" si="22"/>
        <v>43828</v>
      </c>
      <c r="F300" s="51">
        <f t="shared" si="23"/>
        <v>90.150132335493296</v>
      </c>
      <c r="G300" s="51">
        <f t="shared" si="24"/>
        <v>9.8498676645067071</v>
      </c>
      <c r="H300" s="3"/>
      <c r="I300" s="1"/>
      <c r="J300" s="1"/>
      <c r="K300" s="1"/>
      <c r="L300" s="1"/>
      <c r="M300" s="1"/>
      <c r="N300" s="1"/>
      <c r="O300" s="13" t="s">
        <v>623</v>
      </c>
      <c r="P300" s="11" t="s">
        <v>617</v>
      </c>
      <c r="Q300" s="9">
        <v>1749</v>
      </c>
      <c r="R300" s="9">
        <v>40765</v>
      </c>
      <c r="S300" s="14">
        <f t="shared" si="19"/>
        <v>42514</v>
      </c>
      <c r="T300" s="15">
        <f t="shared" si="20"/>
        <v>95.886061062238326</v>
      </c>
      <c r="U300" s="15">
        <f t="shared" si="21"/>
        <v>4.1139389377616782</v>
      </c>
      <c r="V300" s="17"/>
      <c r="W300" s="17"/>
      <c r="AC300" s="4"/>
    </row>
    <row r="301" spans="1:29" ht="15.75" customHeight="1">
      <c r="A301" s="13" t="s">
        <v>625</v>
      </c>
      <c r="B301" s="66" t="s">
        <v>619</v>
      </c>
      <c r="C301" s="71">
        <v>383</v>
      </c>
      <c r="D301" s="71">
        <v>5610</v>
      </c>
      <c r="E301" s="50">
        <f t="shared" si="22"/>
        <v>5993</v>
      </c>
      <c r="F301" s="51">
        <f t="shared" si="23"/>
        <v>93.609210745870186</v>
      </c>
      <c r="G301" s="51">
        <f t="shared" si="24"/>
        <v>6.3907892541298184</v>
      </c>
      <c r="H301" s="3"/>
      <c r="I301" s="1"/>
      <c r="J301" s="1"/>
      <c r="K301" s="1"/>
      <c r="L301" s="1"/>
      <c r="M301" s="1"/>
      <c r="N301" s="1"/>
      <c r="O301" s="13" t="s">
        <v>625</v>
      </c>
      <c r="P301" s="11" t="s">
        <v>619</v>
      </c>
      <c r="Q301" s="9">
        <v>143</v>
      </c>
      <c r="R301" s="9">
        <v>5818</v>
      </c>
      <c r="S301" s="14">
        <f t="shared" si="19"/>
        <v>5961</v>
      </c>
      <c r="T301" s="15">
        <f t="shared" si="20"/>
        <v>97.60107364536151</v>
      </c>
      <c r="U301" s="15">
        <f t="shared" si="21"/>
        <v>2.3989263546384834</v>
      </c>
      <c r="V301" s="17"/>
      <c r="W301" s="17"/>
      <c r="AC301" s="4"/>
    </row>
    <row r="302" spans="1:29" ht="15.75" customHeight="1">
      <c r="A302" s="13" t="s">
        <v>627</v>
      </c>
      <c r="B302" s="66" t="s">
        <v>628</v>
      </c>
      <c r="C302" s="71">
        <v>205</v>
      </c>
      <c r="D302" s="71">
        <v>6748</v>
      </c>
      <c r="E302" s="50">
        <f t="shared" si="22"/>
        <v>6953</v>
      </c>
      <c r="F302" s="51">
        <f t="shared" si="23"/>
        <v>97.051632388896877</v>
      </c>
      <c r="G302" s="51">
        <f t="shared" si="24"/>
        <v>2.9483676111031207</v>
      </c>
      <c r="H302" s="3"/>
      <c r="I302" s="1"/>
      <c r="J302" s="1"/>
      <c r="K302" s="1"/>
      <c r="L302" s="1"/>
      <c r="M302" s="1"/>
      <c r="N302" s="1"/>
      <c r="O302" s="13" t="s">
        <v>627</v>
      </c>
      <c r="P302" s="11" t="s">
        <v>628</v>
      </c>
      <c r="Q302" s="9">
        <v>263</v>
      </c>
      <c r="R302" s="9">
        <v>7795</v>
      </c>
      <c r="S302" s="14">
        <f t="shared" si="19"/>
        <v>8058</v>
      </c>
      <c r="T302" s="15">
        <f t="shared" si="20"/>
        <v>96.736162819558203</v>
      </c>
      <c r="U302" s="15">
        <f t="shared" si="21"/>
        <v>3.2638371804417967</v>
      </c>
      <c r="V302" s="17"/>
      <c r="W302" s="17"/>
      <c r="AC302" s="4"/>
    </row>
    <row r="303" spans="1:29" ht="15.75" customHeight="1">
      <c r="A303" s="13" t="s">
        <v>630</v>
      </c>
      <c r="B303" s="66" t="s">
        <v>622</v>
      </c>
      <c r="C303" s="71">
        <v>4358</v>
      </c>
      <c r="D303" s="71">
        <v>16672</v>
      </c>
      <c r="E303" s="50">
        <f t="shared" si="22"/>
        <v>21030</v>
      </c>
      <c r="F303" s="51">
        <f t="shared" si="23"/>
        <v>79.277223014740855</v>
      </c>
      <c r="G303" s="51">
        <f t="shared" si="24"/>
        <v>20.722776985259152</v>
      </c>
      <c r="H303" s="3"/>
      <c r="I303" s="1"/>
      <c r="J303" s="1"/>
      <c r="K303" s="1"/>
      <c r="L303" s="1"/>
      <c r="M303" s="1"/>
      <c r="N303" s="1"/>
      <c r="O303" s="13" t="s">
        <v>630</v>
      </c>
      <c r="P303" s="11" t="s">
        <v>622</v>
      </c>
      <c r="Q303" s="9">
        <v>3638</v>
      </c>
      <c r="R303" s="9">
        <v>20045</v>
      </c>
      <c r="S303" s="14">
        <f t="shared" si="19"/>
        <v>23683</v>
      </c>
      <c r="T303" s="15">
        <f t="shared" si="20"/>
        <v>84.63877042604399</v>
      </c>
      <c r="U303" s="15">
        <f t="shared" si="21"/>
        <v>15.361229573956003</v>
      </c>
      <c r="V303" s="17"/>
      <c r="W303" s="17"/>
      <c r="AC303" s="4"/>
    </row>
    <row r="304" spans="1:29" ht="15.75" customHeight="1">
      <c r="A304" s="13" t="s">
        <v>631</v>
      </c>
      <c r="B304" s="66" t="s">
        <v>624</v>
      </c>
      <c r="C304" s="71">
        <v>924</v>
      </c>
      <c r="D304" s="71">
        <v>12551</v>
      </c>
      <c r="E304" s="50">
        <f t="shared" si="22"/>
        <v>13475</v>
      </c>
      <c r="F304" s="51">
        <f t="shared" si="23"/>
        <v>93.142857142857139</v>
      </c>
      <c r="G304" s="51">
        <f t="shared" si="24"/>
        <v>6.8571428571428577</v>
      </c>
      <c r="H304" s="3"/>
      <c r="I304" s="1"/>
      <c r="J304" s="1"/>
      <c r="K304" s="1"/>
      <c r="L304" s="1"/>
      <c r="M304" s="1"/>
      <c r="N304" s="1"/>
      <c r="O304" s="13" t="s">
        <v>631</v>
      </c>
      <c r="P304" s="11" t="s">
        <v>624</v>
      </c>
      <c r="Q304" s="9">
        <v>598</v>
      </c>
      <c r="R304" s="9">
        <v>13864</v>
      </c>
      <c r="S304" s="14">
        <f t="shared" si="19"/>
        <v>14462</v>
      </c>
      <c r="T304" s="15">
        <f t="shared" si="20"/>
        <v>95.865025584289867</v>
      </c>
      <c r="U304" s="15">
        <f t="shared" si="21"/>
        <v>4.1349744157101371</v>
      </c>
      <c r="V304" s="17"/>
      <c r="W304" s="17"/>
      <c r="AC304" s="4"/>
    </row>
    <row r="305" spans="1:29" ht="15.75" customHeight="1">
      <c r="A305" s="13" t="s">
        <v>633</v>
      </c>
      <c r="B305" s="66" t="s">
        <v>626</v>
      </c>
      <c r="C305" s="71">
        <v>890</v>
      </c>
      <c r="D305" s="71">
        <v>13807</v>
      </c>
      <c r="E305" s="50">
        <f t="shared" si="22"/>
        <v>14697</v>
      </c>
      <c r="F305" s="51">
        <f t="shared" si="23"/>
        <v>93.944342382799206</v>
      </c>
      <c r="G305" s="51">
        <f t="shared" si="24"/>
        <v>6.0556576172007892</v>
      </c>
      <c r="H305" s="3"/>
      <c r="I305" s="1"/>
      <c r="J305" s="1"/>
      <c r="K305" s="1"/>
      <c r="L305" s="1"/>
      <c r="M305" s="1"/>
      <c r="N305" s="1"/>
      <c r="O305" s="13" t="s">
        <v>633</v>
      </c>
      <c r="P305" s="11" t="s">
        <v>626</v>
      </c>
      <c r="Q305" s="9">
        <v>495</v>
      </c>
      <c r="R305" s="9">
        <v>15928</v>
      </c>
      <c r="S305" s="14">
        <f t="shared" si="19"/>
        <v>16423</v>
      </c>
      <c r="T305" s="15">
        <f t="shared" si="20"/>
        <v>96.985934360348296</v>
      </c>
      <c r="U305" s="15">
        <f t="shared" si="21"/>
        <v>3.014065639651708</v>
      </c>
      <c r="V305" s="17"/>
      <c r="W305" s="17"/>
      <c r="AC305" s="4"/>
    </row>
    <row r="306" spans="1:29" ht="15.75" customHeight="1">
      <c r="A306" s="13" t="s">
        <v>634</v>
      </c>
      <c r="B306" s="66" t="s">
        <v>629</v>
      </c>
      <c r="C306" s="71">
        <v>384</v>
      </c>
      <c r="D306" s="71">
        <v>6440</v>
      </c>
      <c r="E306" s="50">
        <f t="shared" si="22"/>
        <v>6824</v>
      </c>
      <c r="F306" s="51">
        <f t="shared" si="23"/>
        <v>94.372801875732705</v>
      </c>
      <c r="G306" s="51">
        <f t="shared" si="24"/>
        <v>5.6271981242672924</v>
      </c>
      <c r="H306" s="3"/>
      <c r="I306" s="1"/>
      <c r="J306" s="1"/>
      <c r="K306" s="1"/>
      <c r="L306" s="1"/>
      <c r="M306" s="1"/>
      <c r="N306" s="1"/>
      <c r="O306" s="13" t="s">
        <v>634</v>
      </c>
      <c r="P306" s="11" t="s">
        <v>629</v>
      </c>
      <c r="Q306" s="9">
        <v>131</v>
      </c>
      <c r="R306" s="9">
        <v>5632</v>
      </c>
      <c r="S306" s="14">
        <f t="shared" si="19"/>
        <v>5763</v>
      </c>
      <c r="T306" s="15">
        <f t="shared" si="20"/>
        <v>97.726878361964253</v>
      </c>
      <c r="U306" s="15">
        <f t="shared" si="21"/>
        <v>2.2731216380357453</v>
      </c>
      <c r="V306" s="17"/>
      <c r="W306" s="17"/>
      <c r="AC306" s="4"/>
    </row>
    <row r="307" spans="1:29" ht="15.75" customHeight="1">
      <c r="A307" s="13" t="s">
        <v>635</v>
      </c>
      <c r="B307" s="66" t="s">
        <v>636</v>
      </c>
      <c r="C307" s="71">
        <v>1001</v>
      </c>
      <c r="D307" s="71">
        <v>17683</v>
      </c>
      <c r="E307" s="50">
        <f t="shared" si="22"/>
        <v>18684</v>
      </c>
      <c r="F307" s="51">
        <f t="shared" si="23"/>
        <v>94.642474844786989</v>
      </c>
      <c r="G307" s="51">
        <f t="shared" si="24"/>
        <v>5.3575251552130165</v>
      </c>
      <c r="H307" s="3"/>
      <c r="I307" s="1"/>
      <c r="J307" s="1"/>
      <c r="K307" s="1"/>
      <c r="L307" s="1"/>
      <c r="M307" s="1"/>
      <c r="N307" s="1"/>
      <c r="O307" s="13" t="s">
        <v>635</v>
      </c>
      <c r="P307" s="11" t="s">
        <v>636</v>
      </c>
      <c r="Q307" s="9">
        <v>587</v>
      </c>
      <c r="R307" s="9">
        <v>16130</v>
      </c>
      <c r="S307" s="14">
        <f t="shared" si="19"/>
        <v>16717</v>
      </c>
      <c r="T307" s="15">
        <f t="shared" si="20"/>
        <v>96.488604414667705</v>
      </c>
      <c r="U307" s="15">
        <f t="shared" si="21"/>
        <v>3.5113955853322962</v>
      </c>
      <c r="V307" s="17"/>
      <c r="W307" s="17"/>
      <c r="AC307" s="4"/>
    </row>
    <row r="308" spans="1:29" ht="15.75" customHeight="1">
      <c r="A308" s="13" t="s">
        <v>638</v>
      </c>
      <c r="B308" s="66" t="s">
        <v>632</v>
      </c>
      <c r="C308" s="71">
        <v>777</v>
      </c>
      <c r="D308" s="71">
        <v>14866</v>
      </c>
      <c r="E308" s="50">
        <f t="shared" si="22"/>
        <v>15643</v>
      </c>
      <c r="F308" s="51">
        <f t="shared" si="23"/>
        <v>95.032922073771019</v>
      </c>
      <c r="G308" s="51">
        <f t="shared" si="24"/>
        <v>4.9670779262289839</v>
      </c>
      <c r="H308" s="3"/>
      <c r="I308" s="1"/>
      <c r="J308" s="1"/>
      <c r="K308" s="1"/>
      <c r="L308" s="1"/>
      <c r="M308" s="1"/>
      <c r="N308" s="1"/>
      <c r="O308" s="13" t="s">
        <v>638</v>
      </c>
      <c r="P308" s="11" t="s">
        <v>632</v>
      </c>
      <c r="Q308" s="9">
        <v>706</v>
      </c>
      <c r="R308" s="9">
        <v>16532</v>
      </c>
      <c r="S308" s="14">
        <f t="shared" si="19"/>
        <v>17238</v>
      </c>
      <c r="T308" s="15">
        <f t="shared" si="20"/>
        <v>95.904397261863323</v>
      </c>
      <c r="U308" s="15">
        <f t="shared" si="21"/>
        <v>4.0956027381366749</v>
      </c>
      <c r="V308" s="17"/>
      <c r="W308" s="17"/>
      <c r="AC308" s="4"/>
    </row>
    <row r="309" spans="1:29" ht="15.75" customHeight="1">
      <c r="A309" s="13" t="s">
        <v>639</v>
      </c>
      <c r="B309" s="66" t="s">
        <v>640</v>
      </c>
      <c r="C309" s="71">
        <v>271</v>
      </c>
      <c r="D309" s="71">
        <v>5614</v>
      </c>
      <c r="E309" s="50">
        <f t="shared" si="22"/>
        <v>5885</v>
      </c>
      <c r="F309" s="51">
        <f t="shared" si="23"/>
        <v>95.395072217502118</v>
      </c>
      <c r="G309" s="51">
        <f t="shared" si="24"/>
        <v>4.6049277824978763</v>
      </c>
      <c r="H309" s="3"/>
      <c r="I309" s="1"/>
      <c r="J309" s="1"/>
      <c r="K309" s="1"/>
      <c r="L309" s="1"/>
      <c r="M309" s="1"/>
      <c r="N309" s="1"/>
      <c r="O309" s="13" t="s">
        <v>639</v>
      </c>
      <c r="P309" s="11" t="s">
        <v>640</v>
      </c>
      <c r="Q309" s="9">
        <v>1036</v>
      </c>
      <c r="R309" s="9">
        <v>7224</v>
      </c>
      <c r="S309" s="14">
        <f t="shared" si="19"/>
        <v>8260</v>
      </c>
      <c r="T309" s="15">
        <f t="shared" si="20"/>
        <v>87.457627118644069</v>
      </c>
      <c r="U309" s="15">
        <f t="shared" si="21"/>
        <v>12.542372881355931</v>
      </c>
      <c r="V309" s="17"/>
      <c r="W309" s="17"/>
      <c r="AC309" s="4"/>
    </row>
    <row r="310" spans="1:29" ht="15.75" customHeight="1">
      <c r="A310" s="13" t="s">
        <v>642</v>
      </c>
      <c r="B310" s="66" t="s">
        <v>643</v>
      </c>
      <c r="C310" s="71">
        <v>2071</v>
      </c>
      <c r="D310" s="71">
        <v>22963</v>
      </c>
      <c r="E310" s="50">
        <f t="shared" si="22"/>
        <v>25034</v>
      </c>
      <c r="F310" s="51">
        <f t="shared" si="23"/>
        <v>91.72725093872333</v>
      </c>
      <c r="G310" s="51">
        <f t="shared" si="24"/>
        <v>8.2727490612766648</v>
      </c>
      <c r="H310" s="3"/>
      <c r="I310" s="1"/>
      <c r="J310" s="1"/>
      <c r="K310" s="1"/>
      <c r="L310" s="1"/>
      <c r="M310" s="1"/>
      <c r="N310" s="1"/>
      <c r="O310" s="13" t="s">
        <v>642</v>
      </c>
      <c r="P310" s="11" t="s">
        <v>643</v>
      </c>
      <c r="Q310" s="9">
        <v>1204</v>
      </c>
      <c r="R310" s="9">
        <v>31024</v>
      </c>
      <c r="S310" s="14">
        <f t="shared" si="19"/>
        <v>32228</v>
      </c>
      <c r="T310" s="15">
        <f t="shared" si="20"/>
        <v>96.264118158123367</v>
      </c>
      <c r="U310" s="15">
        <f t="shared" si="21"/>
        <v>3.7358818418766289</v>
      </c>
      <c r="V310" s="17"/>
      <c r="W310" s="17"/>
      <c r="AC310" s="4"/>
    </row>
    <row r="311" spans="1:29" ht="15.75" customHeight="1">
      <c r="A311" s="13" t="s">
        <v>644</v>
      </c>
      <c r="B311" s="66" t="s">
        <v>637</v>
      </c>
      <c r="C311" s="71">
        <v>1832</v>
      </c>
      <c r="D311" s="71">
        <v>4659</v>
      </c>
      <c r="E311" s="50">
        <f t="shared" si="22"/>
        <v>6491</v>
      </c>
      <c r="F311" s="51">
        <f t="shared" si="23"/>
        <v>71.776305653982448</v>
      </c>
      <c r="G311" s="51">
        <f t="shared" si="24"/>
        <v>28.223694346017563</v>
      </c>
      <c r="H311" s="3"/>
      <c r="I311" s="1"/>
      <c r="J311" s="1"/>
      <c r="K311" s="1"/>
      <c r="L311" s="1"/>
      <c r="M311" s="1"/>
      <c r="N311" s="1"/>
      <c r="O311" s="13" t="s">
        <v>644</v>
      </c>
      <c r="P311" s="11" t="s">
        <v>637</v>
      </c>
      <c r="Q311" s="9">
        <v>825</v>
      </c>
      <c r="R311" s="9">
        <v>5388</v>
      </c>
      <c r="S311" s="14">
        <f t="shared" si="19"/>
        <v>6213</v>
      </c>
      <c r="T311" s="15">
        <f t="shared" si="20"/>
        <v>86.721390632544654</v>
      </c>
      <c r="U311" s="15">
        <f t="shared" si="21"/>
        <v>13.278609367455335</v>
      </c>
      <c r="V311" s="17"/>
      <c r="W311" s="17"/>
      <c r="AC311" s="4"/>
    </row>
    <row r="312" spans="1:29" ht="15.75" customHeight="1">
      <c r="A312" s="13" t="s">
        <v>646</v>
      </c>
      <c r="B312" s="66" t="s">
        <v>528</v>
      </c>
      <c r="C312" s="71">
        <v>1239</v>
      </c>
      <c r="D312" s="71">
        <v>11872</v>
      </c>
      <c r="E312" s="50">
        <f t="shared" si="22"/>
        <v>13111</v>
      </c>
      <c r="F312" s="51">
        <f t="shared" si="23"/>
        <v>90.549919914575554</v>
      </c>
      <c r="G312" s="51">
        <f t="shared" si="24"/>
        <v>9.4500800854244531</v>
      </c>
      <c r="H312" s="3"/>
      <c r="I312" s="1"/>
      <c r="J312" s="1"/>
      <c r="K312" s="1"/>
      <c r="L312" s="1"/>
      <c r="M312" s="1"/>
      <c r="N312" s="1"/>
      <c r="O312" s="13" t="s">
        <v>646</v>
      </c>
      <c r="P312" s="11" t="s">
        <v>528</v>
      </c>
      <c r="Q312" s="9">
        <v>978</v>
      </c>
      <c r="R312" s="9">
        <v>15487</v>
      </c>
      <c r="S312" s="14">
        <f t="shared" si="19"/>
        <v>16465</v>
      </c>
      <c r="T312" s="15">
        <f t="shared" si="20"/>
        <v>94.060127543273609</v>
      </c>
      <c r="U312" s="15">
        <f t="shared" si="21"/>
        <v>5.9398724567263894</v>
      </c>
      <c r="V312" s="17"/>
      <c r="W312" s="17"/>
      <c r="AC312" s="4"/>
    </row>
    <row r="313" spans="1:29" ht="15.75" customHeight="1">
      <c r="A313" s="13" t="s">
        <v>648</v>
      </c>
      <c r="B313" s="66" t="s">
        <v>641</v>
      </c>
      <c r="C313" s="71">
        <v>3422</v>
      </c>
      <c r="D313" s="71">
        <v>95998</v>
      </c>
      <c r="E313" s="50">
        <f t="shared" si="22"/>
        <v>99420</v>
      </c>
      <c r="F313" s="51">
        <f t="shared" si="23"/>
        <v>96.558036612351643</v>
      </c>
      <c r="G313" s="51">
        <f t="shared" si="24"/>
        <v>3.4419633876483604</v>
      </c>
      <c r="H313" s="3"/>
      <c r="I313" s="1"/>
      <c r="J313" s="1"/>
      <c r="K313" s="1"/>
      <c r="L313" s="1"/>
      <c r="M313" s="1"/>
      <c r="N313" s="1"/>
      <c r="O313" s="13" t="s">
        <v>648</v>
      </c>
      <c r="P313" s="11" t="s">
        <v>641</v>
      </c>
      <c r="Q313" s="9">
        <v>1884</v>
      </c>
      <c r="R313" s="9">
        <v>121024</v>
      </c>
      <c r="S313" s="14">
        <f t="shared" si="19"/>
        <v>122908</v>
      </c>
      <c r="T313" s="15">
        <f t="shared" si="20"/>
        <v>98.467146158101997</v>
      </c>
      <c r="U313" s="15">
        <f t="shared" si="21"/>
        <v>1.5328538418980049</v>
      </c>
      <c r="V313" s="17"/>
      <c r="W313" s="17"/>
      <c r="AC313" s="4"/>
    </row>
    <row r="314" spans="1:29" ht="15.75" customHeight="1">
      <c r="A314" s="13" t="s">
        <v>650</v>
      </c>
      <c r="B314" s="66" t="s">
        <v>614</v>
      </c>
      <c r="C314" s="71">
        <v>523</v>
      </c>
      <c r="D314" s="71">
        <v>4297</v>
      </c>
      <c r="E314" s="50">
        <f t="shared" si="22"/>
        <v>4820</v>
      </c>
      <c r="F314" s="51">
        <f t="shared" si="23"/>
        <v>89.149377593360995</v>
      </c>
      <c r="G314" s="51">
        <f t="shared" si="24"/>
        <v>10.850622406639005</v>
      </c>
      <c r="H314" s="3"/>
      <c r="I314" s="1"/>
      <c r="J314" s="1"/>
      <c r="K314" s="1"/>
      <c r="L314" s="1"/>
      <c r="M314" s="1"/>
      <c r="N314" s="1"/>
      <c r="O314" s="13" t="s">
        <v>650</v>
      </c>
      <c r="P314" s="11" t="s">
        <v>614</v>
      </c>
      <c r="Q314" s="9">
        <v>1004</v>
      </c>
      <c r="R314" s="9">
        <v>6396</v>
      </c>
      <c r="S314" s="14">
        <f t="shared" si="19"/>
        <v>7400</v>
      </c>
      <c r="T314" s="15">
        <f t="shared" si="20"/>
        <v>86.432432432432435</v>
      </c>
      <c r="U314" s="15">
        <f t="shared" si="21"/>
        <v>13.567567567567568</v>
      </c>
      <c r="V314" s="17"/>
      <c r="W314" s="17"/>
      <c r="AC314" s="4"/>
    </row>
    <row r="315" spans="1:29" ht="15.75" customHeight="1">
      <c r="A315" s="13" t="s">
        <v>652</v>
      </c>
      <c r="B315" s="66" t="s">
        <v>645</v>
      </c>
      <c r="C315" s="71">
        <v>3889</v>
      </c>
      <c r="D315" s="71">
        <v>77943</v>
      </c>
      <c r="E315" s="50">
        <f t="shared" si="22"/>
        <v>81832</v>
      </c>
      <c r="F315" s="51">
        <f t="shared" si="23"/>
        <v>95.247580408642094</v>
      </c>
      <c r="G315" s="51">
        <f t="shared" si="24"/>
        <v>4.7524195913579037</v>
      </c>
      <c r="H315" s="3"/>
      <c r="I315" s="1"/>
      <c r="J315" s="1"/>
      <c r="K315" s="1"/>
      <c r="L315" s="1"/>
      <c r="M315" s="1"/>
      <c r="N315" s="1"/>
      <c r="O315" s="13" t="s">
        <v>652</v>
      </c>
      <c r="P315" s="11" t="s">
        <v>645</v>
      </c>
      <c r="Q315" s="9">
        <v>2227</v>
      </c>
      <c r="R315" s="9">
        <v>102288</v>
      </c>
      <c r="S315" s="14">
        <f t="shared" si="19"/>
        <v>104515</v>
      </c>
      <c r="T315" s="15">
        <f t="shared" si="20"/>
        <v>97.869205377218577</v>
      </c>
      <c r="U315" s="15">
        <f t="shared" si="21"/>
        <v>2.1307946227814187</v>
      </c>
      <c r="V315" s="17"/>
      <c r="W315" s="17"/>
      <c r="AC315" s="4"/>
    </row>
    <row r="316" spans="1:29" ht="15.75" customHeight="1">
      <c r="A316" s="13" t="s">
        <v>654</v>
      </c>
      <c r="B316" s="66" t="s">
        <v>647</v>
      </c>
      <c r="C316" s="71">
        <v>1391</v>
      </c>
      <c r="D316" s="71">
        <v>37412</v>
      </c>
      <c r="E316" s="50">
        <f t="shared" si="22"/>
        <v>38803</v>
      </c>
      <c r="F316" s="51">
        <f t="shared" si="23"/>
        <v>96.415225626884521</v>
      </c>
      <c r="G316" s="51">
        <f t="shared" si="24"/>
        <v>3.5847743731154806</v>
      </c>
      <c r="H316" s="3"/>
      <c r="I316" s="1"/>
      <c r="J316" s="1"/>
      <c r="K316" s="1"/>
      <c r="L316" s="1"/>
      <c r="M316" s="1"/>
      <c r="N316" s="1"/>
      <c r="O316" s="13" t="s">
        <v>654</v>
      </c>
      <c r="P316" s="11" t="s">
        <v>647</v>
      </c>
      <c r="Q316" s="9">
        <v>996</v>
      </c>
      <c r="R316" s="9">
        <v>39037</v>
      </c>
      <c r="S316" s="14">
        <f t="shared" si="19"/>
        <v>40033</v>
      </c>
      <c r="T316" s="15">
        <f t="shared" si="20"/>
        <v>97.512052556640768</v>
      </c>
      <c r="U316" s="15">
        <f t="shared" si="21"/>
        <v>2.4879474433592286</v>
      </c>
      <c r="V316" s="17"/>
      <c r="W316" s="17"/>
      <c r="AC316" s="4"/>
    </row>
    <row r="317" spans="1:29" ht="15.75" customHeight="1">
      <c r="A317" s="13" t="s">
        <v>656</v>
      </c>
      <c r="B317" s="66" t="s">
        <v>649</v>
      </c>
      <c r="C317" s="71">
        <v>529</v>
      </c>
      <c r="D317" s="71">
        <v>11690</v>
      </c>
      <c r="E317" s="50">
        <f t="shared" si="22"/>
        <v>12219</v>
      </c>
      <c r="F317" s="51">
        <f t="shared" si="23"/>
        <v>95.670676814796636</v>
      </c>
      <c r="G317" s="51">
        <f t="shared" si="24"/>
        <v>4.3293231852033713</v>
      </c>
      <c r="H317" s="3"/>
      <c r="I317" s="1"/>
      <c r="J317" s="1"/>
      <c r="K317" s="1"/>
      <c r="L317" s="1"/>
      <c r="M317" s="1"/>
      <c r="N317" s="1"/>
      <c r="O317" s="13" t="s">
        <v>656</v>
      </c>
      <c r="P317" s="11" t="s">
        <v>649</v>
      </c>
      <c r="Q317" s="9">
        <v>149</v>
      </c>
      <c r="R317" s="9">
        <v>10619</v>
      </c>
      <c r="S317" s="14">
        <f t="shared" si="19"/>
        <v>10768</v>
      </c>
      <c r="T317" s="15">
        <f t="shared" si="20"/>
        <v>98.616270430906397</v>
      </c>
      <c r="U317" s="15">
        <f t="shared" si="21"/>
        <v>1.3837295690936107</v>
      </c>
      <c r="V317" s="17"/>
      <c r="W317" s="17"/>
      <c r="AC317" s="4"/>
    </row>
    <row r="318" spans="1:29" ht="15.75" customHeight="1">
      <c r="A318" s="13" t="s">
        <v>658</v>
      </c>
      <c r="B318" s="66" t="s">
        <v>651</v>
      </c>
      <c r="C318" s="71">
        <v>6048</v>
      </c>
      <c r="D318" s="71">
        <v>31366</v>
      </c>
      <c r="E318" s="50">
        <f t="shared" si="22"/>
        <v>37414</v>
      </c>
      <c r="F318" s="51">
        <f t="shared" si="23"/>
        <v>83.834928101780079</v>
      </c>
      <c r="G318" s="51">
        <f t="shared" si="24"/>
        <v>16.165071898219917</v>
      </c>
      <c r="H318" s="3"/>
      <c r="I318" s="1"/>
      <c r="J318" s="1"/>
      <c r="K318" s="1"/>
      <c r="L318" s="1"/>
      <c r="M318" s="1"/>
      <c r="N318" s="1"/>
      <c r="O318" s="13" t="s">
        <v>658</v>
      </c>
      <c r="P318" s="11" t="s">
        <v>651</v>
      </c>
      <c r="Q318" s="9">
        <v>6704</v>
      </c>
      <c r="R318" s="9">
        <v>35888</v>
      </c>
      <c r="S318" s="14">
        <f t="shared" si="19"/>
        <v>42592</v>
      </c>
      <c r="T318" s="15">
        <f t="shared" si="20"/>
        <v>84.259954921111941</v>
      </c>
      <c r="U318" s="15">
        <f t="shared" si="21"/>
        <v>15.740045078888054</v>
      </c>
      <c r="V318" s="17"/>
      <c r="W318" s="17"/>
      <c r="AC318" s="4"/>
    </row>
    <row r="319" spans="1:29" ht="15.75" customHeight="1">
      <c r="A319" s="13" t="s">
        <v>660</v>
      </c>
      <c r="B319" s="66" t="s">
        <v>653</v>
      </c>
      <c r="C319" s="71">
        <v>273</v>
      </c>
      <c r="D319" s="71">
        <v>8445</v>
      </c>
      <c r="E319" s="50">
        <f t="shared" si="22"/>
        <v>8718</v>
      </c>
      <c r="F319" s="51">
        <f t="shared" si="23"/>
        <v>96.86854783207157</v>
      </c>
      <c r="G319" s="51">
        <f t="shared" si="24"/>
        <v>3.131452167928424</v>
      </c>
      <c r="H319" s="3"/>
      <c r="I319" s="1"/>
      <c r="J319" s="1"/>
      <c r="K319" s="1"/>
      <c r="L319" s="1"/>
      <c r="M319" s="1"/>
      <c r="N319" s="1"/>
      <c r="O319" s="13" t="s">
        <v>660</v>
      </c>
      <c r="P319" s="11" t="s">
        <v>653</v>
      </c>
      <c r="Q319" s="9">
        <v>329</v>
      </c>
      <c r="R319" s="9">
        <v>10104</v>
      </c>
      <c r="S319" s="14">
        <f t="shared" si="19"/>
        <v>10433</v>
      </c>
      <c r="T319" s="15">
        <f t="shared" si="20"/>
        <v>96.846544618038905</v>
      </c>
      <c r="U319" s="15">
        <f t="shared" si="21"/>
        <v>3.1534553819610851</v>
      </c>
      <c r="V319" s="17"/>
      <c r="W319" s="17"/>
      <c r="AC319" s="4"/>
    </row>
    <row r="320" spans="1:29" ht="15.75" customHeight="1">
      <c r="A320" s="13" t="s">
        <v>662</v>
      </c>
      <c r="B320" s="66" t="s">
        <v>655</v>
      </c>
      <c r="C320" s="71">
        <v>996</v>
      </c>
      <c r="D320" s="71">
        <v>16707</v>
      </c>
      <c r="E320" s="50">
        <f t="shared" si="22"/>
        <v>17703</v>
      </c>
      <c r="F320" s="51">
        <f t="shared" si="23"/>
        <v>94.373834943229966</v>
      </c>
      <c r="G320" s="51">
        <f t="shared" si="24"/>
        <v>5.6261650567700388</v>
      </c>
      <c r="H320" s="3"/>
      <c r="I320" s="1"/>
      <c r="J320" s="1"/>
      <c r="K320" s="1"/>
      <c r="L320" s="1"/>
      <c r="M320" s="1"/>
      <c r="N320" s="1"/>
      <c r="O320" s="13" t="s">
        <v>662</v>
      </c>
      <c r="P320" s="11" t="s">
        <v>655</v>
      </c>
      <c r="Q320" s="9">
        <v>706</v>
      </c>
      <c r="R320" s="9">
        <v>19316</v>
      </c>
      <c r="S320" s="14">
        <f t="shared" si="19"/>
        <v>20022</v>
      </c>
      <c r="T320" s="15">
        <f t="shared" si="20"/>
        <v>96.473878733393263</v>
      </c>
      <c r="U320" s="15">
        <f t="shared" si="21"/>
        <v>3.5261212666067325</v>
      </c>
      <c r="V320" s="17"/>
      <c r="W320" s="17"/>
      <c r="AC320" s="4"/>
    </row>
    <row r="321" spans="1:29" ht="15.75" customHeight="1">
      <c r="A321" s="13" t="s">
        <v>664</v>
      </c>
      <c r="B321" s="66" t="s">
        <v>657</v>
      </c>
      <c r="C321" s="71">
        <v>585</v>
      </c>
      <c r="D321" s="71">
        <v>15238</v>
      </c>
      <c r="E321" s="50">
        <f t="shared" si="22"/>
        <v>15823</v>
      </c>
      <c r="F321" s="51">
        <f t="shared" si="23"/>
        <v>96.302850281236175</v>
      </c>
      <c r="G321" s="51">
        <f t="shared" si="24"/>
        <v>3.6971497187638249</v>
      </c>
      <c r="H321" s="3"/>
      <c r="I321" s="1"/>
      <c r="J321" s="1"/>
      <c r="K321" s="1"/>
      <c r="L321" s="1"/>
      <c r="M321" s="1"/>
      <c r="N321" s="1"/>
      <c r="O321" s="13" t="s">
        <v>664</v>
      </c>
      <c r="P321" s="11" t="s">
        <v>657</v>
      </c>
      <c r="Q321" s="9">
        <v>1034</v>
      </c>
      <c r="R321" s="9">
        <v>15891</v>
      </c>
      <c r="S321" s="14">
        <f t="shared" si="19"/>
        <v>16925</v>
      </c>
      <c r="T321" s="15">
        <f t="shared" si="20"/>
        <v>93.890694239290994</v>
      </c>
      <c r="U321" s="15">
        <f t="shared" si="21"/>
        <v>6.1093057607090104</v>
      </c>
      <c r="V321" s="17"/>
      <c r="W321" s="17"/>
      <c r="AC321" s="4"/>
    </row>
    <row r="322" spans="1:29" ht="15.75" customHeight="1">
      <c r="A322" s="13" t="s">
        <v>666</v>
      </c>
      <c r="B322" s="66" t="s">
        <v>659</v>
      </c>
      <c r="C322" s="71">
        <v>184</v>
      </c>
      <c r="D322" s="71">
        <v>5687</v>
      </c>
      <c r="E322" s="50">
        <f t="shared" si="22"/>
        <v>5871</v>
      </c>
      <c r="F322" s="51">
        <f t="shared" si="23"/>
        <v>96.86595128598195</v>
      </c>
      <c r="G322" s="51">
        <f t="shared" si="24"/>
        <v>3.1340487140180548</v>
      </c>
      <c r="H322" s="3"/>
      <c r="I322" s="1"/>
      <c r="J322" s="1"/>
      <c r="K322" s="1"/>
      <c r="L322" s="1"/>
      <c r="M322" s="1"/>
      <c r="N322" s="1"/>
      <c r="O322" s="13" t="s">
        <v>666</v>
      </c>
      <c r="P322" s="11" t="s">
        <v>659</v>
      </c>
      <c r="Q322" s="9">
        <v>195</v>
      </c>
      <c r="R322" s="9">
        <v>7292</v>
      </c>
      <c r="S322" s="14">
        <f t="shared" si="19"/>
        <v>7487</v>
      </c>
      <c r="T322" s="15">
        <f t="shared" si="20"/>
        <v>97.395485508214236</v>
      </c>
      <c r="U322" s="15">
        <f t="shared" si="21"/>
        <v>2.6045144917857619</v>
      </c>
      <c r="V322" s="17"/>
      <c r="W322" s="17"/>
      <c r="AC322" s="4"/>
    </row>
    <row r="323" spans="1:29" ht="15.75" customHeight="1">
      <c r="A323" s="13" t="s">
        <v>668</v>
      </c>
      <c r="B323" s="66" t="s">
        <v>661</v>
      </c>
      <c r="C323" s="71">
        <v>1227</v>
      </c>
      <c r="D323" s="71">
        <v>16433</v>
      </c>
      <c r="E323" s="50">
        <f t="shared" si="22"/>
        <v>17660</v>
      </c>
      <c r="F323" s="51">
        <f t="shared" si="23"/>
        <v>93.052095130237817</v>
      </c>
      <c r="G323" s="51">
        <f t="shared" si="24"/>
        <v>6.9479048697621737</v>
      </c>
      <c r="H323" s="3"/>
      <c r="I323" s="1"/>
      <c r="J323" s="1"/>
      <c r="K323" s="1"/>
      <c r="L323" s="1"/>
      <c r="M323" s="1"/>
      <c r="N323" s="1"/>
      <c r="O323" s="13" t="s">
        <v>668</v>
      </c>
      <c r="P323" s="11" t="s">
        <v>661</v>
      </c>
      <c r="Q323" s="9">
        <v>860</v>
      </c>
      <c r="R323" s="9">
        <v>19193</v>
      </c>
      <c r="S323" s="14">
        <f t="shared" si="19"/>
        <v>20053</v>
      </c>
      <c r="T323" s="15">
        <f t="shared" si="20"/>
        <v>95.711364883059886</v>
      </c>
      <c r="U323" s="15">
        <f t="shared" si="21"/>
        <v>4.2886351169401085</v>
      </c>
      <c r="V323" s="17"/>
      <c r="W323" s="17"/>
      <c r="AC323" s="4"/>
    </row>
    <row r="324" spans="1:29" ht="15.75" customHeight="1">
      <c r="A324" s="13" t="s">
        <v>669</v>
      </c>
      <c r="B324" s="66" t="s">
        <v>663</v>
      </c>
      <c r="C324" s="71">
        <v>125</v>
      </c>
      <c r="D324" s="71">
        <v>3319</v>
      </c>
      <c r="E324" s="50">
        <f t="shared" si="22"/>
        <v>3444</v>
      </c>
      <c r="F324" s="51">
        <f t="shared" si="23"/>
        <v>96.370499419279909</v>
      </c>
      <c r="G324" s="51">
        <f t="shared" si="24"/>
        <v>3.6295005807200931</v>
      </c>
      <c r="H324" s="3"/>
      <c r="I324" s="1"/>
      <c r="J324" s="1"/>
      <c r="K324" s="1"/>
      <c r="L324" s="1"/>
      <c r="M324" s="1"/>
      <c r="N324" s="1"/>
      <c r="O324" s="13" t="s">
        <v>669</v>
      </c>
      <c r="P324" s="11" t="s">
        <v>663</v>
      </c>
      <c r="Q324" s="9">
        <v>81</v>
      </c>
      <c r="R324" s="9">
        <v>3854</v>
      </c>
      <c r="S324" s="14">
        <f t="shared" si="19"/>
        <v>3935</v>
      </c>
      <c r="T324" s="15">
        <f t="shared" si="20"/>
        <v>97.941550190597198</v>
      </c>
      <c r="U324" s="15">
        <f t="shared" si="21"/>
        <v>2.0584498094027954</v>
      </c>
      <c r="V324" s="17"/>
      <c r="W324" s="17"/>
      <c r="AC324" s="4"/>
    </row>
    <row r="325" spans="1:29" ht="15.75" customHeight="1">
      <c r="A325" s="13" t="s">
        <v>671</v>
      </c>
      <c r="B325" s="66" t="s">
        <v>665</v>
      </c>
      <c r="C325" s="71">
        <v>495</v>
      </c>
      <c r="D325" s="71">
        <v>11104</v>
      </c>
      <c r="E325" s="50">
        <f t="shared" si="22"/>
        <v>11599</v>
      </c>
      <c r="F325" s="51">
        <f t="shared" si="23"/>
        <v>95.732390723338227</v>
      </c>
      <c r="G325" s="51">
        <f t="shared" si="24"/>
        <v>4.2676092766617808</v>
      </c>
      <c r="H325" s="3"/>
      <c r="I325" s="1"/>
      <c r="J325" s="1"/>
      <c r="K325" s="1"/>
      <c r="L325" s="1"/>
      <c r="M325" s="1"/>
      <c r="N325" s="1"/>
      <c r="O325" s="13" t="s">
        <v>671</v>
      </c>
      <c r="P325" s="11" t="s">
        <v>665</v>
      </c>
      <c r="Q325" s="9">
        <v>500</v>
      </c>
      <c r="R325" s="9">
        <v>14336</v>
      </c>
      <c r="S325" s="14">
        <f t="shared" si="19"/>
        <v>14836</v>
      </c>
      <c r="T325" s="15">
        <f t="shared" si="20"/>
        <v>96.629819358317604</v>
      </c>
      <c r="U325" s="15">
        <f t="shared" si="21"/>
        <v>3.3701806416823943</v>
      </c>
      <c r="V325" s="17"/>
      <c r="W325" s="17"/>
      <c r="AC325" s="4"/>
    </row>
    <row r="326" spans="1:29" ht="15.75" customHeight="1">
      <c r="A326" s="13" t="s">
        <v>673</v>
      </c>
      <c r="B326" s="66" t="s">
        <v>667</v>
      </c>
      <c r="C326" s="71">
        <v>216</v>
      </c>
      <c r="D326" s="71">
        <v>6205</v>
      </c>
      <c r="E326" s="50">
        <f t="shared" ref="E326:E347" si="25">C326+D326</f>
        <v>6421</v>
      </c>
      <c r="F326" s="51">
        <f t="shared" ref="F326:F345" si="26">(D326/E326)*100</f>
        <v>96.636038000311473</v>
      </c>
      <c r="G326" s="51">
        <f t="shared" ref="G326:G345" si="27">(C326/E326)*100</f>
        <v>3.3639619996885224</v>
      </c>
      <c r="H326" s="3"/>
      <c r="I326" s="1"/>
      <c r="J326" s="1"/>
      <c r="K326" s="1"/>
      <c r="L326" s="1"/>
      <c r="M326" s="1"/>
      <c r="N326" s="1"/>
      <c r="O326" s="13" t="s">
        <v>673</v>
      </c>
      <c r="P326" s="11" t="s">
        <v>667</v>
      </c>
      <c r="Q326" s="9">
        <v>393</v>
      </c>
      <c r="R326" s="9">
        <v>6017</v>
      </c>
      <c r="S326" s="14">
        <f t="shared" si="19"/>
        <v>6410</v>
      </c>
      <c r="T326" s="15">
        <f t="shared" si="20"/>
        <v>93.868954758190327</v>
      </c>
      <c r="U326" s="15">
        <f t="shared" si="21"/>
        <v>6.1310452418096721</v>
      </c>
      <c r="V326" s="17"/>
      <c r="W326" s="17"/>
      <c r="AC326" s="4"/>
    </row>
    <row r="327" spans="1:29" ht="15.75" customHeight="1">
      <c r="A327" s="13" t="s">
        <v>675</v>
      </c>
      <c r="B327" s="66" t="s">
        <v>617</v>
      </c>
      <c r="C327" s="71">
        <v>224</v>
      </c>
      <c r="D327" s="71">
        <v>4342</v>
      </c>
      <c r="E327" s="50">
        <f t="shared" si="25"/>
        <v>4566</v>
      </c>
      <c r="F327" s="51">
        <f t="shared" si="26"/>
        <v>95.094174332019278</v>
      </c>
      <c r="G327" s="51">
        <f t="shared" si="27"/>
        <v>4.9058256679807277</v>
      </c>
      <c r="H327" s="3"/>
      <c r="I327" s="1"/>
      <c r="J327" s="1"/>
      <c r="K327" s="1"/>
      <c r="L327" s="1"/>
      <c r="M327" s="1"/>
      <c r="N327" s="1"/>
      <c r="O327" s="13" t="s">
        <v>675</v>
      </c>
      <c r="P327" s="11" t="s">
        <v>617</v>
      </c>
      <c r="Q327" s="9">
        <v>152</v>
      </c>
      <c r="R327" s="9">
        <v>5070</v>
      </c>
      <c r="S327" s="14">
        <f t="shared" si="19"/>
        <v>5222</v>
      </c>
      <c r="T327" s="15">
        <f t="shared" si="20"/>
        <v>97.08923783990808</v>
      </c>
      <c r="U327" s="15">
        <f t="shared" si="21"/>
        <v>2.9107621600919189</v>
      </c>
      <c r="V327" s="17"/>
      <c r="W327" s="17"/>
      <c r="AC327" s="4"/>
    </row>
    <row r="328" spans="1:29" ht="15.75" customHeight="1">
      <c r="A328" s="13" t="s">
        <v>677</v>
      </c>
      <c r="B328" s="66" t="s">
        <v>670</v>
      </c>
      <c r="C328" s="71">
        <v>35</v>
      </c>
      <c r="D328" s="71">
        <v>824</v>
      </c>
      <c r="E328" s="50">
        <f t="shared" si="25"/>
        <v>859</v>
      </c>
      <c r="F328" s="51">
        <f t="shared" si="26"/>
        <v>95.925494761350407</v>
      </c>
      <c r="G328" s="51">
        <f t="shared" si="27"/>
        <v>4.0745052386495919</v>
      </c>
      <c r="H328" s="3"/>
      <c r="I328" s="1"/>
      <c r="J328" s="1"/>
      <c r="K328" s="1"/>
      <c r="L328" s="1"/>
      <c r="M328" s="1"/>
      <c r="N328" s="1"/>
      <c r="O328" s="13" t="s">
        <v>677</v>
      </c>
      <c r="P328" s="11" t="s">
        <v>670</v>
      </c>
      <c r="Q328" s="9">
        <v>19</v>
      </c>
      <c r="R328" s="9">
        <v>1003</v>
      </c>
      <c r="S328" s="14">
        <f t="shared" si="19"/>
        <v>1022</v>
      </c>
      <c r="T328" s="15">
        <f t="shared" si="20"/>
        <v>98.140900195694712</v>
      </c>
      <c r="U328" s="15">
        <f t="shared" si="21"/>
        <v>1.8590998043052838</v>
      </c>
      <c r="V328" s="17"/>
      <c r="W328" s="17"/>
      <c r="AC328" s="4"/>
    </row>
    <row r="329" spans="1:29" ht="15.75" customHeight="1">
      <c r="A329" s="13" t="s">
        <v>678</v>
      </c>
      <c r="B329" s="66" t="s">
        <v>672</v>
      </c>
      <c r="C329" s="71">
        <v>289</v>
      </c>
      <c r="D329" s="71">
        <v>10215</v>
      </c>
      <c r="E329" s="50">
        <f t="shared" si="25"/>
        <v>10504</v>
      </c>
      <c r="F329" s="51">
        <f t="shared" si="26"/>
        <v>97.248667174409746</v>
      </c>
      <c r="G329" s="51">
        <f t="shared" si="27"/>
        <v>2.7513328255902514</v>
      </c>
      <c r="H329" s="3"/>
      <c r="I329" s="1"/>
      <c r="J329" s="1"/>
      <c r="K329" s="1"/>
      <c r="L329" s="1"/>
      <c r="M329" s="1"/>
      <c r="N329" s="1"/>
      <c r="O329" s="13" t="s">
        <v>678</v>
      </c>
      <c r="P329" s="11" t="s">
        <v>672</v>
      </c>
      <c r="Q329" s="9">
        <v>270</v>
      </c>
      <c r="R329" s="9">
        <v>11823</v>
      </c>
      <c r="S329" s="14">
        <f t="shared" si="19"/>
        <v>12093</v>
      </c>
      <c r="T329" s="15">
        <f t="shared" si="20"/>
        <v>97.767303398660374</v>
      </c>
      <c r="U329" s="15">
        <f t="shared" si="21"/>
        <v>2.2326966013396179</v>
      </c>
      <c r="V329" s="17"/>
      <c r="W329" s="17"/>
      <c r="AC329" s="4"/>
    </row>
    <row r="330" spans="1:29" ht="15.75" customHeight="1">
      <c r="A330" s="13" t="s">
        <v>680</v>
      </c>
      <c r="B330" s="66" t="s">
        <v>674</v>
      </c>
      <c r="C330" s="71">
        <v>141</v>
      </c>
      <c r="D330" s="71">
        <v>5426</v>
      </c>
      <c r="E330" s="50">
        <f t="shared" si="25"/>
        <v>5567</v>
      </c>
      <c r="F330" s="51">
        <f t="shared" si="26"/>
        <v>97.467217531884316</v>
      </c>
      <c r="G330" s="51">
        <f t="shared" si="27"/>
        <v>2.5327824681156819</v>
      </c>
      <c r="H330" s="3"/>
      <c r="I330" s="1"/>
      <c r="J330" s="1"/>
      <c r="K330" s="1"/>
      <c r="L330" s="1"/>
      <c r="M330" s="1"/>
      <c r="N330" s="1"/>
      <c r="O330" s="13" t="s">
        <v>680</v>
      </c>
      <c r="P330" s="11" t="s">
        <v>674</v>
      </c>
      <c r="Q330" s="9">
        <v>186</v>
      </c>
      <c r="R330" s="9">
        <v>7001</v>
      </c>
      <c r="S330" s="14">
        <f t="shared" si="19"/>
        <v>7187</v>
      </c>
      <c r="T330" s="15">
        <f t="shared" si="20"/>
        <v>97.411993877834973</v>
      </c>
      <c r="U330" s="15">
        <f t="shared" si="21"/>
        <v>2.5880061221650199</v>
      </c>
      <c r="V330" s="17"/>
      <c r="W330" s="17"/>
      <c r="AC330" s="4"/>
    </row>
    <row r="331" spans="1:29" ht="15.75" customHeight="1">
      <c r="A331" s="13" t="s">
        <v>682</v>
      </c>
      <c r="B331" s="66" t="s">
        <v>676</v>
      </c>
      <c r="C331" s="71">
        <v>125</v>
      </c>
      <c r="D331" s="71">
        <v>3681</v>
      </c>
      <c r="E331" s="50">
        <f t="shared" si="25"/>
        <v>3806</v>
      </c>
      <c r="F331" s="51">
        <f t="shared" si="26"/>
        <v>96.715712033631107</v>
      </c>
      <c r="G331" s="51">
        <f t="shared" si="27"/>
        <v>3.2842879663688915</v>
      </c>
      <c r="H331" s="3"/>
      <c r="I331" s="1"/>
      <c r="J331" s="1"/>
      <c r="K331" s="1"/>
      <c r="L331" s="1"/>
      <c r="M331" s="1"/>
      <c r="N331" s="1"/>
      <c r="O331" s="13" t="s">
        <v>682</v>
      </c>
      <c r="P331" s="11" t="s">
        <v>676</v>
      </c>
      <c r="Q331" s="9">
        <v>108</v>
      </c>
      <c r="R331" s="9">
        <v>4288</v>
      </c>
      <c r="S331" s="14">
        <f t="shared" si="19"/>
        <v>4396</v>
      </c>
      <c r="T331" s="15">
        <f t="shared" si="20"/>
        <v>97.543221110100092</v>
      </c>
      <c r="U331" s="15">
        <f t="shared" si="21"/>
        <v>2.4567788898999092</v>
      </c>
      <c r="V331" s="17"/>
      <c r="W331" s="17"/>
      <c r="AC331" s="4"/>
    </row>
    <row r="332" spans="1:29" ht="15.75" customHeight="1">
      <c r="A332" s="13" t="s">
        <v>684</v>
      </c>
      <c r="B332" s="66" t="s">
        <v>685</v>
      </c>
      <c r="C332" s="71">
        <v>273</v>
      </c>
      <c r="D332" s="71">
        <v>2643</v>
      </c>
      <c r="E332" s="50">
        <f t="shared" si="25"/>
        <v>2916</v>
      </c>
      <c r="F332" s="51">
        <f t="shared" si="26"/>
        <v>90.637860082304528</v>
      </c>
      <c r="G332" s="51">
        <f t="shared" si="27"/>
        <v>9.3621399176954743</v>
      </c>
      <c r="H332" s="3"/>
      <c r="I332" s="1"/>
      <c r="J332" s="1"/>
      <c r="K332" s="1"/>
      <c r="L332" s="1"/>
      <c r="M332" s="1"/>
      <c r="N332" s="1"/>
      <c r="O332" s="13" t="s">
        <v>684</v>
      </c>
      <c r="P332" s="11" t="s">
        <v>685</v>
      </c>
      <c r="Q332" s="9">
        <v>282</v>
      </c>
      <c r="R332" s="9">
        <v>3354</v>
      </c>
      <c r="S332" s="14">
        <f t="shared" si="19"/>
        <v>3636</v>
      </c>
      <c r="T332" s="15">
        <f t="shared" si="20"/>
        <v>92.244224422442244</v>
      </c>
      <c r="U332" s="15">
        <f t="shared" si="21"/>
        <v>7.7557755775577553</v>
      </c>
      <c r="V332" s="17"/>
      <c r="W332" s="17"/>
      <c r="AC332" s="4"/>
    </row>
    <row r="333" spans="1:29" ht="15.75" customHeight="1">
      <c r="A333" s="13" t="s">
        <v>686</v>
      </c>
      <c r="B333" s="66" t="s">
        <v>687</v>
      </c>
      <c r="C333" s="71">
        <v>995</v>
      </c>
      <c r="D333" s="71">
        <v>41687</v>
      </c>
      <c r="E333" s="50">
        <f t="shared" si="25"/>
        <v>42682</v>
      </c>
      <c r="F333" s="51">
        <f t="shared" si="26"/>
        <v>97.668806522655913</v>
      </c>
      <c r="G333" s="51">
        <f t="shared" si="27"/>
        <v>2.3311934773440792</v>
      </c>
      <c r="H333" s="3"/>
      <c r="I333" s="1"/>
      <c r="J333" s="1"/>
      <c r="K333" s="1"/>
      <c r="L333" s="1"/>
      <c r="M333" s="1"/>
      <c r="N333" s="1"/>
      <c r="O333" s="13" t="s">
        <v>686</v>
      </c>
      <c r="P333" s="11" t="s">
        <v>687</v>
      </c>
      <c r="Q333" s="9">
        <v>835</v>
      </c>
      <c r="R333" s="9">
        <v>52009</v>
      </c>
      <c r="S333" s="14">
        <f t="shared" si="19"/>
        <v>52844</v>
      </c>
      <c r="T333" s="15">
        <f t="shared" si="20"/>
        <v>98.419877374914847</v>
      </c>
      <c r="U333" s="15">
        <f t="shared" si="21"/>
        <v>1.5801226250851563</v>
      </c>
      <c r="V333" s="17"/>
      <c r="W333" s="17"/>
      <c r="AC333" s="4"/>
    </row>
    <row r="334" spans="1:29" ht="15.75" customHeight="1">
      <c r="A334" s="13" t="s">
        <v>688</v>
      </c>
      <c r="B334" s="66" t="s">
        <v>679</v>
      </c>
      <c r="C334" s="71">
        <v>164</v>
      </c>
      <c r="D334" s="71">
        <v>7166</v>
      </c>
      <c r="E334" s="50">
        <f t="shared" si="25"/>
        <v>7330</v>
      </c>
      <c r="F334" s="51">
        <f t="shared" si="26"/>
        <v>97.762619372442018</v>
      </c>
      <c r="G334" s="51">
        <f t="shared" si="27"/>
        <v>2.2373806275579811</v>
      </c>
      <c r="H334" s="3"/>
      <c r="I334" s="1"/>
      <c r="J334" s="1"/>
      <c r="K334" s="1"/>
      <c r="L334" s="1"/>
      <c r="M334" s="1"/>
      <c r="N334" s="1"/>
      <c r="O334" s="13" t="s">
        <v>688</v>
      </c>
      <c r="P334" s="11" t="s">
        <v>679</v>
      </c>
      <c r="Q334" s="9">
        <v>259</v>
      </c>
      <c r="R334" s="9">
        <v>8579</v>
      </c>
      <c r="S334" s="14">
        <f t="shared" si="19"/>
        <v>8838</v>
      </c>
      <c r="T334" s="15">
        <f t="shared" si="20"/>
        <v>97.069472731387194</v>
      </c>
      <c r="U334" s="15">
        <f t="shared" si="21"/>
        <v>2.9305272686128081</v>
      </c>
      <c r="V334" s="17"/>
      <c r="W334" s="17"/>
      <c r="AC334" s="4"/>
    </row>
    <row r="335" spans="1:29" ht="15.75" customHeight="1">
      <c r="A335" s="13" t="s">
        <v>690</v>
      </c>
      <c r="B335" s="66" t="s">
        <v>681</v>
      </c>
      <c r="C335" s="71">
        <v>157</v>
      </c>
      <c r="D335" s="71">
        <v>1819</v>
      </c>
      <c r="E335" s="50">
        <f t="shared" si="25"/>
        <v>1976</v>
      </c>
      <c r="F335" s="51">
        <f t="shared" si="26"/>
        <v>92.054655870445345</v>
      </c>
      <c r="G335" s="51">
        <f t="shared" si="27"/>
        <v>7.9453441295546563</v>
      </c>
      <c r="H335" s="3"/>
      <c r="I335" s="1"/>
      <c r="J335" s="1"/>
      <c r="K335" s="1"/>
      <c r="L335" s="1"/>
      <c r="M335" s="1"/>
      <c r="N335" s="1"/>
      <c r="O335" s="13" t="s">
        <v>690</v>
      </c>
      <c r="P335" s="11" t="s">
        <v>681</v>
      </c>
      <c r="Q335" s="9">
        <v>146</v>
      </c>
      <c r="R335" s="9">
        <v>2198</v>
      </c>
      <c r="S335" s="14">
        <f t="shared" si="19"/>
        <v>2344</v>
      </c>
      <c r="T335" s="15">
        <f t="shared" si="20"/>
        <v>93.771331058020479</v>
      </c>
      <c r="U335" s="15">
        <f t="shared" si="21"/>
        <v>6.2286689419795218</v>
      </c>
      <c r="V335" s="17"/>
      <c r="W335" s="17"/>
      <c r="AC335" s="4"/>
    </row>
    <row r="336" spans="1:29" ht="15.75" customHeight="1">
      <c r="A336" s="13" t="s">
        <v>691</v>
      </c>
      <c r="B336" s="66" t="s">
        <v>683</v>
      </c>
      <c r="C336" s="71">
        <v>339</v>
      </c>
      <c r="D336" s="71">
        <v>3302</v>
      </c>
      <c r="E336" s="50">
        <f t="shared" si="25"/>
        <v>3641</v>
      </c>
      <c r="F336" s="51">
        <f t="shared" si="26"/>
        <v>90.689371051908822</v>
      </c>
      <c r="G336" s="51">
        <f t="shared" si="27"/>
        <v>9.3106289480911837</v>
      </c>
      <c r="H336" s="3"/>
      <c r="I336" s="1"/>
      <c r="J336" s="1"/>
      <c r="K336" s="1"/>
      <c r="L336" s="1"/>
      <c r="M336" s="1"/>
      <c r="N336" s="1"/>
      <c r="O336" s="13" t="s">
        <v>691</v>
      </c>
      <c r="P336" s="11" t="s">
        <v>683</v>
      </c>
      <c r="Q336" s="9">
        <v>139</v>
      </c>
      <c r="R336" s="9">
        <v>3340</v>
      </c>
      <c r="S336" s="14">
        <f t="shared" si="19"/>
        <v>3479</v>
      </c>
      <c r="T336" s="15">
        <f t="shared" si="20"/>
        <v>96.004599022707666</v>
      </c>
      <c r="U336" s="15">
        <f t="shared" si="21"/>
        <v>3.9954009772923254</v>
      </c>
      <c r="V336" s="17"/>
      <c r="W336" s="17"/>
      <c r="AC336" s="4"/>
    </row>
    <row r="337" spans="1:29" ht="15.75" customHeight="1">
      <c r="A337" s="13" t="s">
        <v>693</v>
      </c>
      <c r="B337" s="66" t="s">
        <v>694</v>
      </c>
      <c r="C337" s="71">
        <v>127</v>
      </c>
      <c r="D337" s="71">
        <v>5544</v>
      </c>
      <c r="E337" s="50">
        <f t="shared" si="25"/>
        <v>5671</v>
      </c>
      <c r="F337" s="51">
        <f t="shared" si="26"/>
        <v>97.760536060659504</v>
      </c>
      <c r="G337" s="51">
        <f t="shared" si="27"/>
        <v>2.2394639393405043</v>
      </c>
      <c r="H337" s="3"/>
      <c r="I337" s="1"/>
      <c r="J337" s="1"/>
      <c r="K337" s="1"/>
      <c r="L337" s="1"/>
      <c r="M337" s="1"/>
      <c r="N337" s="1"/>
      <c r="O337" s="13" t="s">
        <v>693</v>
      </c>
      <c r="P337" s="11" t="s">
        <v>694</v>
      </c>
      <c r="Q337" s="9">
        <v>127</v>
      </c>
      <c r="R337" s="9">
        <v>6869</v>
      </c>
      <c r="S337" s="14">
        <f t="shared" si="19"/>
        <v>6996</v>
      </c>
      <c r="T337" s="15">
        <f t="shared" si="20"/>
        <v>98.184676958261861</v>
      </c>
      <c r="U337" s="15">
        <f t="shared" si="21"/>
        <v>1.8153230417381361</v>
      </c>
      <c r="V337" s="17"/>
      <c r="W337" s="17"/>
      <c r="AC337" s="4"/>
    </row>
    <row r="338" spans="1:29" ht="15.75" customHeight="1">
      <c r="A338" s="13" t="s">
        <v>696</v>
      </c>
      <c r="B338" s="66" t="s">
        <v>609</v>
      </c>
      <c r="C338" s="71">
        <v>47</v>
      </c>
      <c r="D338" s="71">
        <v>2733</v>
      </c>
      <c r="E338" s="50">
        <f t="shared" si="25"/>
        <v>2780</v>
      </c>
      <c r="F338" s="51">
        <f t="shared" si="26"/>
        <v>98.309352517985616</v>
      </c>
      <c r="G338" s="51">
        <f t="shared" si="27"/>
        <v>1.6906474820143884</v>
      </c>
      <c r="H338" s="3"/>
      <c r="I338" s="1"/>
      <c r="J338" s="1"/>
      <c r="K338" s="1"/>
      <c r="L338" s="1"/>
      <c r="M338" s="1"/>
      <c r="N338" s="1"/>
      <c r="O338" s="13" t="s">
        <v>696</v>
      </c>
      <c r="P338" s="11" t="s">
        <v>609</v>
      </c>
      <c r="Q338" s="9">
        <v>165</v>
      </c>
      <c r="R338" s="9">
        <v>3152</v>
      </c>
      <c r="S338" s="14">
        <f t="shared" si="19"/>
        <v>3317</v>
      </c>
      <c r="T338" s="15">
        <f t="shared" si="20"/>
        <v>95.02562556526982</v>
      </c>
      <c r="U338" s="15">
        <f t="shared" si="21"/>
        <v>4.9743744347301782</v>
      </c>
      <c r="V338" s="17"/>
      <c r="W338" s="17"/>
      <c r="AC338" s="4"/>
    </row>
    <row r="339" spans="1:29" ht="15.75" customHeight="1">
      <c r="A339" s="13" t="s">
        <v>697</v>
      </c>
      <c r="B339" s="66" t="s">
        <v>689</v>
      </c>
      <c r="C339" s="71">
        <v>128</v>
      </c>
      <c r="D339" s="71">
        <v>5097</v>
      </c>
      <c r="E339" s="50">
        <f t="shared" si="25"/>
        <v>5225</v>
      </c>
      <c r="F339" s="51">
        <f t="shared" si="26"/>
        <v>97.550239234449762</v>
      </c>
      <c r="G339" s="51">
        <f t="shared" si="27"/>
        <v>2.4497607655502391</v>
      </c>
      <c r="H339" s="3"/>
      <c r="I339" s="1"/>
      <c r="J339" s="1"/>
      <c r="K339" s="1"/>
      <c r="L339" s="1"/>
      <c r="M339" s="1"/>
      <c r="N339" s="1"/>
      <c r="O339" s="13" t="s">
        <v>697</v>
      </c>
      <c r="P339" s="11" t="s">
        <v>689</v>
      </c>
      <c r="Q339" s="9">
        <v>145</v>
      </c>
      <c r="R339" s="9">
        <v>7496</v>
      </c>
      <c r="S339" s="14">
        <f t="shared" si="19"/>
        <v>7641</v>
      </c>
      <c r="T339" s="15">
        <f t="shared" si="20"/>
        <v>98.102342625310825</v>
      </c>
      <c r="U339" s="15">
        <f t="shared" si="21"/>
        <v>1.8976573746891767</v>
      </c>
      <c r="V339" s="17"/>
      <c r="W339" s="17"/>
      <c r="AC339" s="4"/>
    </row>
    <row r="340" spans="1:29" ht="15.75" customHeight="1">
      <c r="A340" s="13" t="s">
        <v>699</v>
      </c>
      <c r="B340" s="66" t="s">
        <v>700</v>
      </c>
      <c r="C340" s="71">
        <v>503</v>
      </c>
      <c r="D340" s="71">
        <v>6984</v>
      </c>
      <c r="E340" s="50">
        <f t="shared" si="25"/>
        <v>7487</v>
      </c>
      <c r="F340" s="51">
        <f t="shared" si="26"/>
        <v>93.281688259650068</v>
      </c>
      <c r="G340" s="51">
        <f t="shared" si="27"/>
        <v>6.7183117403499404</v>
      </c>
      <c r="H340" s="3"/>
      <c r="I340" s="1"/>
      <c r="J340" s="1"/>
      <c r="K340" s="1"/>
      <c r="L340" s="1"/>
      <c r="M340" s="1"/>
      <c r="N340" s="1"/>
      <c r="O340" s="13" t="s">
        <v>699</v>
      </c>
      <c r="P340" s="11" t="s">
        <v>700</v>
      </c>
      <c r="Q340" s="9">
        <v>415</v>
      </c>
      <c r="R340" s="9">
        <v>11207</v>
      </c>
      <c r="S340" s="14">
        <f t="shared" si="19"/>
        <v>11622</v>
      </c>
      <c r="T340" s="15">
        <f t="shared" si="20"/>
        <v>96.429186026501469</v>
      </c>
      <c r="U340" s="15">
        <f t="shared" si="21"/>
        <v>3.5708139734985371</v>
      </c>
      <c r="V340" s="17"/>
      <c r="W340" s="17"/>
    </row>
    <row r="341" spans="1:29" ht="15.75" customHeight="1">
      <c r="A341" s="13" t="s">
        <v>702</v>
      </c>
      <c r="B341" s="66" t="s">
        <v>692</v>
      </c>
      <c r="C341" s="71">
        <v>161</v>
      </c>
      <c r="D341" s="71">
        <v>6808</v>
      </c>
      <c r="E341" s="50">
        <f t="shared" si="25"/>
        <v>6969</v>
      </c>
      <c r="F341" s="51">
        <f t="shared" si="26"/>
        <v>97.689768976897696</v>
      </c>
      <c r="G341" s="51">
        <f t="shared" si="27"/>
        <v>2.3102310231023102</v>
      </c>
      <c r="H341" s="1"/>
      <c r="I341" s="1"/>
      <c r="J341" s="1"/>
      <c r="K341" s="1"/>
      <c r="L341" s="1"/>
      <c r="M341" s="1"/>
      <c r="N341" s="1"/>
      <c r="O341" s="13" t="s">
        <v>702</v>
      </c>
      <c r="P341" s="11" t="s">
        <v>692</v>
      </c>
      <c r="Q341" s="9">
        <v>247</v>
      </c>
      <c r="R341" s="9">
        <v>8843</v>
      </c>
      <c r="S341" s="14">
        <f t="shared" si="19"/>
        <v>9090</v>
      </c>
      <c r="T341" s="15">
        <f t="shared" si="20"/>
        <v>97.282728272827285</v>
      </c>
      <c r="U341" s="15">
        <f t="shared" si="21"/>
        <v>2.7172717271727169</v>
      </c>
      <c r="V341" s="17"/>
      <c r="W341" s="17"/>
    </row>
    <row r="342" spans="1:29" ht="15.75" customHeight="1">
      <c r="A342" s="13" t="s">
        <v>704</v>
      </c>
      <c r="B342" s="66" t="s">
        <v>695</v>
      </c>
      <c r="C342" s="71">
        <v>160</v>
      </c>
      <c r="D342" s="71">
        <v>7264</v>
      </c>
      <c r="E342" s="50">
        <f t="shared" si="25"/>
        <v>7424</v>
      </c>
      <c r="F342" s="51">
        <f t="shared" si="26"/>
        <v>97.84482758620689</v>
      </c>
      <c r="G342" s="51">
        <f t="shared" si="27"/>
        <v>2.1551724137931036</v>
      </c>
      <c r="H342" s="1"/>
      <c r="I342" s="1"/>
      <c r="J342" s="1"/>
      <c r="K342" s="1"/>
      <c r="L342" s="1"/>
      <c r="M342" s="1"/>
      <c r="N342" s="1"/>
      <c r="O342" s="13" t="s">
        <v>704</v>
      </c>
      <c r="P342" s="11" t="s">
        <v>695</v>
      </c>
      <c r="Q342" s="9">
        <v>201</v>
      </c>
      <c r="R342" s="9">
        <v>9609</v>
      </c>
      <c r="S342" s="14">
        <f t="shared" si="19"/>
        <v>9810</v>
      </c>
      <c r="T342" s="15">
        <f t="shared" si="20"/>
        <v>97.951070336391439</v>
      </c>
      <c r="U342" s="15">
        <f t="shared" si="21"/>
        <v>2.0489296636085625</v>
      </c>
      <c r="V342" s="17"/>
      <c r="W342" s="17"/>
    </row>
    <row r="343" spans="1:29" ht="15.75" customHeight="1">
      <c r="A343" s="13" t="s">
        <v>706</v>
      </c>
      <c r="B343" s="66" t="s">
        <v>707</v>
      </c>
      <c r="C343" s="71">
        <v>202</v>
      </c>
      <c r="D343" s="71">
        <v>1969</v>
      </c>
      <c r="E343" s="50">
        <f t="shared" si="25"/>
        <v>2171</v>
      </c>
      <c r="F343" s="51">
        <f t="shared" si="26"/>
        <v>90.695532012897289</v>
      </c>
      <c r="G343" s="51">
        <f t="shared" si="27"/>
        <v>9.3044679871027167</v>
      </c>
      <c r="H343" s="1"/>
      <c r="I343" s="1"/>
      <c r="J343" s="1"/>
      <c r="K343" s="1"/>
      <c r="L343" s="1"/>
      <c r="M343" s="1"/>
      <c r="N343" s="1"/>
      <c r="O343" s="13" t="s">
        <v>706</v>
      </c>
      <c r="P343" s="11" t="s">
        <v>707</v>
      </c>
      <c r="Q343" s="9">
        <v>117</v>
      </c>
      <c r="R343" s="9">
        <v>2606</v>
      </c>
      <c r="S343" s="14">
        <f t="shared" si="19"/>
        <v>2723</v>
      </c>
      <c r="T343" s="15">
        <f t="shared" si="20"/>
        <v>95.703268453911122</v>
      </c>
      <c r="U343" s="15">
        <f t="shared" si="21"/>
        <v>4.2967315460888731</v>
      </c>
      <c r="V343" s="17"/>
      <c r="W343" s="17"/>
    </row>
    <row r="344" spans="1:29" ht="15.75" customHeight="1">
      <c r="A344" s="13" t="s">
        <v>708</v>
      </c>
      <c r="B344" s="66" t="s">
        <v>698</v>
      </c>
      <c r="C344" s="71">
        <v>35</v>
      </c>
      <c r="D344" s="71">
        <v>1437</v>
      </c>
      <c r="E344" s="50">
        <f t="shared" si="25"/>
        <v>1472</v>
      </c>
      <c r="F344" s="51">
        <f t="shared" si="26"/>
        <v>97.622282608695656</v>
      </c>
      <c r="G344" s="51">
        <f t="shared" si="27"/>
        <v>2.3777173913043481</v>
      </c>
      <c r="H344" s="1"/>
      <c r="I344" s="1"/>
      <c r="J344" s="1"/>
      <c r="K344" s="1"/>
      <c r="L344" s="1"/>
      <c r="M344" s="1"/>
      <c r="N344" s="1"/>
      <c r="O344" s="13" t="s">
        <v>708</v>
      </c>
      <c r="P344" s="11" t="s">
        <v>698</v>
      </c>
      <c r="Q344" s="9">
        <v>56</v>
      </c>
      <c r="R344" s="9">
        <v>2396</v>
      </c>
      <c r="S344" s="14">
        <f t="shared" si="19"/>
        <v>2452</v>
      </c>
      <c r="T344" s="15">
        <f t="shared" si="20"/>
        <v>97.71615008156607</v>
      </c>
      <c r="U344" s="15">
        <f t="shared" si="21"/>
        <v>2.2838499184339316</v>
      </c>
      <c r="V344" s="17"/>
      <c r="W344" s="17"/>
    </row>
    <row r="345" spans="1:29" ht="15.75" customHeight="1">
      <c r="A345" s="13" t="s">
        <v>709</v>
      </c>
      <c r="B345" s="66" t="s">
        <v>701</v>
      </c>
      <c r="C345" s="71">
        <v>71</v>
      </c>
      <c r="D345" s="71">
        <v>1851</v>
      </c>
      <c r="E345" s="50">
        <f t="shared" si="25"/>
        <v>1922</v>
      </c>
      <c r="F345" s="51">
        <f t="shared" si="26"/>
        <v>96.305931321540058</v>
      </c>
      <c r="G345" s="51">
        <f t="shared" si="27"/>
        <v>3.6940686784599377</v>
      </c>
      <c r="H345" s="1"/>
      <c r="I345" s="1"/>
      <c r="J345" s="1"/>
      <c r="K345" s="1"/>
      <c r="L345" s="1"/>
      <c r="M345" s="1"/>
      <c r="N345" s="1"/>
      <c r="O345" s="13" t="s">
        <v>709</v>
      </c>
      <c r="P345" s="11" t="s">
        <v>701</v>
      </c>
      <c r="Q345" s="9">
        <v>44</v>
      </c>
      <c r="R345" s="9">
        <v>1455</v>
      </c>
      <c r="S345" s="14">
        <f t="shared" si="19"/>
        <v>1499</v>
      </c>
      <c r="T345" s="15">
        <f t="shared" si="20"/>
        <v>97.064709806537692</v>
      </c>
      <c r="U345" s="15">
        <f t="shared" si="21"/>
        <v>2.9352901934623081</v>
      </c>
      <c r="V345" s="17"/>
      <c r="W345" s="17"/>
    </row>
    <row r="346" spans="1:29" ht="15.75" customHeight="1">
      <c r="A346" s="13" t="s">
        <v>710</v>
      </c>
      <c r="B346" s="66" t="s">
        <v>703</v>
      </c>
      <c r="C346" s="71">
        <v>45</v>
      </c>
      <c r="D346" s="71">
        <v>2478</v>
      </c>
      <c r="E346" s="50">
        <f t="shared" si="25"/>
        <v>2523</v>
      </c>
      <c r="F346" s="51">
        <f t="shared" ref="F346:F347" si="28">(D346/E346)*100</f>
        <v>98.216409036860881</v>
      </c>
      <c r="G346" s="51">
        <f t="shared" ref="G346:G347" si="29">(C346/E346)*100</f>
        <v>1.78359096313912</v>
      </c>
      <c r="H346" s="1"/>
      <c r="I346" s="1"/>
      <c r="J346" s="1"/>
      <c r="K346" s="1"/>
      <c r="L346" s="1"/>
      <c r="M346" s="1"/>
      <c r="N346" s="1"/>
      <c r="O346" s="13" t="s">
        <v>710</v>
      </c>
      <c r="P346" s="11" t="s">
        <v>703</v>
      </c>
      <c r="Q346" s="9">
        <v>28</v>
      </c>
      <c r="R346" s="9">
        <v>2327</v>
      </c>
      <c r="S346" s="14">
        <f t="shared" si="19"/>
        <v>2355</v>
      </c>
      <c r="T346" s="15">
        <f t="shared" si="20"/>
        <v>98.811040339702757</v>
      </c>
      <c r="U346" s="15">
        <f t="shared" si="21"/>
        <v>1.1889596602972401</v>
      </c>
      <c r="V346" s="17"/>
      <c r="W346" s="17"/>
    </row>
    <row r="347" spans="1:29" ht="15.75" customHeight="1">
      <c r="A347" s="13" t="s">
        <v>711</v>
      </c>
      <c r="B347" s="66" t="s">
        <v>705</v>
      </c>
      <c r="C347" s="71">
        <v>13</v>
      </c>
      <c r="D347" s="71">
        <v>1957</v>
      </c>
      <c r="E347" s="50">
        <f t="shared" si="25"/>
        <v>1970</v>
      </c>
      <c r="F347" s="51">
        <f t="shared" si="28"/>
        <v>99.340101522842644</v>
      </c>
      <c r="G347" s="51">
        <f t="shared" si="29"/>
        <v>0.65989847715736039</v>
      </c>
      <c r="H347" s="1"/>
      <c r="I347" s="1"/>
      <c r="J347" s="1"/>
      <c r="K347" s="1"/>
      <c r="L347" s="1"/>
      <c r="M347" s="1"/>
      <c r="N347" s="1"/>
      <c r="O347" s="13" t="s">
        <v>711</v>
      </c>
      <c r="P347" s="11" t="s">
        <v>705</v>
      </c>
      <c r="Q347" s="9">
        <v>82</v>
      </c>
      <c r="R347" s="9">
        <v>2157</v>
      </c>
      <c r="S347" s="14">
        <f t="shared" si="19"/>
        <v>2239</v>
      </c>
      <c r="T347" s="15">
        <f t="shared" si="20"/>
        <v>96.337650736936126</v>
      </c>
      <c r="U347" s="15">
        <f t="shared" si="21"/>
        <v>3.6623492630638679</v>
      </c>
      <c r="V347" s="17"/>
      <c r="W347" s="17"/>
    </row>
    <row r="348" spans="1:29" ht="15.75" customHeight="1">
      <c r="A348" s="26"/>
      <c r="B348" s="1"/>
      <c r="C348" s="1"/>
      <c r="D348" s="1"/>
      <c r="E348" s="1"/>
      <c r="F348" s="3"/>
      <c r="G348" s="3"/>
      <c r="H348" s="1"/>
      <c r="I348" s="1"/>
      <c r="J348" s="1"/>
      <c r="K348" s="1"/>
      <c r="L348" s="1"/>
      <c r="M348" s="1"/>
      <c r="N348" s="1"/>
      <c r="O348" s="26"/>
      <c r="P348" s="1"/>
      <c r="Q348" s="25">
        <f t="shared" ref="Q348:S348" si="30">SUM(Q249:Q251)</f>
        <v>5786</v>
      </c>
      <c r="R348" s="25">
        <f t="shared" si="30"/>
        <v>146848</v>
      </c>
      <c r="S348" s="25">
        <f t="shared" si="30"/>
        <v>152634</v>
      </c>
      <c r="T348" s="3"/>
      <c r="U348" s="3"/>
      <c r="V348" s="1"/>
      <c r="W348" s="1"/>
    </row>
    <row r="349" spans="1:29" ht="15.75" customHeight="1">
      <c r="A349" s="72" t="s">
        <v>734</v>
      </c>
      <c r="B349" s="52" t="s">
        <v>733</v>
      </c>
      <c r="C349" s="49">
        <f>SUM(C249:C251)</f>
        <v>6848</v>
      </c>
      <c r="D349" s="49">
        <f>SUM(D249:D251)</f>
        <v>131153</v>
      </c>
      <c r="E349" s="50">
        <f>C349+D349</f>
        <v>138001</v>
      </c>
      <c r="F349" s="51">
        <f t="shared" ref="F349:F350" si="31">(D349/E349)*100</f>
        <v>95.037717117991889</v>
      </c>
      <c r="G349" s="51">
        <f t="shared" ref="G349:G350" si="32">(C349/E349)*100</f>
        <v>4.9622828820081013</v>
      </c>
      <c r="H349" s="1"/>
      <c r="I349" s="1"/>
      <c r="J349" s="1"/>
      <c r="K349" s="1"/>
      <c r="L349" s="1"/>
      <c r="M349" s="1"/>
      <c r="N349" s="1"/>
      <c r="O349" s="26"/>
      <c r="P349" s="1"/>
      <c r="Q349" s="27">
        <f t="shared" ref="Q349:S349" si="33">SUM(Q3:Q347)</f>
        <v>547712</v>
      </c>
      <c r="R349" s="27">
        <f t="shared" si="33"/>
        <v>10333938</v>
      </c>
      <c r="S349" s="1">
        <f t="shared" si="33"/>
        <v>10881650</v>
      </c>
      <c r="T349" s="3"/>
      <c r="U349" s="3"/>
      <c r="V349" s="1"/>
      <c r="W349" s="1"/>
    </row>
    <row r="350" spans="1:29" ht="15.75" customHeight="1">
      <c r="A350" s="72" t="s">
        <v>735</v>
      </c>
      <c r="B350" s="52" t="s">
        <v>44</v>
      </c>
      <c r="C350" s="52">
        <f>SUM(C2:C347)</f>
        <v>912140</v>
      </c>
      <c r="D350" s="52">
        <f>SUM(D2:D347)</f>
        <v>8516926</v>
      </c>
      <c r="E350" s="50">
        <f>C350+D350</f>
        <v>9429066</v>
      </c>
      <c r="F350" s="51">
        <f t="shared" si="31"/>
        <v>90.326295308570323</v>
      </c>
      <c r="G350" s="51">
        <f t="shared" si="32"/>
        <v>9.6737046914296698</v>
      </c>
      <c r="H350" s="1"/>
      <c r="I350" s="1"/>
      <c r="J350" s="1"/>
      <c r="K350" s="1"/>
      <c r="L350" s="1"/>
      <c r="M350" s="1"/>
      <c r="N350" s="1"/>
      <c r="O350" s="26"/>
      <c r="P350" s="1"/>
      <c r="Q350" s="1"/>
      <c r="R350" s="1"/>
      <c r="S350" s="1"/>
      <c r="T350" s="3"/>
      <c r="U350" s="3"/>
      <c r="V350" s="1"/>
      <c r="W350" s="1"/>
    </row>
    <row r="351" spans="1:29" ht="15.75" customHeight="1">
      <c r="A351" s="26"/>
      <c r="B351" s="1"/>
      <c r="C351" s="1"/>
      <c r="D351" s="1"/>
      <c r="E351" s="1"/>
      <c r="F351" s="3"/>
      <c r="G351" s="3"/>
      <c r="H351" s="1"/>
      <c r="I351" s="1"/>
      <c r="J351" s="1"/>
      <c r="K351" s="1"/>
      <c r="L351" s="1"/>
      <c r="M351" s="1"/>
      <c r="N351" s="1"/>
      <c r="O351" s="26"/>
      <c r="P351" s="1"/>
      <c r="Q351" s="1"/>
      <c r="R351" s="1"/>
      <c r="S351" s="1"/>
      <c r="T351" s="3"/>
      <c r="U351" s="3"/>
      <c r="V351" s="1"/>
      <c r="W351" s="1"/>
    </row>
    <row r="352" spans="1:29" ht="15.75" customHeight="1">
      <c r="A352" s="26"/>
      <c r="B352" s="1"/>
      <c r="C352" s="1"/>
      <c r="D352" s="1"/>
      <c r="E352" s="1"/>
      <c r="F352" s="3"/>
      <c r="G352" s="3"/>
      <c r="H352" s="1"/>
      <c r="I352" s="1"/>
      <c r="J352" s="1"/>
      <c r="K352" s="1"/>
      <c r="L352" s="1"/>
      <c r="M352" s="1"/>
      <c r="N352" s="1"/>
      <c r="O352" s="26"/>
      <c r="P352" s="1"/>
      <c r="Q352" s="1"/>
      <c r="R352" s="1"/>
      <c r="S352" s="1"/>
      <c r="T352" s="3"/>
      <c r="U352" s="3"/>
      <c r="V352" s="1"/>
      <c r="W352" s="1"/>
    </row>
    <row r="353" spans="1:23" ht="15.75" customHeight="1">
      <c r="A353" s="26"/>
      <c r="B353" s="1"/>
      <c r="C353" s="1"/>
      <c r="D353" s="47"/>
      <c r="E353" s="1"/>
      <c r="F353" s="3"/>
      <c r="G353" s="3"/>
      <c r="H353" s="1"/>
      <c r="I353" s="1"/>
      <c r="J353" s="1"/>
      <c r="K353" s="1"/>
      <c r="L353" s="1"/>
      <c r="M353" s="1"/>
      <c r="N353" s="1"/>
      <c r="O353" s="26"/>
      <c r="P353" s="1"/>
      <c r="Q353" s="1"/>
      <c r="R353" s="1"/>
      <c r="S353" s="1"/>
      <c r="T353" s="3"/>
      <c r="U353" s="3"/>
      <c r="V353" s="1"/>
      <c r="W353" s="1"/>
    </row>
    <row r="354" spans="1:23" ht="15.75" customHeight="1">
      <c r="A354" s="26"/>
      <c r="B354" s="1"/>
      <c r="C354" s="1"/>
      <c r="D354" s="1"/>
      <c r="E354" s="1"/>
      <c r="F354" s="3"/>
      <c r="G354" s="3"/>
      <c r="H354" s="1"/>
      <c r="I354" s="1"/>
      <c r="J354" s="1"/>
      <c r="K354" s="1"/>
      <c r="L354" s="1"/>
      <c r="M354" s="1"/>
      <c r="N354" s="1"/>
      <c r="O354" s="26"/>
      <c r="P354" s="1"/>
      <c r="Q354" s="1"/>
      <c r="R354" s="1"/>
      <c r="S354" s="1"/>
      <c r="T354" s="3"/>
      <c r="U354" s="3"/>
      <c r="V354" s="1"/>
      <c r="W354" s="1"/>
    </row>
    <row r="355" spans="1:23" ht="15.75" customHeight="1">
      <c r="A355" s="26"/>
      <c r="B355" s="1"/>
      <c r="C355" s="1"/>
      <c r="D355" s="1"/>
      <c r="E355" s="1"/>
      <c r="F355" s="3"/>
      <c r="G355" s="3"/>
      <c r="H355" s="1"/>
      <c r="I355" s="1"/>
      <c r="J355" s="1"/>
      <c r="K355" s="1"/>
      <c r="L355" s="1"/>
      <c r="M355" s="1"/>
      <c r="N355" s="1"/>
      <c r="O355" s="26"/>
      <c r="P355" s="1"/>
      <c r="Q355" s="1"/>
      <c r="R355" s="1"/>
      <c r="S355" s="1"/>
      <c r="T355" s="3"/>
      <c r="U355" s="3"/>
      <c r="V355" s="1"/>
      <c r="W355" s="1"/>
    </row>
    <row r="356" spans="1:23" ht="15.75" customHeight="1">
      <c r="A356" s="26"/>
      <c r="B356" s="1"/>
      <c r="C356" s="1"/>
      <c r="D356" s="1"/>
      <c r="E356" s="1"/>
      <c r="F356" s="3"/>
      <c r="G356" s="3"/>
      <c r="H356" s="1"/>
      <c r="I356" s="1"/>
      <c r="J356" s="1"/>
      <c r="K356" s="1"/>
      <c r="L356" s="1"/>
      <c r="M356" s="1"/>
      <c r="N356" s="1"/>
      <c r="O356" s="26"/>
      <c r="P356" s="1"/>
      <c r="Q356" s="1"/>
      <c r="R356" s="1"/>
      <c r="S356" s="1"/>
      <c r="T356" s="3"/>
      <c r="U356" s="3"/>
      <c r="V356" s="1"/>
      <c r="W356" s="1"/>
    </row>
    <row r="357" spans="1:23" ht="15.75" customHeight="1">
      <c r="A357" s="26"/>
      <c r="B357" s="1"/>
      <c r="C357" s="1"/>
      <c r="D357" s="1"/>
      <c r="E357" s="1"/>
      <c r="F357" s="3"/>
      <c r="G357" s="3"/>
      <c r="H357" s="1"/>
      <c r="I357" s="1"/>
      <c r="J357" s="1"/>
      <c r="K357" s="1"/>
      <c r="L357" s="1"/>
      <c r="M357" s="1"/>
      <c r="N357" s="1"/>
      <c r="O357" s="26"/>
      <c r="P357" s="1"/>
      <c r="Q357" s="1"/>
      <c r="R357" s="1"/>
      <c r="S357" s="1"/>
      <c r="T357" s="3"/>
      <c r="U357" s="3"/>
      <c r="V357" s="1"/>
      <c r="W357" s="1"/>
    </row>
    <row r="358" spans="1:23" ht="15.75" customHeight="1">
      <c r="A358" s="26"/>
      <c r="B358" s="1"/>
      <c r="C358" s="1"/>
      <c r="D358" s="1"/>
      <c r="E358" s="1"/>
      <c r="F358" s="3"/>
      <c r="G358" s="3"/>
      <c r="H358" s="1"/>
      <c r="I358" s="1"/>
      <c r="J358" s="1"/>
      <c r="K358" s="1"/>
      <c r="L358" s="1"/>
      <c r="M358" s="1"/>
      <c r="N358" s="1"/>
      <c r="O358" s="26"/>
      <c r="P358" s="1"/>
      <c r="Q358" s="1"/>
      <c r="R358" s="1"/>
      <c r="S358" s="1"/>
      <c r="T358" s="3"/>
      <c r="U358" s="3"/>
      <c r="V358" s="1"/>
      <c r="W358" s="1"/>
    </row>
    <row r="359" spans="1:23" ht="15.75" customHeight="1">
      <c r="A359" s="26"/>
      <c r="B359" s="1"/>
      <c r="C359" s="1"/>
      <c r="D359" s="1"/>
      <c r="E359" s="1"/>
      <c r="F359" s="3"/>
      <c r="G359" s="3"/>
      <c r="H359" s="1"/>
      <c r="I359" s="1"/>
      <c r="J359" s="1"/>
      <c r="K359" s="1"/>
      <c r="L359" s="1"/>
      <c r="M359" s="1"/>
      <c r="N359" s="1"/>
      <c r="O359" s="26"/>
      <c r="P359" s="1"/>
      <c r="Q359" s="1"/>
      <c r="R359" s="1"/>
      <c r="S359" s="1"/>
      <c r="T359" s="3"/>
      <c r="U359" s="3"/>
      <c r="V359" s="1"/>
      <c r="W359" s="1"/>
    </row>
    <row r="360" spans="1:23" ht="15.75" customHeight="1">
      <c r="A360" s="26"/>
      <c r="B360" s="1"/>
      <c r="C360" s="1"/>
      <c r="D360" s="1"/>
      <c r="E360" s="1"/>
      <c r="F360" s="3"/>
      <c r="G360" s="3"/>
      <c r="H360" s="1"/>
      <c r="I360" s="1"/>
      <c r="J360" s="1"/>
      <c r="K360" s="1"/>
      <c r="L360" s="1"/>
      <c r="M360" s="1"/>
      <c r="N360" s="1"/>
      <c r="O360" s="26"/>
      <c r="P360" s="1"/>
      <c r="Q360" s="1"/>
      <c r="R360" s="1"/>
      <c r="S360" s="1"/>
      <c r="T360" s="3"/>
      <c r="U360" s="3"/>
      <c r="V360" s="1"/>
      <c r="W360" s="1"/>
    </row>
    <row r="361" spans="1:23" ht="15.75" customHeight="1">
      <c r="A361" s="26"/>
      <c r="B361" s="1"/>
      <c r="C361" s="1"/>
      <c r="D361" s="1"/>
      <c r="E361" s="1"/>
      <c r="F361" s="3"/>
      <c r="G361" s="3"/>
      <c r="H361" s="1"/>
      <c r="I361" s="1"/>
      <c r="J361" s="1"/>
      <c r="K361" s="1"/>
      <c r="L361" s="1"/>
      <c r="M361" s="1"/>
      <c r="N361" s="1"/>
      <c r="O361" s="26"/>
      <c r="P361" s="1"/>
      <c r="Q361" s="1"/>
      <c r="R361" s="1"/>
      <c r="S361" s="1"/>
      <c r="T361" s="3"/>
      <c r="U361" s="3"/>
      <c r="V361" s="1"/>
      <c r="W361" s="1"/>
    </row>
    <row r="362" spans="1:23" ht="15.75" customHeight="1">
      <c r="A362" s="26"/>
      <c r="B362" s="1"/>
      <c r="C362" s="1"/>
      <c r="D362" s="1"/>
      <c r="E362" s="1"/>
      <c r="F362" s="3"/>
      <c r="G362" s="3"/>
      <c r="H362" s="1"/>
      <c r="I362" s="1"/>
      <c r="J362" s="1"/>
      <c r="K362" s="1"/>
      <c r="L362" s="1"/>
      <c r="M362" s="1"/>
      <c r="N362" s="1"/>
      <c r="O362" s="26"/>
      <c r="P362" s="1"/>
      <c r="Q362" s="1"/>
      <c r="R362" s="1"/>
      <c r="S362" s="1"/>
      <c r="T362" s="3"/>
      <c r="U362" s="3"/>
      <c r="V362" s="1"/>
      <c r="W362" s="1"/>
    </row>
    <row r="363" spans="1:23" ht="15.75" customHeight="1">
      <c r="A363" s="26"/>
      <c r="B363" s="1"/>
      <c r="C363" s="1"/>
      <c r="D363" s="1"/>
      <c r="E363" s="1"/>
      <c r="F363" s="3"/>
      <c r="G363" s="3"/>
      <c r="H363" s="1"/>
      <c r="I363" s="1"/>
      <c r="J363" s="1"/>
      <c r="K363" s="1"/>
      <c r="L363" s="1"/>
      <c r="M363" s="1"/>
      <c r="N363" s="1"/>
      <c r="O363" s="26"/>
      <c r="P363" s="1"/>
      <c r="Q363" s="1"/>
      <c r="R363" s="1"/>
      <c r="S363" s="1"/>
      <c r="T363" s="3"/>
      <c r="U363" s="3"/>
      <c r="V363" s="1"/>
      <c r="W363" s="1"/>
    </row>
    <row r="364" spans="1:23" ht="15.75" customHeight="1">
      <c r="A364" s="26"/>
      <c r="B364" s="1"/>
      <c r="C364" s="1"/>
      <c r="D364" s="1"/>
      <c r="E364" s="1"/>
      <c r="F364" s="3"/>
      <c r="G364" s="3"/>
      <c r="H364" s="1"/>
      <c r="I364" s="1"/>
      <c r="J364" s="1"/>
      <c r="K364" s="1"/>
      <c r="L364" s="1"/>
      <c r="M364" s="1"/>
      <c r="N364" s="1"/>
      <c r="O364" s="26"/>
      <c r="P364" s="1"/>
      <c r="Q364" s="1"/>
      <c r="R364" s="1"/>
      <c r="S364" s="1"/>
      <c r="T364" s="3"/>
      <c r="U364" s="3"/>
      <c r="V364" s="1"/>
      <c r="W364" s="1"/>
    </row>
    <row r="365" spans="1:23" ht="15.75" customHeight="1">
      <c r="A365" s="26"/>
      <c r="B365" s="1"/>
      <c r="C365" s="1"/>
      <c r="D365" s="1"/>
      <c r="E365" s="1"/>
      <c r="F365" s="3"/>
      <c r="G365" s="3"/>
      <c r="H365" s="1"/>
      <c r="I365" s="1"/>
      <c r="J365" s="1"/>
      <c r="K365" s="1"/>
      <c r="L365" s="1"/>
      <c r="M365" s="1"/>
      <c r="N365" s="1"/>
      <c r="O365" s="26"/>
      <c r="P365" s="1"/>
      <c r="Q365" s="1"/>
      <c r="R365" s="1"/>
      <c r="S365" s="1"/>
      <c r="T365" s="3"/>
      <c r="U365" s="3"/>
      <c r="V365" s="1"/>
      <c r="W365" s="1"/>
    </row>
    <row r="366" spans="1:23" ht="15.75" customHeight="1">
      <c r="A366" s="26"/>
      <c r="B366" s="1"/>
      <c r="C366" s="1"/>
      <c r="D366" s="1"/>
      <c r="E366" s="1"/>
      <c r="F366" s="3"/>
      <c r="G366" s="3"/>
      <c r="H366" s="1"/>
      <c r="I366" s="1"/>
      <c r="J366" s="1"/>
      <c r="K366" s="1"/>
      <c r="L366" s="1"/>
      <c r="M366" s="1"/>
      <c r="N366" s="1"/>
      <c r="O366" s="26"/>
      <c r="P366" s="1"/>
      <c r="Q366" s="1"/>
      <c r="R366" s="1"/>
      <c r="S366" s="1"/>
      <c r="T366" s="3"/>
      <c r="U366" s="3"/>
      <c r="V366" s="1"/>
      <c r="W366" s="1"/>
    </row>
    <row r="367" spans="1:23" ht="15.75" customHeight="1">
      <c r="A367" s="26"/>
      <c r="B367" s="1"/>
      <c r="C367" s="1"/>
      <c r="D367" s="1"/>
      <c r="E367" s="1"/>
      <c r="F367" s="3"/>
      <c r="G367" s="3"/>
      <c r="H367" s="1"/>
      <c r="I367" s="1"/>
      <c r="J367" s="1"/>
      <c r="K367" s="1"/>
      <c r="L367" s="1"/>
      <c r="M367" s="1"/>
      <c r="N367" s="1"/>
      <c r="O367" s="26"/>
      <c r="P367" s="1"/>
      <c r="Q367" s="1"/>
      <c r="R367" s="1"/>
      <c r="S367" s="1"/>
      <c r="T367" s="3"/>
      <c r="U367" s="3"/>
      <c r="V367" s="1"/>
      <c r="W367" s="1"/>
    </row>
    <row r="368" spans="1:23" ht="15.75" customHeight="1">
      <c r="A368" s="26"/>
      <c r="B368" s="1"/>
      <c r="C368" s="1"/>
      <c r="D368" s="1"/>
      <c r="E368" s="1"/>
      <c r="F368" s="3"/>
      <c r="G368" s="3"/>
      <c r="H368" s="1"/>
      <c r="I368" s="1"/>
      <c r="J368" s="1"/>
      <c r="K368" s="1"/>
      <c r="L368" s="1"/>
      <c r="M368" s="1"/>
      <c r="N368" s="1"/>
      <c r="O368" s="26"/>
      <c r="P368" s="1"/>
      <c r="Q368" s="1"/>
      <c r="R368" s="1"/>
      <c r="S368" s="1"/>
      <c r="T368" s="3"/>
      <c r="U368" s="3"/>
      <c r="V368" s="1"/>
      <c r="W368" s="1"/>
    </row>
    <row r="369" spans="1:23" ht="15.75" customHeight="1">
      <c r="A369" s="26"/>
      <c r="B369" s="1"/>
      <c r="C369" s="1"/>
      <c r="D369" s="1"/>
      <c r="E369" s="1"/>
      <c r="F369" s="3"/>
      <c r="G369" s="3"/>
      <c r="H369" s="1"/>
      <c r="I369" s="1"/>
      <c r="J369" s="1"/>
      <c r="K369" s="1"/>
      <c r="L369" s="1"/>
      <c r="M369" s="1"/>
      <c r="N369" s="1"/>
      <c r="O369" s="26"/>
      <c r="P369" s="1"/>
      <c r="Q369" s="1"/>
      <c r="R369" s="1"/>
      <c r="S369" s="1"/>
      <c r="T369" s="3"/>
      <c r="U369" s="3"/>
      <c r="V369" s="1"/>
      <c r="W369" s="1"/>
    </row>
    <row r="370" spans="1:23" ht="15.75" customHeight="1">
      <c r="A370" s="26"/>
      <c r="B370" s="1"/>
      <c r="C370" s="1"/>
      <c r="D370" s="1"/>
      <c r="E370" s="1"/>
      <c r="F370" s="3"/>
      <c r="G370" s="3"/>
      <c r="H370" s="1"/>
      <c r="I370" s="1"/>
      <c r="J370" s="1"/>
      <c r="K370" s="1"/>
      <c r="L370" s="1"/>
      <c r="M370" s="1"/>
      <c r="N370" s="1"/>
      <c r="O370" s="26"/>
      <c r="P370" s="1"/>
      <c r="Q370" s="1"/>
      <c r="R370" s="1"/>
      <c r="S370" s="1"/>
      <c r="T370" s="3"/>
      <c r="U370" s="3"/>
      <c r="V370" s="1"/>
      <c r="W370" s="1"/>
    </row>
    <row r="371" spans="1:23" ht="15.75" customHeight="1">
      <c r="A371" s="26"/>
      <c r="B371" s="1"/>
      <c r="C371" s="1"/>
      <c r="D371" s="1"/>
      <c r="E371" s="1"/>
      <c r="F371" s="3"/>
      <c r="G371" s="3"/>
      <c r="H371" s="1"/>
      <c r="I371" s="1"/>
      <c r="J371" s="1"/>
      <c r="K371" s="1"/>
      <c r="L371" s="1"/>
      <c r="M371" s="1"/>
      <c r="N371" s="1"/>
      <c r="O371" s="26"/>
      <c r="P371" s="1"/>
      <c r="Q371" s="1"/>
      <c r="R371" s="1"/>
      <c r="S371" s="1"/>
      <c r="T371" s="3"/>
      <c r="U371" s="3"/>
      <c r="V371" s="1"/>
      <c r="W371" s="1"/>
    </row>
    <row r="372" spans="1:23" ht="15.75" customHeight="1">
      <c r="A372" s="26"/>
      <c r="B372" s="1"/>
      <c r="C372" s="1"/>
      <c r="D372" s="1"/>
      <c r="E372" s="1"/>
      <c r="F372" s="3"/>
      <c r="G372" s="3"/>
      <c r="H372" s="1"/>
      <c r="I372" s="1"/>
      <c r="J372" s="1"/>
      <c r="K372" s="1"/>
      <c r="L372" s="1"/>
      <c r="M372" s="1"/>
      <c r="N372" s="1"/>
      <c r="O372" s="26"/>
      <c r="P372" s="1"/>
      <c r="Q372" s="1"/>
      <c r="R372" s="1"/>
      <c r="S372" s="1"/>
      <c r="T372" s="3"/>
      <c r="U372" s="3"/>
      <c r="V372" s="1"/>
      <c r="W372" s="1"/>
    </row>
    <row r="373" spans="1:23" ht="15.75" customHeight="1">
      <c r="A373" s="26"/>
      <c r="B373" s="1"/>
      <c r="C373" s="1"/>
      <c r="D373" s="1"/>
      <c r="E373" s="1"/>
      <c r="F373" s="3"/>
      <c r="G373" s="3"/>
      <c r="H373" s="1"/>
      <c r="I373" s="1"/>
      <c r="J373" s="1"/>
      <c r="K373" s="1"/>
      <c r="L373" s="1"/>
      <c r="M373" s="1"/>
      <c r="N373" s="1"/>
      <c r="O373" s="26"/>
      <c r="P373" s="1"/>
      <c r="Q373" s="1"/>
      <c r="R373" s="1"/>
      <c r="S373" s="1"/>
      <c r="T373" s="3"/>
      <c r="U373" s="3"/>
      <c r="V373" s="1"/>
      <c r="W373" s="1"/>
    </row>
    <row r="374" spans="1:23" ht="15.75" customHeight="1">
      <c r="A374" s="26"/>
      <c r="B374" s="1"/>
      <c r="C374" s="1"/>
      <c r="D374" s="1"/>
      <c r="E374" s="1"/>
      <c r="F374" s="3"/>
      <c r="G374" s="3"/>
      <c r="H374" s="1"/>
      <c r="I374" s="1"/>
      <c r="J374" s="1"/>
      <c r="K374" s="1"/>
      <c r="L374" s="1"/>
      <c r="M374" s="1"/>
      <c r="N374" s="1"/>
      <c r="O374" s="26"/>
      <c r="P374" s="1"/>
      <c r="Q374" s="1"/>
      <c r="R374" s="1"/>
      <c r="S374" s="1"/>
      <c r="T374" s="3"/>
      <c r="U374" s="3"/>
      <c r="V374" s="1"/>
      <c r="W374" s="1"/>
    </row>
    <row r="375" spans="1:23" ht="15.75" customHeight="1">
      <c r="A375" s="26"/>
      <c r="B375" s="1"/>
      <c r="C375" s="1"/>
      <c r="D375" s="1"/>
      <c r="E375" s="1"/>
      <c r="F375" s="3"/>
      <c r="G375" s="3"/>
      <c r="H375" s="1"/>
      <c r="I375" s="1"/>
      <c r="J375" s="1"/>
      <c r="K375" s="1"/>
      <c r="L375" s="1"/>
      <c r="M375" s="1"/>
      <c r="N375" s="1"/>
      <c r="O375" s="26"/>
      <c r="P375" s="1"/>
      <c r="Q375" s="1"/>
      <c r="R375" s="1"/>
      <c r="S375" s="1"/>
      <c r="T375" s="3"/>
      <c r="U375" s="3"/>
      <c r="V375" s="1"/>
      <c r="W375" s="1"/>
    </row>
    <row r="376" spans="1:23" ht="15.75" customHeight="1">
      <c r="A376" s="26"/>
      <c r="B376" s="1"/>
      <c r="C376" s="1"/>
      <c r="D376" s="1"/>
      <c r="E376" s="1"/>
      <c r="F376" s="3"/>
      <c r="G376" s="3"/>
      <c r="H376" s="1"/>
      <c r="I376" s="1"/>
      <c r="J376" s="1"/>
      <c r="K376" s="1"/>
      <c r="L376" s="1"/>
      <c r="M376" s="1"/>
      <c r="N376" s="1"/>
      <c r="O376" s="26"/>
      <c r="P376" s="1"/>
      <c r="Q376" s="1"/>
      <c r="R376" s="1"/>
      <c r="S376" s="1"/>
      <c r="T376" s="3"/>
      <c r="U376" s="3"/>
      <c r="V376" s="1"/>
      <c r="W376" s="1"/>
    </row>
    <row r="377" spans="1:23" ht="15.75" customHeight="1">
      <c r="A377" s="26"/>
      <c r="B377" s="1"/>
      <c r="C377" s="1"/>
      <c r="D377" s="1"/>
      <c r="E377" s="1"/>
      <c r="F377" s="3"/>
      <c r="G377" s="3"/>
      <c r="H377" s="1"/>
      <c r="I377" s="1"/>
      <c r="J377" s="1"/>
      <c r="K377" s="1"/>
      <c r="L377" s="1"/>
      <c r="M377" s="1"/>
      <c r="N377" s="1"/>
      <c r="O377" s="26"/>
      <c r="P377" s="1"/>
      <c r="Q377" s="1"/>
      <c r="R377" s="1"/>
      <c r="S377" s="1"/>
      <c r="T377" s="3"/>
      <c r="U377" s="3"/>
      <c r="V377" s="1"/>
      <c r="W377" s="1"/>
    </row>
    <row r="378" spans="1:23" ht="15.75" customHeight="1">
      <c r="A378" s="26"/>
      <c r="B378" s="1"/>
      <c r="C378" s="1"/>
      <c r="D378" s="1"/>
      <c r="E378" s="1"/>
      <c r="F378" s="3"/>
      <c r="G378" s="3"/>
      <c r="H378" s="1"/>
      <c r="I378" s="1"/>
      <c r="J378" s="1"/>
      <c r="K378" s="1"/>
      <c r="L378" s="1"/>
      <c r="M378" s="1"/>
      <c r="N378" s="1"/>
      <c r="O378" s="26"/>
      <c r="P378" s="1"/>
      <c r="Q378" s="1"/>
      <c r="R378" s="1"/>
      <c r="S378" s="1"/>
      <c r="T378" s="3"/>
      <c r="U378" s="3"/>
      <c r="V378" s="1"/>
      <c r="W378" s="1"/>
    </row>
    <row r="379" spans="1:23" ht="15.75" customHeight="1">
      <c r="A379" s="26"/>
      <c r="B379" s="1"/>
      <c r="C379" s="1"/>
      <c r="D379" s="1"/>
      <c r="E379" s="1"/>
      <c r="F379" s="3"/>
      <c r="G379" s="3"/>
      <c r="H379" s="1"/>
      <c r="I379" s="1"/>
      <c r="J379" s="1"/>
      <c r="K379" s="1"/>
      <c r="L379" s="1"/>
      <c r="M379" s="1"/>
      <c r="N379" s="1"/>
      <c r="O379" s="26"/>
      <c r="P379" s="1"/>
      <c r="Q379" s="1"/>
      <c r="R379" s="1"/>
      <c r="S379" s="1"/>
      <c r="T379" s="3"/>
      <c r="U379" s="3"/>
      <c r="V379" s="1"/>
      <c r="W379" s="1"/>
    </row>
    <row r="380" spans="1:23" ht="15.75" customHeight="1">
      <c r="A380" s="26"/>
      <c r="B380" s="1"/>
      <c r="C380" s="1"/>
      <c r="D380" s="1"/>
      <c r="E380" s="1"/>
      <c r="F380" s="3"/>
      <c r="G380" s="3"/>
      <c r="H380" s="1"/>
      <c r="I380" s="1"/>
      <c r="J380" s="1"/>
      <c r="K380" s="1"/>
      <c r="L380" s="1"/>
      <c r="M380" s="1"/>
      <c r="N380" s="1"/>
      <c r="O380" s="26"/>
      <c r="P380" s="1"/>
      <c r="Q380" s="1"/>
      <c r="R380" s="1"/>
      <c r="S380" s="1"/>
      <c r="T380" s="3"/>
      <c r="U380" s="3"/>
      <c r="V380" s="1"/>
      <c r="W380" s="1"/>
    </row>
    <row r="381" spans="1:23" ht="15.75" customHeight="1">
      <c r="A381" s="26"/>
      <c r="B381" s="1"/>
      <c r="C381" s="1"/>
      <c r="D381" s="1"/>
      <c r="E381" s="1"/>
      <c r="F381" s="3"/>
      <c r="G381" s="3"/>
      <c r="H381" s="1"/>
      <c r="I381" s="1"/>
      <c r="J381" s="1"/>
      <c r="K381" s="1"/>
      <c r="L381" s="1"/>
      <c r="M381" s="1"/>
      <c r="N381" s="1"/>
      <c r="O381" s="26"/>
      <c r="P381" s="1"/>
      <c r="Q381" s="1"/>
      <c r="R381" s="1"/>
      <c r="S381" s="1"/>
      <c r="T381" s="3"/>
      <c r="U381" s="3"/>
      <c r="V381" s="1"/>
      <c r="W381" s="1"/>
    </row>
    <row r="382" spans="1:23" ht="15.75" customHeight="1">
      <c r="A382" s="26"/>
      <c r="B382" s="1"/>
      <c r="C382" s="1"/>
      <c r="D382" s="1"/>
      <c r="E382" s="1"/>
      <c r="F382" s="3"/>
      <c r="G382" s="3"/>
      <c r="H382" s="1"/>
      <c r="I382" s="1"/>
      <c r="J382" s="1"/>
      <c r="K382" s="1"/>
      <c r="L382" s="1"/>
      <c r="M382" s="1"/>
      <c r="N382" s="1"/>
      <c r="O382" s="26"/>
      <c r="P382" s="1"/>
      <c r="Q382" s="1"/>
      <c r="R382" s="1"/>
      <c r="S382" s="1"/>
      <c r="T382" s="3"/>
      <c r="U382" s="3"/>
      <c r="V382" s="1"/>
      <c r="W382" s="1"/>
    </row>
    <row r="383" spans="1:23" ht="15.75" customHeight="1">
      <c r="A383" s="26"/>
      <c r="B383" s="1"/>
      <c r="C383" s="1"/>
      <c r="D383" s="1"/>
      <c r="E383" s="1"/>
      <c r="F383" s="3"/>
      <c r="G383" s="3"/>
      <c r="H383" s="1"/>
      <c r="I383" s="1"/>
      <c r="J383" s="1"/>
      <c r="K383" s="1"/>
      <c r="L383" s="1"/>
      <c r="M383" s="1"/>
      <c r="N383" s="1"/>
      <c r="O383" s="26"/>
      <c r="P383" s="1"/>
      <c r="Q383" s="1"/>
      <c r="R383" s="1"/>
      <c r="S383" s="1"/>
      <c r="T383" s="3"/>
      <c r="U383" s="3"/>
      <c r="V383" s="1"/>
      <c r="W383" s="1"/>
    </row>
    <row r="384" spans="1:23" ht="15.75" customHeight="1">
      <c r="A384" s="26"/>
      <c r="B384" s="1"/>
      <c r="C384" s="1"/>
      <c r="D384" s="1"/>
      <c r="E384" s="1"/>
      <c r="F384" s="3"/>
      <c r="G384" s="3"/>
      <c r="H384" s="1"/>
      <c r="I384" s="1"/>
      <c r="J384" s="1"/>
      <c r="K384" s="1"/>
      <c r="L384" s="1"/>
      <c r="M384" s="1"/>
      <c r="N384" s="1"/>
      <c r="O384" s="26"/>
      <c r="P384" s="1"/>
      <c r="Q384" s="1"/>
      <c r="R384" s="1"/>
      <c r="S384" s="1"/>
      <c r="T384" s="3"/>
      <c r="U384" s="3"/>
      <c r="V384" s="1"/>
      <c r="W384" s="1"/>
    </row>
    <row r="385" spans="1:23" ht="15.75" customHeight="1">
      <c r="A385" s="26"/>
      <c r="B385" s="1"/>
      <c r="C385" s="1"/>
      <c r="D385" s="1"/>
      <c r="E385" s="1"/>
      <c r="F385" s="3"/>
      <c r="G385" s="3"/>
      <c r="H385" s="1"/>
      <c r="I385" s="1"/>
      <c r="J385" s="1"/>
      <c r="K385" s="1"/>
      <c r="L385" s="1"/>
      <c r="M385" s="1"/>
      <c r="N385" s="1"/>
      <c r="O385" s="26"/>
      <c r="P385" s="1"/>
      <c r="Q385" s="1"/>
      <c r="R385" s="1"/>
      <c r="S385" s="1"/>
      <c r="T385" s="3"/>
      <c r="U385" s="3"/>
      <c r="V385" s="1"/>
      <c r="W385" s="1"/>
    </row>
    <row r="386" spans="1:23" ht="15.75" customHeight="1">
      <c r="A386" s="26"/>
      <c r="B386" s="1"/>
      <c r="C386" s="1"/>
      <c r="D386" s="1"/>
      <c r="E386" s="1"/>
      <c r="F386" s="3"/>
      <c r="G386" s="3"/>
      <c r="H386" s="1"/>
      <c r="I386" s="1"/>
      <c r="J386" s="1"/>
      <c r="K386" s="1"/>
      <c r="L386" s="1"/>
      <c r="M386" s="1"/>
      <c r="N386" s="1"/>
      <c r="O386" s="26"/>
      <c r="P386" s="1"/>
      <c r="Q386" s="1"/>
      <c r="R386" s="1"/>
      <c r="S386" s="1"/>
      <c r="T386" s="3"/>
      <c r="U386" s="3"/>
      <c r="V386" s="1"/>
      <c r="W386" s="1"/>
    </row>
    <row r="387" spans="1:23" ht="15.75" customHeight="1">
      <c r="A387" s="26"/>
      <c r="B387" s="1"/>
      <c r="C387" s="1"/>
      <c r="D387" s="1"/>
      <c r="E387" s="1"/>
      <c r="F387" s="3"/>
      <c r="G387" s="3"/>
      <c r="H387" s="1"/>
      <c r="I387" s="1"/>
      <c r="J387" s="1"/>
      <c r="K387" s="1"/>
      <c r="L387" s="1"/>
      <c r="M387" s="1"/>
      <c r="N387" s="1"/>
      <c r="O387" s="26"/>
      <c r="P387" s="1"/>
      <c r="Q387" s="1"/>
      <c r="R387" s="1"/>
      <c r="S387" s="1"/>
      <c r="T387" s="3"/>
      <c r="U387" s="3"/>
      <c r="V387" s="1"/>
      <c r="W387" s="1"/>
    </row>
    <row r="388" spans="1:23" ht="15.75" customHeight="1">
      <c r="A388" s="26"/>
      <c r="B388" s="1"/>
      <c r="C388" s="1"/>
      <c r="D388" s="1"/>
      <c r="E388" s="1"/>
      <c r="F388" s="3"/>
      <c r="G388" s="3"/>
      <c r="H388" s="1"/>
      <c r="I388" s="1"/>
      <c r="J388" s="1"/>
      <c r="K388" s="1"/>
      <c r="L388" s="1"/>
      <c r="M388" s="1"/>
      <c r="N388" s="1"/>
      <c r="O388" s="26"/>
      <c r="P388" s="1"/>
      <c r="Q388" s="1"/>
      <c r="R388" s="1"/>
      <c r="S388" s="1"/>
      <c r="T388" s="3"/>
      <c r="U388" s="3"/>
      <c r="V388" s="1"/>
      <c r="W388" s="1"/>
    </row>
    <row r="389" spans="1:23" ht="15.75" customHeight="1">
      <c r="A389" s="26"/>
      <c r="B389" s="1"/>
      <c r="C389" s="1"/>
      <c r="D389" s="1"/>
      <c r="E389" s="1"/>
      <c r="F389" s="3"/>
      <c r="G389" s="3"/>
      <c r="H389" s="1"/>
      <c r="I389" s="1"/>
      <c r="J389" s="1"/>
      <c r="K389" s="1"/>
      <c r="L389" s="1"/>
      <c r="M389" s="1"/>
      <c r="N389" s="1"/>
      <c r="O389" s="26"/>
      <c r="P389" s="1"/>
      <c r="Q389" s="1"/>
      <c r="R389" s="1"/>
      <c r="S389" s="1"/>
      <c r="T389" s="3"/>
      <c r="U389" s="3"/>
      <c r="V389" s="1"/>
      <c r="W389" s="1"/>
    </row>
    <row r="390" spans="1:23" ht="15.75" customHeight="1">
      <c r="A390" s="26"/>
      <c r="B390" s="1"/>
      <c r="C390" s="1"/>
      <c r="D390" s="1"/>
      <c r="E390" s="1"/>
      <c r="F390" s="3"/>
      <c r="G390" s="3"/>
      <c r="H390" s="1"/>
      <c r="I390" s="1"/>
      <c r="J390" s="1"/>
      <c r="K390" s="1"/>
      <c r="L390" s="1"/>
      <c r="M390" s="1"/>
      <c r="N390" s="1"/>
      <c r="O390" s="26"/>
      <c r="P390" s="1"/>
      <c r="Q390" s="1"/>
      <c r="R390" s="1"/>
      <c r="S390" s="1"/>
      <c r="T390" s="3"/>
      <c r="U390" s="3"/>
      <c r="V390" s="1"/>
      <c r="W390" s="1"/>
    </row>
    <row r="391" spans="1:23" ht="15.75" customHeight="1">
      <c r="A391" s="26"/>
      <c r="B391" s="1"/>
      <c r="C391" s="1"/>
      <c r="D391" s="1"/>
      <c r="E391" s="1"/>
      <c r="F391" s="3"/>
      <c r="G391" s="3"/>
      <c r="H391" s="1"/>
      <c r="I391" s="1"/>
      <c r="J391" s="1"/>
      <c r="K391" s="1"/>
      <c r="L391" s="1"/>
      <c r="M391" s="1"/>
      <c r="N391" s="1"/>
      <c r="O391" s="26"/>
      <c r="P391" s="1"/>
      <c r="Q391" s="1"/>
      <c r="R391" s="1"/>
      <c r="S391" s="1"/>
      <c r="T391" s="3"/>
      <c r="U391" s="3"/>
      <c r="V391" s="1"/>
      <c r="W391" s="1"/>
    </row>
    <row r="392" spans="1:23" ht="15.75" customHeight="1">
      <c r="A392" s="26"/>
      <c r="B392" s="1"/>
      <c r="C392" s="1"/>
      <c r="D392" s="1"/>
      <c r="E392" s="1"/>
      <c r="F392" s="3"/>
      <c r="G392" s="3"/>
      <c r="H392" s="1"/>
      <c r="I392" s="1"/>
      <c r="J392" s="1"/>
      <c r="K392" s="1"/>
      <c r="L392" s="1"/>
      <c r="M392" s="1"/>
      <c r="N392" s="1"/>
      <c r="O392" s="26"/>
      <c r="P392" s="1"/>
      <c r="Q392" s="1"/>
      <c r="R392" s="1"/>
      <c r="S392" s="1"/>
      <c r="T392" s="3"/>
      <c r="U392" s="3"/>
      <c r="V392" s="1"/>
      <c r="W392" s="1"/>
    </row>
    <row r="393" spans="1:23" ht="15.75" customHeight="1">
      <c r="A393" s="26"/>
      <c r="B393" s="1"/>
      <c r="C393" s="1"/>
      <c r="D393" s="1"/>
      <c r="E393" s="1"/>
      <c r="F393" s="3"/>
      <c r="G393" s="3"/>
      <c r="H393" s="1"/>
      <c r="I393" s="1"/>
      <c r="J393" s="1"/>
      <c r="K393" s="1"/>
      <c r="L393" s="1"/>
      <c r="M393" s="1"/>
      <c r="N393" s="1"/>
      <c r="O393" s="26"/>
      <c r="P393" s="1"/>
      <c r="Q393" s="1"/>
      <c r="R393" s="1"/>
      <c r="S393" s="1"/>
      <c r="T393" s="3"/>
      <c r="U393" s="3"/>
      <c r="V393" s="1"/>
      <c r="W393" s="1"/>
    </row>
    <row r="394" spans="1:23" ht="15.75" customHeight="1">
      <c r="A394" s="26"/>
      <c r="B394" s="1"/>
      <c r="C394" s="1"/>
      <c r="D394" s="1"/>
      <c r="E394" s="1"/>
      <c r="F394" s="3"/>
      <c r="G394" s="3"/>
      <c r="H394" s="1"/>
      <c r="I394" s="1"/>
      <c r="J394" s="1"/>
      <c r="K394" s="1"/>
      <c r="L394" s="1"/>
      <c r="M394" s="1"/>
      <c r="N394" s="1"/>
      <c r="O394" s="26"/>
      <c r="P394" s="1"/>
      <c r="Q394" s="1"/>
      <c r="R394" s="1"/>
      <c r="S394" s="1"/>
      <c r="T394" s="3"/>
      <c r="U394" s="3"/>
      <c r="V394" s="1"/>
      <c r="W394" s="1"/>
    </row>
    <row r="395" spans="1:23" ht="15.75" customHeight="1">
      <c r="A395" s="26"/>
      <c r="B395" s="1"/>
      <c r="C395" s="1"/>
      <c r="D395" s="1"/>
      <c r="E395" s="1"/>
      <c r="F395" s="3"/>
      <c r="G395" s="3"/>
      <c r="H395" s="1"/>
      <c r="I395" s="1"/>
      <c r="J395" s="1"/>
      <c r="K395" s="1"/>
      <c r="L395" s="1"/>
      <c r="M395" s="1"/>
      <c r="N395" s="1"/>
      <c r="O395" s="26"/>
      <c r="P395" s="1"/>
      <c r="Q395" s="1"/>
      <c r="R395" s="1"/>
      <c r="S395" s="1"/>
      <c r="T395" s="3"/>
      <c r="U395" s="3"/>
      <c r="V395" s="1"/>
      <c r="W395" s="1"/>
    </row>
    <row r="396" spans="1:23" ht="15.75" customHeight="1">
      <c r="A396" s="26"/>
      <c r="B396" s="1"/>
      <c r="C396" s="1"/>
      <c r="D396" s="1"/>
      <c r="E396" s="1"/>
      <c r="F396" s="3"/>
      <c r="G396" s="3"/>
      <c r="H396" s="1"/>
      <c r="I396" s="1"/>
      <c r="J396" s="1"/>
      <c r="K396" s="1"/>
      <c r="L396" s="1"/>
      <c r="M396" s="1"/>
      <c r="N396" s="1"/>
      <c r="O396" s="26"/>
      <c r="P396" s="1"/>
      <c r="Q396" s="1"/>
      <c r="R396" s="1"/>
      <c r="S396" s="1"/>
      <c r="T396" s="3"/>
      <c r="U396" s="3"/>
      <c r="V396" s="1"/>
      <c r="W396" s="1"/>
    </row>
    <row r="397" spans="1:23" ht="15.75" customHeight="1">
      <c r="A397" s="26"/>
      <c r="B397" s="1"/>
      <c r="C397" s="1"/>
      <c r="D397" s="1"/>
      <c r="E397" s="1"/>
      <c r="F397" s="3"/>
      <c r="G397" s="3"/>
      <c r="H397" s="1"/>
      <c r="I397" s="1"/>
      <c r="J397" s="1"/>
      <c r="K397" s="1"/>
      <c r="L397" s="1"/>
      <c r="M397" s="1"/>
      <c r="N397" s="1"/>
      <c r="O397" s="26"/>
      <c r="P397" s="1"/>
      <c r="Q397" s="1"/>
      <c r="R397" s="1"/>
      <c r="S397" s="1"/>
      <c r="T397" s="3"/>
      <c r="U397" s="3"/>
      <c r="V397" s="1"/>
      <c r="W397" s="1"/>
    </row>
    <row r="398" spans="1:23" ht="15.75" customHeight="1">
      <c r="A398" s="26"/>
      <c r="B398" s="1"/>
      <c r="C398" s="1"/>
      <c r="D398" s="1"/>
      <c r="E398" s="1"/>
      <c r="F398" s="3"/>
      <c r="G398" s="3"/>
      <c r="H398" s="1"/>
      <c r="I398" s="1"/>
      <c r="J398" s="1"/>
      <c r="K398" s="1"/>
      <c r="L398" s="1"/>
      <c r="M398" s="1"/>
      <c r="N398" s="1"/>
      <c r="O398" s="26"/>
      <c r="P398" s="1"/>
      <c r="Q398" s="1"/>
      <c r="R398" s="1"/>
      <c r="S398" s="1"/>
      <c r="T398" s="3"/>
      <c r="U398" s="3"/>
      <c r="V398" s="1"/>
      <c r="W398" s="1"/>
    </row>
    <row r="399" spans="1:23" ht="15.75" customHeight="1">
      <c r="A399" s="26"/>
      <c r="B399" s="1"/>
      <c r="C399" s="1"/>
      <c r="D399" s="1"/>
      <c r="E399" s="1"/>
      <c r="F399" s="3"/>
      <c r="G399" s="3"/>
      <c r="H399" s="1"/>
      <c r="I399" s="1"/>
      <c r="J399" s="1"/>
      <c r="K399" s="1"/>
      <c r="L399" s="1"/>
      <c r="M399" s="1"/>
      <c r="N399" s="1"/>
      <c r="O399" s="26"/>
      <c r="P399" s="1"/>
      <c r="Q399" s="1"/>
      <c r="R399" s="1"/>
      <c r="S399" s="1"/>
      <c r="T399" s="3"/>
      <c r="U399" s="3"/>
      <c r="V399" s="1"/>
      <c r="W399" s="1"/>
    </row>
    <row r="400" spans="1:23" ht="15.75" customHeight="1">
      <c r="A400" s="26"/>
      <c r="B400" s="1"/>
      <c r="C400" s="1"/>
      <c r="D400" s="1"/>
      <c r="E400" s="1"/>
      <c r="F400" s="3"/>
      <c r="G400" s="3"/>
      <c r="H400" s="1"/>
      <c r="I400" s="1"/>
      <c r="J400" s="1"/>
      <c r="K400" s="1"/>
      <c r="L400" s="1"/>
      <c r="M400" s="1"/>
      <c r="N400" s="1"/>
      <c r="O400" s="26"/>
      <c r="P400" s="1"/>
      <c r="Q400" s="1"/>
      <c r="R400" s="1"/>
      <c r="S400" s="1"/>
      <c r="T400" s="3"/>
      <c r="U400" s="3"/>
      <c r="V400" s="1"/>
      <c r="W400" s="1"/>
    </row>
    <row r="401" spans="1:23" ht="15.75" customHeight="1">
      <c r="A401" s="26"/>
      <c r="B401" s="1"/>
      <c r="C401" s="1"/>
      <c r="D401" s="1"/>
      <c r="E401" s="1"/>
      <c r="F401" s="3"/>
      <c r="G401" s="3"/>
      <c r="H401" s="1"/>
      <c r="I401" s="1"/>
      <c r="J401" s="1"/>
      <c r="K401" s="1"/>
      <c r="L401" s="1"/>
      <c r="M401" s="1"/>
      <c r="N401" s="1"/>
      <c r="O401" s="26"/>
      <c r="P401" s="1"/>
      <c r="Q401" s="1"/>
      <c r="R401" s="1"/>
      <c r="S401" s="1"/>
      <c r="T401" s="3"/>
      <c r="U401" s="3"/>
      <c r="V401" s="1"/>
      <c r="W401" s="1"/>
    </row>
    <row r="402" spans="1:23" ht="15.75" customHeight="1">
      <c r="A402" s="26"/>
      <c r="B402" s="1"/>
      <c r="C402" s="1"/>
      <c r="D402" s="1"/>
      <c r="E402" s="1"/>
      <c r="F402" s="3"/>
      <c r="G402" s="3"/>
      <c r="H402" s="1"/>
      <c r="I402" s="1"/>
      <c r="J402" s="1"/>
      <c r="K402" s="1"/>
      <c r="L402" s="1"/>
      <c r="M402" s="1"/>
      <c r="N402" s="1"/>
      <c r="O402" s="26"/>
      <c r="P402" s="1"/>
      <c r="Q402" s="1"/>
      <c r="R402" s="1"/>
      <c r="S402" s="1"/>
      <c r="T402" s="3"/>
      <c r="U402" s="3"/>
      <c r="V402" s="1"/>
      <c r="W402" s="1"/>
    </row>
    <row r="403" spans="1:23" ht="15.75" customHeight="1">
      <c r="A403" s="26"/>
      <c r="B403" s="1"/>
      <c r="C403" s="1"/>
      <c r="D403" s="1"/>
      <c r="E403" s="1"/>
      <c r="F403" s="3"/>
      <c r="G403" s="3"/>
      <c r="H403" s="1"/>
      <c r="I403" s="1"/>
      <c r="J403" s="1"/>
      <c r="K403" s="1"/>
      <c r="L403" s="1"/>
      <c r="M403" s="1"/>
      <c r="N403" s="1"/>
      <c r="O403" s="26"/>
      <c r="P403" s="1"/>
      <c r="Q403" s="1"/>
      <c r="R403" s="1"/>
      <c r="S403" s="1"/>
      <c r="T403" s="3"/>
      <c r="U403" s="3"/>
      <c r="V403" s="1"/>
      <c r="W403" s="1"/>
    </row>
    <row r="404" spans="1:23" ht="15.75" customHeight="1">
      <c r="A404" s="26"/>
      <c r="B404" s="1"/>
      <c r="C404" s="1"/>
      <c r="D404" s="1"/>
      <c r="E404" s="1"/>
      <c r="F404" s="3"/>
      <c r="G404" s="3"/>
      <c r="H404" s="1"/>
      <c r="I404" s="1"/>
      <c r="J404" s="1"/>
      <c r="K404" s="1"/>
      <c r="L404" s="1"/>
      <c r="M404" s="1"/>
      <c r="N404" s="1"/>
      <c r="O404" s="26"/>
      <c r="P404" s="1"/>
      <c r="Q404" s="1"/>
      <c r="R404" s="1"/>
      <c r="S404" s="1"/>
      <c r="T404" s="3"/>
      <c r="U404" s="3"/>
      <c r="V404" s="1"/>
      <c r="W404" s="1"/>
    </row>
    <row r="405" spans="1:23" ht="15.75" customHeight="1">
      <c r="A405" s="26"/>
      <c r="B405" s="1"/>
      <c r="C405" s="1"/>
      <c r="D405" s="1"/>
      <c r="E405" s="1"/>
      <c r="F405" s="3"/>
      <c r="G405" s="3"/>
      <c r="H405" s="1"/>
      <c r="I405" s="1"/>
      <c r="J405" s="1"/>
      <c r="K405" s="1"/>
      <c r="L405" s="1"/>
      <c r="M405" s="1"/>
      <c r="N405" s="1"/>
      <c r="O405" s="26"/>
      <c r="P405" s="1"/>
      <c r="Q405" s="1"/>
      <c r="R405" s="1"/>
      <c r="S405" s="1"/>
      <c r="T405" s="3"/>
      <c r="U405" s="3"/>
      <c r="V405" s="1"/>
      <c r="W405" s="1"/>
    </row>
    <row r="406" spans="1:23" ht="15.75" customHeight="1">
      <c r="A406" s="26"/>
      <c r="B406" s="1"/>
      <c r="C406" s="1"/>
      <c r="D406" s="1"/>
      <c r="E406" s="1"/>
      <c r="F406" s="3"/>
      <c r="G406" s="3"/>
      <c r="H406" s="1"/>
      <c r="I406" s="1"/>
      <c r="J406" s="1"/>
      <c r="K406" s="1"/>
      <c r="L406" s="1"/>
      <c r="M406" s="1"/>
      <c r="N406" s="1"/>
      <c r="O406" s="26"/>
      <c r="P406" s="1"/>
      <c r="Q406" s="1"/>
      <c r="R406" s="1"/>
      <c r="S406" s="1"/>
      <c r="T406" s="3"/>
      <c r="U406" s="3"/>
      <c r="V406" s="1"/>
      <c r="W406" s="1"/>
    </row>
    <row r="407" spans="1:23" ht="15.75" customHeight="1">
      <c r="A407" s="26"/>
      <c r="B407" s="1"/>
      <c r="C407" s="1"/>
      <c r="D407" s="1"/>
      <c r="E407" s="1"/>
      <c r="F407" s="3"/>
      <c r="G407" s="3"/>
      <c r="H407" s="1"/>
      <c r="I407" s="1"/>
      <c r="J407" s="1"/>
      <c r="K407" s="1"/>
      <c r="L407" s="1"/>
      <c r="M407" s="1"/>
      <c r="N407" s="1"/>
      <c r="O407" s="26"/>
      <c r="P407" s="1"/>
      <c r="Q407" s="1"/>
      <c r="R407" s="1"/>
      <c r="S407" s="1"/>
      <c r="T407" s="3"/>
      <c r="U407" s="3"/>
      <c r="V407" s="1"/>
      <c r="W407" s="1"/>
    </row>
    <row r="408" spans="1:23" ht="15.75" customHeight="1">
      <c r="A408" s="26"/>
      <c r="B408" s="1"/>
      <c r="C408" s="1"/>
      <c r="D408" s="1"/>
      <c r="E408" s="1"/>
      <c r="F408" s="3"/>
      <c r="G408" s="3"/>
      <c r="H408" s="1"/>
      <c r="I408" s="1"/>
      <c r="J408" s="1"/>
      <c r="K408" s="1"/>
      <c r="L408" s="1"/>
      <c r="M408" s="1"/>
      <c r="N408" s="1"/>
      <c r="O408" s="26"/>
      <c r="P408" s="1"/>
      <c r="Q408" s="1"/>
      <c r="R408" s="1"/>
      <c r="S408" s="1"/>
      <c r="T408" s="3"/>
      <c r="U408" s="3"/>
      <c r="V408" s="1"/>
      <c r="W408" s="1"/>
    </row>
    <row r="409" spans="1:23" ht="15.75" customHeight="1">
      <c r="A409" s="26"/>
      <c r="B409" s="1"/>
      <c r="C409" s="1"/>
      <c r="D409" s="1"/>
      <c r="E409" s="1"/>
      <c r="F409" s="3"/>
      <c r="G409" s="3"/>
      <c r="H409" s="1"/>
      <c r="I409" s="1"/>
      <c r="J409" s="1"/>
      <c r="K409" s="1"/>
      <c r="L409" s="1"/>
      <c r="M409" s="1"/>
      <c r="N409" s="1"/>
      <c r="O409" s="26"/>
      <c r="P409" s="1"/>
      <c r="Q409" s="1"/>
      <c r="R409" s="1"/>
      <c r="S409" s="1"/>
      <c r="T409" s="3"/>
      <c r="U409" s="3"/>
      <c r="V409" s="1"/>
      <c r="W409" s="1"/>
    </row>
    <row r="410" spans="1:23" ht="15.75" customHeight="1">
      <c r="A410" s="26"/>
      <c r="B410" s="1"/>
      <c r="C410" s="1"/>
      <c r="D410" s="1"/>
      <c r="E410" s="1"/>
      <c r="F410" s="3"/>
      <c r="G410" s="3"/>
      <c r="H410" s="1"/>
      <c r="I410" s="1"/>
      <c r="J410" s="1"/>
      <c r="K410" s="1"/>
      <c r="L410" s="1"/>
      <c r="M410" s="1"/>
      <c r="N410" s="1"/>
      <c r="O410" s="26"/>
      <c r="P410" s="1"/>
      <c r="Q410" s="1"/>
      <c r="R410" s="1"/>
      <c r="S410" s="1"/>
      <c r="T410" s="3"/>
      <c r="U410" s="3"/>
      <c r="V410" s="1"/>
      <c r="W410" s="1"/>
    </row>
    <row r="411" spans="1:23" ht="15.75" customHeight="1">
      <c r="A411" s="26"/>
      <c r="B411" s="1"/>
      <c r="C411" s="1"/>
      <c r="D411" s="1"/>
      <c r="E411" s="1"/>
      <c r="F411" s="3"/>
      <c r="G411" s="3"/>
      <c r="H411" s="1"/>
      <c r="I411" s="1"/>
      <c r="J411" s="1"/>
      <c r="K411" s="1"/>
      <c r="L411" s="1"/>
      <c r="M411" s="1"/>
      <c r="N411" s="1"/>
      <c r="O411" s="26"/>
      <c r="P411" s="1"/>
      <c r="Q411" s="1"/>
      <c r="R411" s="1"/>
      <c r="S411" s="1"/>
      <c r="T411" s="3"/>
      <c r="U411" s="3"/>
      <c r="V411" s="1"/>
      <c r="W411" s="1"/>
    </row>
    <row r="412" spans="1:23" ht="15.75" customHeight="1">
      <c r="A412" s="26"/>
      <c r="B412" s="1"/>
      <c r="C412" s="1"/>
      <c r="D412" s="1"/>
      <c r="E412" s="1"/>
      <c r="F412" s="3"/>
      <c r="G412" s="3"/>
      <c r="H412" s="1"/>
      <c r="I412" s="1"/>
      <c r="J412" s="1"/>
      <c r="K412" s="1"/>
      <c r="L412" s="1"/>
      <c r="M412" s="1"/>
      <c r="N412" s="1"/>
      <c r="O412" s="26"/>
      <c r="P412" s="1"/>
      <c r="Q412" s="1"/>
      <c r="R412" s="1"/>
      <c r="S412" s="1"/>
      <c r="T412" s="3"/>
      <c r="U412" s="3"/>
      <c r="V412" s="1"/>
      <c r="W412" s="1"/>
    </row>
    <row r="413" spans="1:23" ht="15.75" customHeight="1">
      <c r="A413" s="26"/>
      <c r="B413" s="1"/>
      <c r="C413" s="1"/>
      <c r="D413" s="1"/>
      <c r="E413" s="1"/>
      <c r="F413" s="3"/>
      <c r="G413" s="3"/>
      <c r="H413" s="1"/>
      <c r="I413" s="1"/>
      <c r="J413" s="1"/>
      <c r="K413" s="1"/>
      <c r="L413" s="1"/>
      <c r="M413" s="1"/>
      <c r="N413" s="1"/>
      <c r="O413" s="26"/>
      <c r="P413" s="1"/>
      <c r="Q413" s="1"/>
      <c r="R413" s="1"/>
      <c r="S413" s="1"/>
      <c r="T413" s="3"/>
      <c r="U413" s="3"/>
      <c r="V413" s="1"/>
      <c r="W413" s="1"/>
    </row>
    <row r="414" spans="1:23" ht="15.75" customHeight="1">
      <c r="A414" s="26"/>
      <c r="B414" s="1"/>
      <c r="C414" s="1"/>
      <c r="D414" s="1"/>
      <c r="E414" s="1"/>
      <c r="F414" s="3"/>
      <c r="G414" s="3"/>
      <c r="H414" s="1"/>
      <c r="I414" s="1"/>
      <c r="J414" s="1"/>
      <c r="K414" s="1"/>
      <c r="L414" s="1"/>
      <c r="M414" s="1"/>
      <c r="N414" s="1"/>
      <c r="O414" s="26"/>
      <c r="P414" s="1"/>
      <c r="Q414" s="1"/>
      <c r="R414" s="1"/>
      <c r="S414" s="1"/>
      <c r="T414" s="3"/>
      <c r="U414" s="3"/>
      <c r="V414" s="1"/>
      <c r="W414" s="1"/>
    </row>
    <row r="415" spans="1:23" ht="15.75" customHeight="1">
      <c r="A415" s="26"/>
      <c r="B415" s="1"/>
      <c r="C415" s="1"/>
      <c r="D415" s="1"/>
      <c r="E415" s="1"/>
      <c r="F415" s="3"/>
      <c r="G415" s="3"/>
      <c r="H415" s="1"/>
      <c r="I415" s="1"/>
      <c r="J415" s="1"/>
      <c r="K415" s="1"/>
      <c r="L415" s="1"/>
      <c r="M415" s="1"/>
      <c r="N415" s="1"/>
      <c r="O415" s="26"/>
      <c r="P415" s="1"/>
      <c r="Q415" s="1"/>
      <c r="R415" s="1"/>
      <c r="S415" s="1"/>
      <c r="T415" s="3"/>
      <c r="U415" s="3"/>
      <c r="V415" s="1"/>
      <c r="W415" s="1"/>
    </row>
    <row r="416" spans="1:23" ht="15.75" customHeight="1">
      <c r="A416" s="26"/>
      <c r="B416" s="1"/>
      <c r="C416" s="1"/>
      <c r="D416" s="1"/>
      <c r="E416" s="1"/>
      <c r="F416" s="3"/>
      <c r="G416" s="3"/>
      <c r="H416" s="1"/>
      <c r="I416" s="1"/>
      <c r="J416" s="1"/>
      <c r="K416" s="1"/>
      <c r="L416" s="1"/>
      <c r="M416" s="1"/>
      <c r="N416" s="1"/>
      <c r="O416" s="26"/>
      <c r="P416" s="1"/>
      <c r="Q416" s="1"/>
      <c r="R416" s="1"/>
      <c r="S416" s="1"/>
      <c r="T416" s="3"/>
      <c r="U416" s="3"/>
      <c r="V416" s="1"/>
      <c r="W416" s="1"/>
    </row>
    <row r="417" spans="1:23" ht="15.75" customHeight="1">
      <c r="A417" s="26"/>
      <c r="B417" s="1"/>
      <c r="C417" s="1"/>
      <c r="D417" s="1"/>
      <c r="E417" s="1"/>
      <c r="F417" s="3"/>
      <c r="G417" s="3"/>
      <c r="H417" s="1"/>
      <c r="I417" s="1"/>
      <c r="J417" s="1"/>
      <c r="K417" s="1"/>
      <c r="L417" s="1"/>
      <c r="M417" s="1"/>
      <c r="N417" s="1"/>
      <c r="O417" s="26"/>
      <c r="P417" s="1"/>
      <c r="Q417" s="1"/>
      <c r="R417" s="1"/>
      <c r="S417" s="1"/>
      <c r="T417" s="3"/>
      <c r="U417" s="3"/>
      <c r="V417" s="1"/>
      <c r="W417" s="1"/>
    </row>
    <row r="418" spans="1:23" ht="15.75" customHeight="1">
      <c r="A418" s="26"/>
      <c r="B418" s="1"/>
      <c r="C418" s="1"/>
      <c r="D418" s="1"/>
      <c r="E418" s="1"/>
      <c r="F418" s="3"/>
      <c r="G418" s="3"/>
      <c r="H418" s="1"/>
      <c r="I418" s="1"/>
      <c r="J418" s="1"/>
      <c r="K418" s="1"/>
      <c r="L418" s="1"/>
      <c r="M418" s="1"/>
      <c r="N418" s="1"/>
      <c r="O418" s="26"/>
      <c r="P418" s="1"/>
      <c r="Q418" s="1"/>
      <c r="R418" s="1"/>
      <c r="S418" s="1"/>
      <c r="T418" s="3"/>
      <c r="U418" s="3"/>
      <c r="V418" s="1"/>
      <c r="W418" s="1"/>
    </row>
    <row r="419" spans="1:23" ht="15.75" customHeight="1">
      <c r="A419" s="26"/>
      <c r="B419" s="1"/>
      <c r="C419" s="1"/>
      <c r="D419" s="1"/>
      <c r="E419" s="1"/>
      <c r="F419" s="3"/>
      <c r="G419" s="3"/>
      <c r="H419" s="1"/>
      <c r="I419" s="1"/>
      <c r="J419" s="1"/>
      <c r="K419" s="1"/>
      <c r="L419" s="1"/>
      <c r="M419" s="1"/>
      <c r="N419" s="1"/>
      <c r="O419" s="26"/>
      <c r="P419" s="1"/>
      <c r="Q419" s="1"/>
      <c r="R419" s="1"/>
      <c r="S419" s="1"/>
      <c r="T419" s="3"/>
      <c r="U419" s="3"/>
      <c r="V419" s="1"/>
      <c r="W419" s="1"/>
    </row>
    <row r="420" spans="1:23" ht="15.75" customHeight="1">
      <c r="A420" s="26"/>
      <c r="B420" s="1"/>
      <c r="C420" s="1"/>
      <c r="D420" s="1"/>
      <c r="E420" s="1"/>
      <c r="F420" s="3"/>
      <c r="G420" s="3"/>
      <c r="H420" s="1"/>
      <c r="I420" s="1"/>
      <c r="J420" s="1"/>
      <c r="K420" s="1"/>
      <c r="L420" s="1"/>
      <c r="M420" s="1"/>
      <c r="N420" s="1"/>
      <c r="O420" s="26"/>
      <c r="P420" s="1"/>
      <c r="Q420" s="1"/>
      <c r="R420" s="1"/>
      <c r="S420" s="1"/>
      <c r="T420" s="3"/>
      <c r="U420" s="3"/>
      <c r="V420" s="1"/>
      <c r="W420" s="1"/>
    </row>
    <row r="421" spans="1:23" ht="15.75" customHeight="1">
      <c r="A421" s="26"/>
      <c r="B421" s="1"/>
      <c r="C421" s="1"/>
      <c r="D421" s="1"/>
      <c r="E421" s="1"/>
      <c r="F421" s="3"/>
      <c r="G421" s="3"/>
      <c r="H421" s="1"/>
      <c r="I421" s="1"/>
      <c r="J421" s="1"/>
      <c r="K421" s="1"/>
      <c r="L421" s="1"/>
      <c r="M421" s="1"/>
      <c r="N421" s="1"/>
      <c r="O421" s="26"/>
      <c r="P421" s="1"/>
      <c r="Q421" s="1"/>
      <c r="R421" s="1"/>
      <c r="S421" s="1"/>
      <c r="T421" s="3"/>
      <c r="U421" s="3"/>
      <c r="V421" s="1"/>
      <c r="W421" s="1"/>
    </row>
    <row r="422" spans="1:23" ht="15.75" customHeight="1">
      <c r="A422" s="26"/>
      <c r="B422" s="1"/>
      <c r="C422" s="1"/>
      <c r="D422" s="1"/>
      <c r="E422" s="1"/>
      <c r="F422" s="3"/>
      <c r="G422" s="3"/>
      <c r="H422" s="1"/>
      <c r="I422" s="1"/>
      <c r="J422" s="1"/>
      <c r="K422" s="1"/>
      <c r="L422" s="1"/>
      <c r="M422" s="1"/>
      <c r="N422" s="1"/>
      <c r="O422" s="26"/>
      <c r="P422" s="1"/>
      <c r="Q422" s="1"/>
      <c r="R422" s="1"/>
      <c r="S422" s="1"/>
      <c r="T422" s="3"/>
      <c r="U422" s="3"/>
      <c r="V422" s="1"/>
      <c r="W422" s="1"/>
    </row>
    <row r="423" spans="1:23" ht="15.75" customHeight="1">
      <c r="A423" s="26"/>
      <c r="B423" s="1"/>
      <c r="C423" s="1"/>
      <c r="D423" s="1"/>
      <c r="E423" s="1"/>
      <c r="F423" s="3"/>
      <c r="G423" s="3"/>
      <c r="H423" s="1"/>
      <c r="I423" s="1"/>
      <c r="J423" s="1"/>
      <c r="K423" s="1"/>
      <c r="L423" s="1"/>
      <c r="M423" s="1"/>
      <c r="N423" s="1"/>
      <c r="O423" s="26"/>
      <c r="P423" s="1"/>
      <c r="Q423" s="1"/>
      <c r="R423" s="1"/>
      <c r="S423" s="1"/>
      <c r="T423" s="3"/>
      <c r="U423" s="3"/>
      <c r="V423" s="1"/>
      <c r="W423" s="1"/>
    </row>
    <row r="424" spans="1:23" ht="15.75" customHeight="1">
      <c r="A424" s="26"/>
      <c r="B424" s="1"/>
      <c r="C424" s="1"/>
      <c r="D424" s="1"/>
      <c r="E424" s="1"/>
      <c r="F424" s="3"/>
      <c r="G424" s="3"/>
      <c r="H424" s="1"/>
      <c r="I424" s="1"/>
      <c r="J424" s="1"/>
      <c r="K424" s="1"/>
      <c r="L424" s="1"/>
      <c r="M424" s="1"/>
      <c r="N424" s="1"/>
      <c r="O424" s="26"/>
      <c r="P424" s="1"/>
      <c r="Q424" s="1"/>
      <c r="R424" s="1"/>
      <c r="S424" s="1"/>
      <c r="T424" s="3"/>
      <c r="U424" s="3"/>
      <c r="V424" s="1"/>
      <c r="W424" s="1"/>
    </row>
    <row r="425" spans="1:23" ht="15.75" customHeight="1">
      <c r="A425" s="26"/>
      <c r="B425" s="1"/>
      <c r="C425" s="1"/>
      <c r="D425" s="1"/>
      <c r="E425" s="1"/>
      <c r="F425" s="3"/>
      <c r="G425" s="3"/>
      <c r="H425" s="1"/>
      <c r="I425" s="1"/>
      <c r="J425" s="1"/>
      <c r="K425" s="1"/>
      <c r="L425" s="1"/>
      <c r="M425" s="1"/>
      <c r="N425" s="1"/>
      <c r="O425" s="26"/>
      <c r="P425" s="1"/>
      <c r="Q425" s="1"/>
      <c r="R425" s="1"/>
      <c r="S425" s="1"/>
      <c r="T425" s="3"/>
      <c r="U425" s="3"/>
      <c r="V425" s="1"/>
      <c r="W425" s="1"/>
    </row>
    <row r="426" spans="1:23" ht="15.75" customHeight="1">
      <c r="A426" s="26"/>
      <c r="B426" s="1"/>
      <c r="C426" s="1"/>
      <c r="D426" s="1"/>
      <c r="E426" s="1"/>
      <c r="F426" s="3"/>
      <c r="G426" s="3"/>
      <c r="H426" s="1"/>
      <c r="I426" s="1"/>
      <c r="J426" s="1"/>
      <c r="K426" s="1"/>
      <c r="L426" s="1"/>
      <c r="M426" s="1"/>
      <c r="N426" s="1"/>
      <c r="O426" s="26"/>
      <c r="P426" s="1"/>
      <c r="Q426" s="1"/>
      <c r="R426" s="1"/>
      <c r="S426" s="1"/>
      <c r="T426" s="3"/>
      <c r="U426" s="3"/>
      <c r="V426" s="1"/>
      <c r="W426" s="1"/>
    </row>
    <row r="427" spans="1:23" ht="15.75" customHeight="1">
      <c r="A427" s="26"/>
      <c r="B427" s="1"/>
      <c r="C427" s="1"/>
      <c r="D427" s="1"/>
      <c r="E427" s="1"/>
      <c r="F427" s="3"/>
      <c r="G427" s="3"/>
      <c r="H427" s="1"/>
      <c r="I427" s="1"/>
      <c r="J427" s="1"/>
      <c r="K427" s="1"/>
      <c r="L427" s="1"/>
      <c r="M427" s="1"/>
      <c r="N427" s="1"/>
      <c r="O427" s="26"/>
      <c r="P427" s="1"/>
      <c r="Q427" s="1"/>
      <c r="R427" s="1"/>
      <c r="S427" s="1"/>
      <c r="T427" s="3"/>
      <c r="U427" s="3"/>
      <c r="V427" s="1"/>
      <c r="W427" s="1"/>
    </row>
    <row r="428" spans="1:23" ht="15.75" customHeight="1">
      <c r="A428" s="26"/>
      <c r="B428" s="1"/>
      <c r="C428" s="1"/>
      <c r="D428" s="1"/>
      <c r="E428" s="1"/>
      <c r="F428" s="3"/>
      <c r="G428" s="3"/>
      <c r="H428" s="1"/>
      <c r="I428" s="1"/>
      <c r="J428" s="1"/>
      <c r="K428" s="1"/>
      <c r="L428" s="1"/>
      <c r="M428" s="1"/>
      <c r="N428" s="1"/>
      <c r="O428" s="26"/>
      <c r="P428" s="1"/>
      <c r="Q428" s="1"/>
      <c r="R428" s="1"/>
      <c r="S428" s="1"/>
      <c r="T428" s="3"/>
      <c r="U428" s="3"/>
      <c r="V428" s="1"/>
      <c r="W428" s="1"/>
    </row>
    <row r="429" spans="1:23" ht="15.75" customHeight="1">
      <c r="A429" s="26"/>
      <c r="B429" s="1"/>
      <c r="C429" s="1"/>
      <c r="D429" s="1"/>
      <c r="E429" s="1"/>
      <c r="F429" s="3"/>
      <c r="G429" s="3"/>
      <c r="H429" s="1"/>
      <c r="I429" s="1"/>
      <c r="J429" s="1"/>
      <c r="K429" s="1"/>
      <c r="L429" s="1"/>
      <c r="M429" s="1"/>
      <c r="N429" s="1"/>
      <c r="O429" s="26"/>
      <c r="P429" s="1"/>
      <c r="Q429" s="1"/>
      <c r="R429" s="1"/>
      <c r="S429" s="1"/>
      <c r="T429" s="3"/>
      <c r="U429" s="3"/>
      <c r="V429" s="1"/>
      <c r="W429" s="1"/>
    </row>
    <row r="430" spans="1:23" ht="15.75" customHeight="1">
      <c r="A430" s="26"/>
      <c r="B430" s="1"/>
      <c r="C430" s="1"/>
      <c r="D430" s="1"/>
      <c r="E430" s="1"/>
      <c r="F430" s="3"/>
      <c r="G430" s="3"/>
      <c r="H430" s="1"/>
      <c r="I430" s="1"/>
      <c r="J430" s="1"/>
      <c r="K430" s="1"/>
      <c r="L430" s="1"/>
      <c r="M430" s="1"/>
      <c r="N430" s="1"/>
      <c r="O430" s="26"/>
      <c r="P430" s="1"/>
      <c r="Q430" s="1"/>
      <c r="R430" s="1"/>
      <c r="S430" s="1"/>
      <c r="T430" s="3"/>
      <c r="U430" s="3"/>
      <c r="V430" s="1"/>
      <c r="W430" s="1"/>
    </row>
    <row r="431" spans="1:23" ht="15.75" customHeight="1">
      <c r="A431" s="26"/>
      <c r="B431" s="1"/>
      <c r="C431" s="1"/>
      <c r="D431" s="1"/>
      <c r="E431" s="1"/>
      <c r="F431" s="3"/>
      <c r="G431" s="3"/>
      <c r="H431" s="1"/>
      <c r="I431" s="1"/>
      <c r="J431" s="1"/>
      <c r="K431" s="1"/>
      <c r="L431" s="1"/>
      <c r="M431" s="1"/>
      <c r="N431" s="1"/>
      <c r="O431" s="26"/>
      <c r="P431" s="1"/>
      <c r="Q431" s="1"/>
      <c r="R431" s="1"/>
      <c r="S431" s="1"/>
      <c r="T431" s="3"/>
      <c r="U431" s="3"/>
      <c r="V431" s="1"/>
      <c r="W431" s="1"/>
    </row>
    <row r="432" spans="1:23" ht="15.75" customHeight="1">
      <c r="A432" s="26"/>
      <c r="B432" s="1"/>
      <c r="C432" s="1"/>
      <c r="D432" s="1"/>
      <c r="E432" s="1"/>
      <c r="F432" s="3"/>
      <c r="G432" s="3"/>
      <c r="H432" s="1"/>
      <c r="I432" s="1"/>
      <c r="J432" s="1"/>
      <c r="K432" s="1"/>
      <c r="L432" s="1"/>
      <c r="M432" s="1"/>
      <c r="N432" s="1"/>
      <c r="O432" s="26"/>
      <c r="P432" s="1"/>
      <c r="Q432" s="1"/>
      <c r="R432" s="1"/>
      <c r="S432" s="1"/>
      <c r="T432" s="3"/>
      <c r="U432" s="3"/>
      <c r="V432" s="1"/>
      <c r="W432" s="1"/>
    </row>
    <row r="433" spans="1:23" ht="15.75" customHeight="1">
      <c r="A433" s="26"/>
      <c r="B433" s="1"/>
      <c r="C433" s="1"/>
      <c r="D433" s="1"/>
      <c r="E433" s="1"/>
      <c r="F433" s="3"/>
      <c r="G433" s="3"/>
      <c r="H433" s="1"/>
      <c r="I433" s="1"/>
      <c r="J433" s="1"/>
      <c r="K433" s="1"/>
      <c r="L433" s="1"/>
      <c r="M433" s="1"/>
      <c r="N433" s="1"/>
      <c r="O433" s="26"/>
      <c r="P433" s="1"/>
      <c r="Q433" s="1"/>
      <c r="R433" s="1"/>
      <c r="S433" s="1"/>
      <c r="T433" s="3"/>
      <c r="U433" s="3"/>
      <c r="V433" s="1"/>
      <c r="W433" s="1"/>
    </row>
    <row r="434" spans="1:23" ht="15.75" customHeight="1">
      <c r="A434" s="26"/>
      <c r="B434" s="1"/>
      <c r="C434" s="1"/>
      <c r="D434" s="1"/>
      <c r="E434" s="1"/>
      <c r="F434" s="3"/>
      <c r="G434" s="3"/>
      <c r="H434" s="1"/>
      <c r="I434" s="1"/>
      <c r="J434" s="1"/>
      <c r="K434" s="1"/>
      <c r="L434" s="1"/>
      <c r="M434" s="1"/>
      <c r="N434" s="1"/>
      <c r="O434" s="26"/>
      <c r="P434" s="1"/>
      <c r="Q434" s="1"/>
      <c r="R434" s="1"/>
      <c r="S434" s="1"/>
      <c r="T434" s="3"/>
      <c r="U434" s="3"/>
      <c r="V434" s="1"/>
      <c r="W434" s="1"/>
    </row>
    <row r="435" spans="1:23" ht="15.75" customHeight="1">
      <c r="A435" s="26"/>
      <c r="B435" s="1"/>
      <c r="C435" s="1"/>
      <c r="D435" s="1"/>
      <c r="E435" s="1"/>
      <c r="F435" s="3"/>
      <c r="G435" s="3"/>
      <c r="H435" s="1"/>
      <c r="I435" s="1"/>
      <c r="J435" s="1"/>
      <c r="K435" s="1"/>
      <c r="L435" s="1"/>
      <c r="M435" s="1"/>
      <c r="N435" s="1"/>
      <c r="O435" s="26"/>
      <c r="P435" s="1"/>
      <c r="Q435" s="1"/>
      <c r="R435" s="1"/>
      <c r="S435" s="1"/>
      <c r="T435" s="3"/>
      <c r="U435" s="3"/>
      <c r="V435" s="1"/>
      <c r="W435" s="1"/>
    </row>
    <row r="436" spans="1:23" ht="15.75" customHeight="1">
      <c r="A436" s="26"/>
      <c r="B436" s="1"/>
      <c r="C436" s="1"/>
      <c r="D436" s="1"/>
      <c r="E436" s="1"/>
      <c r="F436" s="3"/>
      <c r="G436" s="3"/>
      <c r="H436" s="1"/>
      <c r="I436" s="1"/>
      <c r="J436" s="1"/>
      <c r="K436" s="1"/>
      <c r="L436" s="1"/>
      <c r="M436" s="1"/>
      <c r="N436" s="1"/>
      <c r="O436" s="26"/>
      <c r="P436" s="1"/>
      <c r="Q436" s="1"/>
      <c r="R436" s="1"/>
      <c r="S436" s="1"/>
      <c r="T436" s="3"/>
      <c r="U436" s="3"/>
      <c r="V436" s="1"/>
      <c r="W436" s="1"/>
    </row>
    <row r="437" spans="1:23" ht="15.75" customHeight="1">
      <c r="A437" s="26"/>
      <c r="B437" s="1"/>
      <c r="C437" s="1"/>
      <c r="D437" s="1"/>
      <c r="E437" s="1"/>
      <c r="F437" s="3"/>
      <c r="G437" s="3"/>
      <c r="H437" s="1"/>
      <c r="I437" s="1"/>
      <c r="J437" s="1"/>
      <c r="K437" s="1"/>
      <c r="L437" s="1"/>
      <c r="M437" s="1"/>
      <c r="N437" s="1"/>
      <c r="O437" s="26"/>
      <c r="P437" s="1"/>
      <c r="Q437" s="1"/>
      <c r="R437" s="1"/>
      <c r="S437" s="1"/>
      <c r="T437" s="3"/>
      <c r="U437" s="3"/>
      <c r="V437" s="1"/>
      <c r="W437" s="1"/>
    </row>
    <row r="438" spans="1:23" ht="15.75" customHeight="1">
      <c r="A438" s="26"/>
      <c r="B438" s="1"/>
      <c r="C438" s="1"/>
      <c r="D438" s="1"/>
      <c r="E438" s="1"/>
      <c r="F438" s="3"/>
      <c r="G438" s="3"/>
      <c r="H438" s="1"/>
      <c r="I438" s="1"/>
      <c r="J438" s="1"/>
      <c r="K438" s="1"/>
      <c r="L438" s="1"/>
      <c r="M438" s="1"/>
      <c r="N438" s="1"/>
      <c r="O438" s="26"/>
      <c r="P438" s="1"/>
      <c r="Q438" s="1"/>
      <c r="R438" s="1"/>
      <c r="S438" s="1"/>
      <c r="T438" s="3"/>
      <c r="U438" s="3"/>
      <c r="V438" s="1"/>
      <c r="W438" s="1"/>
    </row>
    <row r="439" spans="1:23" ht="15.75" customHeight="1">
      <c r="A439" s="26"/>
      <c r="B439" s="1"/>
      <c r="C439" s="1"/>
      <c r="D439" s="1"/>
      <c r="E439" s="1"/>
      <c r="F439" s="3"/>
      <c r="G439" s="3"/>
      <c r="H439" s="1"/>
      <c r="I439" s="1"/>
      <c r="J439" s="1"/>
      <c r="K439" s="1"/>
      <c r="L439" s="1"/>
      <c r="M439" s="1"/>
      <c r="N439" s="1"/>
      <c r="O439" s="26"/>
      <c r="P439" s="1"/>
      <c r="Q439" s="1"/>
      <c r="R439" s="1"/>
      <c r="S439" s="1"/>
      <c r="T439" s="3"/>
      <c r="U439" s="3"/>
      <c r="V439" s="1"/>
      <c r="W439" s="1"/>
    </row>
    <row r="440" spans="1:23" ht="15.75" customHeight="1">
      <c r="A440" s="26"/>
      <c r="B440" s="1"/>
      <c r="C440" s="1"/>
      <c r="D440" s="1"/>
      <c r="E440" s="1"/>
      <c r="F440" s="3"/>
      <c r="G440" s="3"/>
      <c r="H440" s="1"/>
      <c r="I440" s="1"/>
      <c r="J440" s="1"/>
      <c r="K440" s="1"/>
      <c r="L440" s="1"/>
      <c r="M440" s="1"/>
      <c r="N440" s="1"/>
      <c r="O440" s="26"/>
      <c r="P440" s="1"/>
      <c r="Q440" s="1"/>
      <c r="R440" s="1"/>
      <c r="S440" s="1"/>
      <c r="T440" s="3"/>
      <c r="U440" s="3"/>
      <c r="V440" s="1"/>
      <c r="W440" s="1"/>
    </row>
    <row r="441" spans="1:23" ht="15.75" customHeight="1">
      <c r="A441" s="26"/>
      <c r="B441" s="1"/>
      <c r="C441" s="1"/>
      <c r="D441" s="1"/>
      <c r="E441" s="1"/>
      <c r="F441" s="3"/>
      <c r="G441" s="3"/>
      <c r="H441" s="1"/>
      <c r="I441" s="1"/>
      <c r="J441" s="1"/>
      <c r="K441" s="1"/>
      <c r="L441" s="1"/>
      <c r="M441" s="1"/>
      <c r="N441" s="1"/>
      <c r="O441" s="26"/>
      <c r="P441" s="1"/>
      <c r="Q441" s="1"/>
      <c r="R441" s="1"/>
      <c r="S441" s="1"/>
      <c r="T441" s="3"/>
      <c r="U441" s="3"/>
      <c r="V441" s="1"/>
      <c r="W441" s="1"/>
    </row>
    <row r="442" spans="1:23" ht="15.75" customHeight="1">
      <c r="A442" s="26"/>
      <c r="B442" s="1"/>
      <c r="C442" s="1"/>
      <c r="D442" s="1"/>
      <c r="E442" s="1"/>
      <c r="F442" s="3"/>
      <c r="G442" s="3"/>
      <c r="H442" s="1"/>
      <c r="I442" s="1"/>
      <c r="J442" s="1"/>
      <c r="K442" s="1"/>
      <c r="L442" s="1"/>
      <c r="M442" s="1"/>
      <c r="N442" s="1"/>
      <c r="O442" s="26"/>
      <c r="P442" s="1"/>
      <c r="Q442" s="1"/>
      <c r="R442" s="1"/>
      <c r="S442" s="1"/>
      <c r="T442" s="3"/>
      <c r="U442" s="3"/>
      <c r="V442" s="1"/>
      <c r="W442" s="1"/>
    </row>
    <row r="443" spans="1:23" ht="15.75" customHeight="1">
      <c r="A443" s="26"/>
      <c r="B443" s="1"/>
      <c r="C443" s="1"/>
      <c r="D443" s="1"/>
      <c r="E443" s="1"/>
      <c r="F443" s="3"/>
      <c r="G443" s="3"/>
      <c r="H443" s="1"/>
      <c r="I443" s="1"/>
      <c r="J443" s="1"/>
      <c r="K443" s="1"/>
      <c r="L443" s="1"/>
      <c r="M443" s="1"/>
      <c r="N443" s="1"/>
      <c r="O443" s="26"/>
      <c r="P443" s="1"/>
      <c r="Q443" s="1"/>
      <c r="R443" s="1"/>
      <c r="S443" s="1"/>
      <c r="T443" s="3"/>
      <c r="U443" s="3"/>
      <c r="V443" s="1"/>
      <c r="W443" s="1"/>
    </row>
    <row r="444" spans="1:23" ht="15.75" customHeight="1">
      <c r="A444" s="26"/>
      <c r="B444" s="1"/>
      <c r="C444" s="1"/>
      <c r="D444" s="1"/>
      <c r="E444" s="1"/>
      <c r="F444" s="3"/>
      <c r="G444" s="3"/>
      <c r="H444" s="1"/>
      <c r="I444" s="1"/>
      <c r="J444" s="1"/>
      <c r="K444" s="1"/>
      <c r="L444" s="1"/>
      <c r="M444" s="1"/>
      <c r="N444" s="1"/>
      <c r="O444" s="26"/>
      <c r="P444" s="1"/>
      <c r="Q444" s="1"/>
      <c r="R444" s="1"/>
      <c r="S444" s="1"/>
      <c r="T444" s="3"/>
      <c r="U444" s="3"/>
      <c r="V444" s="1"/>
      <c r="W444" s="1"/>
    </row>
    <row r="445" spans="1:23" ht="15.75" customHeight="1">
      <c r="A445" s="26"/>
      <c r="B445" s="1"/>
      <c r="C445" s="1"/>
      <c r="D445" s="1"/>
      <c r="E445" s="1"/>
      <c r="F445" s="3"/>
      <c r="G445" s="3"/>
      <c r="H445" s="1"/>
      <c r="I445" s="1"/>
      <c r="J445" s="1"/>
      <c r="K445" s="1"/>
      <c r="L445" s="1"/>
      <c r="M445" s="1"/>
      <c r="N445" s="1"/>
      <c r="O445" s="26"/>
      <c r="P445" s="1"/>
      <c r="Q445" s="1"/>
      <c r="R445" s="1"/>
      <c r="S445" s="1"/>
      <c r="T445" s="3"/>
      <c r="U445" s="3"/>
      <c r="V445" s="1"/>
      <c r="W445" s="1"/>
    </row>
    <row r="446" spans="1:23" ht="15.75" customHeight="1">
      <c r="A446" s="26"/>
      <c r="B446" s="1"/>
      <c r="C446" s="1"/>
      <c r="D446" s="1"/>
      <c r="E446" s="1"/>
      <c r="F446" s="3"/>
      <c r="G446" s="3"/>
      <c r="H446" s="1"/>
      <c r="I446" s="1"/>
      <c r="J446" s="1"/>
      <c r="K446" s="1"/>
      <c r="L446" s="1"/>
      <c r="M446" s="1"/>
      <c r="N446" s="1"/>
      <c r="O446" s="26"/>
      <c r="P446" s="1"/>
      <c r="Q446" s="1"/>
      <c r="R446" s="1"/>
      <c r="S446" s="1"/>
      <c r="T446" s="3"/>
      <c r="U446" s="3"/>
      <c r="V446" s="1"/>
      <c r="W446" s="1"/>
    </row>
    <row r="447" spans="1:23" ht="15.75" customHeight="1">
      <c r="A447" s="26"/>
      <c r="B447" s="1"/>
      <c r="C447" s="1"/>
      <c r="D447" s="1"/>
      <c r="E447" s="1"/>
      <c r="F447" s="3"/>
      <c r="G447" s="3"/>
      <c r="H447" s="1"/>
      <c r="I447" s="1"/>
      <c r="J447" s="1"/>
      <c r="K447" s="1"/>
      <c r="L447" s="1"/>
      <c r="M447" s="1"/>
      <c r="N447" s="1"/>
      <c r="O447" s="26"/>
      <c r="P447" s="1"/>
      <c r="Q447" s="1"/>
      <c r="R447" s="1"/>
      <c r="S447" s="1"/>
      <c r="T447" s="3"/>
      <c r="U447" s="3"/>
      <c r="V447" s="1"/>
      <c r="W447" s="1"/>
    </row>
    <row r="448" spans="1:23" ht="15.75" customHeight="1">
      <c r="A448" s="26"/>
      <c r="B448" s="1"/>
      <c r="C448" s="1"/>
      <c r="D448" s="1"/>
      <c r="E448" s="1"/>
      <c r="F448" s="3"/>
      <c r="G448" s="3"/>
      <c r="H448" s="1"/>
      <c r="I448" s="1"/>
      <c r="J448" s="1"/>
      <c r="K448" s="1"/>
      <c r="L448" s="1"/>
      <c r="M448" s="1"/>
      <c r="N448" s="1"/>
      <c r="O448" s="26"/>
      <c r="P448" s="1"/>
      <c r="Q448" s="1"/>
      <c r="R448" s="1"/>
      <c r="S448" s="1"/>
      <c r="T448" s="3"/>
      <c r="U448" s="3"/>
      <c r="V448" s="1"/>
      <c r="W448" s="1"/>
    </row>
    <row r="449" spans="1:23" ht="15.75" customHeight="1">
      <c r="A449" s="26"/>
      <c r="B449" s="1"/>
      <c r="C449" s="1"/>
      <c r="D449" s="1"/>
      <c r="E449" s="1"/>
      <c r="F449" s="3"/>
      <c r="G449" s="3"/>
      <c r="H449" s="1"/>
      <c r="I449" s="1"/>
      <c r="J449" s="1"/>
      <c r="K449" s="1"/>
      <c r="L449" s="1"/>
      <c r="M449" s="1"/>
      <c r="N449" s="1"/>
      <c r="O449" s="26"/>
      <c r="P449" s="1"/>
      <c r="Q449" s="1"/>
      <c r="R449" s="1"/>
      <c r="S449" s="1"/>
      <c r="T449" s="3"/>
      <c r="U449" s="3"/>
      <c r="V449" s="1"/>
      <c r="W449" s="1"/>
    </row>
    <row r="450" spans="1:23" ht="15.75" customHeight="1">
      <c r="A450" s="26"/>
      <c r="B450" s="1"/>
      <c r="C450" s="1"/>
      <c r="D450" s="1"/>
      <c r="E450" s="1"/>
      <c r="F450" s="3"/>
      <c r="G450" s="3"/>
      <c r="H450" s="1"/>
      <c r="I450" s="1"/>
      <c r="J450" s="1"/>
      <c r="K450" s="1"/>
      <c r="L450" s="1"/>
      <c r="M450" s="1"/>
      <c r="N450" s="1"/>
      <c r="O450" s="26"/>
      <c r="P450" s="1"/>
      <c r="Q450" s="1"/>
      <c r="R450" s="1"/>
      <c r="S450" s="1"/>
      <c r="T450" s="3"/>
      <c r="U450" s="3"/>
      <c r="V450" s="1"/>
      <c r="W450" s="1"/>
    </row>
    <row r="451" spans="1:23" ht="15.75" customHeight="1">
      <c r="A451" s="26"/>
      <c r="B451" s="1"/>
      <c r="C451" s="1"/>
      <c r="D451" s="1"/>
      <c r="E451" s="1"/>
      <c r="F451" s="3"/>
      <c r="G451" s="3"/>
      <c r="H451" s="1"/>
      <c r="I451" s="1"/>
      <c r="J451" s="1"/>
      <c r="K451" s="1"/>
      <c r="L451" s="1"/>
      <c r="M451" s="1"/>
      <c r="N451" s="1"/>
      <c r="O451" s="26"/>
      <c r="P451" s="1"/>
      <c r="Q451" s="1"/>
      <c r="R451" s="1"/>
      <c r="S451" s="1"/>
      <c r="T451" s="3"/>
      <c r="U451" s="3"/>
      <c r="V451" s="1"/>
      <c r="W451" s="1"/>
    </row>
    <row r="452" spans="1:23" ht="15.75" customHeight="1">
      <c r="A452" s="26"/>
      <c r="B452" s="1"/>
      <c r="C452" s="1"/>
      <c r="D452" s="1"/>
      <c r="E452" s="1"/>
      <c r="F452" s="3"/>
      <c r="G452" s="3"/>
      <c r="H452" s="1"/>
      <c r="I452" s="1"/>
      <c r="J452" s="1"/>
      <c r="K452" s="1"/>
      <c r="L452" s="1"/>
      <c r="M452" s="1"/>
      <c r="N452" s="1"/>
      <c r="O452" s="26"/>
      <c r="P452" s="1"/>
      <c r="Q452" s="1"/>
      <c r="R452" s="1"/>
      <c r="S452" s="1"/>
      <c r="T452" s="3"/>
      <c r="U452" s="3"/>
      <c r="V452" s="1"/>
      <c r="W452" s="1"/>
    </row>
    <row r="453" spans="1:23" ht="15.75" customHeight="1">
      <c r="A453" s="26"/>
      <c r="B453" s="1"/>
      <c r="C453" s="1"/>
      <c r="D453" s="1"/>
      <c r="E453" s="1"/>
      <c r="F453" s="3"/>
      <c r="G453" s="3"/>
      <c r="H453" s="1"/>
      <c r="I453" s="1"/>
      <c r="J453" s="1"/>
      <c r="K453" s="1"/>
      <c r="L453" s="1"/>
      <c r="M453" s="1"/>
      <c r="N453" s="1"/>
      <c r="O453" s="26"/>
      <c r="P453" s="1"/>
      <c r="Q453" s="1"/>
      <c r="R453" s="1"/>
      <c r="S453" s="1"/>
      <c r="T453" s="3"/>
      <c r="U453" s="3"/>
      <c r="V453" s="1"/>
      <c r="W453" s="1"/>
    </row>
    <row r="454" spans="1:23" ht="15.75" customHeight="1">
      <c r="A454" s="26"/>
      <c r="B454" s="1"/>
      <c r="C454" s="1"/>
      <c r="D454" s="1"/>
      <c r="E454" s="1"/>
      <c r="F454" s="3"/>
      <c r="G454" s="3"/>
      <c r="H454" s="1"/>
      <c r="I454" s="1"/>
      <c r="J454" s="1"/>
      <c r="K454" s="1"/>
      <c r="L454" s="1"/>
      <c r="M454" s="1"/>
      <c r="N454" s="1"/>
      <c r="O454" s="26"/>
      <c r="P454" s="1"/>
      <c r="Q454" s="1"/>
      <c r="R454" s="1"/>
      <c r="S454" s="1"/>
      <c r="T454" s="3"/>
      <c r="U454" s="3"/>
      <c r="V454" s="1"/>
      <c r="W454" s="1"/>
    </row>
    <row r="455" spans="1:23" ht="15.75" customHeight="1">
      <c r="A455" s="26"/>
      <c r="B455" s="1"/>
      <c r="C455" s="1"/>
      <c r="D455" s="1"/>
      <c r="E455" s="1"/>
      <c r="F455" s="3"/>
      <c r="G455" s="3"/>
      <c r="H455" s="1"/>
      <c r="I455" s="1"/>
      <c r="J455" s="1"/>
      <c r="K455" s="1"/>
      <c r="L455" s="1"/>
      <c r="M455" s="1"/>
      <c r="N455" s="1"/>
      <c r="O455" s="26"/>
      <c r="P455" s="1"/>
      <c r="Q455" s="1"/>
      <c r="R455" s="1"/>
      <c r="S455" s="1"/>
      <c r="T455" s="3"/>
      <c r="U455" s="3"/>
      <c r="V455" s="1"/>
      <c r="W455" s="1"/>
    </row>
    <row r="456" spans="1:23" ht="15.75" customHeight="1">
      <c r="A456" s="26"/>
      <c r="B456" s="1"/>
      <c r="C456" s="1"/>
      <c r="D456" s="1"/>
      <c r="E456" s="1"/>
      <c r="F456" s="3"/>
      <c r="G456" s="3"/>
      <c r="H456" s="1"/>
      <c r="I456" s="1"/>
      <c r="J456" s="1"/>
      <c r="K456" s="1"/>
      <c r="L456" s="1"/>
      <c r="M456" s="1"/>
      <c r="N456" s="1"/>
      <c r="O456" s="26"/>
      <c r="P456" s="1"/>
      <c r="Q456" s="1"/>
      <c r="R456" s="1"/>
      <c r="S456" s="1"/>
      <c r="T456" s="3"/>
      <c r="U456" s="3"/>
      <c r="V456" s="1"/>
      <c r="W456" s="1"/>
    </row>
    <row r="457" spans="1:23" ht="15.75" customHeight="1">
      <c r="A457" s="26"/>
      <c r="B457" s="1"/>
      <c r="C457" s="1"/>
      <c r="D457" s="1"/>
      <c r="E457" s="1"/>
      <c r="F457" s="3"/>
      <c r="G457" s="3"/>
      <c r="H457" s="1"/>
      <c r="I457" s="1"/>
      <c r="J457" s="1"/>
      <c r="K457" s="1"/>
      <c r="L457" s="1"/>
      <c r="M457" s="1"/>
      <c r="N457" s="1"/>
      <c r="O457" s="26"/>
      <c r="P457" s="1"/>
      <c r="Q457" s="1"/>
      <c r="R457" s="1"/>
      <c r="S457" s="1"/>
      <c r="T457" s="3"/>
      <c r="U457" s="3"/>
      <c r="V457" s="1"/>
      <c r="W457" s="1"/>
    </row>
    <row r="458" spans="1:23" ht="15.75" customHeight="1">
      <c r="A458" s="26"/>
      <c r="B458" s="1"/>
      <c r="C458" s="1"/>
      <c r="D458" s="1"/>
      <c r="E458" s="1"/>
      <c r="F458" s="3"/>
      <c r="G458" s="3"/>
      <c r="H458" s="1"/>
      <c r="I458" s="1"/>
      <c r="J458" s="1"/>
      <c r="K458" s="1"/>
      <c r="L458" s="1"/>
      <c r="M458" s="1"/>
      <c r="N458" s="1"/>
      <c r="O458" s="26"/>
      <c r="P458" s="1"/>
      <c r="Q458" s="1"/>
      <c r="R458" s="1"/>
      <c r="S458" s="1"/>
      <c r="T458" s="3"/>
      <c r="U458" s="3"/>
      <c r="V458" s="1"/>
      <c r="W458" s="1"/>
    </row>
    <row r="459" spans="1:23" ht="15.75" customHeight="1">
      <c r="A459" s="26"/>
      <c r="B459" s="1"/>
      <c r="C459" s="1"/>
      <c r="D459" s="1"/>
      <c r="E459" s="1"/>
      <c r="F459" s="3"/>
      <c r="G459" s="3"/>
      <c r="H459" s="1"/>
      <c r="I459" s="1"/>
      <c r="J459" s="1"/>
      <c r="K459" s="1"/>
      <c r="L459" s="1"/>
      <c r="M459" s="1"/>
      <c r="N459" s="1"/>
      <c r="O459" s="26"/>
      <c r="P459" s="1"/>
      <c r="Q459" s="1"/>
      <c r="R459" s="1"/>
      <c r="S459" s="1"/>
      <c r="T459" s="3"/>
      <c r="U459" s="3"/>
      <c r="V459" s="1"/>
      <c r="W459" s="1"/>
    </row>
    <row r="460" spans="1:23" ht="15.75" customHeight="1">
      <c r="A460" s="26"/>
      <c r="B460" s="1"/>
      <c r="C460" s="1"/>
      <c r="D460" s="1"/>
      <c r="E460" s="1"/>
      <c r="F460" s="3"/>
      <c r="G460" s="3"/>
      <c r="H460" s="1"/>
      <c r="I460" s="1"/>
      <c r="J460" s="1"/>
      <c r="K460" s="1"/>
      <c r="L460" s="1"/>
      <c r="M460" s="1"/>
      <c r="N460" s="1"/>
      <c r="O460" s="26"/>
      <c r="P460" s="1"/>
      <c r="Q460" s="1"/>
      <c r="R460" s="1"/>
      <c r="S460" s="1"/>
      <c r="T460" s="3"/>
      <c r="U460" s="3"/>
      <c r="V460" s="1"/>
      <c r="W460" s="1"/>
    </row>
    <row r="461" spans="1:23" ht="15.75" customHeight="1">
      <c r="A461" s="26"/>
      <c r="B461" s="1"/>
      <c r="C461" s="1"/>
      <c r="D461" s="1"/>
      <c r="E461" s="1"/>
      <c r="F461" s="3"/>
      <c r="G461" s="3"/>
      <c r="H461" s="1"/>
      <c r="I461" s="1"/>
      <c r="J461" s="1"/>
      <c r="K461" s="1"/>
      <c r="L461" s="1"/>
      <c r="M461" s="1"/>
      <c r="N461" s="1"/>
      <c r="O461" s="26"/>
      <c r="P461" s="1"/>
      <c r="Q461" s="1"/>
      <c r="R461" s="1"/>
      <c r="S461" s="1"/>
      <c r="T461" s="3"/>
      <c r="U461" s="3"/>
      <c r="V461" s="1"/>
      <c r="W461" s="1"/>
    </row>
    <row r="462" spans="1:23" ht="15.75" customHeight="1">
      <c r="A462" s="26"/>
      <c r="B462" s="1"/>
      <c r="C462" s="1"/>
      <c r="D462" s="1"/>
      <c r="E462" s="1"/>
      <c r="F462" s="3"/>
      <c r="G462" s="3"/>
      <c r="H462" s="1"/>
      <c r="I462" s="1"/>
      <c r="J462" s="1"/>
      <c r="K462" s="1"/>
      <c r="L462" s="1"/>
      <c r="M462" s="1"/>
      <c r="N462" s="1"/>
      <c r="O462" s="26"/>
      <c r="P462" s="1"/>
      <c r="Q462" s="1"/>
      <c r="R462" s="1"/>
      <c r="S462" s="1"/>
      <c r="T462" s="3"/>
      <c r="U462" s="3"/>
      <c r="V462" s="1"/>
      <c r="W462" s="1"/>
    </row>
    <row r="463" spans="1:23" ht="15.75" customHeight="1">
      <c r="A463" s="26"/>
      <c r="B463" s="1"/>
      <c r="C463" s="1"/>
      <c r="D463" s="1"/>
      <c r="E463" s="1"/>
      <c r="F463" s="3"/>
      <c r="G463" s="3"/>
      <c r="H463" s="1"/>
      <c r="I463" s="1"/>
      <c r="J463" s="1"/>
      <c r="K463" s="1"/>
      <c r="L463" s="1"/>
      <c r="M463" s="1"/>
      <c r="N463" s="1"/>
      <c r="O463" s="26"/>
      <c r="P463" s="1"/>
      <c r="Q463" s="1"/>
      <c r="R463" s="1"/>
      <c r="S463" s="1"/>
      <c r="T463" s="3"/>
      <c r="U463" s="3"/>
      <c r="V463" s="1"/>
      <c r="W463" s="1"/>
    </row>
    <row r="464" spans="1:23" ht="15.75" customHeight="1">
      <c r="A464" s="26"/>
      <c r="B464" s="1"/>
      <c r="C464" s="1"/>
      <c r="D464" s="1"/>
      <c r="E464" s="1"/>
      <c r="F464" s="3"/>
      <c r="G464" s="3"/>
      <c r="H464" s="1"/>
      <c r="I464" s="1"/>
      <c r="J464" s="1"/>
      <c r="K464" s="1"/>
      <c r="L464" s="1"/>
      <c r="M464" s="1"/>
      <c r="N464" s="1"/>
      <c r="O464" s="26"/>
      <c r="P464" s="1"/>
      <c r="Q464" s="1"/>
      <c r="R464" s="1"/>
      <c r="S464" s="1"/>
      <c r="T464" s="3"/>
      <c r="U464" s="3"/>
      <c r="V464" s="1"/>
      <c r="W464" s="1"/>
    </row>
    <row r="465" spans="1:23" ht="15.75" customHeight="1">
      <c r="A465" s="26"/>
      <c r="B465" s="1"/>
      <c r="C465" s="1"/>
      <c r="D465" s="1"/>
      <c r="E465" s="1"/>
      <c r="F465" s="3"/>
      <c r="G465" s="3"/>
      <c r="H465" s="1"/>
      <c r="I465" s="1"/>
      <c r="J465" s="1"/>
      <c r="K465" s="1"/>
      <c r="L465" s="1"/>
      <c r="M465" s="1"/>
      <c r="N465" s="1"/>
      <c r="O465" s="26"/>
      <c r="P465" s="1"/>
      <c r="Q465" s="1"/>
      <c r="R465" s="1"/>
      <c r="S465" s="1"/>
      <c r="T465" s="3"/>
      <c r="U465" s="3"/>
      <c r="V465" s="1"/>
      <c r="W465" s="1"/>
    </row>
    <row r="466" spans="1:23" ht="15.75" customHeight="1">
      <c r="A466" s="26"/>
      <c r="B466" s="1"/>
      <c r="C466" s="1"/>
      <c r="D466" s="1"/>
      <c r="E466" s="1"/>
      <c r="F466" s="3"/>
      <c r="G466" s="3"/>
      <c r="H466" s="1"/>
      <c r="I466" s="1"/>
      <c r="J466" s="1"/>
      <c r="K466" s="1"/>
      <c r="L466" s="1"/>
      <c r="M466" s="1"/>
      <c r="N466" s="1"/>
      <c r="O466" s="26"/>
      <c r="P466" s="1"/>
      <c r="Q466" s="1"/>
      <c r="R466" s="1"/>
      <c r="S466" s="1"/>
      <c r="T466" s="3"/>
      <c r="U466" s="3"/>
      <c r="V466" s="1"/>
      <c r="W466" s="1"/>
    </row>
    <row r="467" spans="1:23" ht="15.75" customHeight="1">
      <c r="A467" s="26"/>
      <c r="B467" s="1"/>
      <c r="C467" s="1"/>
      <c r="D467" s="1"/>
      <c r="E467" s="1"/>
      <c r="F467" s="3"/>
      <c r="G467" s="3"/>
      <c r="H467" s="1"/>
      <c r="I467" s="1"/>
      <c r="J467" s="1"/>
      <c r="K467" s="1"/>
      <c r="L467" s="1"/>
      <c r="M467" s="1"/>
      <c r="N467" s="1"/>
      <c r="O467" s="26"/>
      <c r="P467" s="1"/>
      <c r="Q467" s="1"/>
      <c r="R467" s="1"/>
      <c r="S467" s="1"/>
      <c r="T467" s="3"/>
      <c r="U467" s="3"/>
      <c r="V467" s="1"/>
      <c r="W467" s="1"/>
    </row>
    <row r="468" spans="1:23" ht="15.75" customHeight="1">
      <c r="A468" s="26"/>
      <c r="B468" s="1"/>
      <c r="C468" s="1"/>
      <c r="D468" s="1"/>
      <c r="E468" s="1"/>
      <c r="F468" s="3"/>
      <c r="G468" s="3"/>
      <c r="H468" s="1"/>
      <c r="I468" s="1"/>
      <c r="J468" s="1"/>
      <c r="K468" s="1"/>
      <c r="L468" s="1"/>
      <c r="M468" s="1"/>
      <c r="N468" s="1"/>
      <c r="O468" s="26"/>
      <c r="P468" s="1"/>
      <c r="Q468" s="1"/>
      <c r="R468" s="1"/>
      <c r="S468" s="1"/>
      <c r="T468" s="3"/>
      <c r="U468" s="3"/>
      <c r="V468" s="1"/>
      <c r="W468" s="1"/>
    </row>
    <row r="469" spans="1:23" ht="15.75" customHeight="1">
      <c r="A469" s="26"/>
      <c r="B469" s="1"/>
      <c r="C469" s="1"/>
      <c r="D469" s="1"/>
      <c r="E469" s="1"/>
      <c r="F469" s="3"/>
      <c r="G469" s="3"/>
      <c r="H469" s="1"/>
      <c r="I469" s="1"/>
      <c r="J469" s="1"/>
      <c r="K469" s="1"/>
      <c r="L469" s="1"/>
      <c r="M469" s="1"/>
      <c r="N469" s="1"/>
      <c r="O469" s="26"/>
      <c r="P469" s="1"/>
      <c r="Q469" s="1"/>
      <c r="R469" s="1"/>
      <c r="S469" s="1"/>
      <c r="T469" s="3"/>
      <c r="U469" s="3"/>
      <c r="V469" s="1"/>
      <c r="W469" s="1"/>
    </row>
    <row r="470" spans="1:23" ht="15.75" customHeight="1">
      <c r="A470" s="26"/>
      <c r="B470" s="1"/>
      <c r="C470" s="1"/>
      <c r="D470" s="1"/>
      <c r="E470" s="1"/>
      <c r="F470" s="3"/>
      <c r="G470" s="3"/>
      <c r="H470" s="1"/>
      <c r="I470" s="1"/>
      <c r="J470" s="1"/>
      <c r="K470" s="1"/>
      <c r="L470" s="1"/>
      <c r="M470" s="1"/>
      <c r="N470" s="1"/>
      <c r="O470" s="26"/>
      <c r="P470" s="1"/>
      <c r="Q470" s="1"/>
      <c r="R470" s="1"/>
      <c r="S470" s="1"/>
      <c r="T470" s="3"/>
      <c r="U470" s="3"/>
      <c r="V470" s="1"/>
      <c r="W470" s="1"/>
    </row>
    <row r="471" spans="1:23" ht="15.75" customHeight="1">
      <c r="A471" s="26"/>
      <c r="B471" s="1"/>
      <c r="C471" s="1"/>
      <c r="D471" s="1"/>
      <c r="E471" s="1"/>
      <c r="F471" s="3"/>
      <c r="G471" s="3"/>
      <c r="H471" s="1"/>
      <c r="I471" s="1"/>
      <c r="J471" s="1"/>
      <c r="K471" s="1"/>
      <c r="L471" s="1"/>
      <c r="M471" s="1"/>
      <c r="N471" s="1"/>
      <c r="O471" s="26"/>
      <c r="P471" s="1"/>
      <c r="Q471" s="1"/>
      <c r="R471" s="1"/>
      <c r="S471" s="1"/>
      <c r="T471" s="3"/>
      <c r="U471" s="3"/>
      <c r="V471" s="1"/>
      <c r="W471" s="1"/>
    </row>
    <row r="472" spans="1:23" ht="15.75" customHeight="1">
      <c r="A472" s="26"/>
      <c r="B472" s="1"/>
      <c r="C472" s="1"/>
      <c r="D472" s="1"/>
      <c r="E472" s="1"/>
      <c r="F472" s="3"/>
      <c r="G472" s="3"/>
      <c r="H472" s="1"/>
      <c r="I472" s="1"/>
      <c r="J472" s="1"/>
      <c r="K472" s="1"/>
      <c r="L472" s="1"/>
      <c r="M472" s="1"/>
      <c r="N472" s="1"/>
      <c r="O472" s="26"/>
      <c r="P472" s="1"/>
      <c r="Q472" s="1"/>
      <c r="R472" s="1"/>
      <c r="S472" s="1"/>
      <c r="T472" s="3"/>
      <c r="U472" s="3"/>
      <c r="V472" s="1"/>
      <c r="W472" s="1"/>
    </row>
    <row r="473" spans="1:23" ht="15.75" customHeight="1">
      <c r="A473" s="26"/>
      <c r="B473" s="1"/>
      <c r="C473" s="1"/>
      <c r="D473" s="1"/>
      <c r="E473" s="1"/>
      <c r="F473" s="3"/>
      <c r="G473" s="3"/>
      <c r="H473" s="1"/>
      <c r="I473" s="1"/>
      <c r="J473" s="1"/>
      <c r="K473" s="1"/>
      <c r="L473" s="1"/>
      <c r="M473" s="1"/>
      <c r="N473" s="1"/>
      <c r="O473" s="26"/>
      <c r="P473" s="1"/>
      <c r="Q473" s="1"/>
      <c r="R473" s="1"/>
      <c r="S473" s="1"/>
      <c r="T473" s="3"/>
      <c r="U473" s="3"/>
      <c r="V473" s="1"/>
      <c r="W473" s="1"/>
    </row>
    <row r="474" spans="1:23" ht="15.75" customHeight="1">
      <c r="A474" s="26"/>
      <c r="B474" s="1"/>
      <c r="C474" s="1"/>
      <c r="D474" s="1"/>
      <c r="E474" s="1"/>
      <c r="F474" s="3"/>
      <c r="G474" s="3"/>
      <c r="H474" s="1"/>
      <c r="I474" s="1"/>
      <c r="J474" s="1"/>
      <c r="K474" s="1"/>
      <c r="L474" s="1"/>
      <c r="M474" s="1"/>
      <c r="N474" s="1"/>
      <c r="O474" s="26"/>
      <c r="P474" s="1"/>
      <c r="Q474" s="1"/>
      <c r="R474" s="1"/>
      <c r="S474" s="1"/>
      <c r="T474" s="3"/>
      <c r="U474" s="3"/>
      <c r="V474" s="1"/>
      <c r="W474" s="1"/>
    </row>
    <row r="475" spans="1:23" ht="15.75" customHeight="1">
      <c r="A475" s="26"/>
      <c r="B475" s="1"/>
      <c r="C475" s="1"/>
      <c r="D475" s="1"/>
      <c r="E475" s="1"/>
      <c r="F475" s="3"/>
      <c r="G475" s="3"/>
      <c r="H475" s="1"/>
      <c r="I475" s="1"/>
      <c r="J475" s="1"/>
      <c r="K475" s="1"/>
      <c r="L475" s="1"/>
      <c r="M475" s="1"/>
      <c r="N475" s="1"/>
      <c r="O475" s="26"/>
      <c r="P475" s="1"/>
      <c r="Q475" s="1"/>
      <c r="R475" s="1"/>
      <c r="S475" s="1"/>
      <c r="T475" s="3"/>
      <c r="U475" s="3"/>
      <c r="V475" s="1"/>
      <c r="W475" s="1"/>
    </row>
    <row r="476" spans="1:23" ht="15.75" customHeight="1">
      <c r="A476" s="26"/>
      <c r="B476" s="1"/>
      <c r="C476" s="1"/>
      <c r="D476" s="1"/>
      <c r="E476" s="1"/>
      <c r="F476" s="3"/>
      <c r="G476" s="3"/>
      <c r="H476" s="1"/>
      <c r="I476" s="1"/>
      <c r="J476" s="1"/>
      <c r="K476" s="1"/>
      <c r="L476" s="1"/>
      <c r="M476" s="1"/>
      <c r="N476" s="1"/>
      <c r="O476" s="26"/>
      <c r="P476" s="1"/>
      <c r="Q476" s="1"/>
      <c r="R476" s="1"/>
      <c r="S476" s="1"/>
      <c r="T476" s="3"/>
      <c r="U476" s="3"/>
      <c r="V476" s="1"/>
      <c r="W476" s="1"/>
    </row>
    <row r="477" spans="1:23" ht="15.75" customHeight="1">
      <c r="A477" s="26"/>
      <c r="B477" s="1"/>
      <c r="C477" s="1"/>
      <c r="D477" s="1"/>
      <c r="E477" s="1"/>
      <c r="F477" s="3"/>
      <c r="G477" s="3"/>
      <c r="H477" s="1"/>
      <c r="I477" s="1"/>
      <c r="J477" s="1"/>
      <c r="K477" s="1"/>
      <c r="L477" s="1"/>
      <c r="M477" s="1"/>
      <c r="N477" s="1"/>
      <c r="O477" s="26"/>
      <c r="P477" s="1"/>
      <c r="Q477" s="1"/>
      <c r="R477" s="1"/>
      <c r="S477" s="1"/>
      <c r="T477" s="3"/>
      <c r="U477" s="3"/>
      <c r="V477" s="1"/>
      <c r="W477" s="1"/>
    </row>
    <row r="478" spans="1:23" ht="15.75" customHeight="1">
      <c r="A478" s="26"/>
      <c r="B478" s="1"/>
      <c r="C478" s="1"/>
      <c r="D478" s="1"/>
      <c r="E478" s="1"/>
      <c r="F478" s="3"/>
      <c r="G478" s="3"/>
      <c r="H478" s="1"/>
      <c r="I478" s="1"/>
      <c r="J478" s="1"/>
      <c r="K478" s="1"/>
      <c r="L478" s="1"/>
      <c r="M478" s="1"/>
      <c r="N478" s="1"/>
      <c r="O478" s="26"/>
      <c r="P478" s="1"/>
      <c r="Q478" s="1"/>
      <c r="R478" s="1"/>
      <c r="S478" s="1"/>
      <c r="T478" s="3"/>
      <c r="U478" s="3"/>
      <c r="V478" s="1"/>
      <c r="W478" s="1"/>
    </row>
    <row r="479" spans="1:23" ht="15.75" customHeight="1">
      <c r="A479" s="26"/>
      <c r="B479" s="1"/>
      <c r="C479" s="1"/>
      <c r="D479" s="1"/>
      <c r="E479" s="1"/>
      <c r="F479" s="3"/>
      <c r="G479" s="3"/>
      <c r="H479" s="1"/>
      <c r="I479" s="1"/>
      <c r="J479" s="1"/>
      <c r="K479" s="1"/>
      <c r="L479" s="1"/>
      <c r="M479" s="1"/>
      <c r="N479" s="1"/>
      <c r="O479" s="26"/>
      <c r="P479" s="1"/>
      <c r="Q479" s="1"/>
      <c r="R479" s="1"/>
      <c r="S479" s="1"/>
      <c r="T479" s="3"/>
      <c r="U479" s="3"/>
      <c r="V479" s="1"/>
      <c r="W479" s="1"/>
    </row>
    <row r="480" spans="1:23" ht="15.75" customHeight="1">
      <c r="A480" s="26"/>
      <c r="B480" s="1"/>
      <c r="C480" s="1"/>
      <c r="D480" s="1"/>
      <c r="E480" s="1"/>
      <c r="F480" s="3"/>
      <c r="G480" s="3"/>
      <c r="H480" s="1"/>
      <c r="I480" s="1"/>
      <c r="J480" s="1"/>
      <c r="K480" s="1"/>
      <c r="L480" s="1"/>
      <c r="M480" s="1"/>
      <c r="N480" s="1"/>
      <c r="O480" s="26"/>
      <c r="P480" s="1"/>
      <c r="Q480" s="1"/>
      <c r="R480" s="1"/>
      <c r="S480" s="1"/>
      <c r="T480" s="3"/>
      <c r="U480" s="3"/>
      <c r="V480" s="1"/>
      <c r="W480" s="1"/>
    </row>
    <row r="481" spans="1:23" ht="15.75" customHeight="1">
      <c r="A481" s="26"/>
      <c r="B481" s="1"/>
      <c r="C481" s="1"/>
      <c r="D481" s="1"/>
      <c r="E481" s="1"/>
      <c r="F481" s="3"/>
      <c r="G481" s="3"/>
      <c r="H481" s="1"/>
      <c r="I481" s="1"/>
      <c r="J481" s="1"/>
      <c r="K481" s="1"/>
      <c r="L481" s="1"/>
      <c r="M481" s="1"/>
      <c r="N481" s="1"/>
      <c r="O481" s="26"/>
      <c r="P481" s="1"/>
      <c r="Q481" s="1"/>
      <c r="R481" s="1"/>
      <c r="S481" s="1"/>
      <c r="T481" s="3"/>
      <c r="U481" s="3"/>
      <c r="V481" s="1"/>
      <c r="W481" s="1"/>
    </row>
    <row r="482" spans="1:23" ht="15.75" customHeight="1">
      <c r="A482" s="26"/>
      <c r="B482" s="1"/>
      <c r="C482" s="1"/>
      <c r="D482" s="1"/>
      <c r="E482" s="1"/>
      <c r="F482" s="3"/>
      <c r="G482" s="3"/>
      <c r="H482" s="1"/>
      <c r="I482" s="1"/>
      <c r="J482" s="1"/>
      <c r="K482" s="1"/>
      <c r="L482" s="1"/>
      <c r="M482" s="1"/>
      <c r="N482" s="1"/>
      <c r="O482" s="26"/>
      <c r="P482" s="1"/>
      <c r="Q482" s="1"/>
      <c r="R482" s="1"/>
      <c r="S482" s="1"/>
      <c r="T482" s="3"/>
      <c r="U482" s="3"/>
      <c r="V482" s="1"/>
      <c r="W482" s="1"/>
    </row>
    <row r="483" spans="1:23" ht="15.75" customHeight="1">
      <c r="A483" s="26"/>
      <c r="B483" s="1"/>
      <c r="C483" s="1"/>
      <c r="D483" s="1"/>
      <c r="E483" s="1"/>
      <c r="F483" s="3"/>
      <c r="G483" s="3"/>
      <c r="H483" s="1"/>
      <c r="I483" s="1"/>
      <c r="J483" s="1"/>
      <c r="K483" s="1"/>
      <c r="L483" s="1"/>
      <c r="M483" s="1"/>
      <c r="N483" s="1"/>
      <c r="O483" s="26"/>
      <c r="P483" s="1"/>
      <c r="Q483" s="1"/>
      <c r="R483" s="1"/>
      <c r="S483" s="1"/>
      <c r="T483" s="3"/>
      <c r="U483" s="3"/>
      <c r="V483" s="1"/>
      <c r="W483" s="1"/>
    </row>
    <row r="484" spans="1:23" ht="15.75" customHeight="1">
      <c r="A484" s="26"/>
      <c r="B484" s="1"/>
      <c r="C484" s="1"/>
      <c r="D484" s="1"/>
      <c r="E484" s="1"/>
      <c r="F484" s="3"/>
      <c r="G484" s="3"/>
      <c r="H484" s="1"/>
      <c r="I484" s="1"/>
      <c r="J484" s="1"/>
      <c r="K484" s="1"/>
      <c r="L484" s="1"/>
      <c r="M484" s="1"/>
      <c r="N484" s="1"/>
      <c r="O484" s="26"/>
      <c r="P484" s="1"/>
      <c r="Q484" s="1"/>
      <c r="R484" s="1"/>
      <c r="S484" s="1"/>
      <c r="T484" s="3"/>
      <c r="U484" s="3"/>
      <c r="V484" s="1"/>
      <c r="W484" s="1"/>
    </row>
    <row r="485" spans="1:23" ht="15.75" customHeight="1">
      <c r="A485" s="26"/>
      <c r="B485" s="1"/>
      <c r="C485" s="1"/>
      <c r="D485" s="1"/>
      <c r="E485" s="1"/>
      <c r="F485" s="3"/>
      <c r="G485" s="3"/>
      <c r="H485" s="1"/>
      <c r="I485" s="1"/>
      <c r="J485" s="1"/>
      <c r="K485" s="1"/>
      <c r="L485" s="1"/>
      <c r="M485" s="1"/>
      <c r="N485" s="1"/>
      <c r="O485" s="26"/>
      <c r="P485" s="1"/>
      <c r="Q485" s="1"/>
      <c r="R485" s="1"/>
      <c r="S485" s="1"/>
      <c r="T485" s="3"/>
      <c r="U485" s="3"/>
      <c r="V485" s="1"/>
      <c r="W485" s="1"/>
    </row>
    <row r="486" spans="1:23" ht="15.75" customHeight="1">
      <c r="A486" s="26"/>
      <c r="B486" s="1"/>
      <c r="C486" s="1"/>
      <c r="D486" s="1"/>
      <c r="E486" s="1"/>
      <c r="F486" s="3"/>
      <c r="G486" s="3"/>
      <c r="H486" s="1"/>
      <c r="I486" s="1"/>
      <c r="J486" s="1"/>
      <c r="K486" s="1"/>
      <c r="L486" s="1"/>
      <c r="M486" s="1"/>
      <c r="N486" s="1"/>
      <c r="O486" s="26"/>
      <c r="P486" s="1"/>
      <c r="Q486" s="1"/>
      <c r="R486" s="1"/>
      <c r="S486" s="1"/>
      <c r="T486" s="3"/>
      <c r="U486" s="3"/>
      <c r="V486" s="1"/>
      <c r="W486" s="1"/>
    </row>
    <row r="487" spans="1:23" ht="15.75" customHeight="1">
      <c r="A487" s="26"/>
      <c r="B487" s="1"/>
      <c r="C487" s="1"/>
      <c r="D487" s="1"/>
      <c r="E487" s="1"/>
      <c r="F487" s="3"/>
      <c r="G487" s="3"/>
      <c r="H487" s="1"/>
      <c r="I487" s="1"/>
      <c r="J487" s="1"/>
      <c r="K487" s="1"/>
      <c r="L487" s="1"/>
      <c r="M487" s="1"/>
      <c r="N487" s="1"/>
      <c r="O487" s="26"/>
      <c r="P487" s="1"/>
      <c r="Q487" s="1"/>
      <c r="R487" s="1"/>
      <c r="S487" s="1"/>
      <c r="T487" s="3"/>
      <c r="U487" s="3"/>
      <c r="V487" s="1"/>
      <c r="W487" s="1"/>
    </row>
    <row r="488" spans="1:23" ht="15.75" customHeight="1">
      <c r="A488" s="26"/>
      <c r="B488" s="1"/>
      <c r="C488" s="1"/>
      <c r="D488" s="1"/>
      <c r="E488" s="1"/>
      <c r="F488" s="3"/>
      <c r="G488" s="3"/>
      <c r="H488" s="1"/>
      <c r="I488" s="1"/>
      <c r="J488" s="1"/>
      <c r="K488" s="1"/>
      <c r="L488" s="1"/>
      <c r="M488" s="1"/>
      <c r="N488" s="1"/>
      <c r="O488" s="26"/>
      <c r="P488" s="1"/>
      <c r="Q488" s="1"/>
      <c r="R488" s="1"/>
      <c r="S488" s="1"/>
      <c r="T488" s="3"/>
      <c r="U488" s="3"/>
      <c r="V488" s="1"/>
      <c r="W488" s="1"/>
    </row>
    <row r="489" spans="1:23" ht="15.75" customHeight="1">
      <c r="A489" s="26"/>
      <c r="B489" s="1"/>
      <c r="C489" s="1"/>
      <c r="D489" s="1"/>
      <c r="E489" s="1"/>
      <c r="F489" s="3"/>
      <c r="G489" s="3"/>
      <c r="H489" s="1"/>
      <c r="I489" s="1"/>
      <c r="J489" s="1"/>
      <c r="K489" s="1"/>
      <c r="L489" s="1"/>
      <c r="M489" s="1"/>
      <c r="N489" s="1"/>
      <c r="O489" s="26"/>
      <c r="P489" s="1"/>
      <c r="Q489" s="1"/>
      <c r="R489" s="1"/>
      <c r="S489" s="1"/>
      <c r="T489" s="3"/>
      <c r="U489" s="3"/>
      <c r="V489" s="1"/>
      <c r="W489" s="1"/>
    </row>
    <row r="490" spans="1:23" ht="15.75" customHeight="1">
      <c r="A490" s="26"/>
      <c r="B490" s="1"/>
      <c r="C490" s="1"/>
      <c r="D490" s="1"/>
      <c r="E490" s="1"/>
      <c r="F490" s="3"/>
      <c r="G490" s="3"/>
      <c r="H490" s="1"/>
      <c r="I490" s="1"/>
      <c r="J490" s="1"/>
      <c r="K490" s="1"/>
      <c r="L490" s="1"/>
      <c r="M490" s="1"/>
      <c r="N490" s="1"/>
      <c r="O490" s="26"/>
      <c r="P490" s="1"/>
      <c r="Q490" s="1"/>
      <c r="R490" s="1"/>
      <c r="S490" s="1"/>
      <c r="T490" s="3"/>
      <c r="U490" s="3"/>
      <c r="V490" s="1"/>
      <c r="W490" s="1"/>
    </row>
    <row r="491" spans="1:23" ht="15.75" customHeight="1">
      <c r="A491" s="26"/>
      <c r="B491" s="1"/>
      <c r="C491" s="1"/>
      <c r="D491" s="1"/>
      <c r="E491" s="1"/>
      <c r="F491" s="3"/>
      <c r="G491" s="3"/>
      <c r="H491" s="1"/>
      <c r="I491" s="1"/>
      <c r="J491" s="1"/>
      <c r="K491" s="1"/>
      <c r="L491" s="1"/>
      <c r="M491" s="1"/>
      <c r="N491" s="1"/>
      <c r="O491" s="26"/>
      <c r="P491" s="1"/>
      <c r="Q491" s="1"/>
      <c r="R491" s="1"/>
      <c r="S491" s="1"/>
      <c r="T491" s="3"/>
      <c r="U491" s="3"/>
      <c r="V491" s="1"/>
      <c r="W491" s="1"/>
    </row>
    <row r="492" spans="1:23" ht="15.75" customHeight="1">
      <c r="A492" s="26"/>
      <c r="B492" s="1"/>
      <c r="C492" s="1"/>
      <c r="D492" s="1"/>
      <c r="E492" s="1"/>
      <c r="F492" s="3"/>
      <c r="G492" s="3"/>
      <c r="H492" s="1"/>
      <c r="I492" s="1"/>
      <c r="J492" s="1"/>
      <c r="K492" s="1"/>
      <c r="L492" s="1"/>
      <c r="M492" s="1"/>
      <c r="N492" s="1"/>
      <c r="O492" s="26"/>
      <c r="P492" s="1"/>
      <c r="Q492" s="1"/>
      <c r="R492" s="1"/>
      <c r="S492" s="1"/>
      <c r="T492" s="3"/>
      <c r="U492" s="3"/>
      <c r="V492" s="1"/>
      <c r="W492" s="1"/>
    </row>
    <row r="493" spans="1:23" ht="15.75" customHeight="1">
      <c r="A493" s="26"/>
      <c r="B493" s="1"/>
      <c r="C493" s="1"/>
      <c r="D493" s="1"/>
      <c r="E493" s="1"/>
      <c r="F493" s="3"/>
      <c r="G493" s="3"/>
      <c r="H493" s="1"/>
      <c r="I493" s="1"/>
      <c r="J493" s="1"/>
      <c r="K493" s="1"/>
      <c r="L493" s="1"/>
      <c r="M493" s="1"/>
      <c r="N493" s="1"/>
      <c r="O493" s="26"/>
      <c r="P493" s="1"/>
      <c r="Q493" s="1"/>
      <c r="R493" s="1"/>
      <c r="S493" s="1"/>
      <c r="T493" s="3"/>
      <c r="U493" s="3"/>
      <c r="V493" s="1"/>
      <c r="W493" s="1"/>
    </row>
    <row r="494" spans="1:23" ht="15.75" customHeight="1">
      <c r="A494" s="26"/>
      <c r="B494" s="1"/>
      <c r="C494" s="1"/>
      <c r="D494" s="1"/>
      <c r="E494" s="1"/>
      <c r="F494" s="3"/>
      <c r="G494" s="3"/>
      <c r="H494" s="1"/>
      <c r="I494" s="1"/>
      <c r="J494" s="1"/>
      <c r="K494" s="1"/>
      <c r="L494" s="1"/>
      <c r="M494" s="1"/>
      <c r="N494" s="1"/>
      <c r="O494" s="26"/>
      <c r="P494" s="1"/>
      <c r="Q494" s="1"/>
      <c r="R494" s="1"/>
      <c r="S494" s="1"/>
      <c r="T494" s="3"/>
      <c r="U494" s="3"/>
      <c r="V494" s="1"/>
      <c r="W494" s="1"/>
    </row>
    <row r="495" spans="1:23" ht="15.75" customHeight="1">
      <c r="A495" s="26"/>
      <c r="B495" s="1"/>
      <c r="C495" s="1"/>
      <c r="D495" s="1"/>
      <c r="E495" s="1"/>
      <c r="F495" s="3"/>
      <c r="G495" s="3"/>
      <c r="H495" s="1"/>
      <c r="I495" s="1"/>
      <c r="J495" s="1"/>
      <c r="K495" s="1"/>
      <c r="L495" s="1"/>
      <c r="M495" s="1"/>
      <c r="N495" s="1"/>
      <c r="O495" s="26"/>
      <c r="P495" s="1"/>
      <c r="Q495" s="1"/>
      <c r="R495" s="1"/>
      <c r="S495" s="1"/>
      <c r="T495" s="3"/>
      <c r="U495" s="3"/>
      <c r="V495" s="1"/>
      <c r="W495" s="1"/>
    </row>
    <row r="496" spans="1:23" ht="15.75" customHeight="1">
      <c r="A496" s="26"/>
      <c r="B496" s="1"/>
      <c r="C496" s="1"/>
      <c r="D496" s="1"/>
      <c r="E496" s="1"/>
      <c r="F496" s="3"/>
      <c r="G496" s="3"/>
      <c r="H496" s="1"/>
      <c r="I496" s="1"/>
      <c r="J496" s="1"/>
      <c r="K496" s="1"/>
      <c r="L496" s="1"/>
      <c r="M496" s="1"/>
      <c r="N496" s="1"/>
      <c r="O496" s="26"/>
      <c r="P496" s="1"/>
      <c r="Q496" s="1"/>
      <c r="R496" s="1"/>
      <c r="S496" s="1"/>
      <c r="T496" s="3"/>
      <c r="U496" s="3"/>
      <c r="V496" s="1"/>
      <c r="W496" s="1"/>
    </row>
    <row r="497" spans="1:23" ht="15.75" customHeight="1">
      <c r="A497" s="26"/>
      <c r="B497" s="1"/>
      <c r="C497" s="1"/>
      <c r="D497" s="1"/>
      <c r="E497" s="1"/>
      <c r="F497" s="3"/>
      <c r="G497" s="3"/>
      <c r="H497" s="1"/>
      <c r="I497" s="1"/>
      <c r="J497" s="1"/>
      <c r="K497" s="1"/>
      <c r="L497" s="1"/>
      <c r="M497" s="1"/>
      <c r="N497" s="1"/>
      <c r="O497" s="26"/>
      <c r="P497" s="1"/>
      <c r="Q497" s="1"/>
      <c r="R497" s="1"/>
      <c r="S497" s="1"/>
      <c r="T497" s="3"/>
      <c r="U497" s="3"/>
      <c r="V497" s="1"/>
      <c r="W497" s="1"/>
    </row>
    <row r="498" spans="1:23" ht="15.75" customHeight="1">
      <c r="A498" s="26"/>
      <c r="B498" s="1"/>
      <c r="C498" s="1"/>
      <c r="D498" s="1"/>
      <c r="E498" s="1"/>
      <c r="F498" s="3"/>
      <c r="G498" s="3"/>
      <c r="H498" s="1"/>
      <c r="I498" s="1"/>
      <c r="J498" s="1"/>
      <c r="K498" s="1"/>
      <c r="L498" s="1"/>
      <c r="M498" s="1"/>
      <c r="N498" s="1"/>
      <c r="O498" s="26"/>
      <c r="P498" s="1"/>
      <c r="Q498" s="1"/>
      <c r="R498" s="1"/>
      <c r="S498" s="1"/>
      <c r="T498" s="3"/>
      <c r="U498" s="3"/>
      <c r="V498" s="1"/>
      <c r="W498" s="1"/>
    </row>
    <row r="499" spans="1:23" ht="15.75" customHeight="1">
      <c r="A499" s="26"/>
      <c r="B499" s="1"/>
      <c r="C499" s="1"/>
      <c r="D499" s="1"/>
      <c r="E499" s="1"/>
      <c r="F499" s="3"/>
      <c r="G499" s="3"/>
      <c r="H499" s="1"/>
      <c r="I499" s="1"/>
      <c r="J499" s="1"/>
      <c r="K499" s="1"/>
      <c r="L499" s="1"/>
      <c r="M499" s="1"/>
      <c r="N499" s="1"/>
      <c r="O499" s="26"/>
      <c r="P499" s="1"/>
      <c r="Q499" s="1"/>
      <c r="R499" s="1"/>
      <c r="S499" s="1"/>
      <c r="T499" s="3"/>
      <c r="U499" s="3"/>
      <c r="V499" s="1"/>
      <c r="W499" s="1"/>
    </row>
    <row r="500" spans="1:23" ht="15.75" customHeight="1">
      <c r="A500" s="26"/>
      <c r="B500" s="1"/>
      <c r="C500" s="1"/>
      <c r="D500" s="1"/>
      <c r="E500" s="1"/>
      <c r="F500" s="3"/>
      <c r="G500" s="3"/>
      <c r="H500" s="1"/>
      <c r="I500" s="1"/>
      <c r="J500" s="1"/>
      <c r="K500" s="1"/>
      <c r="L500" s="1"/>
      <c r="M500" s="1"/>
      <c r="N500" s="1"/>
      <c r="O500" s="26"/>
      <c r="P500" s="1"/>
      <c r="Q500" s="1"/>
      <c r="R500" s="1"/>
      <c r="S500" s="1"/>
      <c r="T500" s="3"/>
      <c r="U500" s="3"/>
      <c r="V500" s="1"/>
      <c r="W500" s="1"/>
    </row>
    <row r="501" spans="1:23" ht="15.75" customHeight="1">
      <c r="A501" s="26"/>
      <c r="B501" s="1"/>
      <c r="C501" s="1"/>
      <c r="D501" s="1"/>
      <c r="E501" s="1"/>
      <c r="F501" s="3"/>
      <c r="G501" s="3"/>
      <c r="H501" s="1"/>
      <c r="I501" s="1"/>
      <c r="J501" s="1"/>
      <c r="K501" s="1"/>
      <c r="L501" s="1"/>
      <c r="M501" s="1"/>
      <c r="N501" s="1"/>
      <c r="O501" s="26"/>
      <c r="P501" s="1"/>
      <c r="Q501" s="1"/>
      <c r="R501" s="1"/>
      <c r="S501" s="1"/>
      <c r="T501" s="3"/>
      <c r="U501" s="3"/>
      <c r="V501" s="1"/>
      <c r="W501" s="1"/>
    </row>
    <row r="502" spans="1:23" ht="15.75" customHeight="1">
      <c r="A502" s="26"/>
      <c r="B502" s="1"/>
      <c r="C502" s="1"/>
      <c r="D502" s="1"/>
      <c r="E502" s="1"/>
      <c r="F502" s="3"/>
      <c r="G502" s="3"/>
      <c r="H502" s="1"/>
      <c r="I502" s="1"/>
      <c r="J502" s="1"/>
      <c r="K502" s="1"/>
      <c r="L502" s="1"/>
      <c r="M502" s="1"/>
      <c r="N502" s="1"/>
      <c r="O502" s="26"/>
      <c r="P502" s="1"/>
      <c r="Q502" s="1"/>
      <c r="R502" s="1"/>
      <c r="S502" s="1"/>
      <c r="T502" s="3"/>
      <c r="U502" s="3"/>
      <c r="V502" s="1"/>
      <c r="W502" s="1"/>
    </row>
    <row r="503" spans="1:23" ht="15.75" customHeight="1">
      <c r="A503" s="26"/>
      <c r="B503" s="1"/>
      <c r="C503" s="1"/>
      <c r="D503" s="1"/>
      <c r="E503" s="1"/>
      <c r="F503" s="3"/>
      <c r="G503" s="3"/>
      <c r="H503" s="1"/>
      <c r="I503" s="1"/>
      <c r="J503" s="1"/>
      <c r="K503" s="1"/>
      <c r="L503" s="1"/>
      <c r="M503" s="1"/>
      <c r="N503" s="1"/>
      <c r="O503" s="26"/>
      <c r="P503" s="1"/>
      <c r="Q503" s="1"/>
      <c r="R503" s="1"/>
      <c r="S503" s="1"/>
      <c r="T503" s="3"/>
      <c r="U503" s="3"/>
      <c r="V503" s="1"/>
      <c r="W503" s="1"/>
    </row>
    <row r="504" spans="1:23" ht="15.75" customHeight="1">
      <c r="A504" s="26"/>
      <c r="B504" s="1"/>
      <c r="C504" s="1"/>
      <c r="D504" s="1"/>
      <c r="E504" s="1"/>
      <c r="F504" s="3"/>
      <c r="G504" s="3"/>
      <c r="H504" s="1"/>
      <c r="I504" s="1"/>
      <c r="J504" s="1"/>
      <c r="K504" s="1"/>
      <c r="L504" s="1"/>
      <c r="M504" s="1"/>
      <c r="N504" s="1"/>
      <c r="O504" s="26"/>
      <c r="P504" s="1"/>
      <c r="Q504" s="1"/>
      <c r="R504" s="1"/>
      <c r="S504" s="1"/>
      <c r="T504" s="3"/>
      <c r="U504" s="3"/>
      <c r="V504" s="1"/>
      <c r="W504" s="1"/>
    </row>
    <row r="505" spans="1:23" ht="15.75" customHeight="1">
      <c r="A505" s="26"/>
      <c r="B505" s="1"/>
      <c r="C505" s="1"/>
      <c r="D505" s="1"/>
      <c r="E505" s="1"/>
      <c r="F505" s="3"/>
      <c r="G505" s="3"/>
      <c r="H505" s="1"/>
      <c r="I505" s="1"/>
      <c r="J505" s="1"/>
      <c r="K505" s="1"/>
      <c r="L505" s="1"/>
      <c r="M505" s="1"/>
      <c r="N505" s="1"/>
      <c r="O505" s="26"/>
      <c r="P505" s="1"/>
      <c r="Q505" s="1"/>
      <c r="R505" s="1"/>
      <c r="S505" s="1"/>
      <c r="T505" s="3"/>
      <c r="U505" s="3"/>
      <c r="V505" s="1"/>
      <c r="W505" s="1"/>
    </row>
    <row r="506" spans="1:23" ht="15.75" customHeight="1">
      <c r="A506" s="26"/>
      <c r="B506" s="1"/>
      <c r="C506" s="1"/>
      <c r="D506" s="1"/>
      <c r="E506" s="1"/>
      <c r="F506" s="3"/>
      <c r="G506" s="3"/>
      <c r="H506" s="1"/>
      <c r="I506" s="1"/>
      <c r="J506" s="1"/>
      <c r="K506" s="1"/>
      <c r="L506" s="1"/>
      <c r="M506" s="1"/>
      <c r="N506" s="1"/>
      <c r="O506" s="26"/>
      <c r="P506" s="1"/>
      <c r="Q506" s="1"/>
      <c r="R506" s="1"/>
      <c r="S506" s="1"/>
      <c r="T506" s="3"/>
      <c r="U506" s="3"/>
      <c r="V506" s="1"/>
      <c r="W506" s="1"/>
    </row>
    <row r="507" spans="1:23" ht="15.75" customHeight="1">
      <c r="A507" s="26"/>
      <c r="B507" s="1"/>
      <c r="C507" s="1"/>
      <c r="D507" s="1"/>
      <c r="E507" s="1"/>
      <c r="F507" s="3"/>
      <c r="G507" s="3"/>
      <c r="H507" s="1"/>
      <c r="I507" s="1"/>
      <c r="J507" s="1"/>
      <c r="K507" s="1"/>
      <c r="L507" s="1"/>
      <c r="M507" s="1"/>
      <c r="N507" s="1"/>
      <c r="O507" s="26"/>
      <c r="P507" s="1"/>
      <c r="Q507" s="1"/>
      <c r="R507" s="1"/>
      <c r="S507" s="1"/>
      <c r="T507" s="3"/>
      <c r="U507" s="3"/>
      <c r="V507" s="1"/>
      <c r="W507" s="1"/>
    </row>
    <row r="508" spans="1:23" ht="15.75" customHeight="1">
      <c r="A508" s="26"/>
      <c r="B508" s="1"/>
      <c r="C508" s="1"/>
      <c r="D508" s="1"/>
      <c r="E508" s="1"/>
      <c r="F508" s="3"/>
      <c r="G508" s="3"/>
      <c r="H508" s="1"/>
      <c r="I508" s="1"/>
      <c r="J508" s="1"/>
      <c r="K508" s="1"/>
      <c r="L508" s="1"/>
      <c r="M508" s="1"/>
      <c r="N508" s="1"/>
      <c r="O508" s="26"/>
      <c r="P508" s="1"/>
      <c r="Q508" s="1"/>
      <c r="R508" s="1"/>
      <c r="S508" s="1"/>
      <c r="T508" s="3"/>
      <c r="U508" s="3"/>
      <c r="V508" s="1"/>
      <c r="W508" s="1"/>
    </row>
    <row r="509" spans="1:23" ht="15.75" customHeight="1">
      <c r="A509" s="26"/>
      <c r="B509" s="1"/>
      <c r="C509" s="1"/>
      <c r="D509" s="1"/>
      <c r="E509" s="1"/>
      <c r="F509" s="3"/>
      <c r="G509" s="3"/>
      <c r="H509" s="1"/>
      <c r="I509" s="1"/>
      <c r="J509" s="1"/>
      <c r="K509" s="1"/>
      <c r="L509" s="1"/>
      <c r="M509" s="1"/>
      <c r="N509" s="1"/>
      <c r="O509" s="26"/>
      <c r="P509" s="1"/>
      <c r="Q509" s="1"/>
      <c r="R509" s="1"/>
      <c r="S509" s="1"/>
      <c r="T509" s="3"/>
      <c r="U509" s="3"/>
      <c r="V509" s="1"/>
      <c r="W509" s="1"/>
    </row>
    <row r="510" spans="1:23" ht="15.75" customHeight="1">
      <c r="A510" s="26"/>
      <c r="B510" s="1"/>
      <c r="C510" s="1"/>
      <c r="D510" s="1"/>
      <c r="E510" s="1"/>
      <c r="F510" s="3"/>
      <c r="G510" s="3"/>
      <c r="H510" s="1"/>
      <c r="I510" s="1"/>
      <c r="J510" s="1"/>
      <c r="K510" s="1"/>
      <c r="L510" s="1"/>
      <c r="M510" s="1"/>
      <c r="N510" s="1"/>
      <c r="O510" s="26"/>
      <c r="P510" s="1"/>
      <c r="Q510" s="1"/>
      <c r="R510" s="1"/>
      <c r="S510" s="1"/>
      <c r="T510" s="3"/>
      <c r="U510" s="3"/>
      <c r="V510" s="1"/>
      <c r="W510" s="1"/>
    </row>
    <row r="511" spans="1:23" ht="15.75" customHeight="1">
      <c r="A511" s="26"/>
      <c r="B511" s="1"/>
      <c r="C511" s="1"/>
      <c r="D511" s="1"/>
      <c r="E511" s="1"/>
      <c r="F511" s="3"/>
      <c r="G511" s="3"/>
      <c r="H511" s="1"/>
      <c r="I511" s="1"/>
      <c r="J511" s="1"/>
      <c r="K511" s="1"/>
      <c r="L511" s="1"/>
      <c r="M511" s="1"/>
      <c r="N511" s="1"/>
      <c r="O511" s="26"/>
      <c r="P511" s="1"/>
      <c r="Q511" s="1"/>
      <c r="R511" s="1"/>
      <c r="S511" s="1"/>
      <c r="T511" s="3"/>
      <c r="U511" s="3"/>
      <c r="V511" s="1"/>
      <c r="W511" s="1"/>
    </row>
    <row r="512" spans="1:23" ht="15.75" customHeight="1">
      <c r="A512" s="26"/>
      <c r="B512" s="1"/>
      <c r="C512" s="1"/>
      <c r="D512" s="1"/>
      <c r="E512" s="1"/>
      <c r="F512" s="3"/>
      <c r="G512" s="3"/>
      <c r="H512" s="1"/>
      <c r="I512" s="1"/>
      <c r="J512" s="1"/>
      <c r="K512" s="1"/>
      <c r="L512" s="1"/>
      <c r="M512" s="1"/>
      <c r="N512" s="1"/>
      <c r="O512" s="26"/>
      <c r="P512" s="1"/>
      <c r="Q512" s="1"/>
      <c r="R512" s="1"/>
      <c r="S512" s="1"/>
      <c r="T512" s="3"/>
      <c r="U512" s="3"/>
      <c r="V512" s="1"/>
      <c r="W512" s="1"/>
    </row>
    <row r="513" spans="1:23" ht="15.75" customHeight="1">
      <c r="A513" s="26"/>
      <c r="B513" s="1"/>
      <c r="C513" s="1"/>
      <c r="D513" s="1"/>
      <c r="E513" s="1"/>
      <c r="F513" s="3"/>
      <c r="G513" s="3"/>
      <c r="H513" s="1"/>
      <c r="I513" s="1"/>
      <c r="J513" s="1"/>
      <c r="K513" s="1"/>
      <c r="L513" s="1"/>
      <c r="M513" s="1"/>
      <c r="N513" s="1"/>
      <c r="O513" s="26"/>
      <c r="P513" s="1"/>
      <c r="Q513" s="1"/>
      <c r="R513" s="1"/>
      <c r="S513" s="1"/>
      <c r="T513" s="3"/>
      <c r="U513" s="3"/>
      <c r="V513" s="1"/>
      <c r="W513" s="1"/>
    </row>
    <row r="514" spans="1:23" ht="15.75" customHeight="1">
      <c r="A514" s="26"/>
      <c r="B514" s="1"/>
      <c r="C514" s="1"/>
      <c r="D514" s="1"/>
      <c r="E514" s="1"/>
      <c r="F514" s="3"/>
      <c r="G514" s="3"/>
      <c r="H514" s="1"/>
      <c r="I514" s="1"/>
      <c r="J514" s="1"/>
      <c r="K514" s="1"/>
      <c r="L514" s="1"/>
      <c r="M514" s="1"/>
      <c r="N514" s="1"/>
      <c r="O514" s="26"/>
      <c r="P514" s="1"/>
      <c r="Q514" s="1"/>
      <c r="R514" s="1"/>
      <c r="S514" s="1"/>
      <c r="T514" s="3"/>
      <c r="U514" s="3"/>
      <c r="V514" s="1"/>
      <c r="W514" s="1"/>
    </row>
    <row r="515" spans="1:23" ht="15.75" customHeight="1">
      <c r="A515" s="26"/>
      <c r="B515" s="1"/>
      <c r="C515" s="1"/>
      <c r="D515" s="1"/>
      <c r="E515" s="1"/>
      <c r="F515" s="3"/>
      <c r="G515" s="3"/>
      <c r="H515" s="1"/>
      <c r="I515" s="1"/>
      <c r="J515" s="1"/>
      <c r="K515" s="1"/>
      <c r="L515" s="1"/>
      <c r="M515" s="1"/>
      <c r="N515" s="1"/>
      <c r="O515" s="26"/>
      <c r="P515" s="1"/>
      <c r="Q515" s="1"/>
      <c r="R515" s="1"/>
      <c r="S515" s="1"/>
      <c r="T515" s="3"/>
      <c r="U515" s="3"/>
      <c r="V515" s="1"/>
      <c r="W515" s="1"/>
    </row>
    <row r="516" spans="1:23" ht="15.75" customHeight="1">
      <c r="A516" s="26"/>
      <c r="B516" s="1"/>
      <c r="C516" s="1"/>
      <c r="D516" s="1"/>
      <c r="E516" s="1"/>
      <c r="F516" s="3"/>
      <c r="G516" s="3"/>
      <c r="H516" s="1"/>
      <c r="I516" s="1"/>
      <c r="J516" s="1"/>
      <c r="K516" s="1"/>
      <c r="L516" s="1"/>
      <c r="M516" s="1"/>
      <c r="N516" s="1"/>
      <c r="O516" s="26"/>
      <c r="P516" s="1"/>
      <c r="Q516" s="1"/>
      <c r="R516" s="1"/>
      <c r="S516" s="1"/>
      <c r="T516" s="3"/>
      <c r="U516" s="3"/>
      <c r="V516" s="1"/>
      <c r="W516" s="1"/>
    </row>
    <row r="517" spans="1:23" ht="15.75" customHeight="1">
      <c r="A517" s="26"/>
      <c r="B517" s="1"/>
      <c r="C517" s="1"/>
      <c r="D517" s="1"/>
      <c r="E517" s="1"/>
      <c r="F517" s="3"/>
      <c r="G517" s="3"/>
      <c r="H517" s="1"/>
      <c r="I517" s="1"/>
      <c r="J517" s="1"/>
      <c r="K517" s="1"/>
      <c r="L517" s="1"/>
      <c r="M517" s="1"/>
      <c r="N517" s="1"/>
      <c r="O517" s="26"/>
      <c r="P517" s="1"/>
      <c r="Q517" s="1"/>
      <c r="R517" s="1"/>
      <c r="S517" s="1"/>
      <c r="T517" s="3"/>
      <c r="U517" s="3"/>
      <c r="V517" s="1"/>
      <c r="W517" s="1"/>
    </row>
    <row r="518" spans="1:23" ht="15.75" customHeight="1">
      <c r="A518" s="26"/>
      <c r="B518" s="1"/>
      <c r="C518" s="1"/>
      <c r="D518" s="1"/>
      <c r="E518" s="1"/>
      <c r="F518" s="3"/>
      <c r="G518" s="3"/>
      <c r="H518" s="1"/>
      <c r="I518" s="1"/>
      <c r="J518" s="1"/>
      <c r="K518" s="1"/>
      <c r="L518" s="1"/>
      <c r="M518" s="1"/>
      <c r="N518" s="1"/>
      <c r="O518" s="26"/>
      <c r="P518" s="1"/>
      <c r="Q518" s="1"/>
      <c r="R518" s="1"/>
      <c r="S518" s="1"/>
      <c r="T518" s="3"/>
      <c r="U518" s="3"/>
      <c r="V518" s="1"/>
      <c r="W518" s="1"/>
    </row>
    <row r="519" spans="1:23" ht="15.75" customHeight="1">
      <c r="A519" s="26"/>
      <c r="B519" s="1"/>
      <c r="C519" s="1"/>
      <c r="D519" s="1"/>
      <c r="E519" s="1"/>
      <c r="F519" s="3"/>
      <c r="G519" s="3"/>
      <c r="H519" s="1"/>
      <c r="I519" s="1"/>
      <c r="J519" s="1"/>
      <c r="K519" s="1"/>
      <c r="L519" s="1"/>
      <c r="M519" s="1"/>
      <c r="N519" s="1"/>
      <c r="O519" s="26"/>
      <c r="P519" s="1"/>
      <c r="Q519" s="1"/>
      <c r="R519" s="1"/>
      <c r="S519" s="1"/>
      <c r="T519" s="3"/>
      <c r="U519" s="3"/>
      <c r="V519" s="1"/>
      <c r="W519" s="1"/>
    </row>
    <row r="520" spans="1:23" ht="15.75" customHeight="1">
      <c r="A520" s="26"/>
      <c r="B520" s="1"/>
      <c r="C520" s="1"/>
      <c r="D520" s="1"/>
      <c r="E520" s="1"/>
      <c r="F520" s="3"/>
      <c r="G520" s="3"/>
      <c r="H520" s="1"/>
      <c r="I520" s="1"/>
      <c r="J520" s="1"/>
      <c r="K520" s="1"/>
      <c r="L520" s="1"/>
      <c r="M520" s="1"/>
      <c r="N520" s="1"/>
      <c r="O520" s="26"/>
      <c r="P520" s="1"/>
      <c r="Q520" s="1"/>
      <c r="R520" s="1"/>
      <c r="S520" s="1"/>
      <c r="T520" s="3"/>
      <c r="U520" s="3"/>
      <c r="V520" s="1"/>
      <c r="W520" s="1"/>
    </row>
    <row r="521" spans="1:23" ht="15.75" customHeight="1">
      <c r="A521" s="26"/>
      <c r="B521" s="1"/>
      <c r="C521" s="1"/>
      <c r="D521" s="1"/>
      <c r="E521" s="1"/>
      <c r="F521" s="3"/>
      <c r="G521" s="3"/>
      <c r="H521" s="1"/>
      <c r="I521" s="1"/>
      <c r="J521" s="1"/>
      <c r="K521" s="1"/>
      <c r="L521" s="1"/>
      <c r="M521" s="1"/>
      <c r="N521" s="1"/>
      <c r="O521" s="26"/>
      <c r="P521" s="1"/>
      <c r="Q521" s="1"/>
      <c r="R521" s="1"/>
      <c r="S521" s="1"/>
      <c r="T521" s="3"/>
      <c r="U521" s="3"/>
      <c r="V521" s="1"/>
      <c r="W521" s="1"/>
    </row>
    <row r="522" spans="1:23" ht="15.75" customHeight="1">
      <c r="A522" s="26"/>
      <c r="B522" s="1"/>
      <c r="C522" s="1"/>
      <c r="D522" s="1"/>
      <c r="E522" s="1"/>
      <c r="F522" s="3"/>
      <c r="G522" s="3"/>
      <c r="H522" s="1"/>
      <c r="I522" s="1"/>
      <c r="J522" s="1"/>
      <c r="K522" s="1"/>
      <c r="L522" s="1"/>
      <c r="M522" s="1"/>
      <c r="N522" s="1"/>
      <c r="O522" s="26"/>
      <c r="P522" s="1"/>
      <c r="Q522" s="1"/>
      <c r="R522" s="1"/>
      <c r="S522" s="1"/>
      <c r="T522" s="3"/>
      <c r="U522" s="3"/>
      <c r="V522" s="1"/>
      <c r="W522" s="1"/>
    </row>
    <row r="523" spans="1:23" ht="15.75" customHeight="1">
      <c r="A523" s="26"/>
      <c r="B523" s="1"/>
      <c r="C523" s="1"/>
      <c r="D523" s="1"/>
      <c r="E523" s="1"/>
      <c r="F523" s="3"/>
      <c r="G523" s="3"/>
      <c r="H523" s="1"/>
      <c r="I523" s="1"/>
      <c r="J523" s="1"/>
      <c r="K523" s="1"/>
      <c r="L523" s="1"/>
      <c r="M523" s="1"/>
      <c r="N523" s="1"/>
      <c r="O523" s="26"/>
      <c r="P523" s="1"/>
      <c r="Q523" s="1"/>
      <c r="R523" s="1"/>
      <c r="S523" s="1"/>
      <c r="T523" s="3"/>
      <c r="U523" s="3"/>
      <c r="V523" s="1"/>
      <c r="W523" s="1"/>
    </row>
    <row r="524" spans="1:23" ht="15.75" customHeight="1">
      <c r="A524" s="26"/>
      <c r="B524" s="1"/>
      <c r="C524" s="1"/>
      <c r="D524" s="1"/>
      <c r="E524" s="1"/>
      <c r="F524" s="3"/>
      <c r="G524" s="3"/>
      <c r="H524" s="1"/>
      <c r="I524" s="1"/>
      <c r="J524" s="1"/>
      <c r="K524" s="1"/>
      <c r="L524" s="1"/>
      <c r="M524" s="1"/>
      <c r="N524" s="1"/>
      <c r="O524" s="26"/>
      <c r="P524" s="1"/>
      <c r="Q524" s="1"/>
      <c r="R524" s="1"/>
      <c r="S524" s="1"/>
      <c r="T524" s="3"/>
      <c r="U524" s="3"/>
      <c r="V524" s="1"/>
      <c r="W524" s="1"/>
    </row>
    <row r="525" spans="1:23" ht="15.75" customHeight="1">
      <c r="A525" s="26"/>
      <c r="B525" s="1"/>
      <c r="C525" s="1"/>
      <c r="D525" s="1"/>
      <c r="E525" s="1"/>
      <c r="F525" s="3"/>
      <c r="G525" s="3"/>
      <c r="H525" s="1"/>
      <c r="I525" s="1"/>
      <c r="J525" s="1"/>
      <c r="K525" s="1"/>
      <c r="L525" s="1"/>
      <c r="M525" s="1"/>
      <c r="N525" s="1"/>
      <c r="O525" s="26"/>
      <c r="P525" s="1"/>
      <c r="Q525" s="1"/>
      <c r="R525" s="1"/>
      <c r="S525" s="1"/>
      <c r="T525" s="3"/>
      <c r="U525" s="3"/>
      <c r="V525" s="1"/>
      <c r="W525" s="1"/>
    </row>
    <row r="526" spans="1:23" ht="15.75" customHeight="1">
      <c r="A526" s="26"/>
      <c r="B526" s="1"/>
      <c r="C526" s="1"/>
      <c r="D526" s="1"/>
      <c r="E526" s="1"/>
      <c r="F526" s="3"/>
      <c r="G526" s="3"/>
      <c r="H526" s="1"/>
      <c r="I526" s="1"/>
      <c r="J526" s="1"/>
      <c r="K526" s="1"/>
      <c r="L526" s="1"/>
      <c r="M526" s="1"/>
      <c r="N526" s="1"/>
      <c r="O526" s="26"/>
      <c r="P526" s="1"/>
      <c r="Q526" s="1"/>
      <c r="R526" s="1"/>
      <c r="S526" s="1"/>
      <c r="T526" s="3"/>
      <c r="U526" s="3"/>
      <c r="V526" s="1"/>
      <c r="W526" s="1"/>
    </row>
    <row r="527" spans="1:23" ht="15.75" customHeight="1">
      <c r="A527" s="26"/>
      <c r="B527" s="1"/>
      <c r="C527" s="1"/>
      <c r="D527" s="1"/>
      <c r="E527" s="1"/>
      <c r="F527" s="3"/>
      <c r="G527" s="3"/>
      <c r="H527" s="1"/>
      <c r="I527" s="1"/>
      <c r="J527" s="1"/>
      <c r="K527" s="1"/>
      <c r="L527" s="1"/>
      <c r="M527" s="1"/>
      <c r="N527" s="1"/>
      <c r="O527" s="26"/>
      <c r="P527" s="1"/>
      <c r="Q527" s="1"/>
      <c r="R527" s="1"/>
      <c r="S527" s="1"/>
      <c r="T527" s="3"/>
      <c r="U527" s="3"/>
      <c r="V527" s="1"/>
      <c r="W527" s="1"/>
    </row>
    <row r="528" spans="1:23" ht="15.75" customHeight="1">
      <c r="A528" s="26"/>
      <c r="B528" s="1"/>
      <c r="C528" s="1"/>
      <c r="D528" s="1"/>
      <c r="E528" s="1"/>
      <c r="F528" s="3"/>
      <c r="G528" s="3"/>
      <c r="H528" s="1"/>
      <c r="I528" s="1"/>
      <c r="J528" s="1"/>
      <c r="K528" s="1"/>
      <c r="L528" s="1"/>
      <c r="M528" s="1"/>
      <c r="N528" s="1"/>
      <c r="O528" s="26"/>
      <c r="P528" s="1"/>
      <c r="Q528" s="1"/>
      <c r="R528" s="1"/>
      <c r="S528" s="1"/>
      <c r="T528" s="3"/>
      <c r="U528" s="3"/>
      <c r="V528" s="1"/>
      <c r="W528" s="1"/>
    </row>
    <row r="529" spans="1:23" ht="15.75" customHeight="1">
      <c r="A529" s="26"/>
      <c r="B529" s="1"/>
      <c r="C529" s="1"/>
      <c r="D529" s="1"/>
      <c r="E529" s="1"/>
      <c r="F529" s="3"/>
      <c r="G529" s="3"/>
      <c r="H529" s="1"/>
      <c r="I529" s="1"/>
      <c r="J529" s="1"/>
      <c r="K529" s="1"/>
      <c r="L529" s="1"/>
      <c r="M529" s="1"/>
      <c r="N529" s="1"/>
      <c r="O529" s="26"/>
      <c r="P529" s="1"/>
      <c r="Q529" s="1"/>
      <c r="R529" s="1"/>
      <c r="S529" s="1"/>
      <c r="T529" s="3"/>
      <c r="U529" s="3"/>
      <c r="V529" s="1"/>
      <c r="W529" s="1"/>
    </row>
    <row r="530" spans="1:23" ht="15.75" customHeight="1">
      <c r="A530" s="26"/>
      <c r="B530" s="1"/>
      <c r="C530" s="1"/>
      <c r="D530" s="1"/>
      <c r="E530" s="1"/>
      <c r="F530" s="3"/>
      <c r="G530" s="3"/>
      <c r="H530" s="1"/>
      <c r="I530" s="1"/>
      <c r="J530" s="1"/>
      <c r="K530" s="1"/>
      <c r="L530" s="1"/>
      <c r="M530" s="1"/>
      <c r="N530" s="1"/>
      <c r="O530" s="26"/>
      <c r="P530" s="1"/>
      <c r="Q530" s="1"/>
      <c r="R530" s="1"/>
      <c r="S530" s="1"/>
      <c r="T530" s="3"/>
      <c r="U530" s="3"/>
      <c r="V530" s="1"/>
      <c r="W530" s="1"/>
    </row>
    <row r="531" spans="1:23" ht="15.75" customHeight="1">
      <c r="A531" s="26"/>
      <c r="B531" s="1"/>
      <c r="C531" s="1"/>
      <c r="D531" s="1"/>
      <c r="E531" s="1"/>
      <c r="F531" s="3"/>
      <c r="G531" s="3"/>
      <c r="H531" s="1"/>
      <c r="I531" s="1"/>
      <c r="J531" s="1"/>
      <c r="K531" s="1"/>
      <c r="L531" s="1"/>
      <c r="M531" s="1"/>
      <c r="N531" s="1"/>
      <c r="O531" s="26"/>
      <c r="P531" s="1"/>
      <c r="Q531" s="1"/>
      <c r="R531" s="1"/>
      <c r="S531" s="1"/>
      <c r="T531" s="3"/>
      <c r="U531" s="3"/>
      <c r="V531" s="1"/>
      <c r="W531" s="1"/>
    </row>
    <row r="532" spans="1:23" ht="15.75" customHeight="1">
      <c r="A532" s="26"/>
      <c r="B532" s="1"/>
      <c r="C532" s="1"/>
      <c r="D532" s="1"/>
      <c r="E532" s="1"/>
      <c r="F532" s="3"/>
      <c r="G532" s="3"/>
      <c r="H532" s="1"/>
      <c r="I532" s="1"/>
      <c r="J532" s="1"/>
      <c r="K532" s="1"/>
      <c r="L532" s="1"/>
      <c r="M532" s="1"/>
      <c r="N532" s="1"/>
      <c r="O532" s="26"/>
      <c r="P532" s="1"/>
      <c r="Q532" s="1"/>
      <c r="R532" s="1"/>
      <c r="S532" s="1"/>
      <c r="T532" s="3"/>
      <c r="U532" s="3"/>
      <c r="V532" s="1"/>
      <c r="W532" s="1"/>
    </row>
    <row r="533" spans="1:23" ht="15.75" customHeight="1">
      <c r="A533" s="26"/>
      <c r="B533" s="1"/>
      <c r="C533" s="1"/>
      <c r="D533" s="1"/>
      <c r="E533" s="1"/>
      <c r="F533" s="3"/>
      <c r="G533" s="3"/>
      <c r="H533" s="1"/>
      <c r="I533" s="1"/>
      <c r="J533" s="1"/>
      <c r="K533" s="1"/>
      <c r="L533" s="1"/>
      <c r="M533" s="1"/>
      <c r="N533" s="1"/>
      <c r="O533" s="26"/>
      <c r="P533" s="1"/>
      <c r="Q533" s="1"/>
      <c r="R533" s="1"/>
      <c r="S533" s="1"/>
      <c r="T533" s="3"/>
      <c r="U533" s="3"/>
      <c r="V533" s="1"/>
      <c r="W533" s="1"/>
    </row>
    <row r="534" spans="1:23" ht="15.75" customHeight="1">
      <c r="A534" s="26"/>
      <c r="B534" s="1"/>
      <c r="C534" s="1"/>
      <c r="D534" s="1"/>
      <c r="E534" s="1"/>
      <c r="F534" s="3"/>
      <c r="G534" s="3"/>
      <c r="H534" s="1"/>
      <c r="I534" s="1"/>
      <c r="J534" s="1"/>
      <c r="K534" s="1"/>
      <c r="L534" s="1"/>
      <c r="M534" s="1"/>
      <c r="N534" s="1"/>
      <c r="O534" s="26"/>
      <c r="P534" s="1"/>
      <c r="Q534" s="1"/>
      <c r="R534" s="1"/>
      <c r="S534" s="1"/>
      <c r="T534" s="3"/>
      <c r="U534" s="3"/>
      <c r="V534" s="1"/>
      <c r="W534" s="1"/>
    </row>
    <row r="535" spans="1:23" ht="15.75" customHeight="1">
      <c r="A535" s="26"/>
      <c r="B535" s="1"/>
      <c r="C535" s="1"/>
      <c r="D535" s="1"/>
      <c r="E535" s="1"/>
      <c r="F535" s="3"/>
      <c r="G535" s="3"/>
      <c r="H535" s="1"/>
      <c r="I535" s="1"/>
      <c r="J535" s="1"/>
      <c r="K535" s="1"/>
      <c r="L535" s="1"/>
      <c r="M535" s="1"/>
      <c r="N535" s="1"/>
      <c r="O535" s="26"/>
      <c r="P535" s="1"/>
      <c r="Q535" s="1"/>
      <c r="R535" s="1"/>
      <c r="S535" s="1"/>
      <c r="T535" s="3"/>
      <c r="U535" s="3"/>
      <c r="V535" s="1"/>
      <c r="W535" s="1"/>
    </row>
    <row r="536" spans="1:23" ht="15.75" customHeight="1">
      <c r="A536" s="26"/>
      <c r="B536" s="1"/>
      <c r="C536" s="1"/>
      <c r="D536" s="1"/>
      <c r="E536" s="1"/>
      <c r="F536" s="3"/>
      <c r="G536" s="3"/>
      <c r="H536" s="1"/>
      <c r="I536" s="1"/>
      <c r="J536" s="1"/>
      <c r="K536" s="1"/>
      <c r="L536" s="1"/>
      <c r="M536" s="1"/>
      <c r="N536" s="1"/>
      <c r="O536" s="26"/>
      <c r="P536" s="1"/>
      <c r="Q536" s="1"/>
      <c r="R536" s="1"/>
      <c r="S536" s="1"/>
      <c r="T536" s="3"/>
      <c r="U536" s="3"/>
      <c r="V536" s="1"/>
      <c r="W536" s="1"/>
    </row>
    <row r="537" spans="1:23" ht="15.75" customHeight="1">
      <c r="A537" s="26"/>
      <c r="B537" s="1"/>
      <c r="C537" s="1"/>
      <c r="D537" s="1"/>
      <c r="E537" s="1"/>
      <c r="F537" s="3"/>
      <c r="G537" s="3"/>
      <c r="H537" s="1"/>
      <c r="I537" s="1"/>
      <c r="J537" s="1"/>
      <c r="K537" s="1"/>
      <c r="L537" s="1"/>
      <c r="M537" s="1"/>
      <c r="N537" s="1"/>
      <c r="O537" s="26"/>
      <c r="P537" s="1"/>
      <c r="Q537" s="1"/>
      <c r="R537" s="1"/>
      <c r="S537" s="1"/>
      <c r="T537" s="3"/>
      <c r="U537" s="3"/>
      <c r="V537" s="1"/>
      <c r="W537" s="1"/>
    </row>
    <row r="538" spans="1:23" ht="15.75" customHeight="1">
      <c r="A538" s="26"/>
      <c r="B538" s="1"/>
      <c r="C538" s="1"/>
      <c r="D538" s="1"/>
      <c r="E538" s="1"/>
      <c r="F538" s="3"/>
      <c r="G538" s="3"/>
      <c r="H538" s="1"/>
      <c r="I538" s="1"/>
      <c r="J538" s="1"/>
      <c r="K538" s="1"/>
      <c r="L538" s="1"/>
      <c r="M538" s="1"/>
      <c r="N538" s="1"/>
      <c r="O538" s="26"/>
      <c r="P538" s="1"/>
      <c r="Q538" s="1"/>
      <c r="R538" s="1"/>
      <c r="S538" s="1"/>
      <c r="T538" s="3"/>
      <c r="U538" s="3"/>
      <c r="V538" s="1"/>
      <c r="W538" s="1"/>
    </row>
    <row r="539" spans="1:23" ht="15.75" customHeight="1">
      <c r="A539" s="26"/>
      <c r="B539" s="1"/>
      <c r="C539" s="1"/>
      <c r="D539" s="1"/>
      <c r="E539" s="1"/>
      <c r="F539" s="3"/>
      <c r="G539" s="3"/>
      <c r="H539" s="1"/>
      <c r="I539" s="1"/>
      <c r="J539" s="1"/>
      <c r="K539" s="1"/>
      <c r="L539" s="1"/>
      <c r="M539" s="1"/>
      <c r="N539" s="1"/>
      <c r="O539" s="26"/>
      <c r="P539" s="1"/>
      <c r="Q539" s="1"/>
      <c r="R539" s="1"/>
      <c r="S539" s="1"/>
      <c r="T539" s="3"/>
      <c r="U539" s="3"/>
      <c r="V539" s="1"/>
      <c r="W539" s="1"/>
    </row>
    <row r="540" spans="1:23" ht="15.75" customHeight="1">
      <c r="A540" s="26"/>
      <c r="B540" s="1"/>
      <c r="C540" s="1"/>
      <c r="D540" s="1"/>
      <c r="E540" s="1"/>
      <c r="F540" s="3"/>
      <c r="G540" s="3"/>
      <c r="H540" s="1"/>
      <c r="I540" s="1"/>
      <c r="J540" s="1"/>
      <c r="K540" s="1"/>
      <c r="L540" s="1"/>
      <c r="M540" s="1"/>
      <c r="N540" s="1"/>
      <c r="O540" s="26"/>
      <c r="P540" s="1"/>
      <c r="Q540" s="1"/>
      <c r="R540" s="1"/>
      <c r="S540" s="1"/>
      <c r="T540" s="3"/>
      <c r="U540" s="3"/>
      <c r="V540" s="1"/>
      <c r="W540" s="1"/>
    </row>
    <row r="541" spans="1:23" ht="15.75" customHeight="1">
      <c r="A541" s="26"/>
      <c r="B541" s="1"/>
      <c r="C541" s="1"/>
      <c r="D541" s="1"/>
      <c r="E541" s="1"/>
      <c r="F541" s="3"/>
      <c r="G541" s="3"/>
      <c r="H541" s="1"/>
      <c r="I541" s="1"/>
      <c r="J541" s="1"/>
      <c r="K541" s="1"/>
      <c r="L541" s="1"/>
      <c r="M541" s="1"/>
      <c r="N541" s="1"/>
      <c r="O541" s="26"/>
      <c r="P541" s="1"/>
      <c r="Q541" s="1"/>
      <c r="R541" s="1"/>
      <c r="S541" s="1"/>
      <c r="T541" s="3"/>
      <c r="U541" s="3"/>
      <c r="V541" s="1"/>
      <c r="W541" s="1"/>
    </row>
    <row r="542" spans="1:23" ht="15.75" customHeight="1">
      <c r="A542" s="26"/>
      <c r="B542" s="1"/>
      <c r="C542" s="1"/>
      <c r="D542" s="1"/>
      <c r="E542" s="1"/>
      <c r="F542" s="3"/>
      <c r="G542" s="3"/>
      <c r="H542" s="1"/>
      <c r="I542" s="1"/>
      <c r="J542" s="1"/>
      <c r="K542" s="1"/>
      <c r="L542" s="1"/>
      <c r="M542" s="1"/>
      <c r="N542" s="1"/>
      <c r="O542" s="26"/>
      <c r="P542" s="1"/>
      <c r="Q542" s="1"/>
      <c r="R542" s="1"/>
      <c r="S542" s="1"/>
      <c r="T542" s="3"/>
      <c r="U542" s="3"/>
      <c r="V542" s="1"/>
      <c r="W542" s="1"/>
    </row>
    <row r="543" spans="1:23" ht="15.75" customHeight="1">
      <c r="A543" s="26"/>
      <c r="B543" s="1"/>
      <c r="C543" s="1"/>
      <c r="D543" s="1"/>
      <c r="E543" s="1"/>
      <c r="F543" s="3"/>
      <c r="G543" s="3"/>
      <c r="H543" s="1"/>
      <c r="I543" s="1"/>
      <c r="J543" s="1"/>
      <c r="K543" s="1"/>
      <c r="L543" s="1"/>
      <c r="M543" s="1"/>
      <c r="N543" s="1"/>
      <c r="O543" s="26"/>
      <c r="P543" s="1"/>
      <c r="Q543" s="1"/>
      <c r="R543" s="1"/>
      <c r="S543" s="1"/>
      <c r="T543" s="3"/>
      <c r="U543" s="3"/>
      <c r="V543" s="1"/>
      <c r="W543" s="1"/>
    </row>
    <row r="544" spans="1:23" ht="15.75" customHeight="1">
      <c r="A544" s="26"/>
      <c r="B544" s="1"/>
      <c r="C544" s="1"/>
      <c r="D544" s="1"/>
      <c r="E544" s="1"/>
      <c r="F544" s="3"/>
      <c r="G544" s="3"/>
      <c r="H544" s="1"/>
      <c r="I544" s="1"/>
      <c r="J544" s="1"/>
      <c r="K544" s="1"/>
      <c r="L544" s="1"/>
      <c r="M544" s="1"/>
      <c r="N544" s="1"/>
      <c r="O544" s="26"/>
      <c r="P544" s="1"/>
      <c r="Q544" s="1"/>
      <c r="R544" s="1"/>
      <c r="S544" s="1"/>
      <c r="T544" s="3"/>
      <c r="U544" s="3"/>
      <c r="V544" s="1"/>
      <c r="W544" s="1"/>
    </row>
    <row r="545" spans="1:23" ht="15.75" customHeight="1">
      <c r="A545" s="26"/>
      <c r="B545" s="1"/>
      <c r="C545" s="1"/>
      <c r="D545" s="1"/>
      <c r="E545" s="1"/>
      <c r="F545" s="3"/>
      <c r="G545" s="3"/>
      <c r="H545" s="1"/>
      <c r="I545" s="1"/>
      <c r="J545" s="1"/>
      <c r="K545" s="1"/>
      <c r="L545" s="1"/>
      <c r="M545" s="1"/>
      <c r="N545" s="1"/>
      <c r="O545" s="26"/>
      <c r="P545" s="1"/>
      <c r="Q545" s="1"/>
      <c r="R545" s="1"/>
      <c r="S545" s="1"/>
      <c r="T545" s="3"/>
      <c r="U545" s="3"/>
      <c r="V545" s="1"/>
      <c r="W545" s="1"/>
    </row>
    <row r="546" spans="1:23" ht="15.75" customHeight="1">
      <c r="A546" s="26"/>
      <c r="B546" s="1"/>
      <c r="C546" s="1"/>
      <c r="D546" s="1"/>
      <c r="E546" s="1"/>
      <c r="F546" s="3"/>
      <c r="G546" s="3"/>
      <c r="H546" s="1"/>
      <c r="I546" s="1"/>
      <c r="J546" s="1"/>
      <c r="K546" s="1"/>
      <c r="L546" s="1"/>
      <c r="M546" s="1"/>
      <c r="N546" s="1"/>
      <c r="O546" s="26"/>
      <c r="P546" s="1"/>
      <c r="Q546" s="1"/>
      <c r="R546" s="1"/>
      <c r="S546" s="1"/>
      <c r="T546" s="3"/>
      <c r="U546" s="3"/>
      <c r="V546" s="1"/>
      <c r="W546" s="1"/>
    </row>
    <row r="547" spans="1:23" ht="15.75" customHeight="1">
      <c r="A547" s="26"/>
      <c r="B547" s="1"/>
      <c r="C547" s="1"/>
      <c r="D547" s="1"/>
      <c r="E547" s="1"/>
      <c r="F547" s="3"/>
      <c r="G547" s="3"/>
      <c r="H547" s="1"/>
      <c r="I547" s="1"/>
      <c r="J547" s="1"/>
      <c r="K547" s="1"/>
      <c r="L547" s="1"/>
      <c r="M547" s="1"/>
      <c r="N547" s="1"/>
      <c r="O547" s="26"/>
      <c r="P547" s="1"/>
      <c r="Q547" s="1"/>
      <c r="R547" s="1"/>
      <c r="S547" s="1"/>
      <c r="T547" s="3"/>
      <c r="U547" s="3"/>
      <c r="V547" s="1"/>
      <c r="W547" s="1"/>
    </row>
    <row r="548" spans="1:23" ht="15.75" customHeight="1">
      <c r="A548" s="26"/>
      <c r="B548" s="1"/>
      <c r="C548" s="1"/>
      <c r="D548" s="1"/>
      <c r="E548" s="1"/>
      <c r="F548" s="3"/>
      <c r="G548" s="3"/>
      <c r="H548" s="1"/>
      <c r="I548" s="1"/>
      <c r="J548" s="1"/>
      <c r="K548" s="1"/>
      <c r="L548" s="1"/>
      <c r="M548" s="1"/>
      <c r="N548" s="1"/>
      <c r="O548" s="26"/>
      <c r="P548" s="1"/>
      <c r="Q548" s="1"/>
      <c r="R548" s="1"/>
      <c r="S548" s="1"/>
      <c r="T548" s="3"/>
      <c r="U548" s="3"/>
      <c r="V548" s="1"/>
      <c r="W548" s="1"/>
    </row>
    <row r="549" spans="1:23" ht="15.75" customHeight="1">
      <c r="A549" s="26"/>
      <c r="B549" s="1"/>
      <c r="C549" s="1"/>
      <c r="D549" s="1"/>
      <c r="E549" s="1"/>
      <c r="F549" s="3"/>
      <c r="G549" s="3"/>
      <c r="H549" s="1"/>
      <c r="I549" s="1"/>
      <c r="J549" s="1"/>
      <c r="K549" s="1"/>
      <c r="L549" s="1"/>
      <c r="M549" s="1"/>
      <c r="N549" s="1"/>
      <c r="O549" s="26"/>
      <c r="P549" s="1"/>
      <c r="Q549" s="1"/>
      <c r="R549" s="1"/>
      <c r="S549" s="1"/>
      <c r="T549" s="3"/>
      <c r="U549" s="3"/>
      <c r="V549" s="1"/>
      <c r="W549" s="1"/>
    </row>
    <row r="550" spans="1:23" ht="15.75" customHeight="1"/>
    <row r="551" spans="1:23" ht="15.75" customHeight="1"/>
    <row r="552" spans="1:23" ht="15.75" customHeight="1"/>
    <row r="553" spans="1:23" ht="15.75" customHeight="1"/>
    <row r="554" spans="1:23" ht="15.75" customHeight="1"/>
    <row r="555" spans="1:23" ht="15.75" customHeight="1"/>
    <row r="556" spans="1:23" ht="15.75" customHeight="1"/>
    <row r="557" spans="1:23" ht="15.75" customHeight="1"/>
    <row r="558" spans="1:23" ht="15.75" customHeight="1"/>
    <row r="559" spans="1:23" ht="15.75" customHeight="1"/>
    <row r="560" spans="1:23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Y3:Y5"/>
    <mergeCell ref="Z3:Z5"/>
    <mergeCell ref="AA3:AA5"/>
    <mergeCell ref="A1:G1"/>
    <mergeCell ref="O1:U1"/>
    <mergeCell ref="A2:A4"/>
    <mergeCell ref="B2:B4"/>
    <mergeCell ref="C2:D2"/>
    <mergeCell ref="E2:E4"/>
    <mergeCell ref="U2:U4"/>
    <mergeCell ref="Q2:R2"/>
    <mergeCell ref="S2:S4"/>
    <mergeCell ref="T2:T4"/>
    <mergeCell ref="W3:W5"/>
    <mergeCell ref="X3:X5"/>
    <mergeCell ref="K2:K4"/>
    <mergeCell ref="L2:L4"/>
    <mergeCell ref="M2:M4"/>
    <mergeCell ref="O2:O4"/>
    <mergeCell ref="P2:P4"/>
    <mergeCell ref="F2:F4"/>
    <mergeCell ref="G2:G4"/>
    <mergeCell ref="I2:I4"/>
    <mergeCell ref="J2:J4"/>
    <mergeCell ref="I23:I27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</sheetPr>
  <dimension ref="A1:Z344"/>
  <sheetViews>
    <sheetView workbookViewId="0">
      <selection activeCell="C1" sqref="C1"/>
    </sheetView>
  </sheetViews>
  <sheetFormatPr baseColWidth="10" defaultColWidth="12.6640625" defaultRowHeight="15" customHeight="1"/>
  <cols>
    <col min="1" max="1" width="12.6640625" style="47" customWidth="1"/>
    <col min="2" max="2" width="12.6640625" customWidth="1"/>
    <col min="3" max="4" width="13.33203125" customWidth="1"/>
    <col min="5" max="6" width="12.6640625" customWidth="1"/>
  </cols>
  <sheetData>
    <row r="1" spans="1:26" ht="15.75" customHeight="1">
      <c r="A1" s="61" t="s">
        <v>1</v>
      </c>
      <c r="B1" s="26" t="s">
        <v>712</v>
      </c>
      <c r="C1" s="28" t="s">
        <v>713</v>
      </c>
      <c r="D1" s="28" t="s">
        <v>714</v>
      </c>
      <c r="E1" s="26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ht="15.75" customHeight="1">
      <c r="A2" s="62">
        <v>10101</v>
      </c>
      <c r="B2" s="30" t="s">
        <v>13</v>
      </c>
      <c r="C2" s="10">
        <v>7.0323350561861826</v>
      </c>
      <c r="D2" s="32">
        <v>3.7853840850792806</v>
      </c>
      <c r="E2" s="33"/>
      <c r="F2" s="17"/>
    </row>
    <row r="3" spans="1:26" ht="15.75" customHeight="1">
      <c r="A3" s="62">
        <v>10102</v>
      </c>
      <c r="B3" s="30" t="s">
        <v>16</v>
      </c>
      <c r="C3" s="10">
        <v>16.484375</v>
      </c>
      <c r="D3" s="32">
        <v>9.178527401098286</v>
      </c>
      <c r="E3" s="33"/>
      <c r="F3" s="17"/>
    </row>
    <row r="4" spans="1:26" ht="15.75" customHeight="1">
      <c r="A4" s="62">
        <v>10103</v>
      </c>
      <c r="B4" s="30" t="s">
        <v>19</v>
      </c>
      <c r="C4" s="10">
        <v>49.475134496785202</v>
      </c>
      <c r="D4" s="32">
        <v>34.894830110177985</v>
      </c>
      <c r="E4" s="33"/>
      <c r="F4" s="17"/>
    </row>
    <row r="5" spans="1:26" ht="15.75" customHeight="1">
      <c r="A5" s="62">
        <v>10201</v>
      </c>
      <c r="B5" s="30" t="s">
        <v>24</v>
      </c>
      <c r="C5" s="10">
        <v>31.781294380198823</v>
      </c>
      <c r="D5" s="32">
        <v>22.761841227484993</v>
      </c>
      <c r="E5" s="33"/>
      <c r="F5" s="17"/>
    </row>
    <row r="6" spans="1:26" ht="15.75" customHeight="1">
      <c r="A6" s="62">
        <v>10202</v>
      </c>
      <c r="B6" s="30" t="s">
        <v>25</v>
      </c>
      <c r="C6" s="10">
        <v>44.011662679425839</v>
      </c>
      <c r="D6" s="32">
        <v>26.461038961038962</v>
      </c>
      <c r="E6" s="33"/>
      <c r="F6" s="17"/>
    </row>
    <row r="7" spans="1:26" ht="15.75" customHeight="1">
      <c r="A7" s="62">
        <v>10301</v>
      </c>
      <c r="B7" s="30" t="s">
        <v>30</v>
      </c>
      <c r="C7" s="10">
        <v>21.607525379528735</v>
      </c>
      <c r="D7" s="32">
        <v>13.469264003638292</v>
      </c>
      <c r="E7" s="33"/>
      <c r="F7" s="17"/>
    </row>
    <row r="8" spans="1:26" ht="15.75" customHeight="1">
      <c r="A8" s="62">
        <v>10302</v>
      </c>
      <c r="B8" s="30" t="s">
        <v>31</v>
      </c>
      <c r="C8" s="10">
        <v>42.468491960017388</v>
      </c>
      <c r="D8" s="32">
        <v>27.437698611807992</v>
      </c>
      <c r="E8" s="33"/>
      <c r="F8" s="17"/>
    </row>
    <row r="9" spans="1:26" ht="15.75" customHeight="1">
      <c r="A9" s="62">
        <v>10303</v>
      </c>
      <c r="B9" s="30" t="s">
        <v>36</v>
      </c>
      <c r="C9" s="10">
        <v>21.187226712601035</v>
      </c>
      <c r="D9" s="32">
        <v>15.340974875535487</v>
      </c>
      <c r="E9" s="33"/>
      <c r="F9" s="17"/>
    </row>
    <row r="10" spans="1:26" ht="15.75" customHeight="1">
      <c r="A10" s="62">
        <v>10304</v>
      </c>
      <c r="B10" s="30" t="s">
        <v>37</v>
      </c>
      <c r="C10" s="10">
        <v>38.567907995618839</v>
      </c>
      <c r="D10" s="32">
        <v>28.697721863311799</v>
      </c>
      <c r="E10" s="33"/>
      <c r="F10" s="17"/>
    </row>
    <row r="11" spans="1:26" ht="15.75" customHeight="1">
      <c r="A11" s="62">
        <v>10401</v>
      </c>
      <c r="B11" s="30" t="s">
        <v>42</v>
      </c>
      <c r="C11" s="10">
        <v>3.8898556658818717</v>
      </c>
      <c r="D11" s="32">
        <v>2.2722108611679164</v>
      </c>
      <c r="E11" s="33"/>
      <c r="F11" s="17"/>
    </row>
    <row r="12" spans="1:26" ht="15.75" customHeight="1">
      <c r="A12" s="62">
        <v>10402</v>
      </c>
      <c r="B12" s="30" t="s">
        <v>43</v>
      </c>
      <c r="C12" s="10">
        <v>23.064333375299007</v>
      </c>
      <c r="D12" s="32">
        <v>13.564939847778051</v>
      </c>
      <c r="E12" s="33"/>
      <c r="F12" s="17"/>
    </row>
    <row r="13" spans="1:26" ht="15.75" customHeight="1">
      <c r="A13" s="62">
        <v>10403</v>
      </c>
      <c r="B13" s="30" t="s">
        <v>46</v>
      </c>
      <c r="C13" s="10">
        <v>33.181818181818187</v>
      </c>
      <c r="D13" s="32">
        <v>22.980711271850513</v>
      </c>
      <c r="E13" s="33"/>
      <c r="F13" s="17"/>
    </row>
    <row r="14" spans="1:26" ht="15.75" customHeight="1">
      <c r="A14" s="62">
        <v>10404</v>
      </c>
      <c r="B14" s="30" t="s">
        <v>48</v>
      </c>
      <c r="C14" s="10">
        <v>3.8935756002595716</v>
      </c>
      <c r="D14" s="32">
        <v>1.6235553109521188</v>
      </c>
      <c r="E14" s="33"/>
      <c r="F14" s="17"/>
    </row>
    <row r="15" spans="1:26" ht="15.75" customHeight="1">
      <c r="A15" s="62">
        <v>10405</v>
      </c>
      <c r="B15" s="30" t="s">
        <v>51</v>
      </c>
      <c r="C15" s="10">
        <v>3.5427491733585259</v>
      </c>
      <c r="D15" s="32">
        <v>1.606944957517547</v>
      </c>
      <c r="E15" s="33"/>
      <c r="F15" s="17"/>
    </row>
    <row r="16" spans="1:26" ht="15.75" customHeight="1">
      <c r="A16" s="62">
        <v>10501</v>
      </c>
      <c r="B16" s="30" t="s">
        <v>54</v>
      </c>
      <c r="C16" s="10">
        <v>3.3251555244019979</v>
      </c>
      <c r="D16" s="32">
        <v>3.2301822806273846</v>
      </c>
      <c r="E16" s="33"/>
      <c r="F16" s="17"/>
    </row>
    <row r="17" spans="1:6" ht="15.75" customHeight="1">
      <c r="A17" s="62">
        <v>10502</v>
      </c>
      <c r="B17" s="30" t="s">
        <v>59</v>
      </c>
      <c r="C17" s="10">
        <v>6.0332602810364833</v>
      </c>
      <c r="D17" s="32">
        <v>6.7066920486161958</v>
      </c>
      <c r="E17" s="33"/>
      <c r="F17" s="17"/>
    </row>
    <row r="18" spans="1:6" ht="15.75" customHeight="1">
      <c r="A18" s="62">
        <v>10601</v>
      </c>
      <c r="B18" s="30" t="s">
        <v>60</v>
      </c>
      <c r="C18" s="10">
        <v>44.562151319501034</v>
      </c>
      <c r="D18" s="32">
        <v>29.764972280783947</v>
      </c>
      <c r="E18" s="33"/>
      <c r="F18" s="17"/>
    </row>
    <row r="19" spans="1:6" ht="15.75" customHeight="1">
      <c r="A19" s="62">
        <v>10602</v>
      </c>
      <c r="B19" s="30" t="s">
        <v>64</v>
      </c>
      <c r="C19" s="10">
        <v>30.507763323541752</v>
      </c>
      <c r="D19" s="32">
        <v>21.832884097035041</v>
      </c>
      <c r="E19" s="33"/>
      <c r="F19" s="17"/>
    </row>
    <row r="20" spans="1:6" ht="15.75" customHeight="1">
      <c r="A20" s="62">
        <v>10701</v>
      </c>
      <c r="B20" s="30" t="s">
        <v>67</v>
      </c>
      <c r="C20" s="10">
        <v>7.8925845147219187</v>
      </c>
      <c r="D20" s="32">
        <v>3.6393187760582291</v>
      </c>
      <c r="E20" s="33"/>
      <c r="F20" s="17"/>
    </row>
    <row r="21" spans="1:6" ht="15.75" customHeight="1">
      <c r="A21" s="62">
        <v>10702</v>
      </c>
      <c r="B21" s="30" t="s">
        <v>70</v>
      </c>
      <c r="C21" s="10">
        <v>33.207158747551219</v>
      </c>
      <c r="D21" s="32">
        <v>20.076399007600521</v>
      </c>
      <c r="E21" s="33"/>
      <c r="F21" s="17"/>
    </row>
    <row r="22" spans="1:6" ht="15.75" customHeight="1">
      <c r="A22" s="62">
        <v>10703</v>
      </c>
      <c r="B22" s="30" t="s">
        <v>72</v>
      </c>
      <c r="C22" s="10">
        <v>14.975402318018844</v>
      </c>
      <c r="D22" s="32">
        <v>9.0264921800191509</v>
      </c>
      <c r="E22" s="33"/>
      <c r="F22" s="17"/>
    </row>
    <row r="23" spans="1:6" ht="15.75" customHeight="1">
      <c r="A23" s="62">
        <v>10704</v>
      </c>
      <c r="B23" s="30" t="s">
        <v>74</v>
      </c>
      <c r="C23" s="10">
        <v>19.591644838471357</v>
      </c>
      <c r="D23" s="32">
        <v>11.326860841423949</v>
      </c>
      <c r="E23" s="33"/>
      <c r="F23" s="17"/>
    </row>
    <row r="24" spans="1:6" ht="15.75" customHeight="1">
      <c r="A24" s="62">
        <v>10801</v>
      </c>
      <c r="B24" s="30" t="s">
        <v>76</v>
      </c>
      <c r="C24" s="10">
        <v>9.1178155432499519</v>
      </c>
      <c r="D24" s="32">
        <v>4.2589437819420786</v>
      </c>
      <c r="E24" s="33"/>
      <c r="F24" s="17"/>
    </row>
    <row r="25" spans="1:6" ht="15.75" customHeight="1">
      <c r="A25" s="62">
        <v>10901</v>
      </c>
      <c r="B25" s="30" t="s">
        <v>79</v>
      </c>
      <c r="C25" s="10">
        <v>0.8544400366188587</v>
      </c>
      <c r="D25" s="32">
        <v>0.93041287071137824</v>
      </c>
      <c r="E25" s="33"/>
      <c r="F25" s="17"/>
    </row>
    <row r="26" spans="1:6" ht="15.75" customHeight="1">
      <c r="A26" s="62">
        <v>10902</v>
      </c>
      <c r="B26" s="30" t="s">
        <v>80</v>
      </c>
      <c r="C26" s="10">
        <v>4.1425877486465108</v>
      </c>
      <c r="D26" s="32">
        <v>2.3877001558736008</v>
      </c>
      <c r="E26" s="33"/>
      <c r="F26" s="17"/>
    </row>
    <row r="27" spans="1:6" ht="15.75" customHeight="1">
      <c r="A27" s="62">
        <v>10903</v>
      </c>
      <c r="B27" s="30" t="s">
        <v>83</v>
      </c>
      <c r="C27" s="10">
        <v>1.2432012432012431</v>
      </c>
      <c r="D27" s="32">
        <v>0.88806278397356464</v>
      </c>
      <c r="E27" s="33"/>
      <c r="F27" s="17"/>
    </row>
    <row r="28" spans="1:6" ht="15.75" customHeight="1">
      <c r="A28" s="62">
        <v>11001</v>
      </c>
      <c r="B28" s="30" t="s">
        <v>87</v>
      </c>
      <c r="C28" s="10">
        <v>8.7982359426681374</v>
      </c>
      <c r="D28" s="32">
        <v>6.9422776911076438</v>
      </c>
      <c r="E28" s="33"/>
      <c r="F28" s="17"/>
    </row>
    <row r="29" spans="1:6" ht="15.75" customHeight="1">
      <c r="A29" s="62">
        <v>11002</v>
      </c>
      <c r="B29" s="30" t="s">
        <v>88</v>
      </c>
      <c r="C29" s="10">
        <v>2.9698769622401358</v>
      </c>
      <c r="D29" s="32">
        <v>2.6326614561908679</v>
      </c>
      <c r="E29" s="33"/>
      <c r="F29" s="17"/>
    </row>
    <row r="30" spans="1:6" ht="15.75" customHeight="1">
      <c r="A30" s="62">
        <v>11003</v>
      </c>
      <c r="B30" s="30" t="s">
        <v>91</v>
      </c>
      <c r="C30" s="10">
        <v>3.8239538239538238</v>
      </c>
      <c r="D30" s="32">
        <v>4.9192152336987887</v>
      </c>
      <c r="E30" s="33"/>
      <c r="F30" s="17"/>
    </row>
    <row r="31" spans="1:6" ht="15.75" customHeight="1">
      <c r="A31" s="62">
        <v>20101</v>
      </c>
      <c r="B31" s="30" t="s">
        <v>93</v>
      </c>
      <c r="C31" s="10">
        <v>2.3225742891272492</v>
      </c>
      <c r="D31" s="32">
        <v>0.92213629372613382</v>
      </c>
      <c r="E31" s="33"/>
      <c r="F31" s="17"/>
    </row>
    <row r="32" spans="1:6" ht="15.75" customHeight="1">
      <c r="A32" s="62">
        <v>20102</v>
      </c>
      <c r="B32" s="30" t="s">
        <v>94</v>
      </c>
      <c r="C32" s="10">
        <v>18.000893028002807</v>
      </c>
      <c r="D32" s="32">
        <v>9.6755504055619923</v>
      </c>
      <c r="E32" s="33"/>
      <c r="F32" s="17"/>
    </row>
    <row r="33" spans="1:6" ht="15.75" customHeight="1">
      <c r="A33" s="62">
        <v>20103</v>
      </c>
      <c r="B33" s="30" t="s">
        <v>96</v>
      </c>
      <c r="C33" s="10">
        <v>11.46551724137931</v>
      </c>
      <c r="D33" s="32">
        <v>5.2327935222672064</v>
      </c>
      <c r="E33" s="33"/>
      <c r="F33" s="17"/>
    </row>
    <row r="34" spans="1:6" ht="15.75" customHeight="1">
      <c r="A34" s="62">
        <v>20104</v>
      </c>
      <c r="B34" s="30" t="s">
        <v>98</v>
      </c>
      <c r="C34" s="10">
        <v>7.5138536676998218</v>
      </c>
      <c r="D34" s="32">
        <v>2.8610138873207633</v>
      </c>
      <c r="E34" s="33"/>
      <c r="F34" s="17"/>
    </row>
    <row r="35" spans="1:6" ht="15.75" customHeight="1">
      <c r="A35" s="62">
        <v>20105</v>
      </c>
      <c r="B35" s="30" t="s">
        <v>100</v>
      </c>
      <c r="C35" s="10">
        <v>4.5172800514981741</v>
      </c>
      <c r="D35" s="32">
        <v>1.4457842673240981</v>
      </c>
      <c r="E35" s="33"/>
      <c r="F35" s="17"/>
    </row>
    <row r="36" spans="1:6" ht="15.75" customHeight="1">
      <c r="A36" s="62">
        <v>20201</v>
      </c>
      <c r="B36" s="30" t="s">
        <v>102</v>
      </c>
      <c r="C36" s="10">
        <v>24.666697001410565</v>
      </c>
      <c r="D36" s="32">
        <v>12.362108212222028</v>
      </c>
      <c r="E36" s="33"/>
      <c r="F36" s="17"/>
    </row>
    <row r="37" spans="1:6" ht="15.75" customHeight="1">
      <c r="A37" s="62">
        <v>20202</v>
      </c>
      <c r="B37" s="30" t="s">
        <v>104</v>
      </c>
      <c r="C37" s="10">
        <v>30.165026975563315</v>
      </c>
      <c r="D37" s="32">
        <v>16.30977004501764</v>
      </c>
      <c r="E37" s="33"/>
      <c r="F37" s="17"/>
    </row>
    <row r="38" spans="1:6" ht="15.75" customHeight="1">
      <c r="A38" s="62">
        <v>20203</v>
      </c>
      <c r="B38" s="30" t="s">
        <v>106</v>
      </c>
      <c r="C38" s="10">
        <v>20.704041720990872</v>
      </c>
      <c r="D38" s="32">
        <v>10.686297791498456</v>
      </c>
      <c r="E38" s="33"/>
      <c r="F38" s="17"/>
    </row>
    <row r="39" spans="1:6" ht="15.75" customHeight="1">
      <c r="A39" s="62">
        <v>20204</v>
      </c>
      <c r="B39" s="30" t="s">
        <v>108</v>
      </c>
      <c r="C39" s="10">
        <v>17.700508844196751</v>
      </c>
      <c r="D39" s="32">
        <v>8.0234617087206725</v>
      </c>
      <c r="E39" s="33"/>
      <c r="F39" s="17"/>
    </row>
    <row r="40" spans="1:6" ht="15.75" customHeight="1">
      <c r="A40" s="62">
        <v>20205</v>
      </c>
      <c r="B40" s="30" t="s">
        <v>110</v>
      </c>
      <c r="C40" s="10">
        <v>11.184384067528356</v>
      </c>
      <c r="D40" s="32">
        <v>5.0333535476046087</v>
      </c>
      <c r="E40" s="33"/>
      <c r="F40" s="17"/>
    </row>
    <row r="41" spans="1:6" ht="15.75" customHeight="1">
      <c r="A41" s="62">
        <v>20206</v>
      </c>
      <c r="B41" s="30" t="s">
        <v>112</v>
      </c>
      <c r="C41" s="10">
        <v>16.330770829004777</v>
      </c>
      <c r="D41" s="32">
        <v>5.4851118392933467</v>
      </c>
      <c r="E41" s="33"/>
      <c r="F41" s="17"/>
    </row>
    <row r="42" spans="1:6" ht="15.75" customHeight="1">
      <c r="A42" s="62">
        <v>20301</v>
      </c>
      <c r="B42" s="30" t="s">
        <v>115</v>
      </c>
      <c r="C42" s="10">
        <v>14.197166469893743</v>
      </c>
      <c r="D42" s="32">
        <v>6.4167433302667884</v>
      </c>
      <c r="E42" s="33"/>
      <c r="F42" s="17"/>
    </row>
    <row r="43" spans="1:6" ht="15.75" customHeight="1">
      <c r="A43" s="62">
        <v>20302</v>
      </c>
      <c r="B43" s="30" t="s">
        <v>116</v>
      </c>
      <c r="C43" s="10">
        <v>14.115888382687928</v>
      </c>
      <c r="D43" s="32">
        <v>6.9349143961095194</v>
      </c>
      <c r="E43" s="33"/>
      <c r="F43" s="17"/>
    </row>
    <row r="44" spans="1:6" ht="15.75" customHeight="1">
      <c r="A44" s="62">
        <v>20303</v>
      </c>
      <c r="B44" s="30" t="s">
        <v>118</v>
      </c>
      <c r="C44" s="10">
        <v>11.352376936860969</v>
      </c>
      <c r="D44" s="32">
        <v>6.4127576554415127</v>
      </c>
      <c r="E44" s="33"/>
      <c r="F44" s="17"/>
    </row>
    <row r="45" spans="1:6" ht="15.75" customHeight="1">
      <c r="A45" s="62">
        <v>20304</v>
      </c>
      <c r="B45" s="30" t="s">
        <v>120</v>
      </c>
      <c r="C45" s="10">
        <v>15.40130151843818</v>
      </c>
      <c r="D45" s="32">
        <v>5.275731634481386</v>
      </c>
      <c r="E45" s="33"/>
      <c r="F45" s="17"/>
    </row>
    <row r="46" spans="1:6" ht="15.75" customHeight="1">
      <c r="A46" s="62">
        <v>20305</v>
      </c>
      <c r="B46" s="30" t="s">
        <v>122</v>
      </c>
      <c r="C46" s="10">
        <v>6.5336337302864509</v>
      </c>
      <c r="D46" s="32">
        <v>5.7290386033931648</v>
      </c>
      <c r="E46" s="33"/>
      <c r="F46" s="17"/>
    </row>
    <row r="47" spans="1:6" ht="15.75" customHeight="1">
      <c r="A47" s="62">
        <v>20306</v>
      </c>
      <c r="B47" s="30" t="s">
        <v>125</v>
      </c>
      <c r="C47" s="10">
        <v>9.6198277672757815</v>
      </c>
      <c r="D47" s="32">
        <v>4.6072628379459291</v>
      </c>
      <c r="E47" s="33"/>
      <c r="F47" s="17"/>
    </row>
    <row r="48" spans="1:6" ht="15.75" customHeight="1">
      <c r="A48" s="62">
        <v>20307</v>
      </c>
      <c r="B48" s="30" t="s">
        <v>126</v>
      </c>
      <c r="C48" s="10">
        <v>19.761499148211243</v>
      </c>
      <c r="D48" s="32">
        <v>8.1653746770025837</v>
      </c>
      <c r="E48" s="33"/>
      <c r="F48" s="17"/>
    </row>
    <row r="49" spans="1:6" ht="15.75" customHeight="1">
      <c r="A49" s="62">
        <v>20308</v>
      </c>
      <c r="B49" s="30" t="s">
        <v>129</v>
      </c>
      <c r="C49" s="10">
        <v>20.291095890410958</v>
      </c>
      <c r="D49" s="32">
        <v>10.678488820354664</v>
      </c>
      <c r="E49" s="33"/>
      <c r="F49" s="17"/>
    </row>
    <row r="50" spans="1:6" ht="15.75" customHeight="1">
      <c r="A50" s="62">
        <v>20401</v>
      </c>
      <c r="B50" s="30" t="s">
        <v>130</v>
      </c>
      <c r="C50" s="10">
        <v>27.405435181784799</v>
      </c>
      <c r="D50" s="32">
        <v>17.113084317898288</v>
      </c>
      <c r="E50" s="33"/>
      <c r="F50" s="17"/>
    </row>
    <row r="51" spans="1:6" ht="15.75" customHeight="1">
      <c r="A51" s="62">
        <v>20402</v>
      </c>
      <c r="B51" s="30" t="s">
        <v>132</v>
      </c>
      <c r="C51" s="10">
        <v>30.767174552258751</v>
      </c>
      <c r="D51" s="32">
        <v>21.604581212401666</v>
      </c>
      <c r="E51" s="33"/>
      <c r="F51" s="17"/>
    </row>
    <row r="52" spans="1:6" ht="15.75" customHeight="1">
      <c r="A52" s="62">
        <v>20403</v>
      </c>
      <c r="B52" s="30" t="s">
        <v>135</v>
      </c>
      <c r="C52" s="10">
        <v>20.850202429149796</v>
      </c>
      <c r="D52" s="32">
        <v>13.831308077197999</v>
      </c>
      <c r="E52" s="33"/>
      <c r="F52" s="17"/>
    </row>
    <row r="53" spans="1:6" ht="15.75" customHeight="1">
      <c r="A53" s="62">
        <v>20404</v>
      </c>
      <c r="B53" s="30" t="s">
        <v>136</v>
      </c>
      <c r="C53" s="10">
        <v>36.901738620824382</v>
      </c>
      <c r="D53" s="32">
        <v>21.066082511865645</v>
      </c>
      <c r="E53" s="33"/>
      <c r="F53" s="17"/>
    </row>
    <row r="54" spans="1:6" ht="15.75" customHeight="1">
      <c r="A54" s="62">
        <v>20405</v>
      </c>
      <c r="B54" s="30" t="s">
        <v>138</v>
      </c>
      <c r="C54" s="10">
        <v>28.431513754861008</v>
      </c>
      <c r="D54" s="32">
        <v>14.556667442401675</v>
      </c>
      <c r="E54" s="33"/>
      <c r="F54" s="17"/>
    </row>
    <row r="55" spans="1:6" ht="15.75" customHeight="1">
      <c r="A55" s="62">
        <v>20501</v>
      </c>
      <c r="B55" s="30" t="s">
        <v>140</v>
      </c>
      <c r="C55" s="10">
        <v>29.519955858009933</v>
      </c>
      <c r="D55" s="32">
        <v>16.126760563380284</v>
      </c>
      <c r="E55" s="33"/>
      <c r="F55" s="17"/>
    </row>
    <row r="56" spans="1:6" ht="15.75" customHeight="1">
      <c r="A56" s="62">
        <v>20502</v>
      </c>
      <c r="B56" s="30" t="s">
        <v>142</v>
      </c>
      <c r="C56" s="10">
        <v>41.511347787498416</v>
      </c>
      <c r="D56" s="32">
        <v>22.10991053793424</v>
      </c>
      <c r="E56" s="33"/>
      <c r="F56" s="17"/>
    </row>
    <row r="57" spans="1:6" ht="15.75" customHeight="1">
      <c r="A57" s="62">
        <v>20503</v>
      </c>
      <c r="B57" s="30" t="s">
        <v>144</v>
      </c>
      <c r="C57" s="10">
        <v>33.03692248211869</v>
      </c>
      <c r="D57" s="32">
        <v>14.675446848541862</v>
      </c>
      <c r="E57" s="33"/>
      <c r="F57" s="17"/>
    </row>
    <row r="58" spans="1:6" ht="15.75" customHeight="1">
      <c r="A58" s="62">
        <v>20601</v>
      </c>
      <c r="B58" s="30" t="s">
        <v>146</v>
      </c>
      <c r="C58" s="10">
        <v>17.536675366753666</v>
      </c>
      <c r="D58" s="32">
        <v>9.4146697735888427</v>
      </c>
      <c r="E58" s="33"/>
      <c r="F58" s="17"/>
    </row>
    <row r="59" spans="1:6" ht="15.75" customHeight="1">
      <c r="A59" s="62">
        <v>20602</v>
      </c>
      <c r="B59" s="30" t="s">
        <v>148</v>
      </c>
      <c r="C59" s="10">
        <v>6.9633054030626989</v>
      </c>
      <c r="D59" s="32">
        <v>2.8390156370161499</v>
      </c>
      <c r="E59" s="33"/>
      <c r="F59" s="17"/>
    </row>
    <row r="60" spans="1:6" ht="15.75" customHeight="1">
      <c r="A60" s="62">
        <v>20603</v>
      </c>
      <c r="B60" s="30" t="s">
        <v>150</v>
      </c>
      <c r="C60" s="10">
        <v>13.175763907025335</v>
      </c>
      <c r="D60" s="32">
        <v>5.6636217087587326</v>
      </c>
      <c r="E60" s="33"/>
      <c r="F60" s="17"/>
    </row>
    <row r="61" spans="1:6" ht="15.75" customHeight="1">
      <c r="A61" s="62">
        <v>20604</v>
      </c>
      <c r="B61" s="30" t="s">
        <v>152</v>
      </c>
      <c r="C61" s="10">
        <v>19.094488188976378</v>
      </c>
      <c r="D61" s="32">
        <v>13.885414060545409</v>
      </c>
      <c r="E61" s="33"/>
      <c r="F61" s="17"/>
    </row>
    <row r="62" spans="1:6" ht="15.75" customHeight="1">
      <c r="A62" s="62">
        <v>20605</v>
      </c>
      <c r="B62" s="30" t="s">
        <v>154</v>
      </c>
      <c r="C62" s="10">
        <v>19.579646017699115</v>
      </c>
      <c r="D62" s="32">
        <v>21.288433382137629</v>
      </c>
      <c r="E62" s="33"/>
      <c r="F62" s="17"/>
    </row>
    <row r="63" spans="1:6" ht="15.75" customHeight="1">
      <c r="A63" s="62">
        <v>20606</v>
      </c>
      <c r="B63" s="30" t="s">
        <v>156</v>
      </c>
      <c r="C63" s="10">
        <v>4.5566370734837953</v>
      </c>
      <c r="D63" s="32">
        <v>1.6563997262149213</v>
      </c>
      <c r="E63" s="33"/>
      <c r="F63" s="17"/>
    </row>
    <row r="64" spans="1:6" ht="15.75" customHeight="1">
      <c r="A64" s="62">
        <v>20607</v>
      </c>
      <c r="B64" s="30" t="s">
        <v>158</v>
      </c>
      <c r="C64" s="10">
        <v>5.2003742398253543</v>
      </c>
      <c r="D64" s="32">
        <v>2.052274927395934</v>
      </c>
      <c r="E64" s="33"/>
      <c r="F64" s="17"/>
    </row>
    <row r="65" spans="1:6" ht="15.75" customHeight="1">
      <c r="A65" s="62">
        <v>20608</v>
      </c>
      <c r="B65" s="30" t="s">
        <v>160</v>
      </c>
      <c r="C65" s="10">
        <v>6.0855639441775331</v>
      </c>
      <c r="D65" s="32">
        <v>2.7339146830073062</v>
      </c>
      <c r="E65" s="33"/>
      <c r="F65" s="17"/>
    </row>
    <row r="66" spans="1:6" ht="15.75" customHeight="1">
      <c r="A66" s="62">
        <v>20701</v>
      </c>
      <c r="B66" s="30" t="s">
        <v>162</v>
      </c>
      <c r="C66" s="10">
        <v>15.637881830673289</v>
      </c>
      <c r="D66" s="32">
        <v>6.6947461760141884</v>
      </c>
      <c r="E66" s="33"/>
      <c r="F66" s="17"/>
    </row>
    <row r="67" spans="1:6" ht="15.75" customHeight="1">
      <c r="A67" s="62">
        <v>20702</v>
      </c>
      <c r="B67" s="30" t="s">
        <v>164</v>
      </c>
      <c r="C67" s="10">
        <v>24.287974683544302</v>
      </c>
      <c r="D67" s="32">
        <v>9.8485724193734825</v>
      </c>
      <c r="E67" s="33"/>
      <c r="F67" s="17"/>
    </row>
    <row r="68" spans="1:6" ht="15.75" customHeight="1">
      <c r="A68" s="62">
        <v>20801</v>
      </c>
      <c r="B68" s="30" t="s">
        <v>166</v>
      </c>
      <c r="C68" s="10">
        <v>7.9180159545059636</v>
      </c>
      <c r="D68" s="32">
        <v>2.7756091736546744</v>
      </c>
      <c r="E68" s="33"/>
      <c r="F68" s="17"/>
    </row>
    <row r="69" spans="1:6" ht="15.75" customHeight="1">
      <c r="A69" s="62">
        <v>20802</v>
      </c>
      <c r="B69" s="30" t="s">
        <v>168</v>
      </c>
      <c r="C69" s="10">
        <v>14.630339151411947</v>
      </c>
      <c r="D69" s="32">
        <v>6.1224489795918364</v>
      </c>
      <c r="E69" s="33"/>
      <c r="F69" s="17"/>
    </row>
    <row r="70" spans="1:6" ht="15.75" customHeight="1">
      <c r="A70" s="62">
        <v>20803</v>
      </c>
      <c r="B70" s="30" t="s">
        <v>171</v>
      </c>
      <c r="C70" s="10">
        <v>16.497742952048377</v>
      </c>
      <c r="D70" s="32">
        <v>9.8484271460126429</v>
      </c>
      <c r="E70" s="33"/>
      <c r="F70" s="17"/>
    </row>
    <row r="71" spans="1:6" ht="15.75" customHeight="1">
      <c r="A71" s="62">
        <v>20804</v>
      </c>
      <c r="B71" s="30" t="s">
        <v>172</v>
      </c>
      <c r="C71" s="10">
        <v>8.7862318840579707</v>
      </c>
      <c r="D71" s="32">
        <v>3.9274924471299091</v>
      </c>
      <c r="E71" s="33"/>
      <c r="F71" s="17"/>
    </row>
    <row r="72" spans="1:6" ht="15.75" customHeight="1">
      <c r="A72" s="62">
        <v>20805</v>
      </c>
      <c r="B72" s="30" t="s">
        <v>175</v>
      </c>
      <c r="C72" s="10">
        <v>16.498546760129937</v>
      </c>
      <c r="D72" s="32">
        <v>8.2131254061078636</v>
      </c>
      <c r="E72" s="33"/>
      <c r="F72" s="17"/>
    </row>
    <row r="73" spans="1:6" ht="15.75" customHeight="1">
      <c r="A73" s="62">
        <v>20806</v>
      </c>
      <c r="B73" s="30" t="s">
        <v>176</v>
      </c>
      <c r="C73" s="10">
        <v>15.769417307559067</v>
      </c>
      <c r="D73" s="32">
        <v>8.4275499602762327</v>
      </c>
      <c r="E73" s="33"/>
      <c r="F73" s="17"/>
    </row>
    <row r="74" spans="1:6" ht="15.75" customHeight="1">
      <c r="A74" s="62">
        <v>20807</v>
      </c>
      <c r="B74" s="30" t="s">
        <v>178</v>
      </c>
      <c r="C74" s="10">
        <v>16.947040498442366</v>
      </c>
      <c r="D74" s="32">
        <v>8.6164383561643838</v>
      </c>
      <c r="E74" s="33"/>
      <c r="F74" s="17"/>
    </row>
    <row r="75" spans="1:6" ht="15.75" customHeight="1">
      <c r="A75" s="62">
        <v>20901</v>
      </c>
      <c r="B75" s="30" t="s">
        <v>180</v>
      </c>
      <c r="C75" s="10">
        <v>13.949990599736791</v>
      </c>
      <c r="D75" s="32">
        <v>7.8103881058119331</v>
      </c>
      <c r="E75" s="33"/>
      <c r="F75" s="17"/>
    </row>
    <row r="76" spans="1:6" ht="15.75" customHeight="1">
      <c r="A76" s="62">
        <v>20902</v>
      </c>
      <c r="B76" s="30" t="s">
        <v>182</v>
      </c>
      <c r="C76" s="10">
        <v>15.98925092374874</v>
      </c>
      <c r="D76" s="32">
        <v>6.8251871422280939</v>
      </c>
      <c r="E76" s="33"/>
      <c r="F76" s="17"/>
    </row>
    <row r="77" spans="1:6" ht="15.75" customHeight="1">
      <c r="A77" s="62">
        <v>20903</v>
      </c>
      <c r="B77" s="30" t="s">
        <v>184</v>
      </c>
      <c r="C77" s="10">
        <v>15.050651230101304</v>
      </c>
      <c r="D77" s="32">
        <v>8.9152542372881349</v>
      </c>
      <c r="E77" s="33"/>
      <c r="F77" s="17"/>
    </row>
    <row r="78" spans="1:6" ht="15.75" customHeight="1">
      <c r="A78" s="62">
        <v>20904</v>
      </c>
      <c r="B78" s="30" t="s">
        <v>186</v>
      </c>
      <c r="C78" s="10">
        <v>13.90484003281378</v>
      </c>
      <c r="D78" s="32">
        <v>10.283546325878595</v>
      </c>
      <c r="E78" s="33"/>
      <c r="F78" s="17"/>
    </row>
    <row r="79" spans="1:6" ht="15.75" customHeight="1">
      <c r="A79" s="62">
        <v>20905</v>
      </c>
      <c r="B79" s="30" t="s">
        <v>188</v>
      </c>
      <c r="C79" s="10">
        <v>13.344578764876768</v>
      </c>
      <c r="D79" s="32">
        <v>5.7330246913580245</v>
      </c>
      <c r="E79" s="33"/>
      <c r="F79" s="17"/>
    </row>
    <row r="80" spans="1:6" ht="15.75" customHeight="1">
      <c r="A80" s="62">
        <v>21001</v>
      </c>
      <c r="B80" s="30" t="s">
        <v>190</v>
      </c>
      <c r="C80" s="10">
        <v>18.599942146369685</v>
      </c>
      <c r="D80" s="32">
        <v>9.6948238071151582</v>
      </c>
      <c r="E80" s="33"/>
      <c r="F80" s="17"/>
    </row>
    <row r="81" spans="1:6" ht="15.75" customHeight="1">
      <c r="A81" s="62">
        <v>21002</v>
      </c>
      <c r="B81" s="30" t="s">
        <v>192</v>
      </c>
      <c r="C81" s="10">
        <v>8.1489062300115123</v>
      </c>
      <c r="D81" s="32">
        <v>3.876268728854519</v>
      </c>
      <c r="E81" s="33"/>
      <c r="F81" s="17"/>
    </row>
    <row r="82" spans="1:6" ht="15.75" customHeight="1">
      <c r="A82" s="62">
        <v>21003</v>
      </c>
      <c r="B82" s="30" t="s">
        <v>194</v>
      </c>
      <c r="C82" s="10">
        <v>7.5886017771422729</v>
      </c>
      <c r="D82" s="32">
        <v>4.8293145489027367</v>
      </c>
      <c r="E82" s="33"/>
      <c r="F82" s="17"/>
    </row>
    <row r="83" spans="1:6" ht="15.75" customHeight="1">
      <c r="A83" s="62">
        <v>21004</v>
      </c>
      <c r="B83" s="30" t="s">
        <v>196</v>
      </c>
      <c r="C83" s="10">
        <v>17.332246672099973</v>
      </c>
      <c r="D83" s="32">
        <v>10.86441813714541</v>
      </c>
      <c r="E83" s="33"/>
      <c r="F83" s="17"/>
    </row>
    <row r="84" spans="1:6" ht="15.75" customHeight="1">
      <c r="A84" s="62">
        <v>21005</v>
      </c>
      <c r="B84" s="30" t="s">
        <v>198</v>
      </c>
      <c r="C84" s="10">
        <v>11.410844348529809</v>
      </c>
      <c r="D84" s="32">
        <v>6.6397291689417939</v>
      </c>
      <c r="E84" s="33"/>
      <c r="F84" s="17"/>
    </row>
    <row r="85" spans="1:6" ht="15.75" customHeight="1">
      <c r="A85" s="62">
        <v>21006</v>
      </c>
      <c r="B85" s="30" t="s">
        <v>200</v>
      </c>
      <c r="C85" s="10">
        <v>7.6702919290211797</v>
      </c>
      <c r="D85" s="32">
        <v>2.9643731302692413</v>
      </c>
      <c r="E85" s="33"/>
      <c r="F85" s="17"/>
    </row>
    <row r="86" spans="1:6" ht="15.75" customHeight="1">
      <c r="A86" s="62">
        <v>21101</v>
      </c>
      <c r="B86" s="30" t="s">
        <v>202</v>
      </c>
      <c r="C86" s="10">
        <v>4.1329204383039544</v>
      </c>
      <c r="D86" s="32">
        <v>1.8254193915268697</v>
      </c>
      <c r="E86" s="33"/>
      <c r="F86" s="17"/>
    </row>
    <row r="87" spans="1:6" ht="15.75" customHeight="1">
      <c r="A87" s="62">
        <v>21102</v>
      </c>
      <c r="B87" s="30" t="s">
        <v>204</v>
      </c>
      <c r="C87" s="10">
        <v>6.2834306793728869</v>
      </c>
      <c r="D87" s="32">
        <v>2.8520339740724188</v>
      </c>
      <c r="E87" s="33"/>
      <c r="F87" s="17"/>
    </row>
    <row r="88" spans="1:6" ht="15.75" customHeight="1">
      <c r="A88" s="62">
        <v>21103</v>
      </c>
      <c r="B88" s="30" t="s">
        <v>206</v>
      </c>
      <c r="C88" s="10">
        <v>3.6156513125309564</v>
      </c>
      <c r="D88" s="32">
        <v>1.3754596214081438</v>
      </c>
      <c r="E88" s="33"/>
      <c r="F88" s="17"/>
    </row>
    <row r="89" spans="1:6" ht="15.75" customHeight="1">
      <c r="A89" s="62">
        <v>21104</v>
      </c>
      <c r="B89" s="30" t="s">
        <v>208</v>
      </c>
      <c r="C89" s="10">
        <v>6.2426690994395937</v>
      </c>
      <c r="D89" s="32">
        <v>3.483996120271581</v>
      </c>
      <c r="E89" s="33"/>
      <c r="F89" s="17"/>
    </row>
    <row r="90" spans="1:6" ht="15.75" customHeight="1">
      <c r="A90" s="62">
        <v>21105</v>
      </c>
      <c r="B90" s="30" t="s">
        <v>210</v>
      </c>
      <c r="C90" s="10">
        <v>8.3105935752303246</v>
      </c>
      <c r="D90" s="32">
        <v>3.8898793674315217</v>
      </c>
      <c r="E90" s="33"/>
      <c r="F90" s="17"/>
    </row>
    <row r="91" spans="1:6" ht="15.75" customHeight="1">
      <c r="A91" s="62">
        <v>21201</v>
      </c>
      <c r="B91" s="30" t="s">
        <v>212</v>
      </c>
      <c r="C91" s="10">
        <v>20.403022670025191</v>
      </c>
      <c r="D91" s="32">
        <v>9.3283972307627963</v>
      </c>
      <c r="E91" s="33"/>
      <c r="F91" s="17"/>
    </row>
    <row r="92" spans="1:6" ht="15.75" customHeight="1">
      <c r="A92" s="62">
        <v>21202</v>
      </c>
      <c r="B92" s="30" t="s">
        <v>214</v>
      </c>
      <c r="C92" s="10">
        <v>19.029707202393674</v>
      </c>
      <c r="D92" s="32">
        <v>8.1762876841962964</v>
      </c>
      <c r="E92" s="33"/>
      <c r="F92" s="17"/>
    </row>
    <row r="93" spans="1:6" ht="15.75" customHeight="1">
      <c r="A93" s="62">
        <v>21203</v>
      </c>
      <c r="B93" s="30" t="s">
        <v>216</v>
      </c>
      <c r="C93" s="10">
        <v>19.29423100084307</v>
      </c>
      <c r="D93" s="32">
        <v>10.238167322635988</v>
      </c>
      <c r="E93" s="33"/>
      <c r="F93" s="17"/>
    </row>
    <row r="94" spans="1:6" ht="15.75" customHeight="1">
      <c r="A94" s="62">
        <v>21204</v>
      </c>
      <c r="B94" s="30" t="s">
        <v>218</v>
      </c>
      <c r="C94" s="10">
        <v>28.165167095115677</v>
      </c>
      <c r="D94" s="32">
        <v>11.682365253793826</v>
      </c>
      <c r="E94" s="33"/>
      <c r="F94" s="17"/>
    </row>
    <row r="95" spans="1:6" ht="15.75" customHeight="1">
      <c r="A95" s="62">
        <v>21301</v>
      </c>
      <c r="B95" s="30" t="s">
        <v>220</v>
      </c>
      <c r="C95" s="10">
        <v>11.870138654041257</v>
      </c>
      <c r="D95" s="32">
        <v>6.4230650632130732</v>
      </c>
      <c r="E95" s="33"/>
      <c r="F95" s="17"/>
    </row>
    <row r="96" spans="1:6" ht="15.75" customHeight="1">
      <c r="A96" s="62">
        <v>21302</v>
      </c>
      <c r="B96" s="30" t="s">
        <v>222</v>
      </c>
      <c r="C96" s="10">
        <v>11.786176851524784</v>
      </c>
      <c r="D96" s="32">
        <v>7.9772727272727275</v>
      </c>
      <c r="E96" s="33"/>
      <c r="F96" s="17"/>
    </row>
    <row r="97" spans="1:6" ht="15.75" customHeight="1">
      <c r="A97" s="62">
        <v>21303</v>
      </c>
      <c r="B97" s="30" t="s">
        <v>224</v>
      </c>
      <c r="C97" s="10">
        <v>13.657876943881</v>
      </c>
      <c r="D97" s="32">
        <v>8.4451022107113118</v>
      </c>
      <c r="E97" s="33"/>
      <c r="F97" s="17"/>
    </row>
    <row r="98" spans="1:6" ht="15.75" customHeight="1">
      <c r="A98" s="62">
        <v>21304</v>
      </c>
      <c r="B98" s="30" t="s">
        <v>226</v>
      </c>
      <c r="C98" s="10">
        <v>16.302237230899113</v>
      </c>
      <c r="D98" s="32">
        <v>7.6823713372764972</v>
      </c>
      <c r="E98" s="33"/>
      <c r="F98" s="17"/>
    </row>
    <row r="99" spans="1:6" ht="15.75" customHeight="1">
      <c r="A99" s="62">
        <v>21305</v>
      </c>
      <c r="B99" s="30" t="s">
        <v>228</v>
      </c>
      <c r="C99" s="10">
        <v>8.7189025807951648</v>
      </c>
      <c r="D99" s="32">
        <v>4.4309585169174497</v>
      </c>
      <c r="E99" s="33"/>
      <c r="F99" s="17"/>
    </row>
    <row r="100" spans="1:6" ht="15.75" customHeight="1">
      <c r="A100" s="62">
        <v>21306</v>
      </c>
      <c r="B100" s="30" t="s">
        <v>230</v>
      </c>
      <c r="C100" s="10">
        <v>11.031457307939226</v>
      </c>
      <c r="D100" s="32">
        <v>5.3648614289346561</v>
      </c>
      <c r="E100" s="33"/>
      <c r="F100" s="17"/>
    </row>
    <row r="101" spans="1:6" ht="15.75" customHeight="1">
      <c r="A101" s="62">
        <v>21307</v>
      </c>
      <c r="B101" s="30" t="s">
        <v>232</v>
      </c>
      <c r="C101" s="10">
        <v>9.203614204664845</v>
      </c>
      <c r="D101" s="32">
        <v>6.0881073927018337</v>
      </c>
      <c r="E101" s="33"/>
      <c r="F101" s="17"/>
    </row>
    <row r="102" spans="1:6" ht="15.75" customHeight="1">
      <c r="A102" s="62">
        <v>21401</v>
      </c>
      <c r="B102" s="30" t="s">
        <v>234</v>
      </c>
      <c r="C102" s="10">
        <v>6.7621277290793271</v>
      </c>
      <c r="D102" s="32">
        <v>2.9860276442307692</v>
      </c>
      <c r="E102" s="33"/>
      <c r="F102" s="17"/>
    </row>
    <row r="103" spans="1:6" ht="15.75" customHeight="1">
      <c r="A103" s="62">
        <v>21402</v>
      </c>
      <c r="B103" s="30" t="s">
        <v>236</v>
      </c>
      <c r="C103" s="10">
        <v>6.4435564435564432</v>
      </c>
      <c r="D103" s="32">
        <v>2.6615969581749046</v>
      </c>
      <c r="E103" s="33"/>
      <c r="F103" s="17"/>
    </row>
    <row r="104" spans="1:6" ht="15.75" customHeight="1">
      <c r="A104" s="62">
        <v>21501</v>
      </c>
      <c r="B104" s="30" t="s">
        <v>239</v>
      </c>
      <c r="C104" s="10">
        <v>8.0275765365739655</v>
      </c>
      <c r="D104" s="32">
        <v>9.2355615423471971</v>
      </c>
      <c r="E104" s="33"/>
      <c r="F104" s="17"/>
    </row>
    <row r="105" spans="1:6" ht="15.75" customHeight="1">
      <c r="A105" s="62">
        <v>21502</v>
      </c>
      <c r="B105" s="30" t="s">
        <v>240</v>
      </c>
      <c r="C105" s="10">
        <v>3.5874439461883409</v>
      </c>
      <c r="D105" s="32">
        <v>2.5713685978169605</v>
      </c>
      <c r="E105" s="33"/>
      <c r="F105" s="17"/>
    </row>
    <row r="106" spans="1:6" ht="15.75" customHeight="1">
      <c r="A106" s="62">
        <v>21601</v>
      </c>
      <c r="B106" s="30" t="s">
        <v>243</v>
      </c>
      <c r="C106" s="10">
        <v>31.777777777777779</v>
      </c>
      <c r="D106" s="32">
        <v>15.063778092731322</v>
      </c>
      <c r="E106" s="33"/>
      <c r="F106" s="17"/>
    </row>
    <row r="107" spans="1:6" ht="15.75" customHeight="1">
      <c r="A107" s="62">
        <v>21602</v>
      </c>
      <c r="B107" s="30" t="s">
        <v>244</v>
      </c>
      <c r="C107" s="10">
        <v>37.044334975369459</v>
      </c>
      <c r="D107" s="32">
        <v>18.724647087457409</v>
      </c>
      <c r="E107" s="33"/>
      <c r="F107" s="17"/>
    </row>
    <row r="108" spans="1:6" ht="15.75" customHeight="1">
      <c r="A108" s="62">
        <v>21701</v>
      </c>
      <c r="B108" s="30" t="s">
        <v>246</v>
      </c>
      <c r="C108" s="10">
        <v>13.862982960521702</v>
      </c>
      <c r="D108" s="32">
        <v>8.2048555732766264</v>
      </c>
      <c r="E108" s="33"/>
      <c r="F108" s="17"/>
    </row>
    <row r="109" spans="1:6" ht="15.75" customHeight="1">
      <c r="A109" s="62">
        <v>21702</v>
      </c>
      <c r="B109" s="30" t="s">
        <v>248</v>
      </c>
      <c r="C109" s="10">
        <v>12.111907198908224</v>
      </c>
      <c r="D109" s="32">
        <v>6.8545230906854524</v>
      </c>
      <c r="E109" s="33"/>
      <c r="F109" s="17"/>
    </row>
    <row r="110" spans="1:6" ht="15.75" customHeight="1">
      <c r="A110" s="62">
        <v>21703</v>
      </c>
      <c r="B110" s="30" t="s">
        <v>250</v>
      </c>
      <c r="C110" s="10">
        <v>16.798549291130893</v>
      </c>
      <c r="D110" s="32">
        <v>10.818872017353579</v>
      </c>
      <c r="E110" s="33"/>
      <c r="F110" s="17"/>
    </row>
    <row r="111" spans="1:6" ht="15.75" customHeight="1">
      <c r="A111" s="62">
        <v>21801</v>
      </c>
      <c r="B111" s="30" t="s">
        <v>252</v>
      </c>
      <c r="C111" s="10">
        <v>12.86487758945386</v>
      </c>
      <c r="D111" s="32">
        <v>8.5144521622227209</v>
      </c>
      <c r="E111" s="33"/>
      <c r="F111" s="17"/>
    </row>
    <row r="112" spans="1:6" ht="15.75" customHeight="1">
      <c r="A112" s="62">
        <v>21802</v>
      </c>
      <c r="B112" s="30" t="s">
        <v>254</v>
      </c>
      <c r="C112" s="10">
        <v>13.005088296917092</v>
      </c>
      <c r="D112" s="32">
        <v>6.3363876378319608</v>
      </c>
      <c r="E112" s="33"/>
      <c r="F112" s="17"/>
    </row>
    <row r="113" spans="1:6" ht="15.75" customHeight="1">
      <c r="A113" s="62">
        <v>21803</v>
      </c>
      <c r="B113" s="30" t="s">
        <v>256</v>
      </c>
      <c r="C113" s="10">
        <v>11.85458377239199</v>
      </c>
      <c r="D113" s="32">
        <v>8.1725888324873104</v>
      </c>
      <c r="E113" s="33"/>
      <c r="F113" s="17"/>
    </row>
    <row r="114" spans="1:6" ht="15.75" customHeight="1">
      <c r="A114" s="62">
        <v>21901</v>
      </c>
      <c r="B114" s="30" t="s">
        <v>258</v>
      </c>
      <c r="C114" s="10">
        <v>9.7313163242266878</v>
      </c>
      <c r="D114" s="32">
        <v>3.4404364959078513</v>
      </c>
      <c r="E114" s="33"/>
      <c r="F114" s="17"/>
    </row>
    <row r="115" spans="1:6" ht="15.75" customHeight="1">
      <c r="A115" s="62">
        <v>21902</v>
      </c>
      <c r="B115" s="30" t="s">
        <v>260</v>
      </c>
      <c r="C115" s="10">
        <v>6.4872834500552896</v>
      </c>
      <c r="D115" s="32">
        <v>5.603617774282343</v>
      </c>
      <c r="E115" s="33"/>
      <c r="F115" s="17"/>
    </row>
    <row r="116" spans="1:6" ht="15.75" customHeight="1">
      <c r="A116" s="62">
        <v>22001</v>
      </c>
      <c r="B116" s="30" t="s">
        <v>262</v>
      </c>
      <c r="C116" s="10">
        <v>7.0646407198336227</v>
      </c>
      <c r="D116" s="32">
        <v>2.9864141911868223</v>
      </c>
      <c r="E116" s="33"/>
      <c r="F116" s="17"/>
    </row>
    <row r="117" spans="1:6" ht="15.75" customHeight="1">
      <c r="A117" s="62">
        <v>22002</v>
      </c>
      <c r="B117" s="30" t="s">
        <v>264</v>
      </c>
      <c r="C117" s="10">
        <v>6.1733128834355826</v>
      </c>
      <c r="D117" s="32">
        <v>2.6067283100531182</v>
      </c>
      <c r="E117" s="33"/>
      <c r="F117" s="17"/>
    </row>
    <row r="118" spans="1:6" ht="15.75" customHeight="1">
      <c r="A118" s="62">
        <v>30101</v>
      </c>
      <c r="B118" s="30" t="s">
        <v>20</v>
      </c>
      <c r="C118" s="10">
        <v>4.8773855226117915</v>
      </c>
      <c r="D118" s="32">
        <v>1.6923134465594249</v>
      </c>
      <c r="E118" s="33"/>
      <c r="F118" s="17"/>
    </row>
    <row r="119" spans="1:6" ht="15.75" customHeight="1">
      <c r="A119" s="62">
        <v>30201</v>
      </c>
      <c r="B119" s="30" t="s">
        <v>267</v>
      </c>
      <c r="C119" s="10">
        <v>37.362030905077262</v>
      </c>
      <c r="D119" s="32">
        <v>19.469703790402448</v>
      </c>
      <c r="E119" s="33"/>
      <c r="F119" s="17"/>
    </row>
    <row r="120" spans="1:6" ht="15.75" customHeight="1">
      <c r="A120" s="62">
        <v>30202</v>
      </c>
      <c r="B120" s="30" t="s">
        <v>269</v>
      </c>
      <c r="C120" s="10">
        <v>7.6733815162232819</v>
      </c>
      <c r="D120" s="32">
        <v>1.2325916439891147</v>
      </c>
      <c r="E120" s="33"/>
      <c r="F120" s="17"/>
    </row>
    <row r="121" spans="1:6" ht="15.75" customHeight="1">
      <c r="A121" s="62">
        <v>30203</v>
      </c>
      <c r="B121" s="30" t="s">
        <v>271</v>
      </c>
      <c r="C121" s="10">
        <v>17.388017388017388</v>
      </c>
      <c r="D121" s="32">
        <v>7.2359127295558006</v>
      </c>
      <c r="E121" s="33"/>
      <c r="F121" s="17"/>
    </row>
    <row r="122" spans="1:6" ht="15.75" customHeight="1">
      <c r="A122" s="62">
        <v>30301</v>
      </c>
      <c r="B122" s="30" t="s">
        <v>274</v>
      </c>
      <c r="C122" s="10">
        <v>42.829201728451217</v>
      </c>
      <c r="D122" s="32">
        <v>28.223550969235223</v>
      </c>
      <c r="E122" s="33"/>
      <c r="F122" s="17"/>
    </row>
    <row r="123" spans="1:6" ht="15.75" customHeight="1">
      <c r="A123" s="62">
        <v>30302</v>
      </c>
      <c r="B123" s="30" t="s">
        <v>275</v>
      </c>
      <c r="C123" s="10">
        <v>44.702346163480009</v>
      </c>
      <c r="D123" s="32">
        <v>25.005338458253256</v>
      </c>
      <c r="E123" s="33"/>
      <c r="F123" s="17"/>
    </row>
    <row r="124" spans="1:6" ht="15.75" customHeight="1">
      <c r="A124" s="62">
        <v>30303</v>
      </c>
      <c r="B124" s="30" t="s">
        <v>277</v>
      </c>
      <c r="C124" s="10">
        <v>40.859828752769296</v>
      </c>
      <c r="D124" s="32">
        <v>25.18059855521156</v>
      </c>
      <c r="E124" s="33"/>
      <c r="F124" s="17"/>
    </row>
    <row r="125" spans="1:6" ht="15.75" customHeight="1">
      <c r="A125" s="62">
        <v>30401</v>
      </c>
      <c r="B125" s="30" t="s">
        <v>280</v>
      </c>
      <c r="C125" s="10">
        <v>18.946963873943119</v>
      </c>
      <c r="D125" s="32">
        <v>12.66980870529526</v>
      </c>
      <c r="E125" s="33"/>
      <c r="F125" s="17"/>
    </row>
    <row r="126" spans="1:6" ht="15.75" customHeight="1">
      <c r="A126" s="62">
        <v>30402</v>
      </c>
      <c r="B126" s="30" t="s">
        <v>281</v>
      </c>
      <c r="C126" s="10">
        <v>52.027827116637063</v>
      </c>
      <c r="D126" s="32">
        <v>26.781918662321097</v>
      </c>
      <c r="E126" s="33"/>
      <c r="F126" s="17"/>
    </row>
    <row r="127" spans="1:6" ht="15.75" customHeight="1">
      <c r="A127" s="62">
        <v>30403</v>
      </c>
      <c r="B127" s="30" t="s">
        <v>283</v>
      </c>
      <c r="C127" s="10">
        <v>13.752204853719361</v>
      </c>
      <c r="D127" s="32">
        <v>5.878562222540455</v>
      </c>
      <c r="E127" s="33"/>
      <c r="F127" s="17"/>
    </row>
    <row r="128" spans="1:6" ht="15.75" customHeight="1">
      <c r="A128" s="62">
        <v>30404</v>
      </c>
      <c r="B128" s="30" t="s">
        <v>285</v>
      </c>
      <c r="C128" s="10">
        <v>43.502686858817782</v>
      </c>
      <c r="D128" s="32">
        <v>24.050632911392405</v>
      </c>
      <c r="E128" s="33"/>
      <c r="F128" s="17"/>
    </row>
    <row r="129" spans="1:6" ht="15.75" customHeight="1">
      <c r="A129" s="62">
        <v>30501</v>
      </c>
      <c r="B129" s="30" t="s">
        <v>287</v>
      </c>
      <c r="C129" s="10">
        <v>21.891921759310421</v>
      </c>
      <c r="D129" s="32">
        <v>12.181565539601667</v>
      </c>
      <c r="E129" s="33"/>
      <c r="F129" s="17"/>
    </row>
    <row r="130" spans="1:6" ht="15.75" customHeight="1">
      <c r="A130" s="62">
        <v>30502</v>
      </c>
      <c r="B130" s="30" t="s">
        <v>289</v>
      </c>
      <c r="C130" s="10">
        <v>40.306304167161343</v>
      </c>
      <c r="D130" s="32">
        <v>28.216843665102491</v>
      </c>
      <c r="E130" s="33"/>
      <c r="F130" s="17"/>
    </row>
    <row r="131" spans="1:6" ht="15.75" customHeight="1">
      <c r="A131" s="62">
        <v>30601</v>
      </c>
      <c r="B131" s="30" t="s">
        <v>292</v>
      </c>
      <c r="C131" s="10">
        <v>54.625</v>
      </c>
      <c r="D131" s="32">
        <v>36.060484678549969</v>
      </c>
      <c r="E131" s="33"/>
      <c r="F131" s="17"/>
    </row>
    <row r="132" spans="1:6" ht="15.75" customHeight="1">
      <c r="A132" s="62">
        <v>30602</v>
      </c>
      <c r="B132" s="30" t="s">
        <v>293</v>
      </c>
      <c r="C132" s="10">
        <v>47.525987525987532</v>
      </c>
      <c r="D132" s="32">
        <v>28.503585966272531</v>
      </c>
      <c r="E132" s="33"/>
      <c r="F132" s="17"/>
    </row>
    <row r="133" spans="1:6" ht="15.75" customHeight="1">
      <c r="A133" s="62">
        <v>30701</v>
      </c>
      <c r="B133" s="30" t="s">
        <v>295</v>
      </c>
      <c r="C133" s="10">
        <v>20.481662726123055</v>
      </c>
      <c r="D133" s="32">
        <v>11.441043328303515</v>
      </c>
      <c r="E133" s="33"/>
      <c r="F133" s="17"/>
    </row>
    <row r="134" spans="1:6" ht="15.75" customHeight="1">
      <c r="A134" s="62">
        <v>30702</v>
      </c>
      <c r="B134" s="30" t="s">
        <v>297</v>
      </c>
      <c r="C134" s="10">
        <v>20.594891690914967</v>
      </c>
      <c r="D134" s="32">
        <v>8.5894405043341209</v>
      </c>
      <c r="E134" s="33"/>
      <c r="F134" s="17"/>
    </row>
    <row r="135" spans="1:6" ht="15.75" customHeight="1">
      <c r="A135" s="62">
        <v>30703</v>
      </c>
      <c r="B135" s="30" t="s">
        <v>299</v>
      </c>
      <c r="C135" s="10">
        <v>39.831737742964897</v>
      </c>
      <c r="D135" s="32">
        <v>16.310372129849565</v>
      </c>
      <c r="E135" s="33"/>
      <c r="F135" s="17"/>
    </row>
    <row r="136" spans="1:6" ht="15.75" customHeight="1">
      <c r="A136" s="62">
        <v>30801</v>
      </c>
      <c r="B136" s="30" t="s">
        <v>301</v>
      </c>
      <c r="C136" s="10">
        <v>12.524831629439412</v>
      </c>
      <c r="D136" s="32">
        <v>7.4551652586334676</v>
      </c>
      <c r="E136" s="33"/>
      <c r="F136" s="17"/>
    </row>
    <row r="137" spans="1:6" ht="15.75" customHeight="1">
      <c r="A137" s="62">
        <v>30802</v>
      </c>
      <c r="B137" s="30" t="s">
        <v>304</v>
      </c>
      <c r="C137" s="10">
        <v>23.364900858242084</v>
      </c>
      <c r="D137" s="32">
        <v>13.850922925179654</v>
      </c>
      <c r="E137" s="33"/>
      <c r="F137" s="17"/>
    </row>
    <row r="138" spans="1:6" ht="15.75" customHeight="1">
      <c r="A138" s="62">
        <v>30803</v>
      </c>
      <c r="B138" s="30" t="s">
        <v>305</v>
      </c>
      <c r="C138" s="10">
        <v>9.4461305007587253</v>
      </c>
      <c r="D138" s="32">
        <v>3.5991868946550278</v>
      </c>
      <c r="E138" s="33"/>
      <c r="F138" s="17"/>
    </row>
    <row r="139" spans="1:6" ht="15.75" customHeight="1">
      <c r="A139" s="62">
        <v>30901</v>
      </c>
      <c r="B139" s="30" t="s">
        <v>307</v>
      </c>
      <c r="C139" s="10">
        <v>7.861933000093142</v>
      </c>
      <c r="D139" s="32">
        <v>2.5745003066371295</v>
      </c>
      <c r="E139" s="33"/>
      <c r="F139" s="17"/>
    </row>
    <row r="140" spans="1:6" ht="15.75" customHeight="1">
      <c r="A140" s="62">
        <v>30902</v>
      </c>
      <c r="B140" s="30" t="s">
        <v>310</v>
      </c>
      <c r="C140" s="10">
        <v>17.097964343765319</v>
      </c>
      <c r="D140" s="32">
        <v>6.7244341243321823</v>
      </c>
      <c r="E140" s="33"/>
      <c r="F140" s="17"/>
    </row>
    <row r="141" spans="1:6" ht="15.75" customHeight="1">
      <c r="A141" s="62">
        <v>30903</v>
      </c>
      <c r="B141" s="30" t="s">
        <v>311</v>
      </c>
      <c r="C141" s="10">
        <v>9.1027564963273058</v>
      </c>
      <c r="D141" s="32">
        <v>2.6549862963025239</v>
      </c>
      <c r="E141" s="33"/>
      <c r="F141" s="17"/>
    </row>
    <row r="142" spans="1:6" ht="15.75" customHeight="1">
      <c r="A142" s="62">
        <v>30904</v>
      </c>
      <c r="B142" s="30" t="s">
        <v>314</v>
      </c>
      <c r="C142" s="10">
        <v>9.1212733495525953</v>
      </c>
      <c r="D142" s="32">
        <v>4.2042098179235055</v>
      </c>
      <c r="E142" s="33"/>
      <c r="F142" s="17"/>
    </row>
    <row r="143" spans="1:6" ht="15.75" customHeight="1">
      <c r="A143" s="62">
        <v>30905</v>
      </c>
      <c r="B143" s="30" t="s">
        <v>315</v>
      </c>
      <c r="C143" s="10">
        <v>4.5926379116957277</v>
      </c>
      <c r="D143" s="32">
        <v>1.327364611929124</v>
      </c>
      <c r="E143" s="33"/>
      <c r="F143" s="17"/>
    </row>
    <row r="144" spans="1:6" ht="15.75" customHeight="1">
      <c r="A144" s="62">
        <v>31001</v>
      </c>
      <c r="B144" s="30" t="s">
        <v>317</v>
      </c>
      <c r="C144" s="10">
        <v>8.458805721170183</v>
      </c>
      <c r="D144" s="32">
        <v>3.3290719944491705</v>
      </c>
      <c r="E144" s="33"/>
      <c r="F144" s="17"/>
    </row>
    <row r="145" spans="1:6" ht="15.75" customHeight="1">
      <c r="A145" s="62">
        <v>31002</v>
      </c>
      <c r="B145" s="30" t="s">
        <v>319</v>
      </c>
      <c r="C145" s="10">
        <v>27.759848653460939</v>
      </c>
      <c r="D145" s="32">
        <v>14.388420245398773</v>
      </c>
      <c r="E145" s="33"/>
      <c r="F145" s="17"/>
    </row>
    <row r="146" spans="1:6" ht="15.75" customHeight="1">
      <c r="A146" s="62">
        <v>31003</v>
      </c>
      <c r="B146" s="30" t="s">
        <v>321</v>
      </c>
      <c r="C146" s="10">
        <v>18.263858395287919</v>
      </c>
      <c r="D146" s="32">
        <v>8.6822991391678617</v>
      </c>
      <c r="E146" s="33"/>
      <c r="F146" s="17"/>
    </row>
    <row r="147" spans="1:6" ht="15.75" customHeight="1">
      <c r="A147" s="62">
        <v>31101</v>
      </c>
      <c r="B147" s="30" t="s">
        <v>323</v>
      </c>
      <c r="C147" s="10">
        <v>50.043588178885891</v>
      </c>
      <c r="D147" s="32">
        <v>30.792851964003926</v>
      </c>
      <c r="E147" s="33"/>
      <c r="F147" s="17"/>
    </row>
    <row r="148" spans="1:6" ht="15.75" customHeight="1">
      <c r="A148" s="62">
        <v>31201</v>
      </c>
      <c r="B148" s="30" t="s">
        <v>326</v>
      </c>
      <c r="C148" s="10">
        <v>40.595588235294116</v>
      </c>
      <c r="D148" s="32">
        <v>20.196303195300185</v>
      </c>
      <c r="E148" s="33"/>
      <c r="F148" s="17"/>
    </row>
    <row r="149" spans="1:6" ht="15.75" customHeight="1">
      <c r="A149" s="62">
        <v>31202</v>
      </c>
      <c r="B149" s="30" t="s">
        <v>327</v>
      </c>
      <c r="C149" s="10">
        <v>37.608115323011212</v>
      </c>
      <c r="D149" s="32">
        <v>15.175548030654074</v>
      </c>
      <c r="E149" s="33"/>
      <c r="F149" s="17"/>
    </row>
    <row r="150" spans="1:6" ht="15.75" customHeight="1">
      <c r="A150" s="62">
        <v>31203</v>
      </c>
      <c r="B150" s="30" t="s">
        <v>329</v>
      </c>
      <c r="C150" s="10">
        <v>37.513566847557968</v>
      </c>
      <c r="D150" s="32">
        <v>19.257995735607675</v>
      </c>
      <c r="E150" s="33"/>
      <c r="F150" s="17"/>
    </row>
    <row r="151" spans="1:6" ht="15.75" customHeight="1">
      <c r="A151" s="62">
        <v>31204</v>
      </c>
      <c r="B151" s="30" t="s">
        <v>331</v>
      </c>
      <c r="C151" s="10">
        <v>12.758534762023425</v>
      </c>
      <c r="D151" s="32">
        <v>5.843536636533547</v>
      </c>
      <c r="E151" s="33"/>
      <c r="F151" s="17"/>
    </row>
    <row r="152" spans="1:6" ht="15.75" customHeight="1">
      <c r="A152" s="62">
        <v>31205</v>
      </c>
      <c r="B152" s="30" t="s">
        <v>333</v>
      </c>
      <c r="C152" s="10">
        <v>14.613431802446343</v>
      </c>
      <c r="D152" s="32">
        <v>6.5604835416156169</v>
      </c>
      <c r="E152" s="33"/>
      <c r="F152" s="17"/>
    </row>
    <row r="153" spans="1:6" ht="15.75" customHeight="1">
      <c r="A153" s="62">
        <v>31206</v>
      </c>
      <c r="B153" s="30" t="s">
        <v>335</v>
      </c>
      <c r="C153" s="10">
        <v>12.137256898482843</v>
      </c>
      <c r="D153" s="32">
        <v>5.6532143021490038</v>
      </c>
      <c r="E153" s="33"/>
      <c r="F153" s="17"/>
    </row>
    <row r="154" spans="1:6" ht="15.75" customHeight="1">
      <c r="A154" s="62">
        <v>31301</v>
      </c>
      <c r="B154" s="30" t="s">
        <v>337</v>
      </c>
      <c r="C154" s="10">
        <v>36.28510892595208</v>
      </c>
      <c r="D154" s="32">
        <v>18.387216254828299</v>
      </c>
      <c r="E154" s="33"/>
      <c r="F154" s="17"/>
    </row>
    <row r="155" spans="1:6" ht="15.75" customHeight="1">
      <c r="A155" s="62">
        <v>31302</v>
      </c>
      <c r="B155" s="30" t="s">
        <v>339</v>
      </c>
      <c r="C155" s="10">
        <v>56.717907766021156</v>
      </c>
      <c r="D155" s="32">
        <v>36.317886349339481</v>
      </c>
      <c r="E155" s="33"/>
      <c r="F155" s="17"/>
    </row>
    <row r="156" spans="1:6" ht="15.75" customHeight="1">
      <c r="A156" s="62">
        <v>31303</v>
      </c>
      <c r="B156" s="30" t="s">
        <v>341</v>
      </c>
      <c r="C156" s="10">
        <v>56.768558951965062</v>
      </c>
      <c r="D156" s="32">
        <v>35.204991087344027</v>
      </c>
      <c r="E156" s="33"/>
      <c r="F156" s="17"/>
    </row>
    <row r="157" spans="1:6" ht="15.75" customHeight="1">
      <c r="A157" s="63">
        <v>31304</v>
      </c>
      <c r="B157" s="30" t="s">
        <v>345</v>
      </c>
      <c r="C157" s="10">
        <v>78.950626837950779</v>
      </c>
      <c r="D157" s="32">
        <v>52.091004734350342</v>
      </c>
      <c r="E157" s="33"/>
      <c r="F157" s="17"/>
    </row>
    <row r="158" spans="1:6" ht="15.75" customHeight="1">
      <c r="A158" s="62">
        <v>31401</v>
      </c>
      <c r="B158" s="30" t="s">
        <v>343</v>
      </c>
      <c r="C158" s="10">
        <v>13.299466413273883</v>
      </c>
      <c r="D158" s="32">
        <v>6.7489565757925583</v>
      </c>
      <c r="E158" s="33"/>
      <c r="F158" s="17"/>
    </row>
    <row r="159" spans="1:6" ht="15.75" customHeight="1">
      <c r="A159" s="62">
        <v>31402</v>
      </c>
      <c r="B159" s="30" t="s">
        <v>346</v>
      </c>
      <c r="C159" s="10">
        <v>23.42931937172775</v>
      </c>
      <c r="D159" s="32">
        <v>12.872249908836759</v>
      </c>
      <c r="E159" s="33"/>
      <c r="F159" s="17"/>
    </row>
    <row r="160" spans="1:6" ht="15.75" customHeight="1">
      <c r="A160" s="62">
        <v>31403</v>
      </c>
      <c r="B160" s="30" t="s">
        <v>348</v>
      </c>
      <c r="C160" s="10">
        <v>14.966887417218544</v>
      </c>
      <c r="D160" s="32">
        <v>6.3661747108097329</v>
      </c>
      <c r="E160" s="33"/>
      <c r="F160" s="17"/>
    </row>
    <row r="161" spans="1:6" ht="15.75" customHeight="1">
      <c r="A161" s="62">
        <v>31404</v>
      </c>
      <c r="B161" s="30" t="s">
        <v>350</v>
      </c>
      <c r="C161" s="10">
        <v>18.23293172690763</v>
      </c>
      <c r="D161" s="32">
        <v>8.1715210355987047</v>
      </c>
      <c r="E161" s="33"/>
      <c r="F161" s="17"/>
    </row>
    <row r="162" spans="1:6" ht="15.75" customHeight="1">
      <c r="A162" s="62">
        <v>31405</v>
      </c>
      <c r="B162" s="30" t="s">
        <v>355</v>
      </c>
      <c r="C162" s="10">
        <v>23.73076923076923</v>
      </c>
      <c r="D162" s="32">
        <v>16.634903348761231</v>
      </c>
      <c r="E162" s="33"/>
      <c r="F162" s="17"/>
    </row>
    <row r="163" spans="1:6" ht="15.75" customHeight="1">
      <c r="A163" s="62">
        <v>31501</v>
      </c>
      <c r="B163" s="30" t="s">
        <v>353</v>
      </c>
      <c r="C163" s="10">
        <v>43.219967887899571</v>
      </c>
      <c r="D163" s="32">
        <v>24.732006125574273</v>
      </c>
      <c r="E163" s="33"/>
      <c r="F163" s="17"/>
    </row>
    <row r="164" spans="1:6" ht="15.75" customHeight="1">
      <c r="A164" s="62">
        <v>31601</v>
      </c>
      <c r="B164" s="30" t="s">
        <v>356</v>
      </c>
      <c r="C164" s="10">
        <v>35.065262309126645</v>
      </c>
      <c r="D164" s="32">
        <v>20.99260346677206</v>
      </c>
      <c r="E164" s="33"/>
      <c r="F164" s="17"/>
    </row>
    <row r="165" spans="1:6" ht="15.75" customHeight="1">
      <c r="A165" s="62">
        <v>31602</v>
      </c>
      <c r="B165" s="30" t="s">
        <v>358</v>
      </c>
      <c r="C165" s="10">
        <v>15.225593053904596</v>
      </c>
      <c r="D165" s="32">
        <v>7.1072463768115952</v>
      </c>
      <c r="E165" s="33"/>
      <c r="F165" s="17"/>
    </row>
    <row r="166" spans="1:6" ht="15.75" customHeight="1">
      <c r="A166" s="62">
        <v>40101</v>
      </c>
      <c r="B166" s="30" t="s">
        <v>22</v>
      </c>
      <c r="C166" s="10">
        <v>5.3077468991435346</v>
      </c>
      <c r="D166" s="32">
        <v>1.7928405295280065</v>
      </c>
      <c r="E166" s="33"/>
      <c r="F166" s="17"/>
    </row>
    <row r="167" spans="1:6" ht="15.75" customHeight="1">
      <c r="A167" s="62">
        <v>40102</v>
      </c>
      <c r="B167" s="30" t="s">
        <v>361</v>
      </c>
      <c r="C167" s="10">
        <v>12.220484034232079</v>
      </c>
      <c r="D167" s="32">
        <v>4.396106566741306</v>
      </c>
      <c r="E167" s="33"/>
      <c r="F167" s="17"/>
    </row>
    <row r="168" spans="1:6" ht="15.75" customHeight="1">
      <c r="A168" s="62">
        <v>40103</v>
      </c>
      <c r="B168" s="30" t="s">
        <v>363</v>
      </c>
      <c r="C168" s="10">
        <v>11.898120072771375</v>
      </c>
      <c r="D168" s="32">
        <v>6.0923270176907778</v>
      </c>
      <c r="E168" s="33"/>
      <c r="F168" s="17"/>
    </row>
    <row r="169" spans="1:6" ht="15.75" customHeight="1">
      <c r="A169" s="62">
        <v>40104</v>
      </c>
      <c r="B169" s="30" t="s">
        <v>368</v>
      </c>
      <c r="C169" s="10">
        <v>14.634548754330968</v>
      </c>
      <c r="D169" s="32">
        <v>7.7679580038540763</v>
      </c>
      <c r="E169" s="33"/>
      <c r="F169" s="17"/>
    </row>
    <row r="170" spans="1:6" ht="15.75" customHeight="1">
      <c r="A170" s="62">
        <v>40201</v>
      </c>
      <c r="B170" s="30" t="s">
        <v>366</v>
      </c>
      <c r="C170" s="10">
        <v>22.729456991830851</v>
      </c>
      <c r="D170" s="32">
        <v>11.567474459491565</v>
      </c>
      <c r="E170" s="33"/>
      <c r="F170" s="17"/>
    </row>
    <row r="171" spans="1:6" ht="15.75" customHeight="1">
      <c r="A171" s="62">
        <v>40202</v>
      </c>
      <c r="B171" s="30" t="s">
        <v>372</v>
      </c>
      <c r="C171" s="10">
        <v>16.73254281949934</v>
      </c>
      <c r="D171" s="32">
        <v>4.0440440440440444</v>
      </c>
      <c r="E171" s="33"/>
      <c r="F171" s="17"/>
    </row>
    <row r="172" spans="1:6" ht="15.75" customHeight="1">
      <c r="A172" s="62">
        <v>40301</v>
      </c>
      <c r="B172" s="30" t="s">
        <v>370</v>
      </c>
      <c r="C172" s="10">
        <v>12.343839541547277</v>
      </c>
      <c r="D172" s="32">
        <v>4.0286655045516175</v>
      </c>
      <c r="E172" s="33"/>
      <c r="F172" s="17"/>
    </row>
    <row r="173" spans="1:6" ht="15.75" customHeight="1">
      <c r="A173" s="62">
        <v>40302</v>
      </c>
      <c r="B173" s="30" t="s">
        <v>376</v>
      </c>
      <c r="C173" s="10">
        <v>6.9239500567536885</v>
      </c>
      <c r="D173" s="32">
        <v>2.8215767634854774</v>
      </c>
      <c r="E173" s="33"/>
      <c r="F173" s="17"/>
    </row>
    <row r="174" spans="1:6" ht="15.75" customHeight="1">
      <c r="A174" s="62">
        <v>40401</v>
      </c>
      <c r="B174" s="30" t="s">
        <v>374</v>
      </c>
      <c r="C174" s="10">
        <v>8.6540880503144653</v>
      </c>
      <c r="D174" s="32">
        <v>3.6899799289794659</v>
      </c>
      <c r="E174" s="33"/>
      <c r="F174" s="17"/>
    </row>
    <row r="175" spans="1:6" ht="15.75" customHeight="1">
      <c r="A175" s="62">
        <v>40402</v>
      </c>
      <c r="B175" s="30" t="s">
        <v>377</v>
      </c>
      <c r="C175" s="10">
        <v>6.0353586669376149</v>
      </c>
      <c r="D175" s="32">
        <v>2.8161434977578477</v>
      </c>
      <c r="E175" s="33"/>
      <c r="F175" s="17"/>
    </row>
    <row r="176" spans="1:6" ht="15.75" customHeight="1">
      <c r="A176" s="62">
        <v>40501</v>
      </c>
      <c r="B176" s="30" t="s">
        <v>379</v>
      </c>
      <c r="C176" s="10">
        <v>4.9844236760124607</v>
      </c>
      <c r="D176" s="32">
        <v>1.5778582514226591</v>
      </c>
      <c r="E176" s="33"/>
      <c r="F176" s="17"/>
    </row>
    <row r="177" spans="1:6" ht="15.75" customHeight="1">
      <c r="A177" s="62">
        <v>40502</v>
      </c>
      <c r="B177" s="30" t="s">
        <v>381</v>
      </c>
      <c r="C177" s="10">
        <v>8.1946545637922341</v>
      </c>
      <c r="D177" s="32">
        <v>2.4420325604341393</v>
      </c>
      <c r="E177" s="33"/>
      <c r="F177" s="17"/>
    </row>
    <row r="178" spans="1:6" ht="15.75" customHeight="1">
      <c r="A178" s="62">
        <v>40503</v>
      </c>
      <c r="B178" s="30" t="s">
        <v>383</v>
      </c>
      <c r="C178" s="10">
        <v>4.8087431693989071</v>
      </c>
      <c r="D178" s="32">
        <v>1.8493150684931507</v>
      </c>
      <c r="E178" s="33"/>
      <c r="F178" s="17"/>
    </row>
    <row r="179" spans="1:6" ht="15.75" customHeight="1">
      <c r="A179" s="62">
        <v>40504</v>
      </c>
      <c r="B179" s="30" t="s">
        <v>388</v>
      </c>
      <c r="C179" s="10">
        <v>5.112474437627812</v>
      </c>
      <c r="D179" s="32">
        <v>1.7942583732057416</v>
      </c>
      <c r="E179" s="33"/>
      <c r="F179" s="17"/>
    </row>
    <row r="180" spans="1:6" ht="15.75" customHeight="1">
      <c r="A180" s="62">
        <v>40505</v>
      </c>
      <c r="B180" s="30" t="s">
        <v>386</v>
      </c>
      <c r="C180" s="10">
        <v>8.0742834073475969</v>
      </c>
      <c r="D180" s="32">
        <v>1.8724559023066485</v>
      </c>
      <c r="E180" s="33"/>
      <c r="F180" s="17"/>
    </row>
    <row r="181" spans="1:6" ht="15.75" customHeight="1">
      <c r="A181" s="62">
        <v>40601</v>
      </c>
      <c r="B181" s="30" t="s">
        <v>389</v>
      </c>
      <c r="C181" s="10">
        <v>13.696346714821503</v>
      </c>
      <c r="D181" s="32">
        <v>4.0082455336692631</v>
      </c>
      <c r="E181" s="33"/>
      <c r="F181" s="17"/>
    </row>
    <row r="182" spans="1:6" ht="15.75" customHeight="1">
      <c r="A182" s="62">
        <v>40602</v>
      </c>
      <c r="B182" s="30" t="s">
        <v>391</v>
      </c>
      <c r="C182" s="10">
        <v>9.9034680014301024</v>
      </c>
      <c r="D182" s="32">
        <v>6.4381884944920431</v>
      </c>
      <c r="E182" s="33"/>
      <c r="F182" s="17"/>
    </row>
    <row r="183" spans="1:6" ht="15.75" customHeight="1">
      <c r="A183" s="62">
        <v>40603</v>
      </c>
      <c r="B183" s="30" t="s">
        <v>393</v>
      </c>
      <c r="C183" s="10">
        <v>11.605099705786206</v>
      </c>
      <c r="D183" s="32">
        <v>3.7863803334275219</v>
      </c>
      <c r="E183" s="33"/>
      <c r="F183" s="17"/>
    </row>
    <row r="184" spans="1:6" ht="15.75" customHeight="1">
      <c r="A184" s="62">
        <v>40701</v>
      </c>
      <c r="B184" s="30" t="s">
        <v>395</v>
      </c>
      <c r="C184" s="10">
        <v>10.339586590237971</v>
      </c>
      <c r="D184" s="32">
        <v>4.8538192299773524</v>
      </c>
      <c r="E184" s="33"/>
      <c r="F184" s="17"/>
    </row>
    <row r="185" spans="1:6" ht="15.75" customHeight="1">
      <c r="A185" s="62">
        <v>40702</v>
      </c>
      <c r="B185" s="30" t="s">
        <v>397</v>
      </c>
      <c r="C185" s="10">
        <v>7.391879964695498</v>
      </c>
      <c r="D185" s="32">
        <v>2.2195663308861189</v>
      </c>
      <c r="E185" s="33"/>
      <c r="F185" s="17"/>
    </row>
    <row r="186" spans="1:6" ht="15.75" customHeight="1">
      <c r="A186" s="62">
        <v>40801</v>
      </c>
      <c r="B186" s="30" t="s">
        <v>402</v>
      </c>
      <c r="C186" s="10">
        <v>9.2908438061041299</v>
      </c>
      <c r="D186" s="32">
        <v>2.8989309372335543</v>
      </c>
      <c r="E186" s="33"/>
      <c r="F186" s="17"/>
    </row>
    <row r="187" spans="1:6" ht="15.75" customHeight="1">
      <c r="A187" s="62">
        <v>40802</v>
      </c>
      <c r="B187" s="30" t="s">
        <v>400</v>
      </c>
      <c r="C187" s="10">
        <v>13.537906137184116</v>
      </c>
      <c r="D187" s="32">
        <v>4.3393148450244698</v>
      </c>
      <c r="E187" s="33"/>
      <c r="F187" s="17"/>
    </row>
    <row r="188" spans="1:6" ht="15.75" customHeight="1">
      <c r="A188" s="62">
        <v>40901</v>
      </c>
      <c r="B188" s="30" t="s">
        <v>403</v>
      </c>
      <c r="C188" s="10">
        <v>4.7318187928485012</v>
      </c>
      <c r="D188" s="32">
        <v>2.0191719355496636</v>
      </c>
      <c r="E188" s="33"/>
      <c r="F188" s="17"/>
    </row>
    <row r="189" spans="1:6" ht="15.75" customHeight="1">
      <c r="A189" s="62">
        <v>40902</v>
      </c>
      <c r="B189" s="30" t="s">
        <v>405</v>
      </c>
      <c r="C189" s="10">
        <v>1.5421115065243181</v>
      </c>
      <c r="D189" s="32">
        <v>2.7480916030534353</v>
      </c>
      <c r="E189" s="33"/>
      <c r="F189" s="17"/>
    </row>
    <row r="190" spans="1:6" ht="15.75" customHeight="1">
      <c r="A190" s="62">
        <v>40903</v>
      </c>
      <c r="B190" s="30" t="s">
        <v>407</v>
      </c>
      <c r="C190" s="10">
        <v>9.572192513368984</v>
      </c>
      <c r="D190" s="32">
        <v>6.55590480466996</v>
      </c>
      <c r="E190" s="33"/>
      <c r="F190" s="17"/>
    </row>
    <row r="191" spans="1:6" ht="15.75" customHeight="1">
      <c r="A191" s="62">
        <v>41001</v>
      </c>
      <c r="B191" s="30" t="s">
        <v>409</v>
      </c>
      <c r="C191" s="10">
        <v>13.075010360547038</v>
      </c>
      <c r="D191" s="32">
        <v>3.7498946658801722</v>
      </c>
      <c r="E191" s="33"/>
      <c r="F191" s="17"/>
    </row>
    <row r="192" spans="1:6" ht="15.75" customHeight="1">
      <c r="A192" s="62">
        <v>41101</v>
      </c>
      <c r="B192" s="30" t="s">
        <v>411</v>
      </c>
      <c r="C192" s="10">
        <v>12.157258064516128</v>
      </c>
      <c r="D192" s="32">
        <v>6.1526479750778815</v>
      </c>
      <c r="E192" s="33"/>
      <c r="F192" s="17"/>
    </row>
    <row r="193" spans="1:6" ht="15.75" customHeight="1">
      <c r="A193" s="62">
        <v>41201</v>
      </c>
      <c r="B193" s="30" t="s">
        <v>413</v>
      </c>
      <c r="C193" s="10">
        <v>19.428801287208366</v>
      </c>
      <c r="D193" s="32">
        <v>6.5980728401110564</v>
      </c>
      <c r="E193" s="33"/>
      <c r="F193" s="17"/>
    </row>
    <row r="194" spans="1:6" ht="15.75" customHeight="1">
      <c r="A194" s="62">
        <v>41202</v>
      </c>
      <c r="B194" s="30" t="s">
        <v>415</v>
      </c>
      <c r="C194" s="10">
        <v>14.413938753959874</v>
      </c>
      <c r="D194" s="32">
        <v>6.281661600810537</v>
      </c>
      <c r="E194" s="33"/>
      <c r="F194" s="17"/>
    </row>
    <row r="195" spans="1:6" ht="15.75" customHeight="1">
      <c r="A195" s="62">
        <v>41301</v>
      </c>
      <c r="B195" s="30" t="s">
        <v>417</v>
      </c>
      <c r="C195" s="10">
        <v>12.677135197242437</v>
      </c>
      <c r="D195" s="32">
        <v>7.2858036272670414</v>
      </c>
      <c r="E195" s="33"/>
      <c r="F195" s="17"/>
    </row>
    <row r="196" spans="1:6" ht="15.75" customHeight="1">
      <c r="A196" s="62">
        <v>41401</v>
      </c>
      <c r="B196" s="30" t="s">
        <v>422</v>
      </c>
      <c r="C196" s="10">
        <v>21.429141716566864</v>
      </c>
      <c r="D196" s="32">
        <v>10.302655004257295</v>
      </c>
      <c r="E196" s="33"/>
      <c r="F196" s="17"/>
    </row>
    <row r="197" spans="1:6" ht="15.75" customHeight="1">
      <c r="A197" s="62">
        <v>41501</v>
      </c>
      <c r="B197" s="30" t="s">
        <v>420</v>
      </c>
      <c r="C197" s="10">
        <v>1.2931034482758621</v>
      </c>
      <c r="D197" s="32">
        <v>1.1686143572621035</v>
      </c>
      <c r="E197" s="33"/>
      <c r="F197" s="17"/>
    </row>
    <row r="198" spans="1:6" ht="15.75" customHeight="1">
      <c r="A198" s="62">
        <v>41502</v>
      </c>
      <c r="B198" s="30" t="s">
        <v>423</v>
      </c>
      <c r="C198" s="10">
        <v>2.5073746312684366</v>
      </c>
      <c r="D198" s="32">
        <v>1.0223048327137547</v>
      </c>
      <c r="E198" s="33"/>
      <c r="F198" s="17"/>
    </row>
    <row r="199" spans="1:6" ht="15.75" customHeight="1">
      <c r="A199" s="62">
        <v>41503</v>
      </c>
      <c r="B199" s="30" t="s">
        <v>425</v>
      </c>
      <c r="C199" s="10">
        <v>4.031209362808843</v>
      </c>
      <c r="D199" s="32">
        <v>1.7707362534948743</v>
      </c>
      <c r="E199" s="33"/>
      <c r="F199" s="17"/>
    </row>
    <row r="200" spans="1:6" ht="15.75" customHeight="1">
      <c r="A200" s="62">
        <v>41601</v>
      </c>
      <c r="B200" s="30" t="s">
        <v>430</v>
      </c>
      <c r="C200" s="10">
        <v>10.159211523881728</v>
      </c>
      <c r="D200" s="32">
        <v>5.2090472926662104</v>
      </c>
      <c r="E200" s="33"/>
      <c r="F200" s="17"/>
    </row>
    <row r="201" spans="1:6" ht="15.75" customHeight="1">
      <c r="A201" s="62">
        <v>50101</v>
      </c>
      <c r="B201" s="30" t="s">
        <v>428</v>
      </c>
      <c r="C201" s="10">
        <v>5.7421951974776908</v>
      </c>
      <c r="D201" s="32">
        <v>2.3133599303152659</v>
      </c>
      <c r="E201" s="33"/>
      <c r="F201" s="17"/>
    </row>
    <row r="202" spans="1:6" ht="15.75" customHeight="1">
      <c r="A202" s="62">
        <v>50102</v>
      </c>
      <c r="B202" s="30" t="s">
        <v>431</v>
      </c>
      <c r="C202" s="10">
        <v>48.055001992825822</v>
      </c>
      <c r="D202" s="32">
        <v>23.412785992790408</v>
      </c>
      <c r="E202" s="33"/>
      <c r="F202" s="17"/>
    </row>
    <row r="203" spans="1:6" ht="15.75" customHeight="1">
      <c r="A203" s="62">
        <v>50103</v>
      </c>
      <c r="B203" s="30" t="s">
        <v>433</v>
      </c>
      <c r="C203" s="10">
        <v>14.909090909090908</v>
      </c>
      <c r="D203" s="32">
        <v>6.815281204798775</v>
      </c>
      <c r="E203" s="33"/>
      <c r="F203" s="17"/>
    </row>
    <row r="204" spans="1:6" ht="15.75" customHeight="1">
      <c r="A204" s="62">
        <v>50104</v>
      </c>
      <c r="B204" s="30" t="s">
        <v>437</v>
      </c>
      <c r="C204" s="10">
        <v>48.742746615087043</v>
      </c>
      <c r="D204" s="32">
        <v>35.438829787234042</v>
      </c>
      <c r="E204" s="33"/>
      <c r="F204" s="17"/>
    </row>
    <row r="205" spans="1:6" ht="15.75" customHeight="1">
      <c r="A205" s="62">
        <v>50201</v>
      </c>
      <c r="B205" s="30" t="s">
        <v>440</v>
      </c>
      <c r="C205" s="10">
        <v>30.071795866886582</v>
      </c>
      <c r="D205" s="32">
        <v>18.392389356128501</v>
      </c>
      <c r="E205" s="33"/>
      <c r="F205" s="17"/>
    </row>
    <row r="206" spans="1:6" ht="15.75" customHeight="1">
      <c r="A206" s="62">
        <v>50202</v>
      </c>
      <c r="B206" s="30" t="s">
        <v>438</v>
      </c>
      <c r="C206" s="10">
        <v>33.477912718537297</v>
      </c>
      <c r="D206" s="32">
        <v>19.845529519570622</v>
      </c>
      <c r="E206" s="33"/>
      <c r="F206" s="17"/>
    </row>
    <row r="207" spans="1:6" ht="15.75" customHeight="1">
      <c r="A207" s="62">
        <v>50203</v>
      </c>
      <c r="B207" s="30" t="s">
        <v>441</v>
      </c>
      <c r="C207" s="10">
        <v>15.037966756256035</v>
      </c>
      <c r="D207" s="32">
        <v>7.3743576889334497</v>
      </c>
      <c r="E207" s="33"/>
      <c r="F207" s="17"/>
    </row>
    <row r="208" spans="1:6" ht="15.75" customHeight="1">
      <c r="A208" s="62">
        <v>50204</v>
      </c>
      <c r="B208" s="30" t="s">
        <v>446</v>
      </c>
      <c r="C208" s="10">
        <v>51.787413347832</v>
      </c>
      <c r="D208" s="32">
        <v>27.037747920665389</v>
      </c>
      <c r="E208" s="33"/>
      <c r="F208" s="17"/>
    </row>
    <row r="209" spans="1:6" ht="15.75" customHeight="1">
      <c r="A209" s="62">
        <v>50301</v>
      </c>
      <c r="B209" s="30" t="s">
        <v>444</v>
      </c>
      <c r="C209" s="10">
        <v>29.314724792222048</v>
      </c>
      <c r="D209" s="32">
        <v>17.289336438481975</v>
      </c>
      <c r="E209" s="33"/>
      <c r="F209" s="17"/>
    </row>
    <row r="210" spans="1:6" ht="15.75" customHeight="1">
      <c r="A210" s="62">
        <v>50302</v>
      </c>
      <c r="B210" s="30" t="s">
        <v>447</v>
      </c>
      <c r="C210" s="10">
        <v>26.442307692307693</v>
      </c>
      <c r="D210" s="32">
        <v>12.618296529968454</v>
      </c>
      <c r="E210" s="33"/>
      <c r="F210" s="17"/>
    </row>
    <row r="211" spans="1:6" ht="15.75" customHeight="1">
      <c r="A211" s="62">
        <v>50303</v>
      </c>
      <c r="B211" s="30" t="s">
        <v>449</v>
      </c>
      <c r="C211" s="10">
        <v>45.967669105030254</v>
      </c>
      <c r="D211" s="32">
        <v>27.083486036795428</v>
      </c>
      <c r="E211" s="33"/>
      <c r="F211" s="17"/>
    </row>
    <row r="212" spans="1:6" ht="15.75" customHeight="1">
      <c r="A212" s="62">
        <v>50401</v>
      </c>
      <c r="B212" s="30" t="s">
        <v>451</v>
      </c>
      <c r="C212" s="10">
        <v>43.717813051146386</v>
      </c>
      <c r="D212" s="32">
        <v>31.140208724962726</v>
      </c>
      <c r="E212" s="33"/>
      <c r="F212" s="17"/>
    </row>
    <row r="213" spans="1:6" ht="15.75" customHeight="1">
      <c r="A213" s="62">
        <v>50402</v>
      </c>
      <c r="B213" s="30" t="s">
        <v>453</v>
      </c>
      <c r="C213" s="10">
        <v>50.607979097578138</v>
      </c>
      <c r="D213" s="32">
        <v>36.726424361493123</v>
      </c>
      <c r="E213" s="33"/>
      <c r="F213" s="17"/>
    </row>
    <row r="214" spans="1:6" ht="15.75" customHeight="1">
      <c r="A214" s="62">
        <v>50403</v>
      </c>
      <c r="B214" s="30" t="s">
        <v>455</v>
      </c>
      <c r="C214" s="10">
        <v>43.262325015216071</v>
      </c>
      <c r="D214" s="32">
        <v>23.961362021063515</v>
      </c>
      <c r="E214" s="33"/>
      <c r="F214" s="17"/>
    </row>
    <row r="215" spans="1:6" ht="15.75" customHeight="1">
      <c r="A215" s="62">
        <v>50404</v>
      </c>
      <c r="B215" s="30" t="s">
        <v>457</v>
      </c>
      <c r="C215" s="10">
        <v>50.16400026775554</v>
      </c>
      <c r="D215" s="32">
        <v>32.314915131816541</v>
      </c>
      <c r="E215" s="33"/>
      <c r="F215" s="17"/>
    </row>
    <row r="216" spans="1:6" ht="15.75" customHeight="1">
      <c r="A216" s="63">
        <v>50405</v>
      </c>
      <c r="B216" s="30" t="s">
        <v>462</v>
      </c>
      <c r="C216" s="10">
        <v>42.573346324564255</v>
      </c>
      <c r="D216" s="32">
        <v>23.319464634818786</v>
      </c>
      <c r="E216" s="33"/>
      <c r="F216" s="17"/>
    </row>
    <row r="217" spans="1:6" ht="15.75" customHeight="1">
      <c r="A217" s="62">
        <v>50501</v>
      </c>
      <c r="B217" s="30" t="s">
        <v>465</v>
      </c>
      <c r="C217" s="10">
        <v>59.944492502883506</v>
      </c>
      <c r="D217" s="32">
        <v>42.713267932410758</v>
      </c>
      <c r="E217" s="33"/>
      <c r="F217" s="17"/>
    </row>
    <row r="218" spans="1:6" ht="15.75" customHeight="1">
      <c r="A218" s="62">
        <v>50502</v>
      </c>
      <c r="B218" s="30" t="s">
        <v>460</v>
      </c>
      <c r="C218" s="10">
        <v>46.742879668867644</v>
      </c>
      <c r="D218" s="32">
        <v>28.688121247908672</v>
      </c>
      <c r="E218" s="33"/>
      <c r="F218" s="17"/>
    </row>
    <row r="219" spans="1:6" ht="15.75" customHeight="1">
      <c r="A219" s="62">
        <v>50601</v>
      </c>
      <c r="B219" s="30" t="s">
        <v>463</v>
      </c>
      <c r="C219" s="10">
        <v>12.782608695652172</v>
      </c>
      <c r="D219" s="32">
        <v>7.3695094124358249</v>
      </c>
      <c r="E219" s="33"/>
      <c r="F219" s="17"/>
    </row>
    <row r="220" spans="1:6" ht="15.75" customHeight="1">
      <c r="A220" s="62">
        <v>50602</v>
      </c>
      <c r="B220" s="30" t="s">
        <v>466</v>
      </c>
      <c r="C220" s="10">
        <v>21.681723419041003</v>
      </c>
      <c r="D220" s="32">
        <v>10.069444444444445</v>
      </c>
      <c r="E220" s="33"/>
      <c r="F220" s="17"/>
    </row>
    <row r="221" spans="1:6" ht="15.75" customHeight="1">
      <c r="A221" s="62">
        <v>50701</v>
      </c>
      <c r="B221" s="30" t="s">
        <v>473</v>
      </c>
      <c r="C221" s="10">
        <v>56.01276268016283</v>
      </c>
      <c r="D221" s="32">
        <v>39.728300958937787</v>
      </c>
      <c r="E221" s="33"/>
      <c r="F221" s="17"/>
    </row>
    <row r="222" spans="1:6" ht="15.75" customHeight="1">
      <c r="A222" s="62">
        <v>50702</v>
      </c>
      <c r="B222" s="30" t="s">
        <v>469</v>
      </c>
      <c r="C222" s="10">
        <v>56.450024618414574</v>
      </c>
      <c r="D222" s="32">
        <v>36.468544484427348</v>
      </c>
      <c r="E222" s="33"/>
      <c r="F222" s="17"/>
    </row>
    <row r="223" spans="1:6" ht="15.75" customHeight="1">
      <c r="A223" s="62">
        <v>50801</v>
      </c>
      <c r="B223" s="30" t="s">
        <v>471</v>
      </c>
      <c r="C223" s="10">
        <v>4.811725452812202</v>
      </c>
      <c r="D223" s="32">
        <v>1.4399012639133317</v>
      </c>
      <c r="E223" s="33"/>
      <c r="F223" s="17"/>
    </row>
    <row r="224" spans="1:6" ht="15.75" customHeight="1">
      <c r="A224" s="62">
        <v>50802</v>
      </c>
      <c r="B224" s="30" t="s">
        <v>474</v>
      </c>
      <c r="C224" s="10">
        <v>3.9927056339379976</v>
      </c>
      <c r="D224" s="32">
        <v>1.4691478942213516</v>
      </c>
      <c r="E224" s="33"/>
      <c r="F224" s="17"/>
    </row>
    <row r="225" spans="1:6" ht="15.75" customHeight="1">
      <c r="A225" s="62">
        <v>50901</v>
      </c>
      <c r="B225" s="30" t="s">
        <v>481</v>
      </c>
      <c r="C225" s="10">
        <v>8.4650020466639369</v>
      </c>
      <c r="D225" s="32">
        <v>2.6650266502665025</v>
      </c>
      <c r="E225" s="33"/>
      <c r="F225" s="17"/>
    </row>
    <row r="226" spans="1:6" ht="15.75" customHeight="1">
      <c r="A226" s="62">
        <v>50902</v>
      </c>
      <c r="B226" s="30" t="s">
        <v>477</v>
      </c>
      <c r="C226" s="10">
        <v>2.9615004935834155</v>
      </c>
      <c r="D226" s="32">
        <v>2.619808306709265</v>
      </c>
      <c r="E226" s="33"/>
      <c r="F226" s="17"/>
    </row>
    <row r="227" spans="1:6" ht="15.75" customHeight="1">
      <c r="A227" s="62">
        <v>51001</v>
      </c>
      <c r="B227" s="30" t="s">
        <v>479</v>
      </c>
      <c r="C227" s="10">
        <v>10.379177377892031</v>
      </c>
      <c r="D227" s="32">
        <v>6.1380225613802253</v>
      </c>
      <c r="E227" s="33"/>
      <c r="F227" s="17"/>
    </row>
    <row r="228" spans="1:6" ht="15.75" customHeight="1">
      <c r="A228" s="62">
        <v>51002</v>
      </c>
      <c r="B228" s="30" t="s">
        <v>482</v>
      </c>
      <c r="C228" s="10">
        <v>8.4103512014787434</v>
      </c>
      <c r="D228" s="32">
        <v>2.5354969574036512</v>
      </c>
      <c r="E228" s="33"/>
      <c r="F228" s="17"/>
    </row>
    <row r="229" spans="1:6" ht="15.75" customHeight="1">
      <c r="A229" s="62">
        <v>51003</v>
      </c>
      <c r="B229" s="30" t="s">
        <v>484</v>
      </c>
      <c r="C229" s="10">
        <v>8.3372365339578458</v>
      </c>
      <c r="D229" s="32">
        <v>12.819120043454642</v>
      </c>
      <c r="E229" s="33"/>
      <c r="F229" s="17"/>
    </row>
    <row r="230" spans="1:6" ht="15.75" customHeight="1">
      <c r="A230" s="62">
        <v>51101</v>
      </c>
      <c r="B230" s="30" t="s">
        <v>486</v>
      </c>
      <c r="C230" s="10">
        <v>23.024786986831913</v>
      </c>
      <c r="D230" s="32">
        <v>14.166138237159162</v>
      </c>
      <c r="E230" s="33"/>
      <c r="F230" s="17"/>
    </row>
    <row r="231" spans="1:6" ht="15.75" customHeight="1">
      <c r="A231" s="62">
        <v>51102</v>
      </c>
      <c r="B231" s="30" t="s">
        <v>488</v>
      </c>
      <c r="C231" s="10">
        <v>15.014909664971057</v>
      </c>
      <c r="D231" s="32">
        <v>8.2022743769658852</v>
      </c>
      <c r="E231" s="33"/>
      <c r="F231" s="17"/>
    </row>
    <row r="232" spans="1:6" ht="15.75" customHeight="1">
      <c r="A232" s="62">
        <v>51103</v>
      </c>
      <c r="B232" s="30" t="s">
        <v>490</v>
      </c>
      <c r="C232" s="10">
        <v>43.267319947920235</v>
      </c>
      <c r="D232" s="32">
        <v>26.043825880959432</v>
      </c>
      <c r="E232" s="33"/>
      <c r="F232" s="17"/>
    </row>
    <row r="233" spans="1:6" ht="15.75" customHeight="1">
      <c r="A233" s="62">
        <v>51201</v>
      </c>
      <c r="B233" s="30" t="s">
        <v>492</v>
      </c>
      <c r="C233" s="10">
        <v>7.919750399071253</v>
      </c>
      <c r="D233" s="32">
        <v>2.7201229968659453</v>
      </c>
      <c r="E233" s="33"/>
      <c r="F233" s="17"/>
    </row>
    <row r="234" spans="1:6" ht="15.75" customHeight="1">
      <c r="A234" s="62">
        <v>51202</v>
      </c>
      <c r="B234" s="30" t="s">
        <v>494</v>
      </c>
      <c r="C234" s="10">
        <v>12.412713700939081</v>
      </c>
      <c r="D234" s="32">
        <v>5.0139275766016711</v>
      </c>
      <c r="E234" s="33"/>
      <c r="F234" s="17"/>
    </row>
    <row r="235" spans="1:6" ht="15.75" customHeight="1">
      <c r="A235" s="62">
        <v>51203</v>
      </c>
      <c r="B235" s="30" t="s">
        <v>496</v>
      </c>
      <c r="C235" s="10">
        <v>7.8318135764944268</v>
      </c>
      <c r="D235" s="32">
        <v>2.9575128038664071</v>
      </c>
      <c r="E235" s="33"/>
      <c r="F235" s="17"/>
    </row>
    <row r="236" spans="1:6" ht="15.75" customHeight="1">
      <c r="A236" s="63">
        <v>51204</v>
      </c>
      <c r="B236" s="30" t="s">
        <v>504</v>
      </c>
      <c r="C236" s="10">
        <v>16.545586632764255</v>
      </c>
      <c r="D236" s="32">
        <v>6.7324955116696588</v>
      </c>
      <c r="E236" s="33"/>
      <c r="F236" s="17"/>
    </row>
    <row r="237" spans="1:6" ht="15.75" customHeight="1">
      <c r="A237" s="62">
        <v>51301</v>
      </c>
      <c r="B237" s="30" t="s">
        <v>498</v>
      </c>
      <c r="C237" s="10">
        <v>38.796248045857219</v>
      </c>
      <c r="D237" s="32">
        <v>30.771436765127618</v>
      </c>
      <c r="E237" s="33"/>
      <c r="F237" s="17"/>
    </row>
    <row r="238" spans="1:6" ht="15.75" customHeight="1">
      <c r="A238" s="62">
        <v>51302</v>
      </c>
      <c r="B238" s="30" t="s">
        <v>500</v>
      </c>
      <c r="C238" s="10">
        <v>44.329896907216494</v>
      </c>
      <c r="D238" s="32">
        <v>33.596654275092938</v>
      </c>
      <c r="E238" s="33"/>
      <c r="F238" s="17"/>
    </row>
    <row r="239" spans="1:6" ht="15.75" customHeight="1">
      <c r="A239" s="62">
        <v>51401</v>
      </c>
      <c r="B239" s="30" t="s">
        <v>502</v>
      </c>
      <c r="C239" s="10">
        <v>4.3322225070494751</v>
      </c>
      <c r="D239" s="32">
        <v>0.91948310139165002</v>
      </c>
      <c r="E239" s="33"/>
      <c r="F239" s="17"/>
    </row>
    <row r="240" spans="1:6" ht="15.75" customHeight="1">
      <c r="A240" s="62">
        <v>51402</v>
      </c>
      <c r="B240" s="30" t="s">
        <v>505</v>
      </c>
      <c r="C240" s="10">
        <v>4.369538077403246</v>
      </c>
      <c r="D240" s="32">
        <v>2.0053475935828877</v>
      </c>
      <c r="E240" s="33"/>
      <c r="F240" s="17"/>
    </row>
    <row r="241" spans="1:6" ht="15.75" customHeight="1">
      <c r="A241" s="62">
        <v>51501</v>
      </c>
      <c r="B241" s="30" t="s">
        <v>507</v>
      </c>
      <c r="C241" s="10">
        <v>5.0519671586540742</v>
      </c>
      <c r="D241" s="32">
        <v>2.2498833707960473</v>
      </c>
      <c r="E241" s="33"/>
      <c r="F241" s="17"/>
    </row>
    <row r="242" spans="1:6" ht="15.75" customHeight="1">
      <c r="A242" s="62">
        <v>51601</v>
      </c>
      <c r="B242" s="30" t="s">
        <v>509</v>
      </c>
      <c r="C242" s="10">
        <v>7.8566939032055307</v>
      </c>
      <c r="D242" s="32">
        <v>2.3529411764705883</v>
      </c>
      <c r="E242" s="33"/>
      <c r="F242" s="17"/>
    </row>
    <row r="243" spans="1:6" ht="15.75" customHeight="1">
      <c r="A243" s="62">
        <v>60101</v>
      </c>
      <c r="B243" s="30" t="s">
        <v>28</v>
      </c>
      <c r="C243" s="10">
        <v>1.7099538017921183</v>
      </c>
      <c r="D243" s="32">
        <v>0.84978961098616335</v>
      </c>
      <c r="E243" s="33"/>
      <c r="F243" s="17"/>
    </row>
    <row r="244" spans="1:6" ht="15.75" customHeight="1">
      <c r="A244" s="62">
        <v>60201</v>
      </c>
      <c r="B244" s="30" t="s">
        <v>512</v>
      </c>
      <c r="C244" s="10">
        <v>2.6347237238946111</v>
      </c>
      <c r="D244" s="32">
        <v>0.99412824835765357</v>
      </c>
      <c r="E244" s="33"/>
      <c r="F244" s="17"/>
    </row>
    <row r="245" spans="1:6" ht="15.75" customHeight="1">
      <c r="A245" s="62">
        <v>60202</v>
      </c>
      <c r="B245" s="30" t="s">
        <v>514</v>
      </c>
      <c r="C245" s="10">
        <v>2.1163858168263454</v>
      </c>
      <c r="D245" s="32">
        <v>0.96145760336370012</v>
      </c>
      <c r="E245" s="33"/>
      <c r="F245" s="17"/>
    </row>
    <row r="246" spans="1:6" ht="15.75" customHeight="1">
      <c r="A246" s="62">
        <v>60301</v>
      </c>
      <c r="B246" s="30" t="s">
        <v>516</v>
      </c>
      <c r="C246" s="10">
        <v>5.1658251887535318</v>
      </c>
      <c r="D246" s="32">
        <v>4.094454535740998</v>
      </c>
      <c r="E246" s="33"/>
      <c r="F246" s="17"/>
    </row>
    <row r="247" spans="1:6" ht="15.75" customHeight="1">
      <c r="A247" s="62">
        <v>60302</v>
      </c>
      <c r="B247" s="30" t="s">
        <v>518</v>
      </c>
      <c r="C247" s="10">
        <v>3.1360577256643309</v>
      </c>
      <c r="D247" s="32">
        <v>1.3781512605042017</v>
      </c>
      <c r="E247" s="33"/>
      <c r="F247" s="17"/>
    </row>
    <row r="248" spans="1:6" ht="15.75" customHeight="1">
      <c r="A248" s="62">
        <v>60303</v>
      </c>
      <c r="B248" s="30" t="s">
        <v>527</v>
      </c>
      <c r="C248" s="10">
        <v>5.197142243231629</v>
      </c>
      <c r="D248" s="32">
        <v>3.9597908035047205</v>
      </c>
      <c r="E248" s="33"/>
      <c r="F248" s="17"/>
    </row>
    <row r="249" spans="1:6" ht="15.75" customHeight="1">
      <c r="A249" s="62">
        <v>60401</v>
      </c>
      <c r="B249" s="30" t="s">
        <v>521</v>
      </c>
      <c r="C249" s="10">
        <v>1.9929744067675101</v>
      </c>
      <c r="D249" s="32">
        <v>0.86916742909423605</v>
      </c>
      <c r="E249" s="33"/>
      <c r="F249" s="17"/>
    </row>
    <row r="250" spans="1:6" ht="15.75" customHeight="1">
      <c r="A250" s="62">
        <v>60402</v>
      </c>
      <c r="B250" s="30" t="s">
        <v>523</v>
      </c>
      <c r="C250" s="10">
        <v>1.2715179968701096</v>
      </c>
      <c r="D250" s="32">
        <v>0.79051383399209485</v>
      </c>
      <c r="E250" s="33"/>
      <c r="F250" s="17"/>
    </row>
    <row r="251" spans="1:6" ht="15.75" customHeight="1">
      <c r="A251" s="62">
        <v>60501</v>
      </c>
      <c r="B251" s="30" t="s">
        <v>525</v>
      </c>
      <c r="C251" s="10">
        <v>1.8862035137786497</v>
      </c>
      <c r="D251" s="32">
        <v>1.0316674068254021</v>
      </c>
      <c r="E251" s="33"/>
      <c r="F251" s="17"/>
    </row>
    <row r="252" spans="1:6" ht="15.75" customHeight="1">
      <c r="A252" s="62">
        <v>60502</v>
      </c>
      <c r="B252" s="30" t="s">
        <v>528</v>
      </c>
      <c r="C252" s="10">
        <v>2.0396653820847823</v>
      </c>
      <c r="D252" s="32">
        <v>0.60803474484256248</v>
      </c>
      <c r="E252" s="33"/>
      <c r="F252" s="17"/>
    </row>
    <row r="253" spans="1:6" ht="15.75" customHeight="1">
      <c r="A253" s="62">
        <v>60601</v>
      </c>
      <c r="B253" s="30" t="s">
        <v>335</v>
      </c>
      <c r="C253" s="10">
        <v>4.2723371049551302</v>
      </c>
      <c r="D253" s="32">
        <v>2.7577937649880093</v>
      </c>
      <c r="E253" s="33"/>
      <c r="F253" s="17"/>
    </row>
    <row r="254" spans="1:6" ht="15.75" customHeight="1">
      <c r="A254" s="62">
        <v>70101</v>
      </c>
      <c r="B254" s="30" t="s">
        <v>531</v>
      </c>
      <c r="C254" s="10">
        <v>3.7824242075149286</v>
      </c>
      <c r="D254" s="32">
        <v>1.344846489810378</v>
      </c>
      <c r="E254" s="33"/>
      <c r="F254" s="17"/>
    </row>
    <row r="255" spans="1:6" ht="15.75" customHeight="1">
      <c r="A255" s="62">
        <v>70102</v>
      </c>
      <c r="B255" s="30" t="s">
        <v>533</v>
      </c>
      <c r="C255" s="10">
        <v>5.6511152235317033</v>
      </c>
      <c r="D255" s="32">
        <v>1.6699002217294903</v>
      </c>
      <c r="E255" s="33"/>
      <c r="F255" s="17"/>
    </row>
    <row r="256" spans="1:6" ht="15.75" customHeight="1">
      <c r="A256" s="62">
        <v>70103</v>
      </c>
      <c r="B256" s="30" t="s">
        <v>535</v>
      </c>
      <c r="C256" s="10">
        <v>5.4893438025799215</v>
      </c>
      <c r="D256" s="32">
        <v>1.2015120151201513</v>
      </c>
      <c r="E256" s="33"/>
      <c r="F256" s="17"/>
    </row>
    <row r="257" spans="1:6" ht="15.75" customHeight="1">
      <c r="A257" s="62">
        <v>70104</v>
      </c>
      <c r="B257" s="30" t="s">
        <v>537</v>
      </c>
      <c r="C257" s="10">
        <v>5.546537772487345</v>
      </c>
      <c r="D257" s="32">
        <v>1.4895490173804384</v>
      </c>
      <c r="E257" s="33"/>
      <c r="F257" s="17"/>
    </row>
    <row r="258" spans="1:6" ht="15.75" customHeight="1">
      <c r="A258" s="62">
        <v>70105</v>
      </c>
      <c r="B258" s="30" t="s">
        <v>539</v>
      </c>
      <c r="C258" s="10">
        <v>6.2774666092201645</v>
      </c>
      <c r="D258" s="32">
        <v>1.8747417064282224</v>
      </c>
      <c r="E258" s="33"/>
      <c r="F258" s="17"/>
    </row>
    <row r="259" spans="1:6" ht="15.75" customHeight="1">
      <c r="A259" s="62">
        <v>70201</v>
      </c>
      <c r="B259" s="30" t="s">
        <v>541</v>
      </c>
      <c r="C259" s="10">
        <v>3.8054565426950924</v>
      </c>
      <c r="D259" s="32">
        <v>1.9078453714253953</v>
      </c>
      <c r="E259" s="33"/>
      <c r="F259" s="17"/>
    </row>
    <row r="260" spans="1:6" ht="15.75" customHeight="1">
      <c r="A260" s="62">
        <v>70202</v>
      </c>
      <c r="B260" s="30" t="s">
        <v>543</v>
      </c>
      <c r="C260" s="10">
        <v>4.7320807237299931</v>
      </c>
      <c r="D260" s="32">
        <v>1.5805591227896869</v>
      </c>
      <c r="E260" s="33"/>
      <c r="F260" s="17"/>
    </row>
    <row r="261" spans="1:6" ht="15.75" customHeight="1">
      <c r="A261" s="62">
        <v>70301</v>
      </c>
      <c r="B261" s="30" t="s">
        <v>551</v>
      </c>
      <c r="C261" s="10">
        <v>5.9869775956397833</v>
      </c>
      <c r="D261" s="32">
        <v>7.5665532266785407</v>
      </c>
      <c r="E261" s="33"/>
      <c r="F261" s="17"/>
    </row>
    <row r="262" spans="1:6" ht="15.75" customHeight="1">
      <c r="A262" s="62">
        <v>70302</v>
      </c>
      <c r="B262" s="30" t="s">
        <v>554</v>
      </c>
      <c r="C262" s="10">
        <v>2.4401868268039273</v>
      </c>
      <c r="D262" s="32">
        <v>7.9433712253295212</v>
      </c>
      <c r="E262" s="33"/>
      <c r="F262" s="17"/>
    </row>
    <row r="263" spans="1:6" ht="15.75" customHeight="1">
      <c r="A263" s="62">
        <v>70303</v>
      </c>
      <c r="B263" s="30" t="s">
        <v>547</v>
      </c>
      <c r="C263" s="10">
        <v>2.7363184079601992</v>
      </c>
      <c r="D263" s="32">
        <v>10.732232591529074</v>
      </c>
      <c r="E263" s="33"/>
      <c r="F263" s="17"/>
    </row>
    <row r="264" spans="1:6" ht="15.75" customHeight="1">
      <c r="A264" s="62">
        <v>70401</v>
      </c>
      <c r="B264" s="30" t="s">
        <v>549</v>
      </c>
      <c r="C264" s="10">
        <v>3.9104750811215574</v>
      </c>
      <c r="D264" s="32">
        <v>2.3477792317758448</v>
      </c>
      <c r="E264" s="33"/>
      <c r="F264" s="17"/>
    </row>
    <row r="265" spans="1:6" ht="15.75" customHeight="1">
      <c r="A265" s="62">
        <v>70402</v>
      </c>
      <c r="B265" s="30" t="s">
        <v>552</v>
      </c>
      <c r="C265" s="10">
        <v>4.3254817987152032</v>
      </c>
      <c r="D265" s="32">
        <v>1.5661317100166023</v>
      </c>
      <c r="E265" s="33"/>
      <c r="F265" s="17"/>
    </row>
    <row r="266" spans="1:6" ht="15.75" customHeight="1">
      <c r="A266" s="62">
        <v>70403</v>
      </c>
      <c r="B266" s="30" t="s">
        <v>555</v>
      </c>
      <c r="C266" s="10">
        <v>7.5686807354252466</v>
      </c>
      <c r="D266" s="32">
        <v>2.5365535484572317</v>
      </c>
      <c r="E266" s="33"/>
      <c r="F266" s="17"/>
    </row>
    <row r="267" spans="1:6" ht="15.75" customHeight="1">
      <c r="A267" s="62">
        <v>70404</v>
      </c>
      <c r="B267" s="30" t="s">
        <v>564</v>
      </c>
      <c r="C267" s="10">
        <v>7.7355836849507735</v>
      </c>
      <c r="D267" s="32">
        <v>1.8280784635924825</v>
      </c>
      <c r="E267" s="33"/>
      <c r="F267" s="17"/>
    </row>
    <row r="268" spans="1:6" ht="15.75" customHeight="1">
      <c r="A268" s="62">
        <v>70501</v>
      </c>
      <c r="B268" s="30" t="s">
        <v>558</v>
      </c>
      <c r="C268" s="10">
        <v>30.46143431988267</v>
      </c>
      <c r="D268" s="32">
        <v>28.814361184850316</v>
      </c>
      <c r="E268" s="33"/>
      <c r="F268" s="17"/>
    </row>
    <row r="269" spans="1:6" ht="15.75" customHeight="1">
      <c r="A269" s="62">
        <v>70502</v>
      </c>
      <c r="B269" s="30" t="s">
        <v>560</v>
      </c>
      <c r="C269" s="10">
        <v>36.260689373376529</v>
      </c>
      <c r="D269" s="32">
        <v>26.37839992029491</v>
      </c>
      <c r="E269" s="33"/>
      <c r="F269" s="17"/>
    </row>
    <row r="270" spans="1:6" ht="15.75" customHeight="1">
      <c r="A270" s="62">
        <v>70503</v>
      </c>
      <c r="B270" s="30" t="s">
        <v>562</v>
      </c>
      <c r="C270" s="10">
        <v>2.256862080650627</v>
      </c>
      <c r="D270" s="32">
        <v>4.7471736318128128</v>
      </c>
      <c r="E270" s="33"/>
      <c r="F270" s="17"/>
    </row>
    <row r="271" spans="1:6" ht="15.75" customHeight="1">
      <c r="A271" s="62">
        <v>70601</v>
      </c>
      <c r="B271" s="30" t="s">
        <v>565</v>
      </c>
      <c r="C271" s="10">
        <v>3.0333974050937051</v>
      </c>
      <c r="D271" s="32">
        <v>1.198907324969648</v>
      </c>
      <c r="E271" s="33"/>
      <c r="F271" s="17"/>
    </row>
    <row r="272" spans="1:6" ht="15.75" customHeight="1">
      <c r="A272" s="62">
        <v>70602</v>
      </c>
      <c r="B272" s="30" t="s">
        <v>567</v>
      </c>
      <c r="C272" s="10">
        <v>6.0163420640250731</v>
      </c>
      <c r="D272" s="32">
        <v>2.0760844351658547</v>
      </c>
      <c r="E272" s="33"/>
      <c r="F272" s="17"/>
    </row>
    <row r="273" spans="1:6" ht="15.75" customHeight="1">
      <c r="A273" s="62">
        <v>70603</v>
      </c>
      <c r="B273" s="30" t="s">
        <v>576</v>
      </c>
      <c r="C273" s="10">
        <v>5.6431386599785016</v>
      </c>
      <c r="D273" s="32">
        <v>1.1526370939573873</v>
      </c>
      <c r="E273" s="33"/>
      <c r="F273" s="17"/>
    </row>
    <row r="274" spans="1:6" ht="15.75" customHeight="1">
      <c r="A274" s="62">
        <v>70701</v>
      </c>
      <c r="B274" s="30" t="s">
        <v>570</v>
      </c>
      <c r="C274" s="10">
        <v>5.5511022044088181</v>
      </c>
      <c r="D274" s="32">
        <v>5.9629761480954082</v>
      </c>
      <c r="E274" s="33"/>
      <c r="F274" s="17"/>
    </row>
    <row r="275" spans="1:6" ht="15.75" customHeight="1">
      <c r="A275" s="62">
        <v>70702</v>
      </c>
      <c r="B275" s="30" t="s">
        <v>572</v>
      </c>
      <c r="C275" s="10">
        <v>31.467555888257507</v>
      </c>
      <c r="D275" s="32">
        <v>25.804565701559017</v>
      </c>
      <c r="E275" s="33"/>
      <c r="F275" s="17"/>
    </row>
    <row r="276" spans="1:6" ht="15.75" customHeight="1">
      <c r="A276" s="62">
        <v>70703</v>
      </c>
      <c r="B276" s="30" t="s">
        <v>574</v>
      </c>
      <c r="C276" s="10">
        <v>24.385017924100705</v>
      </c>
      <c r="D276" s="32">
        <v>21.911693352741388</v>
      </c>
      <c r="E276" s="33"/>
      <c r="F276" s="17"/>
    </row>
    <row r="277" spans="1:6" ht="15.75" customHeight="1">
      <c r="A277" s="62">
        <v>70704</v>
      </c>
      <c r="B277" s="30" t="s">
        <v>584</v>
      </c>
      <c r="C277" s="10">
        <v>8.2637550845643339</v>
      </c>
      <c r="D277" s="32">
        <v>3.2333463186599145</v>
      </c>
      <c r="E277" s="33"/>
      <c r="F277" s="17"/>
    </row>
    <row r="278" spans="1:6" ht="15.75" customHeight="1">
      <c r="A278" s="62">
        <v>70705</v>
      </c>
      <c r="B278" s="30" t="s">
        <v>578</v>
      </c>
      <c r="C278" s="10">
        <v>15.063988624244578</v>
      </c>
      <c r="D278" s="32">
        <v>10.743616544721517</v>
      </c>
      <c r="E278" s="33"/>
      <c r="F278" s="17"/>
    </row>
    <row r="279" spans="1:6" ht="15.75" customHeight="1">
      <c r="A279" s="62">
        <v>70706</v>
      </c>
      <c r="B279" s="30" t="s">
        <v>580</v>
      </c>
      <c r="C279" s="10">
        <v>4.4364847456562035</v>
      </c>
      <c r="D279" s="32">
        <v>2.2785787847579813</v>
      </c>
      <c r="E279" s="33"/>
      <c r="F279" s="17"/>
    </row>
    <row r="280" spans="1:6" ht="15.75" customHeight="1">
      <c r="A280" s="62">
        <v>70707</v>
      </c>
      <c r="B280" s="30" t="s">
        <v>582</v>
      </c>
      <c r="C280" s="10">
        <v>3.0188679245283021</v>
      </c>
      <c r="D280" s="32">
        <v>9.4160167395853147</v>
      </c>
      <c r="E280" s="33"/>
      <c r="F280" s="17"/>
    </row>
    <row r="281" spans="1:6" ht="15.75" customHeight="1">
      <c r="A281" s="62">
        <v>70801</v>
      </c>
      <c r="B281" s="30" t="s">
        <v>585</v>
      </c>
      <c r="C281" s="10">
        <v>4.0748491936476672</v>
      </c>
      <c r="D281" s="32">
        <v>1.4731525464494017</v>
      </c>
      <c r="E281" s="33"/>
      <c r="F281" s="17"/>
    </row>
    <row r="282" spans="1:6" ht="15.75" customHeight="1">
      <c r="A282" s="62">
        <v>70802</v>
      </c>
      <c r="B282" s="30" t="s">
        <v>593</v>
      </c>
      <c r="C282" s="10">
        <v>1.2487512487512489</v>
      </c>
      <c r="D282" s="32">
        <v>0.96618357487922701</v>
      </c>
      <c r="E282" s="33"/>
      <c r="F282" s="17"/>
    </row>
    <row r="283" spans="1:6" ht="15.75" customHeight="1">
      <c r="A283" s="62">
        <v>70803</v>
      </c>
      <c r="B283" s="30" t="s">
        <v>588</v>
      </c>
      <c r="C283" s="10">
        <v>1.8000765990042129</v>
      </c>
      <c r="D283" s="32">
        <v>1.4492753623188406</v>
      </c>
      <c r="E283" s="33"/>
      <c r="F283" s="17"/>
    </row>
    <row r="284" spans="1:6" ht="15.75" customHeight="1">
      <c r="A284" s="62">
        <v>70804</v>
      </c>
      <c r="B284" s="30" t="s">
        <v>598</v>
      </c>
      <c r="C284" s="10">
        <v>2.0125223613595709</v>
      </c>
      <c r="D284" s="32">
        <v>3.1482541499713794</v>
      </c>
      <c r="E284" s="33"/>
      <c r="F284" s="17"/>
    </row>
    <row r="285" spans="1:6" ht="15.75" customHeight="1">
      <c r="A285" s="62">
        <v>70805</v>
      </c>
      <c r="B285" s="30" t="s">
        <v>591</v>
      </c>
      <c r="C285" s="10">
        <v>2.810424118548799</v>
      </c>
      <c r="D285" s="32">
        <v>1.1880165289256199</v>
      </c>
      <c r="E285" s="33"/>
      <c r="F285" s="17"/>
    </row>
    <row r="286" spans="1:6" ht="15.75" customHeight="1">
      <c r="A286" s="62">
        <v>70901</v>
      </c>
      <c r="B286" s="30" t="s">
        <v>594</v>
      </c>
      <c r="C286" s="10">
        <v>5.5583833859309779</v>
      </c>
      <c r="D286" s="32">
        <v>2.7775336204623366</v>
      </c>
      <c r="E286" s="33"/>
      <c r="F286" s="17"/>
    </row>
    <row r="287" spans="1:6" ht="15.75" customHeight="1">
      <c r="A287" s="62">
        <v>70902</v>
      </c>
      <c r="B287" s="30" t="s">
        <v>596</v>
      </c>
      <c r="C287" s="10">
        <v>6.1098850040655126</v>
      </c>
      <c r="D287" s="32">
        <v>2.7044711014176661</v>
      </c>
      <c r="E287" s="33"/>
      <c r="F287" s="17"/>
    </row>
    <row r="288" spans="1:6" ht="15.75" customHeight="1">
      <c r="A288" s="62">
        <v>70903</v>
      </c>
      <c r="B288" s="30" t="s">
        <v>599</v>
      </c>
      <c r="C288" s="10">
        <v>5.7040245061793602</v>
      </c>
      <c r="D288" s="32">
        <v>2.7667329357190193</v>
      </c>
      <c r="E288" s="33"/>
      <c r="F288" s="17"/>
    </row>
    <row r="289" spans="1:6" ht="15.75" customHeight="1">
      <c r="A289" s="62">
        <v>70904</v>
      </c>
      <c r="B289" s="30" t="s">
        <v>601</v>
      </c>
      <c r="C289" s="10">
        <v>1.596877217885025</v>
      </c>
      <c r="D289" s="32">
        <v>1.3468013468013467</v>
      </c>
      <c r="E289" s="33"/>
      <c r="F289" s="17"/>
    </row>
    <row r="290" spans="1:6" ht="15.75" customHeight="1">
      <c r="A290" s="62">
        <v>71001</v>
      </c>
      <c r="B290" s="30" t="s">
        <v>603</v>
      </c>
      <c r="C290" s="10">
        <v>3.635600171868286</v>
      </c>
      <c r="D290" s="32">
        <v>1.5940118867033048</v>
      </c>
      <c r="E290" s="33"/>
      <c r="F290" s="17"/>
    </row>
    <row r="291" spans="1:6" ht="15.75" customHeight="1">
      <c r="A291" s="62">
        <v>71002</v>
      </c>
      <c r="B291" s="30" t="s">
        <v>611</v>
      </c>
      <c r="C291" s="10">
        <v>7.2582480091012505</v>
      </c>
      <c r="D291" s="32">
        <v>3.2101910828025479</v>
      </c>
      <c r="E291" s="33"/>
      <c r="F291" s="17"/>
    </row>
    <row r="292" spans="1:6" ht="15.75" customHeight="1">
      <c r="A292" s="62">
        <v>71003</v>
      </c>
      <c r="B292" s="30" t="s">
        <v>606</v>
      </c>
      <c r="C292" s="10">
        <v>5.4587796925943177</v>
      </c>
      <c r="D292" s="32">
        <v>1.8290731171978598</v>
      </c>
      <c r="E292" s="33"/>
      <c r="F292" s="17"/>
    </row>
    <row r="293" spans="1:6" ht="15.75" customHeight="1">
      <c r="A293" s="62">
        <v>71004</v>
      </c>
      <c r="B293" s="30" t="s">
        <v>616</v>
      </c>
      <c r="C293" s="10">
        <v>5.7644466557680003</v>
      </c>
      <c r="D293" s="32">
        <v>2.6682881465054726</v>
      </c>
      <c r="E293" s="33"/>
      <c r="F293" s="17"/>
    </row>
    <row r="294" spans="1:6" ht="15.75" customHeight="1">
      <c r="A294" s="62">
        <v>71005</v>
      </c>
      <c r="B294" s="30" t="s">
        <v>609</v>
      </c>
      <c r="C294" s="10">
        <v>4.4307692307692301</v>
      </c>
      <c r="D294" s="32">
        <v>1.4596529881575324</v>
      </c>
      <c r="E294" s="33"/>
      <c r="F294" s="17"/>
    </row>
    <row r="295" spans="1:6" ht="15.75" customHeight="1">
      <c r="A295" s="62">
        <v>71101</v>
      </c>
      <c r="B295" s="30" t="s">
        <v>612</v>
      </c>
      <c r="C295" s="10">
        <v>3.8907810425445937</v>
      </c>
      <c r="D295" s="32">
        <v>4.6114190883090291</v>
      </c>
      <c r="E295" s="33"/>
      <c r="F295" s="17"/>
    </row>
    <row r="296" spans="1:6" ht="15.75" customHeight="1">
      <c r="A296" s="62">
        <v>71102</v>
      </c>
      <c r="B296" s="30" t="s">
        <v>614</v>
      </c>
      <c r="C296" s="10">
        <v>5.5202036271078585</v>
      </c>
      <c r="D296" s="32">
        <v>1.5264440303855524</v>
      </c>
      <c r="E296" s="33"/>
      <c r="F296" s="17"/>
    </row>
    <row r="297" spans="1:6" ht="15.75" customHeight="1">
      <c r="A297" s="62">
        <v>71103</v>
      </c>
      <c r="B297" s="30" t="s">
        <v>617</v>
      </c>
      <c r="C297" s="10">
        <v>9.8498676645067071</v>
      </c>
      <c r="D297" s="32">
        <v>4.1139389377616782</v>
      </c>
      <c r="E297" s="33"/>
      <c r="F297" s="17"/>
    </row>
    <row r="298" spans="1:6" ht="15.75" customHeight="1">
      <c r="A298" s="62">
        <v>71104</v>
      </c>
      <c r="B298" s="30" t="s">
        <v>619</v>
      </c>
      <c r="C298" s="10">
        <v>6.3907892541298184</v>
      </c>
      <c r="D298" s="32">
        <v>2.3989263546384834</v>
      </c>
      <c r="E298" s="33"/>
      <c r="F298" s="17"/>
    </row>
    <row r="299" spans="1:6" ht="15.75" customHeight="1">
      <c r="A299" s="62">
        <v>71105</v>
      </c>
      <c r="B299" s="30" t="s">
        <v>628</v>
      </c>
      <c r="C299" s="10">
        <v>2.9483676111031207</v>
      </c>
      <c r="D299" s="32">
        <v>3.2638371804417967</v>
      </c>
      <c r="E299" s="33"/>
      <c r="F299" s="17"/>
    </row>
    <row r="300" spans="1:6" ht="15.75" customHeight="1">
      <c r="A300" s="62">
        <v>71106</v>
      </c>
      <c r="B300" s="30" t="s">
        <v>622</v>
      </c>
      <c r="C300" s="10">
        <v>20.722776985259152</v>
      </c>
      <c r="D300" s="32">
        <v>15.361229573956003</v>
      </c>
      <c r="E300" s="33"/>
      <c r="F300" s="17"/>
    </row>
    <row r="301" spans="1:6" ht="15.75" customHeight="1">
      <c r="A301" s="62">
        <v>71201</v>
      </c>
      <c r="B301" s="30" t="s">
        <v>624</v>
      </c>
      <c r="C301" s="10">
        <v>6.8571428571428577</v>
      </c>
      <c r="D301" s="32">
        <v>4.1349744157101371</v>
      </c>
      <c r="E301" s="33"/>
      <c r="F301" s="17"/>
    </row>
    <row r="302" spans="1:6" ht="15.75" customHeight="1">
      <c r="A302" s="62">
        <v>71301</v>
      </c>
      <c r="B302" s="30" t="s">
        <v>626</v>
      </c>
      <c r="C302" s="10">
        <v>6.0556576172007892</v>
      </c>
      <c r="D302" s="32">
        <v>3.014065639651708</v>
      </c>
      <c r="E302" s="33"/>
      <c r="F302" s="17"/>
    </row>
    <row r="303" spans="1:6" ht="15.75" customHeight="1">
      <c r="A303" s="62">
        <v>71302</v>
      </c>
      <c r="B303" s="30" t="s">
        <v>629</v>
      </c>
      <c r="C303" s="10">
        <v>5.6271981242672924</v>
      </c>
      <c r="D303" s="32">
        <v>2.2731216380357453</v>
      </c>
      <c r="E303" s="33"/>
      <c r="F303" s="17"/>
    </row>
    <row r="304" spans="1:6" ht="15.75" customHeight="1">
      <c r="A304" s="62">
        <v>71401</v>
      </c>
      <c r="B304" s="30" t="s">
        <v>636</v>
      </c>
      <c r="C304" s="10">
        <v>5.3575251552130165</v>
      </c>
      <c r="D304" s="32">
        <v>3.5113955853322962</v>
      </c>
      <c r="E304" s="33"/>
      <c r="F304" s="17"/>
    </row>
    <row r="305" spans="1:6" ht="15.75" customHeight="1">
      <c r="A305" s="62">
        <v>71402</v>
      </c>
      <c r="B305" s="30" t="s">
        <v>632</v>
      </c>
      <c r="C305" s="10">
        <v>4.9670779262289839</v>
      </c>
      <c r="D305" s="32">
        <v>4.0956027381366749</v>
      </c>
      <c r="E305" s="33"/>
      <c r="F305" s="17"/>
    </row>
    <row r="306" spans="1:6" ht="15.75" customHeight="1">
      <c r="A306" s="62">
        <v>71403</v>
      </c>
      <c r="B306" s="30" t="s">
        <v>640</v>
      </c>
      <c r="C306" s="10">
        <v>4.6049277824978763</v>
      </c>
      <c r="D306" s="32">
        <v>12.542372881355931</v>
      </c>
      <c r="E306" s="33"/>
      <c r="F306" s="17"/>
    </row>
    <row r="307" spans="1:6" ht="15.75" customHeight="1">
      <c r="A307" s="62">
        <v>71501</v>
      </c>
      <c r="B307" s="30" t="s">
        <v>643</v>
      </c>
      <c r="C307" s="10">
        <v>8.2727490612766648</v>
      </c>
      <c r="D307" s="32">
        <v>3.7358818418766289</v>
      </c>
      <c r="E307" s="33"/>
      <c r="F307" s="17"/>
    </row>
    <row r="308" spans="1:6" ht="15.75" customHeight="1">
      <c r="A308" s="62">
        <v>71502</v>
      </c>
      <c r="B308" s="30" t="s">
        <v>637</v>
      </c>
      <c r="C308" s="10">
        <v>28.223694346017563</v>
      </c>
      <c r="D308" s="32">
        <v>13.278609367455335</v>
      </c>
      <c r="E308" s="33"/>
      <c r="F308" s="17"/>
    </row>
    <row r="309" spans="1:6" ht="15.75" customHeight="1">
      <c r="A309" s="62">
        <v>71503</v>
      </c>
      <c r="B309" s="30" t="s">
        <v>528</v>
      </c>
      <c r="C309" s="10">
        <v>9.4500800854244531</v>
      </c>
      <c r="D309" s="32">
        <v>5.9398724567263894</v>
      </c>
      <c r="E309" s="33"/>
      <c r="F309" s="17"/>
    </row>
    <row r="310" spans="1:6" ht="15.75" customHeight="1">
      <c r="A310" s="62">
        <v>80101</v>
      </c>
      <c r="B310" s="30" t="s">
        <v>641</v>
      </c>
      <c r="C310" s="10">
        <v>3.4419633876483604</v>
      </c>
      <c r="D310" s="32">
        <v>1.5328538418980049</v>
      </c>
      <c r="E310" s="33"/>
      <c r="F310" s="17"/>
    </row>
    <row r="311" spans="1:6" ht="15.75" customHeight="1">
      <c r="A311" s="62">
        <v>80102</v>
      </c>
      <c r="B311" s="30" t="s">
        <v>614</v>
      </c>
      <c r="C311" s="10">
        <v>10.850622406639005</v>
      </c>
      <c r="D311" s="32">
        <v>13.567567567567568</v>
      </c>
      <c r="E311" s="33"/>
      <c r="F311" s="17"/>
    </row>
    <row r="312" spans="1:6" ht="15.75" customHeight="1">
      <c r="A312" s="62">
        <v>80201</v>
      </c>
      <c r="B312" s="30" t="s">
        <v>645</v>
      </c>
      <c r="C312" s="10">
        <v>4.7524195913579037</v>
      </c>
      <c r="D312" s="32">
        <v>2.1307946227814187</v>
      </c>
      <c r="E312" s="33"/>
      <c r="F312" s="17"/>
    </row>
    <row r="313" spans="1:6" ht="15.75" customHeight="1">
      <c r="A313" s="62">
        <v>80202</v>
      </c>
      <c r="B313" s="30" t="s">
        <v>647</v>
      </c>
      <c r="C313" s="10">
        <v>3.5847743731154806</v>
      </c>
      <c r="D313" s="32">
        <v>2.4879474433592286</v>
      </c>
      <c r="E313" s="33"/>
      <c r="F313" s="17"/>
    </row>
    <row r="314" spans="1:6" ht="15.75" customHeight="1">
      <c r="A314" s="62">
        <v>80301</v>
      </c>
      <c r="B314" s="30" t="s">
        <v>649</v>
      </c>
      <c r="C314" s="10">
        <v>4.3293231852033713</v>
      </c>
      <c r="D314" s="32">
        <v>1.3837295690936107</v>
      </c>
      <c r="E314" s="33"/>
      <c r="F314" s="17"/>
    </row>
    <row r="315" spans="1:6" ht="15.75" customHeight="1">
      <c r="A315" s="62">
        <v>80302</v>
      </c>
      <c r="B315" s="30" t="s">
        <v>651</v>
      </c>
      <c r="C315" s="10">
        <v>16.165071898219917</v>
      </c>
      <c r="D315" s="32">
        <v>15.740045078888054</v>
      </c>
      <c r="E315" s="33"/>
      <c r="F315" s="17"/>
    </row>
    <row r="316" spans="1:6" ht="15.75" customHeight="1">
      <c r="A316" s="62">
        <v>80303</v>
      </c>
      <c r="B316" s="30" t="s">
        <v>653</v>
      </c>
      <c r="C316" s="10">
        <v>3.131452167928424</v>
      </c>
      <c r="D316" s="32">
        <v>3.1534553819610851</v>
      </c>
      <c r="E316" s="33"/>
      <c r="F316" s="17"/>
    </row>
    <row r="317" spans="1:6" ht="15.75" customHeight="1">
      <c r="A317" s="62">
        <v>80304</v>
      </c>
      <c r="B317" s="30" t="s">
        <v>655</v>
      </c>
      <c r="C317" s="10">
        <v>5.6261650567700388</v>
      </c>
      <c r="D317" s="32">
        <v>3.5261212666067325</v>
      </c>
      <c r="E317" s="33"/>
      <c r="F317" s="17"/>
    </row>
    <row r="318" spans="1:6" ht="15.75" customHeight="1">
      <c r="A318" s="62">
        <v>80401</v>
      </c>
      <c r="B318" s="30" t="s">
        <v>657</v>
      </c>
      <c r="C318" s="10">
        <v>3.6971497187638249</v>
      </c>
      <c r="D318" s="32">
        <v>6.1093057607090104</v>
      </c>
      <c r="E318" s="33"/>
      <c r="F318" s="17"/>
    </row>
    <row r="319" spans="1:6" ht="15.75" customHeight="1">
      <c r="A319" s="62">
        <v>80402</v>
      </c>
      <c r="B319" s="30" t="s">
        <v>659</v>
      </c>
      <c r="C319" s="10">
        <v>3.1340487140180548</v>
      </c>
      <c r="D319" s="32">
        <v>2.6045144917857619</v>
      </c>
      <c r="E319" s="33"/>
      <c r="F319" s="17"/>
    </row>
    <row r="320" spans="1:6" ht="15.75" customHeight="1">
      <c r="A320" s="62">
        <v>80501</v>
      </c>
      <c r="B320" s="30" t="s">
        <v>661</v>
      </c>
      <c r="C320" s="10">
        <v>6.9479048697621737</v>
      </c>
      <c r="D320" s="32">
        <v>4.2886351169401085</v>
      </c>
      <c r="E320" s="33"/>
      <c r="F320" s="17"/>
    </row>
    <row r="321" spans="1:6" ht="15.75" customHeight="1">
      <c r="A321" s="62">
        <v>80601</v>
      </c>
      <c r="B321" s="30" t="s">
        <v>663</v>
      </c>
      <c r="C321" s="10">
        <v>3.6295005807200931</v>
      </c>
      <c r="D321" s="32">
        <v>2.0584498094027954</v>
      </c>
      <c r="E321" s="33"/>
      <c r="F321" s="17"/>
    </row>
    <row r="322" spans="1:6" ht="15.75" customHeight="1">
      <c r="A322" s="62">
        <v>80602</v>
      </c>
      <c r="B322" s="30" t="s">
        <v>665</v>
      </c>
      <c r="C322" s="10">
        <v>4.2676092766617808</v>
      </c>
      <c r="D322" s="32">
        <v>3.3701806416823943</v>
      </c>
      <c r="E322" s="33"/>
      <c r="F322" s="17"/>
    </row>
    <row r="323" spans="1:6" ht="15.75" customHeight="1">
      <c r="A323" s="62">
        <v>80701</v>
      </c>
      <c r="B323" s="30" t="s">
        <v>667</v>
      </c>
      <c r="C323" s="10">
        <v>3.3639619996885224</v>
      </c>
      <c r="D323" s="32">
        <v>6.1310452418096721</v>
      </c>
      <c r="E323" s="33"/>
      <c r="F323" s="17"/>
    </row>
    <row r="324" spans="1:6" ht="15.75" customHeight="1">
      <c r="A324" s="62">
        <v>80702</v>
      </c>
      <c r="B324" s="30" t="s">
        <v>617</v>
      </c>
      <c r="C324" s="10">
        <v>4.9058256679807277</v>
      </c>
      <c r="D324" s="32">
        <v>2.9107621600919189</v>
      </c>
      <c r="E324" s="33"/>
      <c r="F324" s="17"/>
    </row>
    <row r="325" spans="1:6" ht="15.75" customHeight="1">
      <c r="A325" s="62">
        <v>80703</v>
      </c>
      <c r="B325" s="30" t="s">
        <v>670</v>
      </c>
      <c r="C325" s="10">
        <v>4.0745052386495919</v>
      </c>
      <c r="D325" s="32">
        <v>1.8590998043052838</v>
      </c>
      <c r="E325" s="33"/>
      <c r="F325" s="17"/>
    </row>
    <row r="326" spans="1:6" ht="15.75" customHeight="1">
      <c r="A326" s="62">
        <v>80801</v>
      </c>
      <c r="B326" s="30" t="s">
        <v>672</v>
      </c>
      <c r="C326" s="10">
        <v>2.7513328255902514</v>
      </c>
      <c r="D326" s="32">
        <v>2.2326966013396179</v>
      </c>
      <c r="E326" s="33"/>
      <c r="F326" s="17"/>
    </row>
    <row r="327" spans="1:6" ht="15.75" customHeight="1">
      <c r="A327" s="62">
        <v>80802</v>
      </c>
      <c r="B327" s="30" t="s">
        <v>674</v>
      </c>
      <c r="C327" s="10">
        <v>2.5327824681156819</v>
      </c>
      <c r="D327" s="32">
        <v>2.5880061221650199</v>
      </c>
      <c r="E327" s="33"/>
      <c r="F327" s="17"/>
    </row>
    <row r="328" spans="1:6" ht="15.75" customHeight="1">
      <c r="A328" s="62">
        <v>80803</v>
      </c>
      <c r="B328" s="30" t="s">
        <v>676</v>
      </c>
      <c r="C328" s="10">
        <v>3.2842879663688915</v>
      </c>
      <c r="D328" s="32">
        <v>2.4567788898999092</v>
      </c>
      <c r="E328" s="33"/>
      <c r="F328" s="17"/>
    </row>
    <row r="329" spans="1:6" ht="15.75" customHeight="1">
      <c r="A329" s="63">
        <v>80901</v>
      </c>
      <c r="B329" s="30" t="s">
        <v>685</v>
      </c>
      <c r="C329" s="10">
        <v>9.3621399176954743</v>
      </c>
      <c r="D329" s="32">
        <v>7.7557755775577553</v>
      </c>
      <c r="E329" s="33"/>
      <c r="F329" s="17"/>
    </row>
    <row r="330" spans="1:6" ht="15.75" customHeight="1">
      <c r="A330" s="62">
        <v>90101</v>
      </c>
      <c r="B330" s="30" t="s">
        <v>687</v>
      </c>
      <c r="C330" s="10">
        <v>2.3311934773440792</v>
      </c>
      <c r="D330" s="32">
        <v>1.5801226250851563</v>
      </c>
      <c r="E330" s="33"/>
      <c r="F330" s="17"/>
    </row>
    <row r="331" spans="1:6" ht="15.75" customHeight="1">
      <c r="A331" s="62">
        <v>90102</v>
      </c>
      <c r="B331" s="30" t="s">
        <v>679</v>
      </c>
      <c r="C331" s="10">
        <v>2.2373806275579811</v>
      </c>
      <c r="D331" s="32">
        <v>2.9305272686128081</v>
      </c>
      <c r="E331" s="33"/>
      <c r="F331" s="17"/>
    </row>
    <row r="332" spans="1:6" ht="15.75" customHeight="1">
      <c r="A332" s="62">
        <v>90103</v>
      </c>
      <c r="B332" s="30" t="s">
        <v>681</v>
      </c>
      <c r="C332" s="10">
        <v>7.9453441295546563</v>
      </c>
      <c r="D332" s="32">
        <v>6.2286689419795218</v>
      </c>
      <c r="E332" s="33"/>
      <c r="F332" s="17"/>
    </row>
    <row r="333" spans="1:6" ht="15.75" customHeight="1">
      <c r="A333" s="62">
        <v>90104</v>
      </c>
      <c r="B333" s="30" t="s">
        <v>683</v>
      </c>
      <c r="C333" s="10">
        <v>9.3106289480911837</v>
      </c>
      <c r="D333" s="32">
        <v>3.9954009772923254</v>
      </c>
      <c r="E333" s="33"/>
      <c r="F333" s="17"/>
    </row>
    <row r="334" spans="1:6" ht="15.75" customHeight="1">
      <c r="A334" s="62">
        <v>90201</v>
      </c>
      <c r="B334" s="30" t="s">
        <v>694</v>
      </c>
      <c r="C334" s="10">
        <v>2.2394639393405043</v>
      </c>
      <c r="D334" s="32">
        <v>1.8153230417381361</v>
      </c>
      <c r="E334" s="33"/>
      <c r="F334" s="17"/>
    </row>
    <row r="335" spans="1:6" ht="15.75" customHeight="1">
      <c r="A335" s="62">
        <v>90202</v>
      </c>
      <c r="B335" s="30" t="s">
        <v>609</v>
      </c>
      <c r="C335" s="10">
        <v>1.6906474820143884</v>
      </c>
      <c r="D335" s="32">
        <v>4.9743744347301782</v>
      </c>
      <c r="E335" s="33"/>
      <c r="F335" s="17"/>
    </row>
    <row r="336" spans="1:6" ht="15.75" customHeight="1">
      <c r="A336" s="62">
        <v>90203</v>
      </c>
      <c r="B336" s="30" t="s">
        <v>689</v>
      </c>
      <c r="C336" s="10">
        <v>2.4497607655502391</v>
      </c>
      <c r="D336" s="32">
        <v>1.8976573746891767</v>
      </c>
      <c r="E336" s="33"/>
      <c r="F336" s="17"/>
    </row>
    <row r="337" spans="1:6" ht="15.75" customHeight="1">
      <c r="A337" s="62">
        <v>90301</v>
      </c>
      <c r="B337" s="30" t="s">
        <v>700</v>
      </c>
      <c r="C337" s="10">
        <v>6.7183117403499404</v>
      </c>
      <c r="D337" s="32">
        <v>3.5708139734985371</v>
      </c>
      <c r="E337" s="33"/>
      <c r="F337" s="17"/>
    </row>
    <row r="338" spans="1:6" ht="15.75" customHeight="1">
      <c r="A338" s="62">
        <v>90302</v>
      </c>
      <c r="B338" s="30" t="s">
        <v>692</v>
      </c>
      <c r="C338" s="10">
        <v>2.3102310231023102</v>
      </c>
      <c r="D338" s="32">
        <v>2.7172717271727169</v>
      </c>
      <c r="E338" s="33"/>
      <c r="F338" s="17"/>
    </row>
    <row r="339" spans="1:6" ht="15.75" customHeight="1">
      <c r="A339" s="62">
        <v>90303</v>
      </c>
      <c r="B339" s="30" t="s">
        <v>695</v>
      </c>
      <c r="C339" s="10">
        <v>2.1551724137931036</v>
      </c>
      <c r="D339" s="32">
        <v>2.0489296636085625</v>
      </c>
      <c r="E339" s="33"/>
      <c r="F339" s="17"/>
    </row>
    <row r="340" spans="1:6" ht="15.75" customHeight="1">
      <c r="A340" s="62">
        <v>90401</v>
      </c>
      <c r="B340" s="30" t="s">
        <v>707</v>
      </c>
      <c r="C340" s="10">
        <v>9.3044679871027167</v>
      </c>
      <c r="D340" s="32">
        <v>4.2967315460888731</v>
      </c>
      <c r="E340" s="33"/>
      <c r="F340" s="17"/>
    </row>
    <row r="341" spans="1:6" ht="15.75" customHeight="1">
      <c r="A341" s="62">
        <v>90402</v>
      </c>
      <c r="B341" s="30" t="s">
        <v>698</v>
      </c>
      <c r="C341" s="31">
        <v>2.3777173913043481</v>
      </c>
      <c r="D341" s="32">
        <v>2.2838499184339316</v>
      </c>
      <c r="E341" s="33"/>
      <c r="F341" s="17"/>
    </row>
    <row r="342" spans="1:6" ht="15.75" customHeight="1">
      <c r="A342" s="62">
        <v>90501</v>
      </c>
      <c r="B342" s="30" t="s">
        <v>701</v>
      </c>
      <c r="C342" s="31">
        <v>3.6940686784599377</v>
      </c>
      <c r="D342" s="32">
        <v>2.9352901934623081</v>
      </c>
      <c r="E342" s="33"/>
      <c r="F342" s="17"/>
    </row>
    <row r="343" spans="1:6" ht="15.75" customHeight="1">
      <c r="A343" s="62">
        <v>90502</v>
      </c>
      <c r="B343" s="30" t="s">
        <v>703</v>
      </c>
      <c r="C343" s="31">
        <v>1.78359096313912</v>
      </c>
      <c r="D343" s="32">
        <v>1.1889596602972401</v>
      </c>
      <c r="E343" s="33"/>
      <c r="F343" s="17"/>
    </row>
    <row r="344" spans="1:6" ht="15.75" customHeight="1">
      <c r="A344" s="62">
        <v>90503</v>
      </c>
      <c r="B344" s="30" t="s">
        <v>705</v>
      </c>
      <c r="C344" s="31">
        <v>0.65989847715736039</v>
      </c>
      <c r="D344" s="32">
        <v>3.6623492630638679</v>
      </c>
      <c r="E344" s="33"/>
      <c r="F344" s="17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outlinePr summaryBelow="0" summaryRight="0"/>
  </sheetPr>
  <dimension ref="A1:Z12"/>
  <sheetViews>
    <sheetView workbookViewId="0">
      <selection activeCell="A7" sqref="A7"/>
    </sheetView>
  </sheetViews>
  <sheetFormatPr baseColWidth="10" defaultColWidth="12.6640625" defaultRowHeight="15" customHeight="1"/>
  <cols>
    <col min="1" max="1" width="12.6640625" style="47" customWidth="1"/>
    <col min="2" max="2" width="12.6640625" customWidth="1"/>
    <col min="3" max="3" width="13.33203125" customWidth="1"/>
    <col min="4" max="6" width="12.6640625" customWidth="1"/>
  </cols>
  <sheetData>
    <row r="1" spans="1:26" ht="19.5" customHeight="1">
      <c r="A1" s="8" t="s">
        <v>715</v>
      </c>
      <c r="B1" s="30" t="s">
        <v>7</v>
      </c>
      <c r="C1" s="28" t="s">
        <v>713</v>
      </c>
      <c r="D1" s="28" t="s">
        <v>714</v>
      </c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5"/>
      <c r="Z1" s="29"/>
    </row>
    <row r="2" spans="1:26" ht="15.75" customHeight="1">
      <c r="A2" s="9">
        <v>1</v>
      </c>
      <c r="B2" s="30" t="s">
        <v>14</v>
      </c>
      <c r="C2" s="36">
        <v>15.028293486979107</v>
      </c>
      <c r="D2" s="36">
        <v>8.849613810341598</v>
      </c>
    </row>
    <row r="3" spans="1:26" ht="15.75" customHeight="1">
      <c r="A3" s="9">
        <v>2</v>
      </c>
      <c r="B3" s="30" t="s">
        <v>17</v>
      </c>
      <c r="C3" s="36">
        <v>7.8175373675780797</v>
      </c>
      <c r="D3" s="36">
        <v>3.9272105220379161</v>
      </c>
    </row>
    <row r="4" spans="1:26" ht="15.75" customHeight="1">
      <c r="A4" s="9">
        <v>3</v>
      </c>
      <c r="B4" s="30" t="s">
        <v>20</v>
      </c>
      <c r="C4" s="36">
        <v>13.820648998948936</v>
      </c>
      <c r="D4" s="36">
        <v>6.5686861540897867</v>
      </c>
    </row>
    <row r="5" spans="1:26" ht="15.75" customHeight="1">
      <c r="A5" s="9">
        <v>4</v>
      </c>
      <c r="B5" s="30" t="s">
        <v>22</v>
      </c>
      <c r="C5" s="36">
        <v>8.9427704935347094</v>
      </c>
      <c r="D5" s="36">
        <v>3.5904495684705031</v>
      </c>
    </row>
    <row r="6" spans="1:26" ht="15.75" customHeight="1">
      <c r="A6" s="9">
        <v>5</v>
      </c>
      <c r="B6" s="30" t="s">
        <v>26</v>
      </c>
      <c r="C6" s="36">
        <v>22.686264151725137</v>
      </c>
      <c r="D6" s="36">
        <v>12.611014164968756</v>
      </c>
    </row>
    <row r="7" spans="1:26" ht="15.75" customHeight="1">
      <c r="A7" s="9">
        <v>6</v>
      </c>
      <c r="B7" s="30" t="s">
        <v>28</v>
      </c>
      <c r="C7" s="36">
        <v>2.8988570585606119</v>
      </c>
      <c r="D7" s="36">
        <v>1.8149031922087409</v>
      </c>
    </row>
    <row r="8" spans="1:26" ht="15.75" customHeight="1">
      <c r="A8" s="9">
        <v>7</v>
      </c>
      <c r="B8" s="30" t="s">
        <v>32</v>
      </c>
      <c r="C8" s="36">
        <v>5.9263181368909761</v>
      </c>
      <c r="D8" s="36">
        <v>3.3968605124907625</v>
      </c>
    </row>
    <row r="9" spans="1:26" ht="15.75" customHeight="1">
      <c r="A9" s="9">
        <v>8</v>
      </c>
      <c r="B9" s="30" t="s">
        <v>34</v>
      </c>
      <c r="C9" s="36">
        <v>5.382534330003975</v>
      </c>
      <c r="D9" s="36">
        <v>3.9142794664334137</v>
      </c>
    </row>
    <row r="10" spans="1:26" ht="15.75" customHeight="1">
      <c r="A10" s="9">
        <v>9</v>
      </c>
      <c r="B10" s="30" t="s">
        <v>38</v>
      </c>
      <c r="C10" s="36">
        <v>3.1083630473217898</v>
      </c>
      <c r="D10" s="36">
        <v>2.3622975426133017</v>
      </c>
    </row>
    <row r="11" spans="1:26" ht="15.75" customHeight="1">
      <c r="A11" s="9">
        <v>10</v>
      </c>
      <c r="B11" s="30" t="s">
        <v>716</v>
      </c>
      <c r="C11" s="32">
        <v>4.9622828820081013</v>
      </c>
      <c r="D11" s="32">
        <v>3.7907674567920644</v>
      </c>
    </row>
    <row r="12" spans="1:26" ht="15.75" customHeight="1">
      <c r="A12" s="9">
        <v>11</v>
      </c>
      <c r="B12" s="30" t="s">
        <v>44</v>
      </c>
      <c r="C12" s="32">
        <v>9.6737046914296698</v>
      </c>
      <c r="D12" s="32">
        <v>5.0333543166707253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outlinePr summaryBelow="0" summaryRight="0"/>
  </sheetPr>
  <dimension ref="A1:E344"/>
  <sheetViews>
    <sheetView workbookViewId="0">
      <selection sqref="A1:A1048576"/>
    </sheetView>
  </sheetViews>
  <sheetFormatPr baseColWidth="10" defaultColWidth="12.6640625" defaultRowHeight="15" customHeight="1"/>
  <cols>
    <col min="1" max="1" width="8.44140625" style="47" bestFit="1" customWidth="1"/>
    <col min="2" max="2" width="12.6640625" customWidth="1"/>
    <col min="3" max="3" width="12.6640625" style="47" customWidth="1"/>
    <col min="4" max="5" width="12.6640625" customWidth="1"/>
  </cols>
  <sheetData>
    <row r="1" spans="1:5" ht="15.75" customHeight="1">
      <c r="A1" s="78" t="s">
        <v>1</v>
      </c>
      <c r="B1" s="37" t="s">
        <v>712</v>
      </c>
      <c r="C1" s="65" t="s">
        <v>717</v>
      </c>
      <c r="D1" s="38" t="s">
        <v>718</v>
      </c>
    </row>
    <row r="2" spans="1:5" ht="15.75" customHeight="1">
      <c r="A2" s="78">
        <v>10101</v>
      </c>
      <c r="B2" s="30" t="s">
        <v>13</v>
      </c>
      <c r="C2" s="9">
        <v>17266</v>
      </c>
      <c r="D2" s="12">
        <v>10817</v>
      </c>
      <c r="E2" s="39"/>
    </row>
    <row r="3" spans="1:5" ht="15.75" customHeight="1">
      <c r="A3" s="78">
        <v>10102</v>
      </c>
      <c r="B3" s="30" t="s">
        <v>16</v>
      </c>
      <c r="C3" s="9">
        <v>1477</v>
      </c>
      <c r="D3" s="12">
        <v>819</v>
      </c>
      <c r="E3" s="39"/>
    </row>
    <row r="4" spans="1:5" ht="15.75" customHeight="1">
      <c r="A4" s="78">
        <v>10103</v>
      </c>
      <c r="B4" s="30" t="s">
        <v>19</v>
      </c>
      <c r="C4" s="9">
        <v>7541</v>
      </c>
      <c r="D4" s="12">
        <v>4529</v>
      </c>
      <c r="E4" s="39"/>
    </row>
    <row r="5" spans="1:5" ht="15.75" customHeight="1">
      <c r="A5" s="78">
        <v>10201</v>
      </c>
      <c r="B5" s="30" t="s">
        <v>24</v>
      </c>
      <c r="C5" s="9">
        <v>3133</v>
      </c>
      <c r="D5" s="12">
        <v>1706</v>
      </c>
      <c r="E5" s="39"/>
    </row>
    <row r="6" spans="1:5" ht="15.75" customHeight="1">
      <c r="A6" s="78">
        <v>10202</v>
      </c>
      <c r="B6" s="30" t="s">
        <v>25</v>
      </c>
      <c r="C6" s="9">
        <v>5887</v>
      </c>
      <c r="D6" s="12">
        <v>4238</v>
      </c>
      <c r="E6" s="39"/>
    </row>
    <row r="7" spans="1:5" ht="15.75" customHeight="1">
      <c r="A7" s="78">
        <v>10301</v>
      </c>
      <c r="B7" s="30" t="s">
        <v>30</v>
      </c>
      <c r="C7" s="9">
        <v>2320</v>
      </c>
      <c r="D7" s="12">
        <v>1777</v>
      </c>
      <c r="E7" s="39"/>
    </row>
    <row r="8" spans="1:5" ht="15.75" customHeight="1">
      <c r="A8" s="78">
        <v>10302</v>
      </c>
      <c r="B8" s="30" t="s">
        <v>31</v>
      </c>
      <c r="C8" s="9">
        <v>4886</v>
      </c>
      <c r="D8" s="12">
        <v>3281</v>
      </c>
      <c r="E8" s="39"/>
    </row>
    <row r="9" spans="1:5" ht="15.75" customHeight="1">
      <c r="A9" s="78">
        <v>10303</v>
      </c>
      <c r="B9" s="30" t="s">
        <v>36</v>
      </c>
      <c r="C9" s="9">
        <v>1599</v>
      </c>
      <c r="D9" s="12">
        <v>1325</v>
      </c>
      <c r="E9" s="39"/>
    </row>
    <row r="10" spans="1:5" ht="15.75" customHeight="1">
      <c r="A10" s="78">
        <v>10304</v>
      </c>
      <c r="B10" s="30" t="s">
        <v>37</v>
      </c>
      <c r="C10" s="9">
        <v>2817</v>
      </c>
      <c r="D10" s="12">
        <v>2532</v>
      </c>
      <c r="E10" s="39"/>
    </row>
    <row r="11" spans="1:5" ht="15.75" customHeight="1">
      <c r="A11" s="78">
        <v>10401</v>
      </c>
      <c r="B11" s="30" t="s">
        <v>42</v>
      </c>
      <c r="C11" s="9">
        <v>380</v>
      </c>
      <c r="D11" s="12">
        <v>200</v>
      </c>
      <c r="E11" s="39"/>
    </row>
    <row r="12" spans="1:5" ht="15.75" customHeight="1">
      <c r="A12" s="78">
        <v>10402</v>
      </c>
      <c r="B12" s="30" t="s">
        <v>43</v>
      </c>
      <c r="C12" s="9">
        <v>1832</v>
      </c>
      <c r="D12" s="12">
        <v>1105</v>
      </c>
      <c r="E12" s="39"/>
    </row>
    <row r="13" spans="1:5" ht="15.75" customHeight="1">
      <c r="A13" s="78">
        <v>10403</v>
      </c>
      <c r="B13" s="30" t="s">
        <v>46</v>
      </c>
      <c r="C13" s="9">
        <v>2263</v>
      </c>
      <c r="D13" s="12">
        <v>1525</v>
      </c>
      <c r="E13" s="39"/>
    </row>
    <row r="14" spans="1:5" ht="15.75" customHeight="1">
      <c r="A14" s="78">
        <v>10404</v>
      </c>
      <c r="B14" s="30" t="s">
        <v>48</v>
      </c>
      <c r="C14" s="9">
        <v>180</v>
      </c>
      <c r="D14" s="12">
        <v>59</v>
      </c>
      <c r="E14" s="39"/>
    </row>
    <row r="15" spans="1:5" ht="15.75" customHeight="1">
      <c r="A15" s="78">
        <v>10405</v>
      </c>
      <c r="B15" s="30" t="s">
        <v>51</v>
      </c>
      <c r="C15" s="9">
        <v>150</v>
      </c>
      <c r="D15" s="12">
        <v>87</v>
      </c>
      <c r="E15" s="39"/>
    </row>
    <row r="16" spans="1:5" ht="15.75" customHeight="1">
      <c r="A16" s="78">
        <v>10501</v>
      </c>
      <c r="B16" s="30" t="s">
        <v>54</v>
      </c>
      <c r="C16" s="9">
        <v>759</v>
      </c>
      <c r="D16" s="12">
        <v>762</v>
      </c>
      <c r="E16" s="39"/>
    </row>
    <row r="17" spans="1:5" ht="15.75" customHeight="1">
      <c r="A17" s="78">
        <v>10502</v>
      </c>
      <c r="B17" s="30" t="s">
        <v>59</v>
      </c>
      <c r="C17" s="9">
        <v>468</v>
      </c>
      <c r="D17" s="12">
        <v>458</v>
      </c>
      <c r="E17" s="39"/>
    </row>
    <row r="18" spans="1:5" ht="15.75" customHeight="1">
      <c r="A18" s="78">
        <v>10601</v>
      </c>
      <c r="B18" s="30" t="s">
        <v>60</v>
      </c>
      <c r="C18" s="9">
        <v>7109</v>
      </c>
      <c r="D18" s="12">
        <v>3812</v>
      </c>
      <c r="E18" s="39"/>
    </row>
    <row r="19" spans="1:5" ht="15.75" customHeight="1">
      <c r="A19" s="78">
        <v>10602</v>
      </c>
      <c r="B19" s="30" t="s">
        <v>64</v>
      </c>
      <c r="C19" s="9">
        <v>2908</v>
      </c>
      <c r="D19" s="12">
        <v>1782</v>
      </c>
      <c r="E19" s="39"/>
    </row>
    <row r="20" spans="1:5" ht="15.75" customHeight="1">
      <c r="A20" s="78">
        <v>10701</v>
      </c>
      <c r="B20" s="30" t="s">
        <v>67</v>
      </c>
      <c r="C20" s="9">
        <v>1158</v>
      </c>
      <c r="D20" s="12">
        <v>515</v>
      </c>
      <c r="E20" s="39"/>
    </row>
    <row r="21" spans="1:5" ht="15.75" customHeight="1">
      <c r="A21" s="78">
        <v>10702</v>
      </c>
      <c r="B21" s="30" t="s">
        <v>70</v>
      </c>
      <c r="C21" s="9">
        <v>10001</v>
      </c>
      <c r="D21" s="12">
        <v>5098</v>
      </c>
      <c r="E21" s="39"/>
    </row>
    <row r="22" spans="1:5" ht="15.75" customHeight="1">
      <c r="A22" s="78">
        <v>10703</v>
      </c>
      <c r="B22" s="30" t="s">
        <v>72</v>
      </c>
      <c r="C22" s="9">
        <v>1796</v>
      </c>
      <c r="D22" s="12">
        <v>1414</v>
      </c>
      <c r="E22" s="39"/>
    </row>
    <row r="23" spans="1:5" ht="15.75" customHeight="1">
      <c r="A23" s="78">
        <v>10704</v>
      </c>
      <c r="B23" s="30" t="s">
        <v>74</v>
      </c>
      <c r="C23" s="9">
        <v>2917</v>
      </c>
      <c r="D23" s="12">
        <v>1540</v>
      </c>
      <c r="E23" s="39"/>
    </row>
    <row r="24" spans="1:5" ht="15.75" customHeight="1">
      <c r="A24" s="78">
        <v>10801</v>
      </c>
      <c r="B24" s="30" t="s">
        <v>76</v>
      </c>
      <c r="C24" s="9">
        <v>955</v>
      </c>
      <c r="D24" s="12">
        <v>375</v>
      </c>
      <c r="E24" s="39"/>
    </row>
    <row r="25" spans="1:5" ht="15.75" customHeight="1">
      <c r="A25" s="78">
        <v>10901</v>
      </c>
      <c r="B25" s="30" t="s">
        <v>79</v>
      </c>
      <c r="C25" s="9">
        <v>28</v>
      </c>
      <c r="D25" s="12">
        <v>48</v>
      </c>
      <c r="E25" s="39"/>
    </row>
    <row r="26" spans="1:5" ht="15.75" customHeight="1">
      <c r="A26" s="78">
        <v>10902</v>
      </c>
      <c r="B26" s="30" t="s">
        <v>80</v>
      </c>
      <c r="C26" s="9">
        <v>681</v>
      </c>
      <c r="D26" s="12">
        <v>337</v>
      </c>
      <c r="E26" s="39"/>
    </row>
    <row r="27" spans="1:5" ht="15.75" customHeight="1">
      <c r="A27" s="78">
        <v>10903</v>
      </c>
      <c r="B27" s="30" t="s">
        <v>83</v>
      </c>
      <c r="C27" s="9">
        <v>48</v>
      </c>
      <c r="D27" s="12">
        <v>43</v>
      </c>
      <c r="E27" s="39"/>
    </row>
    <row r="28" spans="1:5" ht="15.75" customHeight="1">
      <c r="A28" s="78">
        <v>11001</v>
      </c>
      <c r="B28" s="30" t="s">
        <v>87</v>
      </c>
      <c r="C28" s="9">
        <v>798</v>
      </c>
      <c r="D28" s="12">
        <v>890</v>
      </c>
      <c r="E28" s="39"/>
    </row>
    <row r="29" spans="1:5" ht="15.75" customHeight="1">
      <c r="A29" s="78">
        <v>11002</v>
      </c>
      <c r="B29" s="30" t="s">
        <v>88</v>
      </c>
      <c r="C29" s="9">
        <v>70</v>
      </c>
      <c r="D29" s="12">
        <v>64</v>
      </c>
      <c r="E29" s="39"/>
    </row>
    <row r="30" spans="1:5" ht="15.75" customHeight="1">
      <c r="A30" s="78">
        <v>11003</v>
      </c>
      <c r="B30" s="30" t="s">
        <v>91</v>
      </c>
      <c r="C30" s="9">
        <v>265</v>
      </c>
      <c r="D30" s="12">
        <v>341</v>
      </c>
      <c r="E30" s="39"/>
    </row>
    <row r="31" spans="1:5" ht="15.75" customHeight="1">
      <c r="A31" s="78">
        <v>20101</v>
      </c>
      <c r="B31" s="30" t="s">
        <v>93</v>
      </c>
      <c r="C31" s="9">
        <v>16974</v>
      </c>
      <c r="D31" s="12">
        <v>6793</v>
      </c>
      <c r="E31" s="39"/>
    </row>
    <row r="32" spans="1:5" ht="15.75" customHeight="1">
      <c r="A32" s="78">
        <v>20102</v>
      </c>
      <c r="B32" s="30" t="s">
        <v>94</v>
      </c>
      <c r="C32" s="9">
        <v>2822</v>
      </c>
      <c r="D32" s="12">
        <v>2004</v>
      </c>
      <c r="E32" s="39"/>
    </row>
    <row r="33" spans="1:5" ht="15.75" customHeight="1">
      <c r="A33" s="78">
        <v>20103</v>
      </c>
      <c r="B33" s="30" t="s">
        <v>96</v>
      </c>
      <c r="C33" s="9">
        <v>1729</v>
      </c>
      <c r="D33" s="12">
        <v>1034</v>
      </c>
      <c r="E33" s="39"/>
    </row>
    <row r="34" spans="1:5" ht="15.75" customHeight="1">
      <c r="A34" s="78">
        <v>20104</v>
      </c>
      <c r="B34" s="30" t="s">
        <v>98</v>
      </c>
      <c r="C34" s="9">
        <v>1600</v>
      </c>
      <c r="D34" s="12">
        <v>1267</v>
      </c>
      <c r="E34" s="39"/>
    </row>
    <row r="35" spans="1:5" ht="15.75" customHeight="1">
      <c r="A35" s="78">
        <v>20105</v>
      </c>
      <c r="B35" s="30" t="s">
        <v>100</v>
      </c>
      <c r="C35" s="9">
        <v>35929</v>
      </c>
      <c r="D35" s="12">
        <v>12280</v>
      </c>
      <c r="E35" s="39"/>
    </row>
    <row r="36" spans="1:5" ht="15.75" customHeight="1">
      <c r="A36" s="78">
        <v>20201</v>
      </c>
      <c r="B36" s="30" t="s">
        <v>102</v>
      </c>
      <c r="C36" s="9">
        <v>10842</v>
      </c>
      <c r="D36" s="12">
        <v>5648</v>
      </c>
      <c r="E36" s="39"/>
    </row>
    <row r="37" spans="1:5" ht="15.75" customHeight="1">
      <c r="A37" s="78">
        <v>20202</v>
      </c>
      <c r="B37" s="30" t="s">
        <v>104</v>
      </c>
      <c r="C37" s="9">
        <v>3802</v>
      </c>
      <c r="D37" s="12">
        <v>2681</v>
      </c>
      <c r="E37" s="39"/>
    </row>
    <row r="38" spans="1:5" ht="15.75" customHeight="1">
      <c r="A38" s="78">
        <v>20203</v>
      </c>
      <c r="B38" s="30" t="s">
        <v>106</v>
      </c>
      <c r="C38" s="9">
        <v>1588</v>
      </c>
      <c r="D38" s="12">
        <v>900</v>
      </c>
      <c r="E38" s="39"/>
    </row>
    <row r="39" spans="1:5" ht="15.75" customHeight="1">
      <c r="A39" s="78">
        <v>20204</v>
      </c>
      <c r="B39" s="30" t="s">
        <v>108</v>
      </c>
      <c r="C39" s="9">
        <v>1461</v>
      </c>
      <c r="D39" s="12">
        <v>725</v>
      </c>
      <c r="E39" s="39"/>
    </row>
    <row r="40" spans="1:5" ht="15.75" customHeight="1">
      <c r="A40" s="78">
        <v>20205</v>
      </c>
      <c r="B40" s="30" t="s">
        <v>110</v>
      </c>
      <c r="C40" s="9">
        <v>424</v>
      </c>
      <c r="D40" s="12">
        <v>249</v>
      </c>
      <c r="E40" s="39"/>
    </row>
    <row r="41" spans="1:5" ht="15.75" customHeight="1">
      <c r="A41" s="78">
        <v>20206</v>
      </c>
      <c r="B41" s="30" t="s">
        <v>112</v>
      </c>
      <c r="C41" s="9">
        <v>786</v>
      </c>
      <c r="D41" s="12">
        <v>385</v>
      </c>
      <c r="E41" s="39"/>
    </row>
    <row r="42" spans="1:5" ht="15.75" customHeight="1">
      <c r="A42" s="78">
        <v>20301</v>
      </c>
      <c r="B42" s="30" t="s">
        <v>115</v>
      </c>
      <c r="C42" s="9">
        <v>1443</v>
      </c>
      <c r="D42" s="12">
        <v>837</v>
      </c>
      <c r="E42" s="39"/>
    </row>
    <row r="43" spans="1:5" ht="15.75" customHeight="1">
      <c r="A43" s="78">
        <v>20302</v>
      </c>
      <c r="B43" s="30" t="s">
        <v>116</v>
      </c>
      <c r="C43" s="9">
        <v>1983</v>
      </c>
      <c r="D43" s="12">
        <v>1041</v>
      </c>
      <c r="E43" s="39"/>
    </row>
    <row r="44" spans="1:5" ht="15.75" customHeight="1">
      <c r="A44" s="78">
        <v>20303</v>
      </c>
      <c r="B44" s="30" t="s">
        <v>118</v>
      </c>
      <c r="C44" s="9">
        <v>1077</v>
      </c>
      <c r="D44" s="12">
        <v>756</v>
      </c>
      <c r="E44" s="39"/>
    </row>
    <row r="45" spans="1:5" ht="15.75" customHeight="1">
      <c r="A45" s="78">
        <v>20304</v>
      </c>
      <c r="B45" s="30" t="s">
        <v>120</v>
      </c>
      <c r="C45" s="9">
        <v>568</v>
      </c>
      <c r="D45" s="12">
        <v>265</v>
      </c>
      <c r="E45" s="39"/>
    </row>
    <row r="46" spans="1:5" ht="15.75" customHeight="1">
      <c r="A46" s="78">
        <v>20305</v>
      </c>
      <c r="B46" s="30" t="s">
        <v>122</v>
      </c>
      <c r="C46" s="9">
        <v>203</v>
      </c>
      <c r="D46" s="12">
        <v>233</v>
      </c>
      <c r="E46" s="39"/>
    </row>
    <row r="47" spans="1:5" ht="15.75" customHeight="1">
      <c r="A47" s="78">
        <v>20306</v>
      </c>
      <c r="B47" s="30" t="s">
        <v>125</v>
      </c>
      <c r="C47" s="9">
        <v>458</v>
      </c>
      <c r="D47" s="12">
        <v>288</v>
      </c>
      <c r="E47" s="39"/>
    </row>
    <row r="48" spans="1:5" ht="15.75" customHeight="1">
      <c r="A48" s="78">
        <v>20307</v>
      </c>
      <c r="B48" s="30" t="s">
        <v>126</v>
      </c>
      <c r="C48" s="9">
        <v>116</v>
      </c>
      <c r="D48" s="12">
        <v>316</v>
      </c>
      <c r="E48" s="39"/>
    </row>
    <row r="49" spans="1:5" ht="15.75" customHeight="1">
      <c r="A49" s="78">
        <v>20308</v>
      </c>
      <c r="B49" s="30" t="s">
        <v>129</v>
      </c>
      <c r="C49" s="9">
        <v>1422</v>
      </c>
      <c r="D49" s="12">
        <v>831</v>
      </c>
      <c r="E49" s="39"/>
    </row>
    <row r="50" spans="1:5" ht="15.75" customHeight="1">
      <c r="A50" s="78">
        <v>20401</v>
      </c>
      <c r="B50" s="30" t="s">
        <v>130</v>
      </c>
      <c r="C50" s="9">
        <v>2985</v>
      </c>
      <c r="D50" s="12">
        <v>2332</v>
      </c>
      <c r="E50" s="39"/>
    </row>
    <row r="51" spans="1:5" ht="15.75" customHeight="1">
      <c r="A51" s="78">
        <v>20402</v>
      </c>
      <c r="B51" s="30" t="s">
        <v>132</v>
      </c>
      <c r="C51" s="9">
        <v>4604</v>
      </c>
      <c r="D51" s="12">
        <v>3735</v>
      </c>
      <c r="E51" s="39"/>
    </row>
    <row r="52" spans="1:5" ht="15.75" customHeight="1">
      <c r="A52" s="78">
        <v>20403</v>
      </c>
      <c r="B52" s="30" t="s">
        <v>135</v>
      </c>
      <c r="C52" s="9">
        <v>2884</v>
      </c>
      <c r="D52" s="12">
        <v>2322</v>
      </c>
      <c r="E52" s="39"/>
    </row>
    <row r="53" spans="1:5" ht="15.75" customHeight="1">
      <c r="A53" s="78">
        <v>20404</v>
      </c>
      <c r="B53" s="30" t="s">
        <v>136</v>
      </c>
      <c r="C53" s="9">
        <v>1889</v>
      </c>
      <c r="D53" s="12">
        <v>1154</v>
      </c>
      <c r="E53" s="39"/>
    </row>
    <row r="54" spans="1:5" ht="15.75" customHeight="1">
      <c r="A54" s="78">
        <v>20405</v>
      </c>
      <c r="B54" s="30" t="s">
        <v>138</v>
      </c>
      <c r="C54" s="9">
        <v>1974</v>
      </c>
      <c r="D54" s="12">
        <v>1251</v>
      </c>
      <c r="E54" s="39"/>
    </row>
    <row r="55" spans="1:5" ht="15.75" customHeight="1">
      <c r="A55" s="78">
        <v>20501</v>
      </c>
      <c r="B55" s="30" t="s">
        <v>140</v>
      </c>
      <c r="C55" s="9">
        <v>3210</v>
      </c>
      <c r="D55" s="12">
        <v>2748</v>
      </c>
      <c r="E55" s="39"/>
    </row>
    <row r="56" spans="1:5" ht="15.75" customHeight="1">
      <c r="A56" s="78">
        <v>20502</v>
      </c>
      <c r="B56" s="30" t="s">
        <v>142</v>
      </c>
      <c r="C56" s="9">
        <v>3274</v>
      </c>
      <c r="D56" s="12">
        <v>1903</v>
      </c>
      <c r="E56" s="39"/>
    </row>
    <row r="57" spans="1:5" ht="15.75" customHeight="1">
      <c r="A57" s="78">
        <v>20503</v>
      </c>
      <c r="B57" s="30" t="s">
        <v>144</v>
      </c>
      <c r="C57" s="9">
        <v>1709</v>
      </c>
      <c r="D57" s="12">
        <v>936</v>
      </c>
      <c r="E57" s="39"/>
    </row>
    <row r="58" spans="1:5" ht="15.75" customHeight="1">
      <c r="A58" s="78">
        <v>20601</v>
      </c>
      <c r="B58" s="30" t="s">
        <v>146</v>
      </c>
      <c r="C58" s="9">
        <v>3897</v>
      </c>
      <c r="D58" s="12">
        <v>2707</v>
      </c>
      <c r="E58" s="39"/>
    </row>
    <row r="59" spans="1:5" ht="15.75" customHeight="1">
      <c r="A59" s="78">
        <v>20602</v>
      </c>
      <c r="B59" s="30" t="s">
        <v>148</v>
      </c>
      <c r="C59" s="9">
        <v>964</v>
      </c>
      <c r="D59" s="12">
        <v>443</v>
      </c>
      <c r="E59" s="39"/>
    </row>
    <row r="60" spans="1:5" ht="15.75" customHeight="1">
      <c r="A60" s="78">
        <v>20603</v>
      </c>
      <c r="B60" s="30" t="s">
        <v>150</v>
      </c>
      <c r="C60" s="9">
        <v>1009</v>
      </c>
      <c r="D60" s="12">
        <v>527</v>
      </c>
      <c r="E60" s="39"/>
    </row>
    <row r="61" spans="1:5" ht="15.75" customHeight="1">
      <c r="A61" s="78">
        <v>20604</v>
      </c>
      <c r="B61" s="30" t="s">
        <v>152</v>
      </c>
      <c r="C61" s="9">
        <v>485</v>
      </c>
      <c r="D61" s="12">
        <v>555</v>
      </c>
      <c r="E61" s="39"/>
    </row>
    <row r="62" spans="1:5" ht="15.75" customHeight="1">
      <c r="A62" s="78">
        <v>20605</v>
      </c>
      <c r="B62" s="30" t="s">
        <v>154</v>
      </c>
      <c r="C62" s="9">
        <v>708</v>
      </c>
      <c r="D62" s="12">
        <v>727</v>
      </c>
      <c r="E62" s="39"/>
    </row>
    <row r="63" spans="1:5" ht="15.75" customHeight="1">
      <c r="A63" s="78">
        <v>20606</v>
      </c>
      <c r="B63" s="30" t="s">
        <v>156</v>
      </c>
      <c r="C63" s="9">
        <v>426</v>
      </c>
      <c r="D63" s="12">
        <v>121</v>
      </c>
      <c r="E63" s="39"/>
    </row>
    <row r="64" spans="1:5" ht="15.75" customHeight="1">
      <c r="A64" s="78">
        <v>20607</v>
      </c>
      <c r="B64" s="30" t="s">
        <v>158</v>
      </c>
      <c r="C64" s="9">
        <v>667</v>
      </c>
      <c r="D64" s="12">
        <v>424</v>
      </c>
      <c r="E64" s="39"/>
    </row>
    <row r="65" spans="1:5" ht="15.75" customHeight="1">
      <c r="A65" s="78">
        <v>20608</v>
      </c>
      <c r="B65" s="30" t="s">
        <v>160</v>
      </c>
      <c r="C65" s="9">
        <v>532</v>
      </c>
      <c r="D65" s="12">
        <v>348</v>
      </c>
      <c r="E65" s="39"/>
    </row>
    <row r="66" spans="1:5" ht="15.75" customHeight="1">
      <c r="A66" s="78">
        <v>20701</v>
      </c>
      <c r="B66" s="30" t="s">
        <v>162</v>
      </c>
      <c r="C66" s="9">
        <v>2959</v>
      </c>
      <c r="D66" s="12">
        <v>1208</v>
      </c>
      <c r="E66" s="39"/>
    </row>
    <row r="67" spans="1:5" ht="15.75" customHeight="1">
      <c r="A67" s="78">
        <v>20702</v>
      </c>
      <c r="B67" s="30" t="s">
        <v>164</v>
      </c>
      <c r="C67" s="9">
        <v>1535</v>
      </c>
      <c r="D67" s="12">
        <v>852</v>
      </c>
      <c r="E67" s="39"/>
    </row>
    <row r="68" spans="1:5" ht="15.75" customHeight="1">
      <c r="A68" s="78">
        <v>20801</v>
      </c>
      <c r="B68" s="30" t="s">
        <v>166</v>
      </c>
      <c r="C68" s="9">
        <v>6015</v>
      </c>
      <c r="D68" s="12">
        <v>3022</v>
      </c>
      <c r="E68" s="39"/>
    </row>
    <row r="69" spans="1:5" ht="15.75" customHeight="1">
      <c r="A69" s="78">
        <v>20802</v>
      </c>
      <c r="B69" s="30" t="s">
        <v>168</v>
      </c>
      <c r="C69" s="9">
        <v>1031</v>
      </c>
      <c r="D69" s="12">
        <v>510</v>
      </c>
      <c r="E69" s="39"/>
    </row>
    <row r="70" spans="1:5" ht="15.75" customHeight="1">
      <c r="A70" s="78">
        <v>20803</v>
      </c>
      <c r="B70" s="30" t="s">
        <v>171</v>
      </c>
      <c r="C70" s="9">
        <v>1937</v>
      </c>
      <c r="D70" s="12">
        <v>1293</v>
      </c>
      <c r="E70" s="39"/>
    </row>
    <row r="71" spans="1:5" ht="15.75" customHeight="1">
      <c r="A71" s="78">
        <v>20804</v>
      </c>
      <c r="B71" s="30" t="s">
        <v>172</v>
      </c>
      <c r="C71" s="9">
        <v>582</v>
      </c>
      <c r="D71" s="12">
        <v>299</v>
      </c>
      <c r="E71" s="39"/>
    </row>
    <row r="72" spans="1:5" ht="15.75" customHeight="1">
      <c r="A72" s="78">
        <v>20805</v>
      </c>
      <c r="B72" s="30" t="s">
        <v>175</v>
      </c>
      <c r="C72" s="9">
        <v>965</v>
      </c>
      <c r="D72" s="12">
        <v>632</v>
      </c>
      <c r="E72" s="39"/>
    </row>
    <row r="73" spans="1:5" ht="15.75" customHeight="1">
      <c r="A73" s="78">
        <v>20806</v>
      </c>
      <c r="B73" s="30" t="s">
        <v>176</v>
      </c>
      <c r="C73" s="9">
        <v>2276</v>
      </c>
      <c r="D73" s="12">
        <v>1379</v>
      </c>
      <c r="E73" s="39"/>
    </row>
    <row r="74" spans="1:5" ht="15.75" customHeight="1">
      <c r="A74" s="78">
        <v>20807</v>
      </c>
      <c r="B74" s="30" t="s">
        <v>178</v>
      </c>
      <c r="C74" s="9">
        <v>1088</v>
      </c>
      <c r="D74" s="12">
        <v>629</v>
      </c>
      <c r="E74" s="39"/>
    </row>
    <row r="75" spans="1:5" ht="15.75" customHeight="1">
      <c r="A75" s="78">
        <v>20901</v>
      </c>
      <c r="B75" s="30" t="s">
        <v>180</v>
      </c>
      <c r="C75" s="9">
        <v>1484</v>
      </c>
      <c r="D75" s="12">
        <v>809</v>
      </c>
      <c r="E75" s="39"/>
    </row>
    <row r="76" spans="1:5" ht="15.75" customHeight="1">
      <c r="A76" s="78">
        <v>20902</v>
      </c>
      <c r="B76" s="30" t="s">
        <v>182</v>
      </c>
      <c r="C76" s="9">
        <v>1904</v>
      </c>
      <c r="D76" s="12">
        <v>1085</v>
      </c>
      <c r="E76" s="39"/>
    </row>
    <row r="77" spans="1:5" ht="15.75" customHeight="1">
      <c r="A77" s="78">
        <v>20903</v>
      </c>
      <c r="B77" s="30" t="s">
        <v>184</v>
      </c>
      <c r="C77" s="9">
        <v>1040</v>
      </c>
      <c r="D77" s="12">
        <v>1052</v>
      </c>
      <c r="E77" s="39"/>
    </row>
    <row r="78" spans="1:5" ht="15.75" customHeight="1">
      <c r="A78" s="78">
        <v>20904</v>
      </c>
      <c r="B78" s="30" t="s">
        <v>186</v>
      </c>
      <c r="C78" s="9">
        <v>678</v>
      </c>
      <c r="D78" s="12">
        <v>515</v>
      </c>
      <c r="E78" s="39"/>
    </row>
    <row r="79" spans="1:5" ht="15.75" customHeight="1">
      <c r="A79" s="78">
        <v>20905</v>
      </c>
      <c r="B79" s="30" t="s">
        <v>188</v>
      </c>
      <c r="C79" s="9">
        <v>1424</v>
      </c>
      <c r="D79" s="12">
        <v>743</v>
      </c>
      <c r="E79" s="39"/>
    </row>
    <row r="80" spans="1:5" ht="15.75" customHeight="1">
      <c r="A80" s="78">
        <v>21001</v>
      </c>
      <c r="B80" s="30" t="s">
        <v>190</v>
      </c>
      <c r="C80" s="9">
        <v>2572</v>
      </c>
      <c r="D80" s="12">
        <v>1725</v>
      </c>
      <c r="E80" s="39"/>
    </row>
    <row r="81" spans="1:5" ht="15.75" customHeight="1">
      <c r="A81" s="78">
        <v>21002</v>
      </c>
      <c r="B81" s="30" t="s">
        <v>192</v>
      </c>
      <c r="C81" s="9">
        <v>637</v>
      </c>
      <c r="D81" s="12">
        <v>401</v>
      </c>
      <c r="E81" s="39"/>
    </row>
    <row r="82" spans="1:5" ht="15.75" customHeight="1">
      <c r="A82" s="78">
        <v>21003</v>
      </c>
      <c r="B82" s="30" t="s">
        <v>194</v>
      </c>
      <c r="C82" s="9">
        <v>743</v>
      </c>
      <c r="D82" s="12">
        <v>713</v>
      </c>
      <c r="E82" s="39"/>
    </row>
    <row r="83" spans="1:5" ht="15.75" customHeight="1">
      <c r="A83" s="78">
        <v>21004</v>
      </c>
      <c r="B83" s="30" t="s">
        <v>196</v>
      </c>
      <c r="C83" s="9">
        <v>3190</v>
      </c>
      <c r="D83" s="12">
        <v>2432</v>
      </c>
      <c r="E83" s="39"/>
    </row>
    <row r="84" spans="1:5" ht="15.75" customHeight="1">
      <c r="A84" s="78">
        <v>21005</v>
      </c>
      <c r="B84" s="30" t="s">
        <v>198</v>
      </c>
      <c r="C84" s="9">
        <v>846</v>
      </c>
      <c r="D84" s="12">
        <v>608</v>
      </c>
      <c r="E84" s="39"/>
    </row>
    <row r="85" spans="1:5" ht="15.75" customHeight="1">
      <c r="A85" s="78">
        <v>21006</v>
      </c>
      <c r="B85" s="30" t="s">
        <v>200</v>
      </c>
      <c r="C85" s="9">
        <v>402</v>
      </c>
      <c r="D85" s="12">
        <v>218</v>
      </c>
      <c r="E85" s="39"/>
    </row>
    <row r="86" spans="1:5" ht="15.75" customHeight="1">
      <c r="A86" s="78">
        <v>21101</v>
      </c>
      <c r="B86" s="30" t="s">
        <v>202</v>
      </c>
      <c r="C86" s="9">
        <v>694</v>
      </c>
      <c r="D86" s="12">
        <v>321</v>
      </c>
      <c r="E86" s="39"/>
    </row>
    <row r="87" spans="1:5" ht="15.75" customHeight="1">
      <c r="A87" s="78">
        <v>21102</v>
      </c>
      <c r="B87" s="30" t="s">
        <v>204</v>
      </c>
      <c r="C87" s="9">
        <v>1022</v>
      </c>
      <c r="D87" s="12">
        <v>638</v>
      </c>
      <c r="E87" s="39"/>
    </row>
    <row r="88" spans="1:5" ht="15.75" customHeight="1">
      <c r="A88" s="78">
        <v>21103</v>
      </c>
      <c r="B88" s="30" t="s">
        <v>206</v>
      </c>
      <c r="C88" s="9">
        <v>219</v>
      </c>
      <c r="D88" s="12">
        <v>101</v>
      </c>
      <c r="E88" s="39"/>
    </row>
    <row r="89" spans="1:5" ht="15.75" customHeight="1">
      <c r="A89" s="78">
        <v>21104</v>
      </c>
      <c r="B89" s="30" t="s">
        <v>208</v>
      </c>
      <c r="C89" s="9">
        <v>1437</v>
      </c>
      <c r="D89" s="12">
        <v>898</v>
      </c>
      <c r="E89" s="39"/>
    </row>
    <row r="90" spans="1:5" ht="15.75" customHeight="1">
      <c r="A90" s="78">
        <v>21105</v>
      </c>
      <c r="B90" s="30" t="s">
        <v>210</v>
      </c>
      <c r="C90" s="9">
        <v>3076</v>
      </c>
      <c r="D90" s="12">
        <v>1680</v>
      </c>
      <c r="E90" s="39"/>
    </row>
    <row r="91" spans="1:5" ht="15.75" customHeight="1">
      <c r="A91" s="78">
        <v>21201</v>
      </c>
      <c r="B91" s="30" t="s">
        <v>212</v>
      </c>
      <c r="C91" s="9">
        <v>5832</v>
      </c>
      <c r="D91" s="12">
        <v>4460</v>
      </c>
      <c r="E91" s="39"/>
    </row>
    <row r="92" spans="1:5" ht="15.75" customHeight="1">
      <c r="A92" s="78">
        <v>21202</v>
      </c>
      <c r="B92" s="30" t="s">
        <v>214</v>
      </c>
      <c r="C92" s="9">
        <v>4452</v>
      </c>
      <c r="D92" s="12">
        <v>3024</v>
      </c>
      <c r="E92" s="39"/>
    </row>
    <row r="93" spans="1:5" ht="15.75" customHeight="1">
      <c r="A93" s="78">
        <v>21203</v>
      </c>
      <c r="B93" s="30" t="s">
        <v>216</v>
      </c>
      <c r="C93" s="9">
        <v>3204</v>
      </c>
      <c r="D93" s="12">
        <v>2029</v>
      </c>
      <c r="E93" s="39"/>
    </row>
    <row r="94" spans="1:5" ht="15.75" customHeight="1">
      <c r="A94" s="78">
        <v>21204</v>
      </c>
      <c r="B94" s="30" t="s">
        <v>218</v>
      </c>
      <c r="C94" s="9">
        <v>1753</v>
      </c>
      <c r="D94" s="12">
        <v>893</v>
      </c>
      <c r="E94" s="39"/>
    </row>
    <row r="95" spans="1:5" ht="15.75" customHeight="1">
      <c r="A95" s="78">
        <v>21301</v>
      </c>
      <c r="B95" s="30" t="s">
        <v>220</v>
      </c>
      <c r="C95" s="9">
        <v>3510</v>
      </c>
      <c r="D95" s="12">
        <v>2083</v>
      </c>
      <c r="E95" s="39"/>
    </row>
    <row r="96" spans="1:5" ht="15.75" customHeight="1">
      <c r="A96" s="78">
        <v>21302</v>
      </c>
      <c r="B96" s="30" t="s">
        <v>222</v>
      </c>
      <c r="C96" s="9">
        <v>1001</v>
      </c>
      <c r="D96" s="12">
        <v>702</v>
      </c>
      <c r="E96" s="39"/>
    </row>
    <row r="97" spans="1:5" ht="15.75" customHeight="1">
      <c r="A97" s="78">
        <v>21303</v>
      </c>
      <c r="B97" s="30" t="s">
        <v>224</v>
      </c>
      <c r="C97" s="9">
        <v>1010</v>
      </c>
      <c r="D97" s="12">
        <v>913</v>
      </c>
      <c r="E97" s="39"/>
    </row>
    <row r="98" spans="1:5" ht="15.75" customHeight="1">
      <c r="A98" s="78">
        <v>21304</v>
      </c>
      <c r="B98" s="30" t="s">
        <v>226</v>
      </c>
      <c r="C98" s="9">
        <v>1931</v>
      </c>
      <c r="D98" s="12">
        <v>1130</v>
      </c>
      <c r="E98" s="39"/>
    </row>
    <row r="99" spans="1:5" ht="15.75" customHeight="1">
      <c r="A99" s="78">
        <v>21305</v>
      </c>
      <c r="B99" s="30" t="s">
        <v>228</v>
      </c>
      <c r="C99" s="9">
        <v>1875</v>
      </c>
      <c r="D99" s="12">
        <v>1066</v>
      </c>
      <c r="E99" s="39"/>
    </row>
    <row r="100" spans="1:5" ht="15.75" customHeight="1">
      <c r="A100" s="78">
        <v>21306</v>
      </c>
      <c r="B100" s="30" t="s">
        <v>230</v>
      </c>
      <c r="C100" s="9">
        <v>1031</v>
      </c>
      <c r="D100" s="12">
        <v>633</v>
      </c>
      <c r="E100" s="39"/>
    </row>
    <row r="101" spans="1:5" ht="15.75" customHeight="1">
      <c r="A101" s="78">
        <v>21307</v>
      </c>
      <c r="B101" s="30" t="s">
        <v>232</v>
      </c>
      <c r="C101" s="9">
        <v>438</v>
      </c>
      <c r="D101" s="12">
        <v>322</v>
      </c>
      <c r="E101" s="39"/>
    </row>
    <row r="102" spans="1:5" ht="15.75" customHeight="1">
      <c r="A102" s="78">
        <v>21401</v>
      </c>
      <c r="B102" s="30" t="s">
        <v>234</v>
      </c>
      <c r="C102" s="9">
        <v>1242</v>
      </c>
      <c r="D102" s="12">
        <v>795</v>
      </c>
      <c r="E102" s="39"/>
    </row>
    <row r="103" spans="1:5" ht="15.75" customHeight="1">
      <c r="A103" s="78">
        <v>21402</v>
      </c>
      <c r="B103" s="30" t="s">
        <v>236</v>
      </c>
      <c r="C103" s="9">
        <v>1032</v>
      </c>
      <c r="D103" s="12">
        <v>602</v>
      </c>
      <c r="E103" s="39"/>
    </row>
    <row r="104" spans="1:5" ht="15.75" customHeight="1">
      <c r="A104" s="78">
        <v>21501</v>
      </c>
      <c r="B104" s="30" t="s">
        <v>239</v>
      </c>
      <c r="C104" s="9">
        <v>687</v>
      </c>
      <c r="D104" s="12">
        <v>1097</v>
      </c>
      <c r="E104" s="39"/>
    </row>
    <row r="105" spans="1:5" ht="15.75" customHeight="1">
      <c r="A105" s="78">
        <v>21502</v>
      </c>
      <c r="B105" s="30" t="s">
        <v>240</v>
      </c>
      <c r="C105" s="9">
        <v>288</v>
      </c>
      <c r="D105" s="12">
        <v>245</v>
      </c>
      <c r="E105" s="39"/>
    </row>
    <row r="106" spans="1:5" ht="15.75" customHeight="1">
      <c r="A106" s="78">
        <v>21601</v>
      </c>
      <c r="B106" s="30" t="s">
        <v>243</v>
      </c>
      <c r="C106" s="9">
        <v>3861</v>
      </c>
      <c r="D106" s="12">
        <v>2232</v>
      </c>
      <c r="E106" s="39"/>
    </row>
    <row r="107" spans="1:5" ht="15.75" customHeight="1">
      <c r="A107" s="78">
        <v>21602</v>
      </c>
      <c r="B107" s="30" t="s">
        <v>244</v>
      </c>
      <c r="C107" s="9">
        <v>1128</v>
      </c>
      <c r="D107" s="12">
        <v>1154</v>
      </c>
      <c r="E107" s="39"/>
    </row>
    <row r="108" spans="1:5" ht="15.75" customHeight="1">
      <c r="A108" s="78">
        <v>21701</v>
      </c>
      <c r="B108" s="30" t="s">
        <v>246</v>
      </c>
      <c r="C108" s="9">
        <v>1977</v>
      </c>
      <c r="D108" s="12">
        <v>1389</v>
      </c>
      <c r="E108" s="39"/>
    </row>
    <row r="109" spans="1:5" ht="15.75" customHeight="1">
      <c r="A109" s="78">
        <v>21702</v>
      </c>
      <c r="B109" s="30" t="s">
        <v>248</v>
      </c>
      <c r="C109" s="9">
        <v>710</v>
      </c>
      <c r="D109" s="12">
        <v>613</v>
      </c>
      <c r="E109" s="39"/>
    </row>
    <row r="110" spans="1:5" ht="15.75" customHeight="1">
      <c r="A110" s="78">
        <v>21703</v>
      </c>
      <c r="B110" s="30" t="s">
        <v>250</v>
      </c>
      <c r="C110" s="9">
        <v>1019</v>
      </c>
      <c r="D110" s="12">
        <v>798</v>
      </c>
      <c r="E110" s="39"/>
    </row>
    <row r="111" spans="1:5" ht="15.75" customHeight="1">
      <c r="A111" s="78">
        <v>21801</v>
      </c>
      <c r="B111" s="30" t="s">
        <v>252</v>
      </c>
      <c r="C111" s="9">
        <v>1093</v>
      </c>
      <c r="D111" s="12">
        <v>760</v>
      </c>
      <c r="E111" s="39"/>
    </row>
    <row r="112" spans="1:5" ht="15.75" customHeight="1">
      <c r="A112" s="78">
        <v>21802</v>
      </c>
      <c r="B112" s="30" t="s">
        <v>254</v>
      </c>
      <c r="C112" s="9">
        <v>869</v>
      </c>
      <c r="D112" s="12">
        <v>408</v>
      </c>
      <c r="E112" s="39"/>
    </row>
    <row r="113" spans="1:5" ht="15.75" customHeight="1">
      <c r="A113" s="78">
        <v>21803</v>
      </c>
      <c r="B113" s="30" t="s">
        <v>256</v>
      </c>
      <c r="C113" s="9">
        <v>225</v>
      </c>
      <c r="D113" s="12">
        <v>161</v>
      </c>
      <c r="E113" s="39"/>
    </row>
    <row r="114" spans="1:5" ht="15.75" customHeight="1">
      <c r="A114" s="78">
        <v>21901</v>
      </c>
      <c r="B114" s="30" t="s">
        <v>258</v>
      </c>
      <c r="C114" s="9">
        <v>431</v>
      </c>
      <c r="D114" s="12">
        <v>227</v>
      </c>
      <c r="E114" s="39"/>
    </row>
    <row r="115" spans="1:5" ht="15.75" customHeight="1">
      <c r="A115" s="78">
        <v>21902</v>
      </c>
      <c r="B115" s="30" t="s">
        <v>260</v>
      </c>
      <c r="C115" s="9">
        <v>176</v>
      </c>
      <c r="D115" s="12">
        <v>285</v>
      </c>
      <c r="E115" s="39"/>
    </row>
    <row r="116" spans="1:5" ht="15.75" customHeight="1">
      <c r="A116" s="78">
        <v>22001</v>
      </c>
      <c r="B116" s="30" t="s">
        <v>262</v>
      </c>
      <c r="C116" s="9">
        <v>3329</v>
      </c>
      <c r="D116" s="12">
        <v>1697</v>
      </c>
      <c r="E116" s="39"/>
    </row>
    <row r="117" spans="1:5" ht="15.75" customHeight="1">
      <c r="A117" s="78">
        <v>22002</v>
      </c>
      <c r="B117" s="30" t="s">
        <v>264</v>
      </c>
      <c r="C117" s="9">
        <v>644</v>
      </c>
      <c r="D117" s="12">
        <v>265</v>
      </c>
      <c r="E117" s="39"/>
    </row>
    <row r="118" spans="1:5" ht="15.75" customHeight="1">
      <c r="A118" s="78">
        <v>30101</v>
      </c>
      <c r="B118" s="30" t="s">
        <v>20</v>
      </c>
      <c r="C118" s="9">
        <v>29056</v>
      </c>
      <c r="D118" s="12">
        <v>10859</v>
      </c>
      <c r="E118" s="39"/>
    </row>
    <row r="119" spans="1:5" ht="15.75" customHeight="1">
      <c r="A119" s="78">
        <v>30201</v>
      </c>
      <c r="B119" s="30" t="s">
        <v>267</v>
      </c>
      <c r="C119" s="9">
        <v>8124</v>
      </c>
      <c r="D119" s="12">
        <v>4325</v>
      </c>
      <c r="E119" s="39"/>
    </row>
    <row r="120" spans="1:5" ht="15.75" customHeight="1">
      <c r="A120" s="78">
        <v>30202</v>
      </c>
      <c r="B120" s="30" t="s">
        <v>269</v>
      </c>
      <c r="C120" s="9">
        <v>499</v>
      </c>
      <c r="D120" s="12">
        <v>77</v>
      </c>
      <c r="E120" s="39"/>
    </row>
    <row r="121" spans="1:5" ht="15.75" customHeight="1">
      <c r="A121" s="78">
        <v>30203</v>
      </c>
      <c r="B121" s="30" t="s">
        <v>271</v>
      </c>
      <c r="C121" s="9">
        <v>920</v>
      </c>
      <c r="D121" s="12">
        <v>461</v>
      </c>
      <c r="E121" s="39"/>
    </row>
    <row r="122" spans="1:5" ht="15.75" customHeight="1">
      <c r="A122" s="78">
        <v>30301</v>
      </c>
      <c r="B122" s="30" t="s">
        <v>274</v>
      </c>
      <c r="C122" s="9">
        <v>9416</v>
      </c>
      <c r="D122" s="12">
        <v>5853</v>
      </c>
      <c r="E122" s="39"/>
    </row>
    <row r="123" spans="1:5" ht="15.75" customHeight="1">
      <c r="A123" s="78">
        <v>30302</v>
      </c>
      <c r="B123" s="30" t="s">
        <v>275</v>
      </c>
      <c r="C123" s="9">
        <v>5354</v>
      </c>
      <c r="D123" s="12">
        <v>3513</v>
      </c>
      <c r="E123" s="39"/>
    </row>
    <row r="124" spans="1:5" ht="15.75" customHeight="1">
      <c r="A124" s="78">
        <v>30303</v>
      </c>
      <c r="B124" s="30" t="s">
        <v>277</v>
      </c>
      <c r="C124" s="9">
        <v>6824</v>
      </c>
      <c r="D124" s="12">
        <v>4636</v>
      </c>
      <c r="E124" s="39"/>
    </row>
    <row r="125" spans="1:5" ht="15.75" customHeight="1">
      <c r="A125" s="78">
        <v>30401</v>
      </c>
      <c r="B125" s="30" t="s">
        <v>280</v>
      </c>
      <c r="C125" s="9">
        <v>1479</v>
      </c>
      <c r="D125" s="12">
        <v>1371</v>
      </c>
      <c r="E125" s="39"/>
    </row>
    <row r="126" spans="1:5" ht="15.75" customHeight="1">
      <c r="A126" s="78">
        <v>30402</v>
      </c>
      <c r="B126" s="30" t="s">
        <v>281</v>
      </c>
      <c r="C126" s="9">
        <v>3515</v>
      </c>
      <c r="D126" s="12">
        <v>1890</v>
      </c>
      <c r="E126" s="39"/>
    </row>
    <row r="127" spans="1:5" ht="15.75" customHeight="1">
      <c r="A127" s="78">
        <v>30403</v>
      </c>
      <c r="B127" s="30" t="s">
        <v>283</v>
      </c>
      <c r="C127" s="9">
        <v>2261</v>
      </c>
      <c r="D127" s="12">
        <v>1642</v>
      </c>
      <c r="E127" s="39"/>
    </row>
    <row r="128" spans="1:5" ht="15.75" customHeight="1">
      <c r="A128" s="78">
        <v>30404</v>
      </c>
      <c r="B128" s="30" t="s">
        <v>285</v>
      </c>
      <c r="C128" s="9">
        <v>1781</v>
      </c>
      <c r="D128" s="12">
        <v>1159</v>
      </c>
      <c r="E128" s="39"/>
    </row>
    <row r="129" spans="1:5" ht="15.75" customHeight="1">
      <c r="A129" s="78">
        <v>30501</v>
      </c>
      <c r="B129" s="30" t="s">
        <v>287</v>
      </c>
      <c r="C129" s="9">
        <v>1981</v>
      </c>
      <c r="D129" s="12">
        <v>1315</v>
      </c>
      <c r="E129" s="39"/>
    </row>
    <row r="130" spans="1:5" ht="15.75" customHeight="1">
      <c r="A130" s="78">
        <v>30502</v>
      </c>
      <c r="B130" s="30" t="s">
        <v>289</v>
      </c>
      <c r="C130" s="9">
        <v>3395</v>
      </c>
      <c r="D130" s="12">
        <v>2285</v>
      </c>
      <c r="E130" s="39"/>
    </row>
    <row r="131" spans="1:5" ht="15.75" customHeight="1">
      <c r="A131" s="78">
        <v>30601</v>
      </c>
      <c r="B131" s="30" t="s">
        <v>292</v>
      </c>
      <c r="C131" s="9">
        <v>5244</v>
      </c>
      <c r="D131" s="12">
        <v>3601</v>
      </c>
      <c r="E131" s="39"/>
    </row>
    <row r="132" spans="1:5" ht="15.75" customHeight="1">
      <c r="A132" s="78">
        <v>30602</v>
      </c>
      <c r="B132" s="30" t="s">
        <v>293</v>
      </c>
      <c r="C132" s="9">
        <v>4572</v>
      </c>
      <c r="D132" s="12">
        <v>2941</v>
      </c>
      <c r="E132" s="39"/>
    </row>
    <row r="133" spans="1:5" ht="15.75" customHeight="1">
      <c r="A133" s="78">
        <v>30701</v>
      </c>
      <c r="B133" s="30" t="s">
        <v>295</v>
      </c>
      <c r="C133" s="9">
        <v>3725</v>
      </c>
      <c r="D133" s="12">
        <v>2123</v>
      </c>
      <c r="E133" s="39"/>
    </row>
    <row r="134" spans="1:5" ht="15.75" customHeight="1">
      <c r="A134" s="78">
        <v>30702</v>
      </c>
      <c r="B134" s="30" t="s">
        <v>297</v>
      </c>
      <c r="C134" s="9">
        <v>1274</v>
      </c>
      <c r="D134" s="12">
        <v>654</v>
      </c>
      <c r="E134" s="39"/>
    </row>
    <row r="135" spans="1:5" ht="15.75" customHeight="1">
      <c r="A135" s="78">
        <v>30703</v>
      </c>
      <c r="B135" s="30" t="s">
        <v>299</v>
      </c>
      <c r="C135" s="9">
        <v>1373</v>
      </c>
      <c r="D135" s="12">
        <v>618</v>
      </c>
      <c r="E135" s="39"/>
    </row>
    <row r="136" spans="1:5" ht="15.75" customHeight="1">
      <c r="A136" s="78">
        <v>30801</v>
      </c>
      <c r="B136" s="30" t="s">
        <v>301</v>
      </c>
      <c r="C136" s="9">
        <v>2585</v>
      </c>
      <c r="D136" s="12">
        <v>1509</v>
      </c>
      <c r="E136" s="39"/>
    </row>
    <row r="137" spans="1:5" ht="15.75" customHeight="1">
      <c r="A137" s="78">
        <v>30802</v>
      </c>
      <c r="B137" s="30" t="s">
        <v>304</v>
      </c>
      <c r="C137" s="9">
        <v>1579</v>
      </c>
      <c r="D137" s="12">
        <v>983</v>
      </c>
      <c r="E137" s="39"/>
    </row>
    <row r="138" spans="1:5" ht="15.75" customHeight="1">
      <c r="A138" s="78">
        <v>30803</v>
      </c>
      <c r="B138" s="30" t="s">
        <v>305</v>
      </c>
      <c r="C138" s="9">
        <v>498</v>
      </c>
      <c r="D138" s="12">
        <v>301</v>
      </c>
      <c r="E138" s="39"/>
    </row>
    <row r="139" spans="1:5" ht="15.75" customHeight="1">
      <c r="A139" s="78">
        <v>30901</v>
      </c>
      <c r="B139" s="30" t="s">
        <v>307</v>
      </c>
      <c r="C139" s="9">
        <v>10129</v>
      </c>
      <c r="D139" s="12">
        <v>4114</v>
      </c>
      <c r="E139" s="39"/>
    </row>
    <row r="140" spans="1:5" ht="15.75" customHeight="1">
      <c r="A140" s="78">
        <v>30902</v>
      </c>
      <c r="B140" s="30" t="s">
        <v>310</v>
      </c>
      <c r="C140" s="9">
        <v>6627</v>
      </c>
      <c r="D140" s="12">
        <v>3562</v>
      </c>
      <c r="E140" s="39"/>
    </row>
    <row r="141" spans="1:5" ht="15.75" customHeight="1">
      <c r="A141" s="78">
        <v>30903</v>
      </c>
      <c r="B141" s="30" t="s">
        <v>311</v>
      </c>
      <c r="C141" s="9">
        <v>4610</v>
      </c>
      <c r="D141" s="12">
        <v>1579</v>
      </c>
      <c r="E141" s="39"/>
    </row>
    <row r="142" spans="1:5" ht="15.75" customHeight="1">
      <c r="A142" s="78">
        <v>30904</v>
      </c>
      <c r="B142" s="30" t="s">
        <v>314</v>
      </c>
      <c r="C142" s="9">
        <v>4424</v>
      </c>
      <c r="D142" s="12">
        <v>2249</v>
      </c>
      <c r="E142" s="39"/>
    </row>
    <row r="143" spans="1:5" ht="15.75" customHeight="1">
      <c r="A143" s="78">
        <v>30905</v>
      </c>
      <c r="B143" s="30" t="s">
        <v>315</v>
      </c>
      <c r="C143" s="9">
        <v>2252</v>
      </c>
      <c r="D143" s="12">
        <v>851</v>
      </c>
      <c r="E143" s="39"/>
    </row>
    <row r="144" spans="1:5" ht="15.75" customHeight="1">
      <c r="A144" s="78">
        <v>31001</v>
      </c>
      <c r="B144" s="30" t="s">
        <v>317</v>
      </c>
      <c r="C144" s="9">
        <v>13691</v>
      </c>
      <c r="D144" s="12">
        <v>7005</v>
      </c>
      <c r="E144" s="39"/>
    </row>
    <row r="145" spans="1:5" ht="15.75" customHeight="1">
      <c r="A145" s="78">
        <v>31002</v>
      </c>
      <c r="B145" s="30" t="s">
        <v>319</v>
      </c>
      <c r="C145" s="9">
        <v>4989</v>
      </c>
      <c r="D145" s="12">
        <v>3002</v>
      </c>
      <c r="E145" s="39"/>
    </row>
    <row r="146" spans="1:5" ht="15.75" customHeight="1">
      <c r="A146" s="78">
        <v>31003</v>
      </c>
      <c r="B146" s="30" t="s">
        <v>321</v>
      </c>
      <c r="C146" s="9">
        <v>12062</v>
      </c>
      <c r="D146" s="12">
        <v>7746</v>
      </c>
      <c r="E146" s="39"/>
    </row>
    <row r="147" spans="1:5" ht="15.75" customHeight="1">
      <c r="A147" s="78">
        <v>31101</v>
      </c>
      <c r="B147" s="30" t="s">
        <v>323</v>
      </c>
      <c r="C147" s="9">
        <v>11481</v>
      </c>
      <c r="D147" s="12">
        <v>7220</v>
      </c>
      <c r="E147" s="39"/>
    </row>
    <row r="148" spans="1:5" ht="15.75" customHeight="1">
      <c r="A148" s="78">
        <v>31201</v>
      </c>
      <c r="B148" s="30" t="s">
        <v>326</v>
      </c>
      <c r="C148" s="9">
        <v>5521</v>
      </c>
      <c r="D148" s="12">
        <v>2819</v>
      </c>
      <c r="E148" s="39"/>
    </row>
    <row r="149" spans="1:5" ht="15.75" customHeight="1">
      <c r="A149" s="78">
        <v>31202</v>
      </c>
      <c r="B149" s="30" t="s">
        <v>327</v>
      </c>
      <c r="C149" s="9">
        <v>3522</v>
      </c>
      <c r="D149" s="12">
        <v>1703</v>
      </c>
      <c r="E149" s="39"/>
    </row>
    <row r="150" spans="1:5" ht="15.75" customHeight="1">
      <c r="A150" s="78">
        <v>31203</v>
      </c>
      <c r="B150" s="30" t="s">
        <v>329</v>
      </c>
      <c r="C150" s="9">
        <v>3802</v>
      </c>
      <c r="D150" s="12">
        <v>2258</v>
      </c>
      <c r="E150" s="39"/>
    </row>
    <row r="151" spans="1:5" ht="15.75" customHeight="1">
      <c r="A151" s="78">
        <v>31204</v>
      </c>
      <c r="B151" s="30" t="s">
        <v>331</v>
      </c>
      <c r="C151" s="9">
        <v>2560</v>
      </c>
      <c r="D151" s="12">
        <v>1532</v>
      </c>
      <c r="E151" s="39"/>
    </row>
    <row r="152" spans="1:5" ht="15.75" customHeight="1">
      <c r="A152" s="78">
        <v>31205</v>
      </c>
      <c r="B152" s="30" t="s">
        <v>333</v>
      </c>
      <c r="C152" s="9">
        <v>6332</v>
      </c>
      <c r="D152" s="12">
        <v>4016</v>
      </c>
      <c r="E152" s="39"/>
    </row>
    <row r="153" spans="1:5" ht="15.75" customHeight="1">
      <c r="A153" s="78">
        <v>31206</v>
      </c>
      <c r="B153" s="30" t="s">
        <v>335</v>
      </c>
      <c r="C153" s="9">
        <v>3576</v>
      </c>
      <c r="D153" s="12">
        <v>2457</v>
      </c>
      <c r="E153" s="39"/>
    </row>
    <row r="154" spans="1:5" ht="15.75" customHeight="1">
      <c r="A154" s="78">
        <v>31301</v>
      </c>
      <c r="B154" s="30" t="s">
        <v>337</v>
      </c>
      <c r="C154" s="9">
        <v>6679</v>
      </c>
      <c r="D154" s="12">
        <v>3475</v>
      </c>
      <c r="E154" s="39"/>
    </row>
    <row r="155" spans="1:5" ht="15.75" customHeight="1">
      <c r="A155" s="78">
        <v>31302</v>
      </c>
      <c r="B155" s="30" t="s">
        <v>339</v>
      </c>
      <c r="C155" s="9">
        <v>2841</v>
      </c>
      <c r="D155" s="12">
        <v>1732</v>
      </c>
      <c r="E155" s="39"/>
    </row>
    <row r="156" spans="1:5" ht="15.75" customHeight="1">
      <c r="A156" s="78">
        <v>31303</v>
      </c>
      <c r="B156" s="30" t="s">
        <v>341</v>
      </c>
      <c r="C156" s="9">
        <v>1820</v>
      </c>
      <c r="D156" s="12">
        <v>1185</v>
      </c>
      <c r="E156" s="39"/>
    </row>
    <row r="157" spans="1:5" ht="15.75" customHeight="1">
      <c r="A157" s="9">
        <v>31304</v>
      </c>
      <c r="B157" s="30" t="s">
        <v>345</v>
      </c>
      <c r="C157" s="9">
        <v>3639</v>
      </c>
      <c r="D157" s="12">
        <v>3961</v>
      </c>
      <c r="E157" s="39"/>
    </row>
    <row r="158" spans="1:5" ht="15.75" customHeight="1">
      <c r="A158" s="78">
        <v>31401</v>
      </c>
      <c r="B158" s="30" t="s">
        <v>343</v>
      </c>
      <c r="C158" s="9">
        <v>1790</v>
      </c>
      <c r="D158" s="12">
        <v>2280</v>
      </c>
      <c r="E158" s="39"/>
    </row>
    <row r="159" spans="1:5" ht="15.75" customHeight="1">
      <c r="A159" s="78">
        <v>31402</v>
      </c>
      <c r="B159" s="30" t="s">
        <v>346</v>
      </c>
      <c r="C159" s="9">
        <v>1921</v>
      </c>
      <c r="D159" s="12">
        <v>1059</v>
      </c>
      <c r="E159" s="39"/>
    </row>
    <row r="160" spans="1:5" ht="15.75" customHeight="1">
      <c r="A160" s="78">
        <v>31403</v>
      </c>
      <c r="B160" s="30" t="s">
        <v>348</v>
      </c>
      <c r="C160" s="9">
        <v>227</v>
      </c>
      <c r="D160" s="12">
        <v>798</v>
      </c>
      <c r="E160" s="39"/>
    </row>
    <row r="161" spans="1:5" ht="15.75" customHeight="1">
      <c r="A161" s="78">
        <v>31404</v>
      </c>
      <c r="B161" s="30" t="s">
        <v>350</v>
      </c>
      <c r="C161" s="9">
        <v>617</v>
      </c>
      <c r="D161" s="12">
        <v>101</v>
      </c>
      <c r="E161" s="39"/>
    </row>
    <row r="162" spans="1:5" ht="15.75" customHeight="1">
      <c r="A162" s="78">
        <v>31405</v>
      </c>
      <c r="B162" s="30" t="s">
        <v>355</v>
      </c>
      <c r="C162" s="9">
        <v>2961</v>
      </c>
      <c r="D162" s="12">
        <v>611</v>
      </c>
      <c r="E162" s="39"/>
    </row>
    <row r="163" spans="1:5" ht="15.75" customHeight="1">
      <c r="A163" s="78">
        <v>31501</v>
      </c>
      <c r="B163" s="30" t="s">
        <v>353</v>
      </c>
      <c r="C163" s="9">
        <v>6958</v>
      </c>
      <c r="D163" s="12">
        <v>1938</v>
      </c>
      <c r="E163" s="39"/>
    </row>
    <row r="164" spans="1:5" ht="15.75" customHeight="1">
      <c r="A164" s="78">
        <v>31601</v>
      </c>
      <c r="B164" s="30" t="s">
        <v>356</v>
      </c>
      <c r="C164" s="9">
        <v>2946</v>
      </c>
      <c r="D164" s="12">
        <v>3718</v>
      </c>
      <c r="E164" s="39"/>
    </row>
    <row r="165" spans="1:5" ht="15.75" customHeight="1">
      <c r="A165" s="78">
        <v>31602</v>
      </c>
      <c r="B165" s="30" t="s">
        <v>358</v>
      </c>
      <c r="C165" s="9">
        <v>13163</v>
      </c>
      <c r="D165" s="12">
        <v>1839</v>
      </c>
      <c r="E165" s="39"/>
    </row>
    <row r="166" spans="1:5" ht="15.75" customHeight="1">
      <c r="A166" s="78">
        <v>40101</v>
      </c>
      <c r="B166" s="30" t="s">
        <v>22</v>
      </c>
      <c r="C166" s="9">
        <v>2656</v>
      </c>
      <c r="D166" s="12">
        <v>5126</v>
      </c>
      <c r="E166" s="39"/>
    </row>
    <row r="167" spans="1:5" ht="15.75" customHeight="1">
      <c r="A167" s="78">
        <v>40102</v>
      </c>
      <c r="B167" s="30" t="s">
        <v>361</v>
      </c>
      <c r="C167" s="9">
        <v>981</v>
      </c>
      <c r="D167" s="12">
        <v>962</v>
      </c>
      <c r="E167" s="39"/>
    </row>
    <row r="168" spans="1:5" ht="15.75" customHeight="1">
      <c r="A168" s="78">
        <v>40103</v>
      </c>
      <c r="B168" s="30" t="s">
        <v>363</v>
      </c>
      <c r="C168" s="9">
        <v>1774</v>
      </c>
      <c r="D168" s="12">
        <v>582</v>
      </c>
      <c r="E168" s="39"/>
    </row>
    <row r="169" spans="1:5" ht="15.75" customHeight="1">
      <c r="A169" s="78">
        <v>40104</v>
      </c>
      <c r="B169" s="30" t="s">
        <v>368</v>
      </c>
      <c r="C169" s="9">
        <v>6149</v>
      </c>
      <c r="D169" s="12">
        <v>1169</v>
      </c>
      <c r="E169" s="39"/>
    </row>
    <row r="170" spans="1:5" ht="15.75" customHeight="1">
      <c r="A170" s="78">
        <v>40201</v>
      </c>
      <c r="B170" s="30" t="s">
        <v>366</v>
      </c>
      <c r="C170" s="9">
        <v>635</v>
      </c>
      <c r="D170" s="12">
        <v>3895</v>
      </c>
      <c r="E170" s="39"/>
    </row>
    <row r="171" spans="1:5" ht="15.75" customHeight="1">
      <c r="A171" s="78">
        <v>40202</v>
      </c>
      <c r="B171" s="30" t="s">
        <v>372</v>
      </c>
      <c r="C171" s="9">
        <v>1077</v>
      </c>
      <c r="D171" s="12">
        <v>202</v>
      </c>
      <c r="E171" s="39"/>
    </row>
    <row r="172" spans="1:5" ht="15.75" customHeight="1">
      <c r="A172" s="78">
        <v>40301</v>
      </c>
      <c r="B172" s="30" t="s">
        <v>370</v>
      </c>
      <c r="C172" s="9">
        <v>122</v>
      </c>
      <c r="D172" s="12">
        <v>624</v>
      </c>
      <c r="E172" s="39"/>
    </row>
    <row r="173" spans="1:5" ht="15.75" customHeight="1">
      <c r="A173" s="78">
        <v>40302</v>
      </c>
      <c r="B173" s="30" t="s">
        <v>376</v>
      </c>
      <c r="C173" s="9">
        <v>344</v>
      </c>
      <c r="D173" s="12">
        <v>68</v>
      </c>
      <c r="E173" s="39"/>
    </row>
    <row r="174" spans="1:5" ht="15.75" customHeight="1">
      <c r="A174" s="78">
        <v>40401</v>
      </c>
      <c r="B174" s="30" t="s">
        <v>374</v>
      </c>
      <c r="C174" s="9">
        <v>297</v>
      </c>
      <c r="D174" s="12">
        <v>239</v>
      </c>
      <c r="E174" s="39"/>
    </row>
    <row r="175" spans="1:5" ht="15.75" customHeight="1">
      <c r="A175" s="78">
        <v>40402</v>
      </c>
      <c r="B175" s="30" t="s">
        <v>377</v>
      </c>
      <c r="C175" s="9">
        <v>48</v>
      </c>
      <c r="D175" s="12">
        <v>157</v>
      </c>
      <c r="E175" s="39"/>
    </row>
    <row r="176" spans="1:5" ht="15.75" customHeight="1">
      <c r="A176" s="78">
        <v>40501</v>
      </c>
      <c r="B176" s="30" t="s">
        <v>379</v>
      </c>
      <c r="C176" s="9">
        <v>325</v>
      </c>
      <c r="D176" s="12">
        <v>61</v>
      </c>
      <c r="E176" s="39"/>
    </row>
    <row r="177" spans="1:5" ht="15.75" customHeight="1">
      <c r="A177" s="78">
        <v>40502</v>
      </c>
      <c r="B177" s="30" t="s">
        <v>381</v>
      </c>
      <c r="C177" s="9">
        <v>88</v>
      </c>
      <c r="D177" s="12">
        <v>99</v>
      </c>
      <c r="E177" s="39"/>
    </row>
    <row r="178" spans="1:5" ht="15.75" customHeight="1">
      <c r="A178" s="78">
        <v>40503</v>
      </c>
      <c r="B178" s="30" t="s">
        <v>383</v>
      </c>
      <c r="C178" s="9">
        <v>25</v>
      </c>
      <c r="D178" s="12">
        <v>27</v>
      </c>
      <c r="E178" s="39"/>
    </row>
    <row r="179" spans="1:5" ht="15.75" customHeight="1">
      <c r="A179" s="78">
        <v>40504</v>
      </c>
      <c r="B179" s="30" t="s">
        <v>388</v>
      </c>
      <c r="C179" s="9">
        <v>200</v>
      </c>
      <c r="D179" s="12">
        <v>15</v>
      </c>
      <c r="E179" s="39"/>
    </row>
    <row r="180" spans="1:5" ht="15.75" customHeight="1">
      <c r="A180" s="78">
        <v>40505</v>
      </c>
      <c r="B180" s="30" t="s">
        <v>386</v>
      </c>
      <c r="C180" s="9">
        <v>986</v>
      </c>
      <c r="D180" s="12">
        <v>69</v>
      </c>
      <c r="E180" s="39"/>
    </row>
    <row r="181" spans="1:5" ht="15.75" customHeight="1">
      <c r="A181" s="78">
        <v>40601</v>
      </c>
      <c r="B181" s="30" t="s">
        <v>389</v>
      </c>
      <c r="C181" s="9">
        <v>554</v>
      </c>
      <c r="D181" s="12">
        <v>350</v>
      </c>
      <c r="E181" s="39"/>
    </row>
    <row r="182" spans="1:5" ht="15.75" customHeight="1">
      <c r="A182" s="78">
        <v>40602</v>
      </c>
      <c r="B182" s="30" t="s">
        <v>391</v>
      </c>
      <c r="C182" s="9">
        <v>355</v>
      </c>
      <c r="D182" s="12">
        <v>263</v>
      </c>
      <c r="E182" s="39"/>
    </row>
    <row r="183" spans="1:5" ht="15.75" customHeight="1">
      <c r="A183" s="78">
        <v>40603</v>
      </c>
      <c r="B183" s="30" t="s">
        <v>393</v>
      </c>
      <c r="C183" s="9">
        <v>2381</v>
      </c>
      <c r="D183" s="12">
        <v>134</v>
      </c>
      <c r="E183" s="39"/>
    </row>
    <row r="184" spans="1:5" ht="15.75" customHeight="1">
      <c r="A184" s="78">
        <v>40701</v>
      </c>
      <c r="B184" s="30" t="s">
        <v>395</v>
      </c>
      <c r="C184" s="9">
        <v>335</v>
      </c>
      <c r="D184" s="12">
        <v>943</v>
      </c>
      <c r="E184" s="39"/>
    </row>
    <row r="185" spans="1:5" ht="15.75" customHeight="1">
      <c r="A185" s="78">
        <v>40702</v>
      </c>
      <c r="B185" s="30" t="s">
        <v>397</v>
      </c>
      <c r="C185" s="9">
        <v>1035</v>
      </c>
      <c r="D185" s="12">
        <v>130</v>
      </c>
      <c r="E185" s="39"/>
    </row>
    <row r="186" spans="1:5" ht="15.75" customHeight="1">
      <c r="A186" s="78">
        <v>40801</v>
      </c>
      <c r="B186" s="30" t="s">
        <v>402</v>
      </c>
      <c r="C186" s="9">
        <v>375</v>
      </c>
      <c r="D186" s="12">
        <v>442</v>
      </c>
      <c r="E186" s="39"/>
    </row>
    <row r="187" spans="1:5" ht="15.75" customHeight="1">
      <c r="A187" s="78">
        <v>40802</v>
      </c>
      <c r="B187" s="30" t="s">
        <v>400</v>
      </c>
      <c r="C187" s="9">
        <v>352</v>
      </c>
      <c r="D187" s="12">
        <v>133</v>
      </c>
      <c r="E187" s="39"/>
    </row>
    <row r="188" spans="1:5" ht="15.75" customHeight="1">
      <c r="A188" s="78">
        <v>40901</v>
      </c>
      <c r="B188" s="30" t="s">
        <v>403</v>
      </c>
      <c r="C188" s="9">
        <v>13</v>
      </c>
      <c r="D188" s="12">
        <v>297</v>
      </c>
      <c r="E188" s="39"/>
    </row>
    <row r="189" spans="1:5" ht="15.75" customHeight="1">
      <c r="A189" s="78">
        <v>40902</v>
      </c>
      <c r="B189" s="30" t="s">
        <v>405</v>
      </c>
      <c r="C189" s="9">
        <v>179</v>
      </c>
      <c r="D189" s="12">
        <v>36</v>
      </c>
      <c r="E189" s="39"/>
    </row>
    <row r="190" spans="1:5" ht="15.75" customHeight="1">
      <c r="A190" s="78">
        <v>40903</v>
      </c>
      <c r="B190" s="30" t="s">
        <v>407</v>
      </c>
      <c r="C190" s="9">
        <v>1262</v>
      </c>
      <c r="D190" s="12">
        <v>146</v>
      </c>
      <c r="E190" s="39"/>
    </row>
    <row r="191" spans="1:5" ht="15.75" customHeight="1">
      <c r="A191" s="78">
        <v>41001</v>
      </c>
      <c r="B191" s="30" t="s">
        <v>409</v>
      </c>
      <c r="C191" s="9">
        <v>603</v>
      </c>
      <c r="D191" s="12">
        <v>445</v>
      </c>
      <c r="E191" s="39"/>
    </row>
    <row r="192" spans="1:5" ht="15.75" customHeight="1">
      <c r="A192" s="78">
        <v>41101</v>
      </c>
      <c r="B192" s="30" t="s">
        <v>411</v>
      </c>
      <c r="C192" s="9">
        <v>966</v>
      </c>
      <c r="D192" s="12">
        <v>316</v>
      </c>
      <c r="E192" s="39"/>
    </row>
    <row r="193" spans="1:5" ht="15.75" customHeight="1">
      <c r="A193" s="78">
        <v>41201</v>
      </c>
      <c r="B193" s="30" t="s">
        <v>413</v>
      </c>
      <c r="C193" s="9">
        <v>273</v>
      </c>
      <c r="D193" s="12">
        <v>404</v>
      </c>
      <c r="E193" s="39"/>
    </row>
    <row r="194" spans="1:5" ht="15.75" customHeight="1">
      <c r="A194" s="78">
        <v>41202</v>
      </c>
      <c r="B194" s="30" t="s">
        <v>415</v>
      </c>
      <c r="C194" s="9">
        <v>662</v>
      </c>
      <c r="D194" s="12">
        <v>186</v>
      </c>
      <c r="E194" s="39"/>
    </row>
    <row r="195" spans="1:5" ht="15.75" customHeight="1">
      <c r="A195" s="78">
        <v>41301</v>
      </c>
      <c r="B195" s="30" t="s">
        <v>417</v>
      </c>
      <c r="C195" s="9">
        <v>2684</v>
      </c>
      <c r="D195" s="12">
        <v>466</v>
      </c>
      <c r="E195" s="39"/>
    </row>
    <row r="196" spans="1:5" ht="15.75" customHeight="1">
      <c r="A196" s="78">
        <v>41401</v>
      </c>
      <c r="B196" s="30" t="s">
        <v>422</v>
      </c>
      <c r="C196" s="9">
        <v>6</v>
      </c>
      <c r="D196" s="12">
        <v>1331</v>
      </c>
      <c r="E196" s="39"/>
    </row>
    <row r="197" spans="1:5" ht="15.75" customHeight="1">
      <c r="A197" s="78">
        <v>41501</v>
      </c>
      <c r="B197" s="30" t="s">
        <v>420</v>
      </c>
      <c r="C197" s="9">
        <v>17</v>
      </c>
      <c r="D197" s="12">
        <v>14</v>
      </c>
      <c r="E197" s="39"/>
    </row>
    <row r="198" spans="1:5" ht="15.75" customHeight="1">
      <c r="A198" s="78">
        <v>41502</v>
      </c>
      <c r="B198" s="30" t="s">
        <v>423</v>
      </c>
      <c r="C198" s="9">
        <v>31</v>
      </c>
      <c r="D198" s="12">
        <v>11</v>
      </c>
      <c r="E198" s="39"/>
    </row>
    <row r="199" spans="1:5" ht="15.75" customHeight="1">
      <c r="A199" s="78">
        <v>41503</v>
      </c>
      <c r="B199" s="30" t="s">
        <v>425</v>
      </c>
      <c r="C199" s="9">
        <v>536</v>
      </c>
      <c r="D199" s="12">
        <v>19</v>
      </c>
      <c r="E199" s="39"/>
    </row>
    <row r="200" spans="1:5" ht="15.75" customHeight="1">
      <c r="A200" s="78">
        <v>41601</v>
      </c>
      <c r="B200" s="30" t="s">
        <v>430</v>
      </c>
      <c r="C200" s="9">
        <v>10199</v>
      </c>
      <c r="D200" s="12">
        <v>304</v>
      </c>
      <c r="E200" s="39"/>
    </row>
    <row r="201" spans="1:5" ht="15.75" customHeight="1">
      <c r="A201" s="78">
        <v>50101</v>
      </c>
      <c r="B201" s="30" t="s">
        <v>428</v>
      </c>
      <c r="C201" s="9">
        <v>12057</v>
      </c>
      <c r="D201" s="12">
        <v>4807</v>
      </c>
      <c r="E201" s="39"/>
    </row>
    <row r="202" spans="1:5" ht="15.75" customHeight="1">
      <c r="A202" s="78">
        <v>50102</v>
      </c>
      <c r="B202" s="30" t="s">
        <v>431</v>
      </c>
      <c r="C202" s="9">
        <v>1271</v>
      </c>
      <c r="D202" s="12">
        <v>6365</v>
      </c>
      <c r="E202" s="39"/>
    </row>
    <row r="203" spans="1:5" ht="15.75" customHeight="1">
      <c r="A203" s="78">
        <v>50103</v>
      </c>
      <c r="B203" s="30" t="s">
        <v>433</v>
      </c>
      <c r="C203" s="9">
        <v>1260</v>
      </c>
      <c r="D203" s="12">
        <v>801</v>
      </c>
      <c r="E203" s="39"/>
    </row>
    <row r="204" spans="1:5" ht="15.75" customHeight="1">
      <c r="A204" s="78">
        <v>50104</v>
      </c>
      <c r="B204" s="30" t="s">
        <v>437</v>
      </c>
      <c r="C204" s="9">
        <v>6199</v>
      </c>
      <c r="D204" s="12">
        <v>1066</v>
      </c>
      <c r="E204" s="39"/>
    </row>
    <row r="205" spans="1:5" ht="15.75" customHeight="1">
      <c r="A205" s="78">
        <v>50201</v>
      </c>
      <c r="B205" s="30" t="s">
        <v>440</v>
      </c>
      <c r="C205" s="9">
        <v>5017</v>
      </c>
      <c r="D205" s="12">
        <v>4002</v>
      </c>
      <c r="E205" s="39"/>
    </row>
    <row r="206" spans="1:5" ht="15.75" customHeight="1">
      <c r="A206" s="78">
        <v>50202</v>
      </c>
      <c r="B206" s="30" t="s">
        <v>438</v>
      </c>
      <c r="C206" s="9">
        <v>5763</v>
      </c>
      <c r="D206" s="12">
        <v>3032</v>
      </c>
      <c r="E206" s="39"/>
    </row>
    <row r="207" spans="1:5" ht="15.75" customHeight="1">
      <c r="A207" s="78">
        <v>50203</v>
      </c>
      <c r="B207" s="30" t="s">
        <v>441</v>
      </c>
      <c r="C207" s="9">
        <v>3810</v>
      </c>
      <c r="D207" s="12">
        <v>2942</v>
      </c>
      <c r="E207" s="39"/>
    </row>
    <row r="208" spans="1:5" ht="15.75" customHeight="1">
      <c r="A208" s="78">
        <v>50204</v>
      </c>
      <c r="B208" s="30" t="s">
        <v>446</v>
      </c>
      <c r="C208" s="9">
        <v>9347</v>
      </c>
      <c r="D208" s="12">
        <v>2113</v>
      </c>
      <c r="E208" s="39"/>
    </row>
    <row r="209" spans="1:5" ht="15.75" customHeight="1">
      <c r="A209" s="78">
        <v>50301</v>
      </c>
      <c r="B209" s="30" t="s">
        <v>444</v>
      </c>
      <c r="C209" s="9">
        <v>2475</v>
      </c>
      <c r="D209" s="12">
        <v>5271</v>
      </c>
      <c r="E209" s="39"/>
    </row>
    <row r="210" spans="1:5" ht="15.75" customHeight="1">
      <c r="A210" s="78">
        <v>50302</v>
      </c>
      <c r="B210" s="30" t="s">
        <v>447</v>
      </c>
      <c r="C210" s="9">
        <v>5090</v>
      </c>
      <c r="D210" s="12">
        <v>1120</v>
      </c>
      <c r="E210" s="39"/>
    </row>
    <row r="211" spans="1:5" ht="15.75" customHeight="1">
      <c r="A211" s="78">
        <v>50303</v>
      </c>
      <c r="B211" s="30" t="s">
        <v>449</v>
      </c>
      <c r="C211" s="9">
        <v>6197</v>
      </c>
      <c r="D211" s="12">
        <v>3695</v>
      </c>
      <c r="E211" s="39"/>
    </row>
    <row r="212" spans="1:5" ht="15.75" customHeight="1">
      <c r="A212" s="78">
        <v>50401</v>
      </c>
      <c r="B212" s="30" t="s">
        <v>451</v>
      </c>
      <c r="C212" s="9">
        <v>10072</v>
      </c>
      <c r="D212" s="12">
        <v>4804</v>
      </c>
      <c r="E212" s="39"/>
    </row>
    <row r="213" spans="1:5" ht="15.75" customHeight="1">
      <c r="A213" s="78">
        <v>50402</v>
      </c>
      <c r="B213" s="30" t="s">
        <v>453</v>
      </c>
      <c r="C213" s="9">
        <v>10662</v>
      </c>
      <c r="D213" s="12">
        <v>5982</v>
      </c>
      <c r="E213" s="39"/>
    </row>
    <row r="214" spans="1:5" ht="15.75" customHeight="1">
      <c r="A214" s="78">
        <v>50403</v>
      </c>
      <c r="B214" s="30" t="s">
        <v>455</v>
      </c>
      <c r="C214" s="9">
        <v>7494</v>
      </c>
      <c r="D214" s="12">
        <v>7417</v>
      </c>
      <c r="E214" s="39"/>
    </row>
    <row r="215" spans="1:5" ht="15.75" customHeight="1">
      <c r="A215" s="78">
        <v>50404</v>
      </c>
      <c r="B215" s="30" t="s">
        <v>457</v>
      </c>
      <c r="C215" s="9">
        <v>16631</v>
      </c>
      <c r="D215" s="12">
        <v>4474</v>
      </c>
      <c r="E215" s="39"/>
    </row>
    <row r="216" spans="1:5" ht="15.75" customHeight="1">
      <c r="A216" s="9">
        <v>50405</v>
      </c>
      <c r="B216" s="30" t="s">
        <v>462</v>
      </c>
      <c r="C216" s="9">
        <v>4743</v>
      </c>
      <c r="D216" s="12">
        <v>4652</v>
      </c>
      <c r="E216" s="39"/>
    </row>
    <row r="217" spans="1:5" ht="15.75" customHeight="1">
      <c r="A217" s="78">
        <v>50501</v>
      </c>
      <c r="B217" s="30" t="s">
        <v>465</v>
      </c>
      <c r="C217" s="9">
        <v>3822</v>
      </c>
      <c r="D217" s="12">
        <v>11451</v>
      </c>
      <c r="E217" s="39"/>
    </row>
    <row r="218" spans="1:5" ht="15.75" customHeight="1">
      <c r="A218" s="78">
        <v>50502</v>
      </c>
      <c r="B218" s="30" t="s">
        <v>460</v>
      </c>
      <c r="C218" s="9">
        <v>2184</v>
      </c>
      <c r="D218" s="12">
        <v>2915</v>
      </c>
      <c r="E218" s="39"/>
    </row>
    <row r="219" spans="1:5" ht="15.75" customHeight="1">
      <c r="A219" s="78">
        <v>50601</v>
      </c>
      <c r="B219" s="30" t="s">
        <v>463</v>
      </c>
      <c r="C219" s="9">
        <v>10182</v>
      </c>
      <c r="D219" s="12">
        <v>2067</v>
      </c>
      <c r="E219" s="39"/>
    </row>
    <row r="220" spans="1:5" ht="15.75" customHeight="1">
      <c r="A220" s="78">
        <v>50602</v>
      </c>
      <c r="B220" s="30" t="s">
        <v>466</v>
      </c>
      <c r="C220" s="9">
        <v>4586</v>
      </c>
      <c r="D220" s="12">
        <v>986</v>
      </c>
      <c r="E220" s="39"/>
    </row>
    <row r="221" spans="1:5" ht="15.75" customHeight="1">
      <c r="A221" s="78">
        <v>50701</v>
      </c>
      <c r="B221" s="30" t="s">
        <v>473</v>
      </c>
      <c r="C221" s="9">
        <v>2019</v>
      </c>
      <c r="D221" s="12">
        <v>6463</v>
      </c>
      <c r="E221" s="39"/>
    </row>
    <row r="222" spans="1:5" ht="15.75" customHeight="1">
      <c r="A222" s="78">
        <v>50702</v>
      </c>
      <c r="B222" s="30" t="s">
        <v>469</v>
      </c>
      <c r="C222" s="9">
        <v>416</v>
      </c>
      <c r="D222" s="12">
        <v>2939</v>
      </c>
      <c r="E222" s="39"/>
    </row>
    <row r="223" spans="1:5" ht="15.75" customHeight="1">
      <c r="A223" s="78">
        <v>50801</v>
      </c>
      <c r="B223" s="30" t="s">
        <v>471</v>
      </c>
      <c r="C223" s="9">
        <v>1034</v>
      </c>
      <c r="D223" s="12">
        <v>630</v>
      </c>
      <c r="E223" s="39"/>
    </row>
    <row r="224" spans="1:5" ht="15.75" customHeight="1">
      <c r="A224" s="78">
        <v>50802</v>
      </c>
      <c r="B224" s="30" t="s">
        <v>474</v>
      </c>
      <c r="C224" s="9">
        <v>30</v>
      </c>
      <c r="D224" s="12">
        <v>135</v>
      </c>
      <c r="E224" s="39"/>
    </row>
    <row r="225" spans="1:5" ht="15.75" customHeight="1">
      <c r="A225" s="78">
        <v>50901</v>
      </c>
      <c r="B225" s="30" t="s">
        <v>481</v>
      </c>
      <c r="C225" s="9">
        <v>323</v>
      </c>
      <c r="D225" s="12">
        <v>325</v>
      </c>
      <c r="E225" s="39"/>
    </row>
    <row r="226" spans="1:5" ht="15.75" customHeight="1">
      <c r="A226" s="78">
        <v>50902</v>
      </c>
      <c r="B226" s="30" t="s">
        <v>477</v>
      </c>
      <c r="C226" s="9">
        <v>91</v>
      </c>
      <c r="D226" s="12">
        <v>41</v>
      </c>
      <c r="E226" s="39"/>
    </row>
    <row r="227" spans="1:5" ht="15.75" customHeight="1">
      <c r="A227" s="78">
        <v>51001</v>
      </c>
      <c r="B227" s="30" t="s">
        <v>479</v>
      </c>
      <c r="C227" s="9">
        <v>178</v>
      </c>
      <c r="D227" s="12">
        <v>185</v>
      </c>
      <c r="E227" s="39"/>
    </row>
    <row r="228" spans="1:5" ht="15.75" customHeight="1">
      <c r="A228" s="78">
        <v>51002</v>
      </c>
      <c r="B228" s="30" t="s">
        <v>482</v>
      </c>
      <c r="C228" s="9">
        <v>4756</v>
      </c>
      <c r="D228" s="12">
        <v>25</v>
      </c>
      <c r="E228" s="39"/>
    </row>
    <row r="229" spans="1:5" ht="15.75" customHeight="1">
      <c r="A229" s="78">
        <v>51003</v>
      </c>
      <c r="B229" s="30" t="s">
        <v>484</v>
      </c>
      <c r="C229" s="9">
        <v>1712</v>
      </c>
      <c r="D229" s="12">
        <v>236</v>
      </c>
      <c r="E229" s="39"/>
    </row>
    <row r="230" spans="1:5" ht="15.75" customHeight="1">
      <c r="A230" s="78">
        <v>51101</v>
      </c>
      <c r="B230" s="30" t="s">
        <v>486</v>
      </c>
      <c r="C230" s="9">
        <v>6314</v>
      </c>
      <c r="D230" s="12">
        <v>2234</v>
      </c>
      <c r="E230" s="39"/>
    </row>
    <row r="231" spans="1:5" ht="15.75" customHeight="1">
      <c r="A231" s="78">
        <v>51102</v>
      </c>
      <c r="B231" s="30" t="s">
        <v>488</v>
      </c>
      <c r="C231" s="9">
        <v>2183</v>
      </c>
      <c r="D231" s="12">
        <v>1017</v>
      </c>
      <c r="E231" s="39"/>
    </row>
    <row r="232" spans="1:5" ht="15.75" customHeight="1">
      <c r="A232" s="78">
        <v>51103</v>
      </c>
      <c r="B232" s="30" t="s">
        <v>490</v>
      </c>
      <c r="C232" s="9">
        <v>1031</v>
      </c>
      <c r="D232" s="12">
        <v>3518</v>
      </c>
      <c r="E232" s="39"/>
    </row>
    <row r="233" spans="1:5" ht="15.75" customHeight="1">
      <c r="A233" s="78">
        <v>51201</v>
      </c>
      <c r="B233" s="30" t="s">
        <v>492</v>
      </c>
      <c r="C233" s="9">
        <v>773</v>
      </c>
      <c r="D233" s="12">
        <v>920</v>
      </c>
      <c r="E233" s="39"/>
    </row>
    <row r="234" spans="1:5" ht="15.75" customHeight="1">
      <c r="A234" s="78">
        <v>51202</v>
      </c>
      <c r="B234" s="30" t="s">
        <v>494</v>
      </c>
      <c r="C234" s="9">
        <v>1489</v>
      </c>
      <c r="D234" s="12">
        <v>378</v>
      </c>
      <c r="E234" s="39"/>
    </row>
    <row r="235" spans="1:5" ht="15.75" customHeight="1">
      <c r="A235" s="78">
        <v>51203</v>
      </c>
      <c r="B235" s="30" t="s">
        <v>496</v>
      </c>
      <c r="C235" s="9">
        <v>2537</v>
      </c>
      <c r="D235" s="12">
        <v>410</v>
      </c>
      <c r="E235" s="39"/>
    </row>
    <row r="236" spans="1:5" ht="15.75" customHeight="1">
      <c r="A236" s="9">
        <v>51204</v>
      </c>
      <c r="B236" s="30" t="s">
        <v>504</v>
      </c>
      <c r="C236" s="9">
        <v>169</v>
      </c>
      <c r="D236" s="12">
        <v>375</v>
      </c>
      <c r="E236" s="39"/>
    </row>
    <row r="237" spans="1:5" ht="15.75" customHeight="1">
      <c r="A237" s="78">
        <v>51301</v>
      </c>
      <c r="B237" s="30" t="s">
        <v>498</v>
      </c>
      <c r="C237" s="9">
        <v>70</v>
      </c>
      <c r="D237" s="12">
        <v>1073</v>
      </c>
      <c r="E237" s="39"/>
    </row>
    <row r="238" spans="1:5" ht="15.75" customHeight="1">
      <c r="A238" s="78">
        <v>51302</v>
      </c>
      <c r="B238" s="30" t="s">
        <v>500</v>
      </c>
      <c r="C238" s="9">
        <v>2129</v>
      </c>
      <c r="D238" s="12">
        <v>1446</v>
      </c>
      <c r="E238" s="39"/>
    </row>
    <row r="239" spans="1:5" ht="15.75" customHeight="1">
      <c r="A239" s="78">
        <v>51401</v>
      </c>
      <c r="B239" s="30" t="s">
        <v>502</v>
      </c>
      <c r="C239" s="9">
        <v>125</v>
      </c>
      <c r="D239" s="12">
        <v>37</v>
      </c>
      <c r="E239" s="39"/>
    </row>
    <row r="240" spans="1:5" ht="15.75" customHeight="1">
      <c r="A240" s="78">
        <v>51402</v>
      </c>
      <c r="B240" s="30" t="s">
        <v>505</v>
      </c>
      <c r="C240" s="9">
        <v>3309</v>
      </c>
      <c r="D240" s="12">
        <v>30</v>
      </c>
      <c r="E240" s="39"/>
    </row>
    <row r="241" spans="1:5" ht="15.75" customHeight="1">
      <c r="A241" s="78">
        <v>51501</v>
      </c>
      <c r="B241" s="30" t="s">
        <v>507</v>
      </c>
      <c r="C241" s="9">
        <v>463</v>
      </c>
      <c r="D241" s="12">
        <v>1061</v>
      </c>
      <c r="E241" s="39"/>
    </row>
    <row r="242" spans="1:5" ht="15.75" customHeight="1">
      <c r="A242" s="78">
        <v>51601</v>
      </c>
      <c r="B242" s="30" t="s">
        <v>509</v>
      </c>
      <c r="C242" s="9">
        <v>687</v>
      </c>
      <c r="D242" s="12">
        <v>48</v>
      </c>
      <c r="E242" s="39"/>
    </row>
    <row r="243" spans="1:5" ht="15.75" customHeight="1">
      <c r="A243" s="78">
        <v>60101</v>
      </c>
      <c r="B243" s="30" t="s">
        <v>28</v>
      </c>
      <c r="C243" s="9">
        <v>4461</v>
      </c>
      <c r="D243" s="12">
        <v>1961</v>
      </c>
      <c r="E243" s="39"/>
    </row>
    <row r="244" spans="1:5" ht="15.75" customHeight="1">
      <c r="A244" s="78">
        <v>60201</v>
      </c>
      <c r="B244" s="30" t="s">
        <v>512</v>
      </c>
      <c r="C244" s="9">
        <v>452</v>
      </c>
      <c r="D244" s="12">
        <v>171</v>
      </c>
      <c r="E244" s="39"/>
    </row>
    <row r="245" spans="1:5" ht="15.75" customHeight="1">
      <c r="A245" s="78">
        <v>60202</v>
      </c>
      <c r="B245" s="30" t="s">
        <v>514</v>
      </c>
      <c r="C245" s="9">
        <v>1935</v>
      </c>
      <c r="D245" s="12">
        <v>343</v>
      </c>
      <c r="E245" s="39"/>
    </row>
    <row r="246" spans="1:5" ht="15.75" customHeight="1">
      <c r="A246" s="78">
        <v>60301</v>
      </c>
      <c r="B246" s="30" t="s">
        <v>516</v>
      </c>
      <c r="C246" s="9">
        <v>278</v>
      </c>
      <c r="D246" s="12">
        <v>3832</v>
      </c>
      <c r="E246" s="39"/>
    </row>
    <row r="247" spans="1:5" ht="15.75" customHeight="1">
      <c r="A247" s="78">
        <v>60302</v>
      </c>
      <c r="B247" s="30" t="s">
        <v>518</v>
      </c>
      <c r="C247" s="9">
        <v>65</v>
      </c>
      <c r="D247" s="12">
        <v>205</v>
      </c>
      <c r="E247" s="39"/>
    </row>
    <row r="248" spans="1:5" ht="15.75" customHeight="1">
      <c r="A248" s="78">
        <v>60303</v>
      </c>
      <c r="B248" s="30" t="s">
        <v>527</v>
      </c>
      <c r="C248" s="9">
        <v>423</v>
      </c>
      <c r="D248" s="12">
        <v>1749</v>
      </c>
      <c r="E248" s="39"/>
    </row>
    <row r="249" spans="1:5" ht="15.75" customHeight="1">
      <c r="A249" s="78">
        <v>60401</v>
      </c>
      <c r="B249" s="30" t="s">
        <v>521</v>
      </c>
      <c r="C249" s="9">
        <v>217</v>
      </c>
      <c r="D249" s="12">
        <v>133</v>
      </c>
      <c r="E249" s="39"/>
    </row>
    <row r="250" spans="1:5" ht="15.75" customHeight="1">
      <c r="A250" s="78">
        <v>60402</v>
      </c>
      <c r="B250" s="30" t="s">
        <v>523</v>
      </c>
      <c r="C250" s="9">
        <v>876</v>
      </c>
      <c r="D250" s="12">
        <v>36</v>
      </c>
      <c r="E250" s="39"/>
    </row>
    <row r="251" spans="1:5" ht="15.75" customHeight="1">
      <c r="A251" s="78">
        <v>60501</v>
      </c>
      <c r="B251" s="30" t="s">
        <v>525</v>
      </c>
      <c r="C251" s="9">
        <v>51220</v>
      </c>
      <c r="D251" s="12">
        <v>302</v>
      </c>
      <c r="E251" s="39"/>
    </row>
    <row r="252" spans="1:5" ht="15.75" customHeight="1">
      <c r="A252" s="78">
        <v>60502</v>
      </c>
      <c r="B252" s="30" t="s">
        <v>528</v>
      </c>
      <c r="C252" s="9">
        <v>2901</v>
      </c>
      <c r="D252" s="12">
        <v>56</v>
      </c>
      <c r="E252" s="39"/>
    </row>
    <row r="253" spans="1:5" ht="15.75" customHeight="1">
      <c r="A253" s="78">
        <v>60601</v>
      </c>
      <c r="B253" s="30" t="s">
        <v>335</v>
      </c>
      <c r="C253" s="9">
        <v>783</v>
      </c>
      <c r="D253" s="12">
        <v>552</v>
      </c>
      <c r="E253" s="39"/>
    </row>
    <row r="254" spans="1:5" ht="15.75" customHeight="1">
      <c r="A254" s="78">
        <v>70101</v>
      </c>
      <c r="B254" s="30" t="s">
        <v>531</v>
      </c>
      <c r="C254" s="9">
        <v>4613</v>
      </c>
      <c r="D254" s="12">
        <v>20803</v>
      </c>
      <c r="E254" s="39"/>
    </row>
    <row r="255" spans="1:5" ht="15.75" customHeight="1">
      <c r="A255" s="78">
        <v>70102</v>
      </c>
      <c r="B255" s="30" t="s">
        <v>533</v>
      </c>
      <c r="C255" s="9">
        <v>2914</v>
      </c>
      <c r="D255" s="12">
        <v>1687</v>
      </c>
      <c r="E255" s="39"/>
    </row>
    <row r="256" spans="1:5" ht="15.75" customHeight="1">
      <c r="A256" s="78">
        <v>70103</v>
      </c>
      <c r="B256" s="30" t="s">
        <v>535</v>
      </c>
      <c r="C256" s="9">
        <v>3395</v>
      </c>
      <c r="D256" s="12">
        <v>267</v>
      </c>
      <c r="E256" s="39"/>
    </row>
    <row r="257" spans="1:5" ht="15.75" customHeight="1">
      <c r="A257" s="78">
        <v>70104</v>
      </c>
      <c r="B257" s="30" t="s">
        <v>537</v>
      </c>
      <c r="C257" s="9">
        <v>544</v>
      </c>
      <c r="D257" s="12">
        <v>2098</v>
      </c>
      <c r="E257" s="39"/>
    </row>
    <row r="258" spans="1:5" ht="15.75" customHeight="1">
      <c r="A258" s="78">
        <v>70105</v>
      </c>
      <c r="B258" s="30" t="s">
        <v>539</v>
      </c>
      <c r="C258" s="9">
        <v>2878</v>
      </c>
      <c r="D258" s="12">
        <v>998</v>
      </c>
      <c r="E258" s="39"/>
    </row>
    <row r="259" spans="1:5" ht="15.75" customHeight="1">
      <c r="A259" s="78">
        <v>70201</v>
      </c>
      <c r="B259" s="30" t="s">
        <v>541</v>
      </c>
      <c r="C259" s="9">
        <v>256</v>
      </c>
      <c r="D259" s="12">
        <v>2746</v>
      </c>
      <c r="E259" s="39"/>
    </row>
    <row r="260" spans="1:5" ht="15.75" customHeight="1">
      <c r="A260" s="78">
        <v>70202</v>
      </c>
      <c r="B260" s="30" t="s">
        <v>543</v>
      </c>
      <c r="C260" s="9">
        <v>154</v>
      </c>
      <c r="D260" s="12">
        <v>160</v>
      </c>
      <c r="E260" s="39"/>
    </row>
    <row r="261" spans="1:5" ht="15.75" customHeight="1">
      <c r="A261" s="78">
        <v>70301</v>
      </c>
      <c r="B261" s="30" t="s">
        <v>551</v>
      </c>
      <c r="C261" s="9">
        <v>470</v>
      </c>
      <c r="D261" s="12">
        <v>4758</v>
      </c>
      <c r="E261" s="39"/>
    </row>
    <row r="262" spans="1:5" ht="15.75" customHeight="1">
      <c r="A262" s="78">
        <v>70302</v>
      </c>
      <c r="B262" s="30" t="s">
        <v>554</v>
      </c>
      <c r="C262" s="9">
        <v>808</v>
      </c>
      <c r="D262" s="12">
        <v>1139</v>
      </c>
      <c r="E262" s="39"/>
    </row>
    <row r="263" spans="1:5" ht="15.75" customHeight="1">
      <c r="A263" s="78">
        <v>70303</v>
      </c>
      <c r="B263" s="30" t="s">
        <v>547</v>
      </c>
      <c r="C263" s="9">
        <v>3565</v>
      </c>
      <c r="D263" s="12">
        <v>897</v>
      </c>
      <c r="E263" s="39"/>
    </row>
    <row r="264" spans="1:5" ht="15.75" customHeight="1">
      <c r="A264" s="78">
        <v>70401</v>
      </c>
      <c r="B264" s="30" t="s">
        <v>549</v>
      </c>
      <c r="C264" s="9">
        <v>660</v>
      </c>
      <c r="D264" s="12">
        <v>305</v>
      </c>
      <c r="E264" s="39"/>
    </row>
    <row r="265" spans="1:5" ht="15.75" customHeight="1">
      <c r="A265" s="78">
        <v>70402</v>
      </c>
      <c r="B265" s="30" t="s">
        <v>552</v>
      </c>
      <c r="C265" s="9">
        <v>8100</v>
      </c>
      <c r="D265" s="12">
        <v>283</v>
      </c>
      <c r="E265" s="39"/>
    </row>
    <row r="266" spans="1:5" ht="15.75" customHeight="1">
      <c r="A266" s="78">
        <v>70403</v>
      </c>
      <c r="B266" s="30" t="s">
        <v>555</v>
      </c>
      <c r="C266" s="9">
        <v>12424</v>
      </c>
      <c r="D266" s="12">
        <v>1400</v>
      </c>
      <c r="E266" s="39"/>
    </row>
    <row r="267" spans="1:5" ht="15.75" customHeight="1">
      <c r="A267" s="78">
        <v>70404</v>
      </c>
      <c r="B267" s="30" t="s">
        <v>564</v>
      </c>
      <c r="C267" s="9">
        <v>333</v>
      </c>
      <c r="D267" s="12">
        <v>178</v>
      </c>
      <c r="E267" s="39"/>
    </row>
    <row r="268" spans="1:5" ht="15.75" customHeight="1">
      <c r="A268" s="78">
        <v>70501</v>
      </c>
      <c r="B268" s="30" t="s">
        <v>558</v>
      </c>
      <c r="C268" s="9">
        <v>505</v>
      </c>
      <c r="D268" s="12">
        <v>10963</v>
      </c>
      <c r="E268" s="39"/>
    </row>
    <row r="269" spans="1:5" ht="15.75" customHeight="1">
      <c r="A269" s="78">
        <v>70502</v>
      </c>
      <c r="B269" s="30" t="s">
        <v>560</v>
      </c>
      <c r="C269" s="9">
        <v>1075</v>
      </c>
      <c r="D269" s="12">
        <v>13238</v>
      </c>
      <c r="E269" s="39"/>
    </row>
    <row r="270" spans="1:5" ht="15.75" customHeight="1">
      <c r="A270" s="78">
        <v>70503</v>
      </c>
      <c r="B270" s="30" t="s">
        <v>562</v>
      </c>
      <c r="C270" s="9">
        <v>315</v>
      </c>
      <c r="D270" s="12">
        <v>844</v>
      </c>
      <c r="E270" s="39"/>
    </row>
    <row r="271" spans="1:5" ht="15.75" customHeight="1">
      <c r="A271" s="78">
        <v>70601</v>
      </c>
      <c r="B271" s="30" t="s">
        <v>565</v>
      </c>
      <c r="C271" s="9">
        <v>277</v>
      </c>
      <c r="D271" s="12">
        <v>237</v>
      </c>
      <c r="E271" s="39"/>
    </row>
    <row r="272" spans="1:5" ht="15.75" customHeight="1">
      <c r="A272" s="78">
        <v>70602</v>
      </c>
      <c r="B272" s="30" t="s">
        <v>567</v>
      </c>
      <c r="C272" s="9">
        <v>9248</v>
      </c>
      <c r="D272" s="12">
        <v>358</v>
      </c>
      <c r="E272" s="39"/>
    </row>
    <row r="273" spans="1:5" ht="15.75" customHeight="1">
      <c r="A273" s="78">
        <v>70603</v>
      </c>
      <c r="B273" s="30" t="s">
        <v>576</v>
      </c>
      <c r="C273" s="9">
        <v>5918</v>
      </c>
      <c r="D273" s="12">
        <v>66</v>
      </c>
      <c r="E273" s="39"/>
    </row>
    <row r="274" spans="1:5" ht="15.75" customHeight="1">
      <c r="A274" s="78">
        <v>70701</v>
      </c>
      <c r="B274" s="30" t="s">
        <v>570</v>
      </c>
      <c r="C274" s="9">
        <v>386</v>
      </c>
      <c r="D274" s="12">
        <v>335</v>
      </c>
      <c r="E274" s="39"/>
    </row>
    <row r="275" spans="1:5" ht="15.75" customHeight="1">
      <c r="A275" s="78">
        <v>70702</v>
      </c>
      <c r="B275" s="30" t="s">
        <v>572</v>
      </c>
      <c r="C275" s="9">
        <v>1695</v>
      </c>
      <c r="D275" s="12">
        <v>9269</v>
      </c>
      <c r="E275" s="39"/>
    </row>
    <row r="276" spans="1:5" ht="15.75" customHeight="1">
      <c r="A276" s="78">
        <v>70703</v>
      </c>
      <c r="B276" s="30" t="s">
        <v>574</v>
      </c>
      <c r="C276" s="9">
        <v>1412</v>
      </c>
      <c r="D276" s="12">
        <v>6774</v>
      </c>
      <c r="E276" s="39"/>
    </row>
    <row r="277" spans="1:5" ht="15.75" customHeight="1">
      <c r="A277" s="78">
        <v>70704</v>
      </c>
      <c r="B277" s="30" t="s">
        <v>584</v>
      </c>
      <c r="C277" s="9">
        <v>144</v>
      </c>
      <c r="D277" s="12">
        <v>166</v>
      </c>
      <c r="E277" s="39"/>
    </row>
    <row r="278" spans="1:5" ht="15.75" customHeight="1">
      <c r="A278" s="78">
        <v>70705</v>
      </c>
      <c r="B278" s="30" t="s">
        <v>578</v>
      </c>
      <c r="C278" s="9">
        <v>662</v>
      </c>
      <c r="D278" s="12">
        <v>1439</v>
      </c>
      <c r="E278" s="39"/>
    </row>
    <row r="279" spans="1:5" ht="15.75" customHeight="1">
      <c r="A279" s="78">
        <v>70706</v>
      </c>
      <c r="B279" s="30" t="s">
        <v>580</v>
      </c>
      <c r="C279" s="9">
        <v>25</v>
      </c>
      <c r="D279" s="12">
        <v>708</v>
      </c>
      <c r="E279" s="39"/>
    </row>
    <row r="280" spans="1:5" ht="15.75" customHeight="1">
      <c r="A280" s="78">
        <v>70707</v>
      </c>
      <c r="B280" s="30" t="s">
        <v>582</v>
      </c>
      <c r="C280" s="9">
        <v>47</v>
      </c>
      <c r="D280" s="12">
        <v>495</v>
      </c>
      <c r="E280" s="39"/>
    </row>
    <row r="281" spans="1:5" ht="15.75" customHeight="1">
      <c r="A281" s="78">
        <v>70801</v>
      </c>
      <c r="B281" s="30" t="s">
        <v>585</v>
      </c>
      <c r="C281" s="9">
        <v>45</v>
      </c>
      <c r="D281" s="12">
        <v>245</v>
      </c>
      <c r="E281" s="39"/>
    </row>
    <row r="282" spans="1:5" ht="15.75" customHeight="1">
      <c r="A282" s="78">
        <v>70802</v>
      </c>
      <c r="B282" s="30" t="s">
        <v>593</v>
      </c>
      <c r="C282" s="9">
        <v>55</v>
      </c>
      <c r="D282" s="12">
        <v>22</v>
      </c>
      <c r="E282" s="39"/>
    </row>
    <row r="283" spans="1:5" ht="15.75" customHeight="1">
      <c r="A283" s="78">
        <v>70803</v>
      </c>
      <c r="B283" s="30" t="s">
        <v>588</v>
      </c>
      <c r="C283" s="9">
        <v>546</v>
      </c>
      <c r="D283" s="12">
        <v>39</v>
      </c>
      <c r="E283" s="39"/>
    </row>
    <row r="284" spans="1:5" ht="15.75" customHeight="1">
      <c r="A284" s="78">
        <v>70804</v>
      </c>
      <c r="B284" s="30" t="s">
        <v>598</v>
      </c>
      <c r="C284" s="9">
        <v>526</v>
      </c>
      <c r="D284" s="12">
        <v>55</v>
      </c>
      <c r="E284" s="39"/>
    </row>
    <row r="285" spans="1:5" ht="15.75" customHeight="1">
      <c r="A285" s="78">
        <v>70805</v>
      </c>
      <c r="B285" s="30" t="s">
        <v>591</v>
      </c>
      <c r="C285" s="9">
        <v>540</v>
      </c>
      <c r="D285" s="12">
        <v>23</v>
      </c>
      <c r="E285" s="39"/>
    </row>
    <row r="286" spans="1:5" ht="15.75" customHeight="1">
      <c r="A286" s="78">
        <v>70901</v>
      </c>
      <c r="B286" s="30" t="s">
        <v>594</v>
      </c>
      <c r="C286" s="9">
        <v>45</v>
      </c>
      <c r="D286" s="12">
        <v>316</v>
      </c>
      <c r="E286" s="39"/>
    </row>
    <row r="287" spans="1:5" ht="15.75" customHeight="1">
      <c r="A287" s="78">
        <v>70902</v>
      </c>
      <c r="B287" s="30" t="s">
        <v>596</v>
      </c>
      <c r="C287" s="9">
        <v>3723</v>
      </c>
      <c r="D287" s="12">
        <v>248</v>
      </c>
      <c r="E287" s="39"/>
    </row>
    <row r="288" spans="1:5" ht="15.75" customHeight="1">
      <c r="A288" s="78">
        <v>70903</v>
      </c>
      <c r="B288" s="30" t="s">
        <v>599</v>
      </c>
      <c r="C288" s="9">
        <v>957</v>
      </c>
      <c r="D288" s="12">
        <v>334</v>
      </c>
      <c r="E288" s="39"/>
    </row>
    <row r="289" spans="1:5" ht="15.75" customHeight="1">
      <c r="A289" s="78">
        <v>70904</v>
      </c>
      <c r="B289" s="30" t="s">
        <v>601</v>
      </c>
      <c r="C289" s="9">
        <v>1172</v>
      </c>
      <c r="D289" s="12">
        <v>40</v>
      </c>
      <c r="E289" s="39"/>
    </row>
    <row r="290" spans="1:5" ht="15.75" customHeight="1">
      <c r="A290" s="78">
        <v>71001</v>
      </c>
      <c r="B290" s="30" t="s">
        <v>603</v>
      </c>
      <c r="C290" s="9">
        <v>811</v>
      </c>
      <c r="D290" s="12">
        <v>1923</v>
      </c>
      <c r="E290" s="39"/>
    </row>
    <row r="291" spans="1:5" ht="15.75" customHeight="1">
      <c r="A291" s="78">
        <v>71002</v>
      </c>
      <c r="B291" s="30" t="s">
        <v>611</v>
      </c>
      <c r="C291" s="9">
        <v>792</v>
      </c>
      <c r="D291" s="12">
        <v>504</v>
      </c>
      <c r="E291" s="39"/>
    </row>
    <row r="292" spans="1:5" ht="15.75" customHeight="1">
      <c r="A292" s="78">
        <v>71003</v>
      </c>
      <c r="B292" s="30" t="s">
        <v>606</v>
      </c>
      <c r="C292" s="9">
        <v>674</v>
      </c>
      <c r="D292" s="12">
        <v>400</v>
      </c>
      <c r="E292" s="39"/>
    </row>
    <row r="293" spans="1:5" ht="15.75" customHeight="1">
      <c r="A293" s="78">
        <v>71004</v>
      </c>
      <c r="B293" s="30" t="s">
        <v>616</v>
      </c>
      <c r="C293" s="9">
        <v>694</v>
      </c>
      <c r="D293" s="12">
        <v>373</v>
      </c>
      <c r="E293" s="39"/>
    </row>
    <row r="294" spans="1:5" ht="15.75" customHeight="1">
      <c r="A294" s="78">
        <v>71005</v>
      </c>
      <c r="B294" s="30" t="s">
        <v>609</v>
      </c>
      <c r="C294" s="9">
        <v>4317</v>
      </c>
      <c r="D294" s="12">
        <v>212</v>
      </c>
      <c r="E294" s="39"/>
    </row>
    <row r="295" spans="1:5" ht="15.75" customHeight="1">
      <c r="A295" s="78">
        <v>71101</v>
      </c>
      <c r="B295" s="30" t="s">
        <v>612</v>
      </c>
      <c r="C295" s="9">
        <v>383</v>
      </c>
      <c r="D295" s="12">
        <v>1306</v>
      </c>
      <c r="E295" s="39"/>
    </row>
    <row r="296" spans="1:5" ht="15.75" customHeight="1">
      <c r="A296" s="78">
        <v>71102</v>
      </c>
      <c r="B296" s="30" t="s">
        <v>614</v>
      </c>
      <c r="C296" s="9">
        <v>205</v>
      </c>
      <c r="D296" s="12">
        <v>213</v>
      </c>
      <c r="E296" s="39"/>
    </row>
    <row r="297" spans="1:5" ht="15.75" customHeight="1">
      <c r="A297" s="78">
        <v>71103</v>
      </c>
      <c r="B297" s="30" t="s">
        <v>617</v>
      </c>
      <c r="C297" s="9">
        <v>4358</v>
      </c>
      <c r="D297" s="12">
        <v>1749</v>
      </c>
      <c r="E297" s="39"/>
    </row>
    <row r="298" spans="1:5" ht="15.75" customHeight="1">
      <c r="A298" s="78">
        <v>71104</v>
      </c>
      <c r="B298" s="30" t="s">
        <v>619</v>
      </c>
      <c r="C298" s="9">
        <v>924</v>
      </c>
      <c r="D298" s="12">
        <v>143</v>
      </c>
      <c r="E298" s="39"/>
    </row>
    <row r="299" spans="1:5" ht="15.75" customHeight="1">
      <c r="A299" s="78">
        <v>71105</v>
      </c>
      <c r="B299" s="30" t="s">
        <v>628</v>
      </c>
      <c r="C299" s="9">
        <v>890</v>
      </c>
      <c r="D299" s="12">
        <v>263</v>
      </c>
      <c r="E299" s="39"/>
    </row>
    <row r="300" spans="1:5" ht="15.75" customHeight="1">
      <c r="A300" s="78">
        <v>71106</v>
      </c>
      <c r="B300" s="30" t="s">
        <v>622</v>
      </c>
      <c r="C300" s="9">
        <v>384</v>
      </c>
      <c r="D300" s="12">
        <v>3638</v>
      </c>
      <c r="E300" s="39"/>
    </row>
    <row r="301" spans="1:5" ht="15.75" customHeight="1">
      <c r="A301" s="78">
        <v>71201</v>
      </c>
      <c r="B301" s="30" t="s">
        <v>624</v>
      </c>
      <c r="C301" s="9">
        <v>1001</v>
      </c>
      <c r="D301" s="12">
        <v>598</v>
      </c>
      <c r="E301" s="39"/>
    </row>
    <row r="302" spans="1:5" ht="15.75" customHeight="1">
      <c r="A302" s="78">
        <v>71301</v>
      </c>
      <c r="B302" s="30" t="s">
        <v>626</v>
      </c>
      <c r="C302" s="9">
        <v>777</v>
      </c>
      <c r="D302" s="12">
        <v>495</v>
      </c>
      <c r="E302" s="39"/>
    </row>
    <row r="303" spans="1:5" ht="15.75" customHeight="1">
      <c r="A303" s="78">
        <v>71302</v>
      </c>
      <c r="B303" s="30" t="s">
        <v>629</v>
      </c>
      <c r="C303" s="9">
        <v>271</v>
      </c>
      <c r="D303" s="12">
        <v>131</v>
      </c>
      <c r="E303" s="39"/>
    </row>
    <row r="304" spans="1:5" ht="15.75" customHeight="1">
      <c r="A304" s="78">
        <v>71401</v>
      </c>
      <c r="B304" s="30" t="s">
        <v>636</v>
      </c>
      <c r="C304" s="9">
        <v>2071</v>
      </c>
      <c r="D304" s="12">
        <v>587</v>
      </c>
      <c r="E304" s="39"/>
    </row>
    <row r="305" spans="1:5" ht="15.75" customHeight="1">
      <c r="A305" s="78">
        <v>71402</v>
      </c>
      <c r="B305" s="30" t="s">
        <v>632</v>
      </c>
      <c r="C305" s="9">
        <v>1832</v>
      </c>
      <c r="D305" s="12">
        <v>706</v>
      </c>
      <c r="E305" s="39"/>
    </row>
    <row r="306" spans="1:5" ht="15.75" customHeight="1">
      <c r="A306" s="78">
        <v>71403</v>
      </c>
      <c r="B306" s="30" t="s">
        <v>640</v>
      </c>
      <c r="C306" s="9">
        <v>1239</v>
      </c>
      <c r="D306" s="12">
        <v>1036</v>
      </c>
      <c r="E306" s="39"/>
    </row>
    <row r="307" spans="1:5" ht="15.75" customHeight="1">
      <c r="A307" s="78">
        <v>71501</v>
      </c>
      <c r="B307" s="30" t="s">
        <v>643</v>
      </c>
      <c r="C307" s="9">
        <v>3422</v>
      </c>
      <c r="D307" s="12">
        <v>1204</v>
      </c>
      <c r="E307" s="39"/>
    </row>
    <row r="308" spans="1:5" ht="15.75" customHeight="1">
      <c r="A308" s="78">
        <v>71502</v>
      </c>
      <c r="B308" s="30" t="s">
        <v>637</v>
      </c>
      <c r="C308" s="9">
        <v>523</v>
      </c>
      <c r="D308" s="12">
        <v>825</v>
      </c>
      <c r="E308" s="39"/>
    </row>
    <row r="309" spans="1:5" ht="15.75" customHeight="1">
      <c r="A309" s="78">
        <v>71503</v>
      </c>
      <c r="B309" s="30" t="s">
        <v>528</v>
      </c>
      <c r="C309" s="9">
        <v>3889</v>
      </c>
      <c r="D309" s="12">
        <v>978</v>
      </c>
      <c r="E309" s="39"/>
    </row>
    <row r="310" spans="1:5" ht="15.75" customHeight="1">
      <c r="A310" s="78">
        <v>80101</v>
      </c>
      <c r="B310" s="30" t="s">
        <v>641</v>
      </c>
      <c r="C310" s="9">
        <v>1391</v>
      </c>
      <c r="D310" s="12">
        <v>1884</v>
      </c>
      <c r="E310" s="39"/>
    </row>
    <row r="311" spans="1:5" ht="15.75" customHeight="1">
      <c r="A311" s="78">
        <v>80102</v>
      </c>
      <c r="B311" s="30" t="s">
        <v>614</v>
      </c>
      <c r="C311" s="9">
        <v>529</v>
      </c>
      <c r="D311" s="12">
        <v>1004</v>
      </c>
      <c r="E311" s="39"/>
    </row>
    <row r="312" spans="1:5" ht="15.75" customHeight="1">
      <c r="A312" s="78">
        <v>80201</v>
      </c>
      <c r="B312" s="30" t="s">
        <v>645</v>
      </c>
      <c r="C312" s="9">
        <v>6048</v>
      </c>
      <c r="D312" s="12">
        <v>2227</v>
      </c>
      <c r="E312" s="39"/>
    </row>
    <row r="313" spans="1:5" ht="15.75" customHeight="1">
      <c r="A313" s="78">
        <v>80202</v>
      </c>
      <c r="B313" s="30" t="s">
        <v>647</v>
      </c>
      <c r="C313" s="9">
        <v>273</v>
      </c>
      <c r="D313" s="12">
        <v>996</v>
      </c>
      <c r="E313" s="39"/>
    </row>
    <row r="314" spans="1:5" ht="15.75" customHeight="1">
      <c r="A314" s="78">
        <v>80301</v>
      </c>
      <c r="B314" s="30" t="s">
        <v>649</v>
      </c>
      <c r="C314" s="9">
        <v>996</v>
      </c>
      <c r="D314" s="12">
        <v>149</v>
      </c>
      <c r="E314" s="39"/>
    </row>
    <row r="315" spans="1:5" ht="15.75" customHeight="1">
      <c r="A315" s="78">
        <v>80302</v>
      </c>
      <c r="B315" s="30" t="s">
        <v>651</v>
      </c>
      <c r="C315" s="9">
        <v>585</v>
      </c>
      <c r="D315" s="12">
        <v>6704</v>
      </c>
      <c r="E315" s="39"/>
    </row>
    <row r="316" spans="1:5" ht="15.75" customHeight="1">
      <c r="A316" s="78">
        <v>80303</v>
      </c>
      <c r="B316" s="30" t="s">
        <v>653</v>
      </c>
      <c r="C316" s="9">
        <v>184</v>
      </c>
      <c r="D316" s="12">
        <v>329</v>
      </c>
      <c r="E316" s="39"/>
    </row>
    <row r="317" spans="1:5" ht="15.75" customHeight="1">
      <c r="A317" s="78">
        <v>80304</v>
      </c>
      <c r="B317" s="30" t="s">
        <v>655</v>
      </c>
      <c r="C317" s="9">
        <v>1227</v>
      </c>
      <c r="D317" s="12">
        <v>706</v>
      </c>
      <c r="E317" s="39"/>
    </row>
    <row r="318" spans="1:5" ht="15.75" customHeight="1">
      <c r="A318" s="78">
        <v>80401</v>
      </c>
      <c r="B318" s="30" t="s">
        <v>657</v>
      </c>
      <c r="C318" s="9">
        <v>125</v>
      </c>
      <c r="D318" s="12">
        <v>1034</v>
      </c>
      <c r="E318" s="39"/>
    </row>
    <row r="319" spans="1:5" ht="15.75" customHeight="1">
      <c r="A319" s="78">
        <v>80402</v>
      </c>
      <c r="B319" s="30" t="s">
        <v>659</v>
      </c>
      <c r="C319" s="9">
        <v>495</v>
      </c>
      <c r="D319" s="12">
        <v>195</v>
      </c>
      <c r="E319" s="39"/>
    </row>
    <row r="320" spans="1:5" ht="15.75" customHeight="1">
      <c r="A320" s="78">
        <v>80501</v>
      </c>
      <c r="B320" s="30" t="s">
        <v>661</v>
      </c>
      <c r="C320" s="9">
        <v>216</v>
      </c>
      <c r="D320" s="12">
        <v>860</v>
      </c>
      <c r="E320" s="39"/>
    </row>
    <row r="321" spans="1:5" ht="15.75" customHeight="1">
      <c r="A321" s="78">
        <v>80601</v>
      </c>
      <c r="B321" s="30" t="s">
        <v>663</v>
      </c>
      <c r="C321" s="9">
        <v>224</v>
      </c>
      <c r="D321" s="12">
        <v>81</v>
      </c>
      <c r="E321" s="39"/>
    </row>
    <row r="322" spans="1:5" ht="15.75" customHeight="1">
      <c r="A322" s="78">
        <v>80602</v>
      </c>
      <c r="B322" s="30" t="s">
        <v>665</v>
      </c>
      <c r="C322" s="9">
        <v>35</v>
      </c>
      <c r="D322" s="12">
        <v>500</v>
      </c>
      <c r="E322" s="39"/>
    </row>
    <row r="323" spans="1:5" ht="15.75" customHeight="1">
      <c r="A323" s="78">
        <v>80701</v>
      </c>
      <c r="B323" s="30" t="s">
        <v>667</v>
      </c>
      <c r="C323" s="9">
        <v>289</v>
      </c>
      <c r="D323" s="12">
        <v>393</v>
      </c>
      <c r="E323" s="39"/>
    </row>
    <row r="324" spans="1:5" ht="15.75" customHeight="1">
      <c r="A324" s="78">
        <v>80702</v>
      </c>
      <c r="B324" s="30" t="s">
        <v>617</v>
      </c>
      <c r="C324" s="9">
        <v>141</v>
      </c>
      <c r="D324" s="12">
        <v>152</v>
      </c>
      <c r="E324" s="39"/>
    </row>
    <row r="325" spans="1:5" ht="15.75" customHeight="1">
      <c r="A325" s="78">
        <v>80703</v>
      </c>
      <c r="B325" s="30" t="s">
        <v>670</v>
      </c>
      <c r="C325" s="9">
        <v>125</v>
      </c>
      <c r="D325" s="12">
        <v>19</v>
      </c>
      <c r="E325" s="39"/>
    </row>
    <row r="326" spans="1:5" ht="15.75" customHeight="1">
      <c r="A326" s="78">
        <v>80801</v>
      </c>
      <c r="B326" s="30" t="s">
        <v>672</v>
      </c>
      <c r="C326" s="9">
        <v>995</v>
      </c>
      <c r="D326" s="12">
        <v>270</v>
      </c>
      <c r="E326" s="39"/>
    </row>
    <row r="327" spans="1:5" ht="15.75" customHeight="1">
      <c r="A327" s="78">
        <v>80802</v>
      </c>
      <c r="B327" s="30" t="s">
        <v>674</v>
      </c>
      <c r="C327" s="9">
        <v>164</v>
      </c>
      <c r="D327" s="12">
        <v>186</v>
      </c>
      <c r="E327" s="39"/>
    </row>
    <row r="328" spans="1:5" ht="15.75" customHeight="1">
      <c r="A328" s="78">
        <v>80803</v>
      </c>
      <c r="B328" s="30" t="s">
        <v>676</v>
      </c>
      <c r="C328" s="9">
        <v>157</v>
      </c>
      <c r="D328" s="12">
        <v>108</v>
      </c>
      <c r="E328" s="39"/>
    </row>
    <row r="329" spans="1:5" ht="15.75" customHeight="1">
      <c r="A329" s="9">
        <v>80901</v>
      </c>
      <c r="B329" s="30" t="s">
        <v>685</v>
      </c>
      <c r="C329" s="9">
        <v>339</v>
      </c>
      <c r="D329" s="12">
        <v>282</v>
      </c>
      <c r="E329" s="39"/>
    </row>
    <row r="330" spans="1:5" ht="15.75" customHeight="1">
      <c r="A330" s="78">
        <v>90101</v>
      </c>
      <c r="B330" s="30" t="s">
        <v>687</v>
      </c>
      <c r="C330" s="9">
        <v>127</v>
      </c>
      <c r="D330" s="12">
        <v>835</v>
      </c>
      <c r="E330" s="39"/>
    </row>
    <row r="331" spans="1:5" ht="15.75" customHeight="1">
      <c r="A331" s="78">
        <v>90102</v>
      </c>
      <c r="B331" s="30" t="s">
        <v>679</v>
      </c>
      <c r="C331" s="9">
        <v>47</v>
      </c>
      <c r="D331" s="12">
        <v>259</v>
      </c>
      <c r="E331" s="39"/>
    </row>
    <row r="332" spans="1:5" ht="15.75" customHeight="1">
      <c r="A332" s="78">
        <v>90103</v>
      </c>
      <c r="B332" s="30" t="s">
        <v>681</v>
      </c>
      <c r="C332" s="9">
        <v>128</v>
      </c>
      <c r="D332" s="12">
        <v>146</v>
      </c>
      <c r="E332" s="39"/>
    </row>
    <row r="333" spans="1:5" ht="15.75" customHeight="1">
      <c r="A333" s="78">
        <v>90104</v>
      </c>
      <c r="B333" s="30" t="s">
        <v>683</v>
      </c>
      <c r="C333" s="9">
        <v>503</v>
      </c>
      <c r="D333" s="12">
        <v>139</v>
      </c>
      <c r="E333" s="39"/>
    </row>
    <row r="334" spans="1:5" ht="15.75" customHeight="1">
      <c r="A334" s="78">
        <v>90201</v>
      </c>
      <c r="B334" s="30" t="s">
        <v>694</v>
      </c>
      <c r="C334" s="9">
        <v>161</v>
      </c>
      <c r="D334" s="12">
        <v>127</v>
      </c>
      <c r="E334" s="39"/>
    </row>
    <row r="335" spans="1:5" ht="15.75" customHeight="1">
      <c r="A335" s="78">
        <v>90202</v>
      </c>
      <c r="B335" s="30" t="s">
        <v>609</v>
      </c>
      <c r="C335" s="9">
        <v>160</v>
      </c>
      <c r="D335" s="12">
        <v>165</v>
      </c>
      <c r="E335" s="39"/>
    </row>
    <row r="336" spans="1:5" ht="15.75" customHeight="1">
      <c r="A336" s="78">
        <v>90203</v>
      </c>
      <c r="B336" s="30" t="s">
        <v>689</v>
      </c>
      <c r="C336" s="9">
        <v>202</v>
      </c>
      <c r="D336" s="12">
        <v>145</v>
      </c>
      <c r="E336" s="39"/>
    </row>
    <row r="337" spans="1:5" ht="15.75" customHeight="1">
      <c r="A337" s="78">
        <v>90301</v>
      </c>
      <c r="B337" s="30" t="s">
        <v>700</v>
      </c>
      <c r="C337" s="9">
        <v>35</v>
      </c>
      <c r="D337" s="12">
        <v>415</v>
      </c>
      <c r="E337" s="39"/>
    </row>
    <row r="338" spans="1:5" ht="15.75" customHeight="1">
      <c r="A338" s="78">
        <v>90302</v>
      </c>
      <c r="B338" s="30" t="s">
        <v>692</v>
      </c>
      <c r="C338" s="9">
        <v>71</v>
      </c>
      <c r="D338" s="12">
        <v>247</v>
      </c>
      <c r="E338" s="39"/>
    </row>
    <row r="339" spans="1:5" ht="15.75" customHeight="1">
      <c r="A339" s="78">
        <v>90303</v>
      </c>
      <c r="B339" s="30" t="s">
        <v>695</v>
      </c>
      <c r="C339" s="9">
        <v>45</v>
      </c>
      <c r="D339" s="12">
        <v>201</v>
      </c>
      <c r="E339" s="39"/>
    </row>
    <row r="340" spans="1:5" ht="15.75" customHeight="1">
      <c r="A340" s="78">
        <v>90401</v>
      </c>
      <c r="B340" s="30" t="s">
        <v>707</v>
      </c>
      <c r="C340" s="9">
        <v>13</v>
      </c>
      <c r="D340" s="12">
        <v>117</v>
      </c>
      <c r="E340" s="39"/>
    </row>
    <row r="341" spans="1:5" ht="15.75" customHeight="1">
      <c r="A341" s="78">
        <v>90402</v>
      </c>
      <c r="B341" s="30" t="s">
        <v>698</v>
      </c>
      <c r="C341" s="9">
        <v>35</v>
      </c>
      <c r="D341" s="12">
        <v>56</v>
      </c>
      <c r="E341" s="39"/>
    </row>
    <row r="342" spans="1:5" ht="15.75" customHeight="1">
      <c r="A342" s="78">
        <v>90501</v>
      </c>
      <c r="B342" s="30" t="s">
        <v>701</v>
      </c>
      <c r="C342" s="9">
        <v>71</v>
      </c>
      <c r="D342" s="12">
        <v>44</v>
      </c>
      <c r="E342" s="39"/>
    </row>
    <row r="343" spans="1:5" ht="15.75" customHeight="1">
      <c r="A343" s="78">
        <v>90502</v>
      </c>
      <c r="B343" s="30" t="s">
        <v>703</v>
      </c>
      <c r="C343" s="9">
        <v>45</v>
      </c>
      <c r="D343" s="12">
        <v>28</v>
      </c>
      <c r="E343" s="39"/>
    </row>
    <row r="344" spans="1:5" ht="15.75" customHeight="1">
      <c r="A344" s="78">
        <v>90503</v>
      </c>
      <c r="B344" s="30" t="s">
        <v>705</v>
      </c>
      <c r="C344" s="9">
        <v>13</v>
      </c>
      <c r="D344" s="12">
        <v>82</v>
      </c>
      <c r="E344" s="39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outlinePr summaryBelow="0" summaryRight="0"/>
  </sheetPr>
  <dimension ref="A1:D12"/>
  <sheetViews>
    <sheetView workbookViewId="0">
      <selection activeCell="F5" sqref="F5"/>
    </sheetView>
  </sheetViews>
  <sheetFormatPr baseColWidth="10" defaultColWidth="12.6640625" defaultRowHeight="15" customHeight="1"/>
  <cols>
    <col min="1" max="1" width="12.6640625" style="47" customWidth="1"/>
    <col min="2" max="2" width="12.6640625" customWidth="1"/>
    <col min="3" max="3" width="14.33203125" customWidth="1"/>
    <col min="4" max="6" width="12.6640625" customWidth="1"/>
  </cols>
  <sheetData>
    <row r="1" spans="1:4" ht="15.75" customHeight="1">
      <c r="A1" s="8" t="s">
        <v>715</v>
      </c>
      <c r="B1" s="30" t="s">
        <v>7</v>
      </c>
      <c r="C1" s="40" t="s">
        <v>719</v>
      </c>
      <c r="D1" s="40" t="s">
        <v>720</v>
      </c>
    </row>
    <row r="2" spans="1:4" ht="15.75" customHeight="1">
      <c r="A2" s="9">
        <v>1</v>
      </c>
      <c r="B2" s="30" t="s">
        <v>14</v>
      </c>
      <c r="C2" s="12">
        <v>81692</v>
      </c>
      <c r="D2" s="12">
        <v>51479</v>
      </c>
    </row>
    <row r="3" spans="1:4" ht="15.75" customHeight="1">
      <c r="A3" s="9">
        <v>2</v>
      </c>
      <c r="B3" s="30" t="s">
        <v>17</v>
      </c>
      <c r="C3" s="12">
        <v>200948</v>
      </c>
      <c r="D3" s="12">
        <v>114512</v>
      </c>
    </row>
    <row r="4" spans="1:4" ht="15.75" customHeight="1">
      <c r="A4" s="9">
        <v>3</v>
      </c>
      <c r="B4" s="30" t="s">
        <v>20</v>
      </c>
      <c r="C4" s="12">
        <v>228533</v>
      </c>
      <c r="D4" s="12">
        <v>126926</v>
      </c>
    </row>
    <row r="5" spans="1:4" ht="15.75" customHeight="1">
      <c r="A5" s="9">
        <v>4</v>
      </c>
      <c r="B5" s="30" t="s">
        <v>22</v>
      </c>
      <c r="C5" s="12">
        <v>41489</v>
      </c>
      <c r="D5" s="12">
        <v>19665</v>
      </c>
    </row>
    <row r="6" spans="1:4" ht="15.75" customHeight="1">
      <c r="A6" s="9">
        <v>5</v>
      </c>
      <c r="B6" s="30" t="s">
        <v>26</v>
      </c>
      <c r="C6" s="12">
        <v>175216</v>
      </c>
      <c r="D6" s="12">
        <v>103488</v>
      </c>
    </row>
    <row r="7" spans="1:4" ht="15.75" customHeight="1">
      <c r="A7" s="9">
        <v>6</v>
      </c>
      <c r="B7" s="30" t="s">
        <v>28</v>
      </c>
      <c r="C7" s="12">
        <v>13166</v>
      </c>
      <c r="D7" s="12">
        <v>9340</v>
      </c>
    </row>
    <row r="8" spans="1:4" ht="15.75" customHeight="1">
      <c r="A8" s="9">
        <v>7</v>
      </c>
      <c r="B8" s="30" t="s">
        <v>32</v>
      </c>
      <c r="C8" s="12">
        <v>146959</v>
      </c>
      <c r="D8" s="12">
        <v>101217</v>
      </c>
    </row>
    <row r="9" spans="1:4" ht="15.75" customHeight="1">
      <c r="A9" s="9">
        <v>8</v>
      </c>
      <c r="B9" s="30" t="s">
        <v>34</v>
      </c>
      <c r="C9" s="12">
        <v>20990</v>
      </c>
      <c r="D9" s="12">
        <v>18079</v>
      </c>
    </row>
    <row r="10" spans="1:4" ht="15.75" customHeight="1">
      <c r="A10" s="9">
        <v>9</v>
      </c>
      <c r="B10" s="30" t="s">
        <v>38</v>
      </c>
      <c r="C10" s="12">
        <v>3147</v>
      </c>
      <c r="D10" s="12">
        <v>3006</v>
      </c>
    </row>
    <row r="11" spans="1:4" ht="15.75" customHeight="1">
      <c r="A11" s="9">
        <v>10</v>
      </c>
      <c r="B11" s="30" t="s">
        <v>716</v>
      </c>
      <c r="C11" s="20">
        <v>6848</v>
      </c>
      <c r="D11" s="20">
        <v>5786</v>
      </c>
    </row>
    <row r="12" spans="1:4" ht="15.75" customHeight="1">
      <c r="A12" s="9">
        <v>11</v>
      </c>
      <c r="B12" s="30" t="s">
        <v>44</v>
      </c>
      <c r="C12" s="20">
        <v>912140</v>
      </c>
      <c r="D12" s="20">
        <v>547712</v>
      </c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  <outlinePr summaryBelow="0" summaryRight="0"/>
  </sheetPr>
  <dimension ref="A1:Z1000"/>
  <sheetViews>
    <sheetView tabSelected="1" workbookViewId="0">
      <selection activeCell="A3" sqref="A3"/>
    </sheetView>
  </sheetViews>
  <sheetFormatPr baseColWidth="10" defaultColWidth="12.6640625" defaultRowHeight="15" customHeight="1"/>
  <cols>
    <col min="1" max="6" width="12.6640625" customWidth="1"/>
  </cols>
  <sheetData>
    <row r="1" spans="1:26" ht="15.75" customHeight="1">
      <c r="A1" s="41" t="s">
        <v>721</v>
      </c>
      <c r="B1" s="41" t="s">
        <v>722</v>
      </c>
      <c r="C1" s="42" t="s">
        <v>723</v>
      </c>
      <c r="D1" s="42" t="s">
        <v>724</v>
      </c>
      <c r="E1" s="43" t="s">
        <v>725</v>
      </c>
      <c r="F1" s="43" t="s">
        <v>726</v>
      </c>
      <c r="G1" s="44" t="s">
        <v>727</v>
      </c>
      <c r="H1" s="44" t="s">
        <v>728</v>
      </c>
      <c r="I1" s="45" t="s">
        <v>729</v>
      </c>
      <c r="J1" s="45" t="s">
        <v>730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customHeight="1">
      <c r="A2" s="46">
        <v>10</v>
      </c>
      <c r="B2" s="11" t="s">
        <v>731</v>
      </c>
      <c r="C2" s="46">
        <v>0</v>
      </c>
      <c r="D2" s="46">
        <v>1.2</v>
      </c>
      <c r="E2" s="46">
        <v>1.2</v>
      </c>
      <c r="F2" s="46">
        <v>15.1</v>
      </c>
      <c r="G2" s="46">
        <v>15.1</v>
      </c>
      <c r="H2" s="46">
        <v>29</v>
      </c>
      <c r="I2" s="46">
        <v>29</v>
      </c>
      <c r="J2" s="46">
        <v>100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/>
    <row r="4" spans="1:26" ht="15.75" customHeight="1"/>
    <row r="5" spans="1:26" ht="15.75" customHeight="1"/>
    <row r="6" spans="1:26" ht="15.75" customHeight="1"/>
    <row r="7" spans="1:26" ht="15.75" customHeight="1">
      <c r="D7" s="2"/>
      <c r="E7" s="2"/>
    </row>
    <row r="8" spans="1:26" ht="15.75" customHeight="1">
      <c r="D8" s="2"/>
      <c r="E8" s="2"/>
    </row>
    <row r="9" spans="1:26" ht="15.75" customHeight="1">
      <c r="D9" s="2"/>
      <c r="E9" s="2"/>
    </row>
    <row r="10" spans="1:26" ht="15.75" customHeight="1"/>
    <row r="11" spans="1:26" ht="15.75" customHeight="1"/>
    <row r="12" spans="1:26" ht="15.75" customHeight="1"/>
    <row r="13" spans="1:26" ht="15.75" customHeight="1"/>
    <row r="14" spans="1:26" ht="15.75" customHeight="1"/>
    <row r="15" spans="1:26" ht="15.75" customHeight="1"/>
    <row r="16" spans="1:2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"/>
  <sheetViews>
    <sheetView workbookViewId="0"/>
  </sheetViews>
  <sheetFormatPr baseColWidth="10" defaultColWidth="12.6640625" defaultRowHeight="1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Datos Procesados</vt:lpstr>
      <vt:lpstr>Indicador_MUN</vt:lpstr>
      <vt:lpstr>Indicador_DEP</vt:lpstr>
      <vt:lpstr>Absoluto_MUN</vt:lpstr>
      <vt:lpstr>Absoluto_DEP</vt:lpstr>
      <vt:lpstr>Umbral</vt:lpstr>
      <vt:lpstr>Mapa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Karina</cp:lastModifiedBy>
  <dcterms:modified xsi:type="dcterms:W3CDTF">2026-06-09T19:47:27Z</dcterms:modified>
</cp:coreProperties>
</file>