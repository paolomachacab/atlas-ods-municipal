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</sheets>
  <definedNames/>
  <calcPr/>
  <extLst>
    <ext uri="GoogleSheetsCustomDataVersion2">
      <go:sheetsCustomData xmlns:go="http://customooxmlschemas.google.com/" r:id="rId11" roundtripDataChecksum="M+eEof86hzgRYjeO/eufrmGFBBHcpzl8512V2xsfGGk="/>
    </ext>
  </extLst>
</workbook>
</file>

<file path=xl/sharedStrings.xml><?xml version="1.0" encoding="utf-8"?>
<sst xmlns="http://schemas.openxmlformats.org/spreadsheetml/2006/main" count="2858" uniqueCount="863">
  <si>
    <t>Ministerio de Salud y Deportes</t>
  </si>
  <si>
    <t>Dirección General de Epidemiología</t>
  </si>
  <si>
    <t>Programa Nacional de Vigilancia de Enfermedades Endemicas y Epidemicas</t>
  </si>
  <si>
    <t>BOLIVIA: INDICE PARASITARIO ANUAL DE  MALARIA POR MUNICIPIO, BOLIVIA 2011-2024</t>
  </si>
  <si>
    <t>BOLIVIA: ÍNDICE DE INFESTACIÓN DE VIVIENDA POR MUNICIPIO GESTIÓN 2011-2024</t>
  </si>
  <si>
    <t>BOLIVIA: INCIDENCIA DE DENGUE POR MUNICIPIO Y DEPARTAMENTO, GESTION 2011 - 2024 x 10.000 Hts.</t>
  </si>
  <si>
    <t>MUNICIPIO/DEPARTAMENTO</t>
  </si>
  <si>
    <t>DEPARTAMENTO</t>
  </si>
  <si>
    <t>MUNICIPIO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</si>
  <si>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</si>
  <si>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</si>
  <si>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</si>
  <si>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</si>
  <si>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</si>
  <si>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</si>
  <si>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</si>
  <si>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</si>
  <si>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</si>
  <si>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</si>
  <si>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</si>
  <si>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</si>
  <si>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</si>
  <si>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</si>
  <si>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Nº</t>
  </si>
  <si>
    <t>Departamento/Municipio</t>
  </si>
  <si>
    <t>SEDES</t>
  </si>
  <si>
    <t>BENI</t>
  </si>
  <si>
    <t>Beni</t>
  </si>
  <si>
    <t>Baures</t>
  </si>
  <si>
    <t>Infestaciòn Menor a 3%</t>
  </si>
  <si>
    <t>Infestaciòn Mayor a 3%</t>
  </si>
  <si>
    <t xml:space="preserve">BENI      </t>
  </si>
  <si>
    <t>CHUQUISACA</t>
  </si>
  <si>
    <t>Exaltacion</t>
  </si>
  <si>
    <t>Chuquisaca</t>
  </si>
  <si>
    <t>Infesaciòn por Departamentos</t>
  </si>
  <si>
    <t xml:space="preserve">BAURES                        </t>
  </si>
  <si>
    <t xml:space="preserve">COCHABAMBA                    </t>
  </si>
  <si>
    <t>Guayaramerin</t>
  </si>
  <si>
    <t>AZURDUY</t>
  </si>
  <si>
    <t>Departamento</t>
  </si>
  <si>
    <t>EXALTACION</t>
  </si>
  <si>
    <t xml:space="preserve">LA PAZ                        </t>
  </si>
  <si>
    <t>Magdalena</t>
  </si>
  <si>
    <t>Cochabamba</t>
  </si>
  <si>
    <t>CAMARGO</t>
  </si>
  <si>
    <t xml:space="preserve">GUAYARAMERIN                  </t>
  </si>
  <si>
    <t>PANDO</t>
  </si>
  <si>
    <t>Puerto Siles</t>
  </si>
  <si>
    <t>La Paz</t>
  </si>
  <si>
    <t>CULPINA</t>
  </si>
  <si>
    <t xml:space="preserve">HUARACAJE                     </t>
  </si>
  <si>
    <t>SANTA CRUZ</t>
  </si>
  <si>
    <t>Reyes</t>
  </si>
  <si>
    <t>Pando</t>
  </si>
  <si>
    <t>EL VILLAR</t>
  </si>
  <si>
    <t xml:space="preserve">MAGDALENA                     </t>
  </si>
  <si>
    <t>TARIJA</t>
  </si>
  <si>
    <t>Riberalta</t>
  </si>
  <si>
    <t>Potosi</t>
  </si>
  <si>
    <t>HUACARETA</t>
  </si>
  <si>
    <t xml:space="preserve">PUERTO SILES                  </t>
  </si>
  <si>
    <t>POTOSI</t>
  </si>
  <si>
    <t>Rurrenabaque</t>
  </si>
  <si>
    <t>Santa Cruz</t>
  </si>
  <si>
    <t>HUACAYA</t>
  </si>
  <si>
    <t xml:space="preserve">REYES                         </t>
  </si>
  <si>
    <t>San Borja</t>
  </si>
  <si>
    <t>Tarija</t>
  </si>
  <si>
    <t>ICLA</t>
  </si>
  <si>
    <t xml:space="preserve">RIBERALTA                     </t>
  </si>
  <si>
    <t>San Joaquin</t>
  </si>
  <si>
    <t>BOLIVIA</t>
  </si>
  <si>
    <t>INCAHUASI</t>
  </si>
  <si>
    <t xml:space="preserve">RURRENABAQUE                  </t>
  </si>
  <si>
    <t>San Ramon Beni</t>
  </si>
  <si>
    <t xml:space="preserve"> Fuente: Programa Nacional de Vigilancia de Enfermedades Endemicas y Epidemicas, Ministerio de Salud y Deportes Bolivia.</t>
  </si>
  <si>
    <t>LAS CARRERAS</t>
  </si>
  <si>
    <t>Total 154 Municipios</t>
  </si>
  <si>
    <t xml:space="preserve">SAN ANDRES                    </t>
  </si>
  <si>
    <t>Santa Rosa</t>
  </si>
  <si>
    <t>MACHARETI</t>
  </si>
  <si>
    <t xml:space="preserve">SAN BORJA                     </t>
  </si>
  <si>
    <t>Trinidad</t>
  </si>
  <si>
    <t>MOJOCOYA</t>
  </si>
  <si>
    <t xml:space="preserve">SAN IGNACIO                   </t>
  </si>
  <si>
    <t>Azurduy</t>
  </si>
  <si>
    <t>MONTEAGUDO</t>
  </si>
  <si>
    <t xml:space="preserve">SAN JAVIER(BNI)               </t>
  </si>
  <si>
    <t>Camargo</t>
  </si>
  <si>
    <t>PADILLA</t>
  </si>
  <si>
    <t>Indice de Ifestacion de Vivienda, Resumen Historico Bolivia 1999 a 2022</t>
  </si>
  <si>
    <t xml:space="preserve">SAN JOAQUIN                   </t>
  </si>
  <si>
    <t>Culpina</t>
  </si>
  <si>
    <t>POROMA</t>
  </si>
  <si>
    <t xml:space="preserve">Indicador </t>
  </si>
  <si>
    <t xml:space="preserve">SAN RAMON BENI                </t>
  </si>
  <si>
    <t>Huacareta</t>
  </si>
  <si>
    <t>PRESTO</t>
  </si>
  <si>
    <t>Infest Vivienda</t>
  </si>
  <si>
    <t xml:space="preserve">SANTA ANA                     </t>
  </si>
  <si>
    <t>Icla</t>
  </si>
  <si>
    <t>SAN LUCAS</t>
  </si>
  <si>
    <t>Intradomicilio</t>
  </si>
  <si>
    <t xml:space="preserve">SANTA ROSA                    </t>
  </si>
  <si>
    <t>Incahuasi</t>
  </si>
  <si>
    <t>SOPACHUY</t>
  </si>
  <si>
    <t>Peridomicilio</t>
  </si>
  <si>
    <t xml:space="preserve">TRINIDAD                      </t>
  </si>
  <si>
    <t>Machareti</t>
  </si>
  <si>
    <t>SUCRE</t>
  </si>
  <si>
    <t>COCHABAMBA</t>
  </si>
  <si>
    <t>Mojocoya</t>
  </si>
  <si>
    <t>TARABUCO</t>
  </si>
  <si>
    <t>Monteagudo</t>
  </si>
  <si>
    <t>TARVITA</t>
  </si>
  <si>
    <t>Padilla</t>
  </si>
  <si>
    <t>TOMINA</t>
  </si>
  <si>
    <t xml:space="preserve">CAMATAQUI (C. VILLA ABECIA)   </t>
  </si>
  <si>
    <t>Poroma</t>
  </si>
  <si>
    <t>VILLA ABECIA</t>
  </si>
  <si>
    <t xml:space="preserve">CULPINA                       </t>
  </si>
  <si>
    <t>Presto</t>
  </si>
  <si>
    <t>VILLA ALCALA</t>
  </si>
  <si>
    <t>San Lucas</t>
  </si>
  <si>
    <t>VILLA CHARCAS</t>
  </si>
  <si>
    <t>Sopachuy</t>
  </si>
  <si>
    <t>VILLA SERRANO</t>
  </si>
  <si>
    <t>Sucre</t>
  </si>
  <si>
    <t xml:space="preserve">VILLA VACA GUSMAN </t>
  </si>
  <si>
    <t xml:space="preserve">MACHARETI                     </t>
  </si>
  <si>
    <t>Tarabuco</t>
  </si>
  <si>
    <t>VILLA ZUDAÑEZ</t>
  </si>
  <si>
    <t xml:space="preserve">MONTEAGUDO                    </t>
  </si>
  <si>
    <t>Tarvita</t>
  </si>
  <si>
    <t>YAMPARÁEZ</t>
  </si>
  <si>
    <t>Tomina</t>
  </si>
  <si>
    <t>YOTALA</t>
  </si>
  <si>
    <t>Villa Alcala</t>
  </si>
  <si>
    <t xml:space="preserve">SUCRE (PERIURBANO)                    </t>
  </si>
  <si>
    <t>Villa Charcas</t>
  </si>
  <si>
    <t>APOLO</t>
  </si>
  <si>
    <t>Villa Serrano</t>
  </si>
  <si>
    <t>AUCAPATA</t>
  </si>
  <si>
    <t xml:space="preserve">VILLA VACA GUZMAN (MUYUPAMPA) </t>
  </si>
  <si>
    <t>Villa Vaca Guzman (Muyupampa)</t>
  </si>
  <si>
    <t>AYATA</t>
  </si>
  <si>
    <t>Zudañez</t>
  </si>
  <si>
    <t>CAIROMA</t>
  </si>
  <si>
    <t>AIQUILE</t>
  </si>
  <si>
    <t>Aiquile</t>
  </si>
  <si>
    <t>CAJUATA</t>
  </si>
  <si>
    <t>ANZALDO</t>
  </si>
  <si>
    <t>Anzaldo</t>
  </si>
  <si>
    <t>CARANAVI</t>
  </si>
  <si>
    <t>ARANI</t>
  </si>
  <si>
    <t>Chimore</t>
  </si>
  <si>
    <t>CHARAZANI</t>
  </si>
  <si>
    <t>ARBIETO</t>
  </si>
  <si>
    <t>CHULUMANI</t>
  </si>
  <si>
    <t>ARQUE</t>
  </si>
  <si>
    <t>Mizque</t>
  </si>
  <si>
    <t>CHUMA</t>
  </si>
  <si>
    <t>CAPINOTA</t>
  </si>
  <si>
    <t>Omereque</t>
  </si>
  <si>
    <t>COLQUIRI</t>
  </si>
  <si>
    <t xml:space="preserve">CHIMORE                       </t>
  </si>
  <si>
    <t>Pasorapa</t>
  </si>
  <si>
    <t>COMBAYA</t>
  </si>
  <si>
    <t>CLIZA</t>
  </si>
  <si>
    <t>Pojo</t>
  </si>
  <si>
    <t>CORIPATA</t>
  </si>
  <si>
    <t>COCAPATA</t>
  </si>
  <si>
    <t>Puerto Villarroel</t>
  </si>
  <si>
    <t>COROICO</t>
  </si>
  <si>
    <t>Punata</t>
  </si>
  <si>
    <t>INQUISIVI</t>
  </si>
  <si>
    <t>COLCAPIRHUA</t>
  </si>
  <si>
    <t>Quillacollo</t>
  </si>
  <si>
    <t>IRUPANA</t>
  </si>
  <si>
    <t>COLOMI</t>
  </si>
  <si>
    <t>Sacaba</t>
  </si>
  <si>
    <t>LA ASUNTA</t>
  </si>
  <si>
    <t xml:space="preserve">ENTRE RIOS CBBA               </t>
  </si>
  <si>
    <t>Shinaota</t>
  </si>
  <si>
    <t>LICOMA</t>
  </si>
  <si>
    <t>MIZQUE</t>
  </si>
  <si>
    <t>Tacopaya</t>
  </si>
  <si>
    <t>LURIBAY</t>
  </si>
  <si>
    <t>OMEREQUE</t>
  </si>
  <si>
    <t>Tarata</t>
  </si>
  <si>
    <t>MECAPACA</t>
  </si>
  <si>
    <t>PASORAPA</t>
  </si>
  <si>
    <t>Vila Vila</t>
  </si>
  <si>
    <t>PALCA</t>
  </si>
  <si>
    <t>POJO</t>
  </si>
  <si>
    <t>Villa Tunari</t>
  </si>
  <si>
    <t>QUIABAYA</t>
  </si>
  <si>
    <t xml:space="preserve">PUERTO VILLARROEL             </t>
  </si>
  <si>
    <t>Apolo</t>
  </si>
  <si>
    <t>SAPAHAQUI</t>
  </si>
  <si>
    <t>PUNATA</t>
  </si>
  <si>
    <t>Ayata</t>
  </si>
  <si>
    <t>SORATA</t>
  </si>
  <si>
    <t>QUILLACOLLO</t>
  </si>
  <si>
    <t>Caranavi</t>
  </si>
  <si>
    <t>TACACOMA</t>
  </si>
  <si>
    <t xml:space="preserve">SACABA                        </t>
  </si>
  <si>
    <t>Coroico</t>
  </si>
  <si>
    <t>YANACACHI</t>
  </si>
  <si>
    <t xml:space="preserve">SHINAOTA                      </t>
  </si>
  <si>
    <t>El Alto</t>
  </si>
  <si>
    <t>SICAYA</t>
  </si>
  <si>
    <t>Gral. Juan.José Perez  (Charazani)</t>
  </si>
  <si>
    <t>SIPE SIPE</t>
  </si>
  <si>
    <t>Guanay</t>
  </si>
  <si>
    <t>ALALAY</t>
  </si>
  <si>
    <t>TAPACARI</t>
  </si>
  <si>
    <t>Inquisivi</t>
  </si>
  <si>
    <t>TIRAQUE</t>
  </si>
  <si>
    <t>Ixiamas</t>
  </si>
  <si>
    <t>TIQUIPAYA</t>
  </si>
  <si>
    <t xml:space="preserve">VILLA TUNARI                  </t>
  </si>
  <si>
    <t>Mapiri</t>
  </si>
  <si>
    <t>VINTO</t>
  </si>
  <si>
    <t>Palos Blancos</t>
  </si>
  <si>
    <t xml:space="preserve">LA PAZ    </t>
  </si>
  <si>
    <t>San Buena Ventura</t>
  </si>
  <si>
    <t>ALTO BENI</t>
  </si>
  <si>
    <t>Teoponte</t>
  </si>
  <si>
    <t>Tipuani</t>
  </si>
  <si>
    <t>Bella Flor</t>
  </si>
  <si>
    <t>Cobija</t>
  </si>
  <si>
    <t>G. VILLARROEL</t>
  </si>
  <si>
    <t xml:space="preserve">CARANAVI                      </t>
  </si>
  <si>
    <t>Eureka (Santos Mercado)</t>
  </si>
  <si>
    <t>INDEPENDENCIA</t>
  </si>
  <si>
    <t>Filadelfia</t>
  </si>
  <si>
    <t>Ingavi (Humaita)</t>
  </si>
  <si>
    <t>MOROCHATA</t>
  </si>
  <si>
    <t>Nacebe (Santa Rosa Del Abuna)</t>
  </si>
  <si>
    <t>GUANAY</t>
  </si>
  <si>
    <t>Nuevo Manoa (Nueva Esperanza)</t>
  </si>
  <si>
    <t>Porvenir</t>
  </si>
  <si>
    <t>POCONA</t>
  </si>
  <si>
    <t>Puerto Gonzalo Moreno</t>
  </si>
  <si>
    <t xml:space="preserve">IXIAMAS                       </t>
  </si>
  <si>
    <t>Puerto Rico</t>
  </si>
  <si>
    <t xml:space="preserve">LA ASUNTA                     </t>
  </si>
  <si>
    <t>San Lorenzo(Pnd)</t>
  </si>
  <si>
    <t>LA PAZ (NOR ESTE)</t>
  </si>
  <si>
    <t>San Pedro(Pnd)</t>
  </si>
  <si>
    <t>RAQAYPAMPA</t>
  </si>
  <si>
    <t>Sena</t>
  </si>
  <si>
    <t>SACABA</t>
  </si>
  <si>
    <t>MAPIRI</t>
  </si>
  <si>
    <t>Villa Nueva (Loma Alta)</t>
  </si>
  <si>
    <t>SACABAMBA</t>
  </si>
  <si>
    <t>PALOS BLANCOS</t>
  </si>
  <si>
    <t>Acacio</t>
  </si>
  <si>
    <t>SAN BENITO</t>
  </si>
  <si>
    <t xml:space="preserve">SAN BUENA VENTURA             </t>
  </si>
  <si>
    <t>Cotagaita</t>
  </si>
  <si>
    <t>SANTIVAÑEZ</t>
  </si>
  <si>
    <t>Ravelo</t>
  </si>
  <si>
    <t>San Pedro De Buena Vista</t>
  </si>
  <si>
    <t xml:space="preserve">TEOPONTE                      </t>
  </si>
  <si>
    <t>Toro Toro</t>
  </si>
  <si>
    <t>TACACHI</t>
  </si>
  <si>
    <t xml:space="preserve">TIPUANI                       </t>
  </si>
  <si>
    <t>Buena Vista</t>
  </si>
  <si>
    <t>TACOPAYA</t>
  </si>
  <si>
    <t>YANACOCHA</t>
  </si>
  <si>
    <t>Cabezas</t>
  </si>
  <si>
    <t xml:space="preserve">PANDO     </t>
  </si>
  <si>
    <t>Camiri</t>
  </si>
  <si>
    <t>TARATA</t>
  </si>
  <si>
    <t xml:space="preserve">BELLA FLOR                    </t>
  </si>
  <si>
    <t>Charagua</t>
  </si>
  <si>
    <t>BOLPEBRA</t>
  </si>
  <si>
    <t>Colpa Belgica</t>
  </si>
  <si>
    <t xml:space="preserve">COBIJA                        </t>
  </si>
  <si>
    <t>Comarapa</t>
  </si>
  <si>
    <t>TOKO</t>
  </si>
  <si>
    <t>FILADELFIA</t>
  </si>
  <si>
    <t>Concepcion</t>
  </si>
  <si>
    <t>TOLATA</t>
  </si>
  <si>
    <t>INGAVI</t>
  </si>
  <si>
    <t>Cotoca</t>
  </si>
  <si>
    <t>TOTORA</t>
  </si>
  <si>
    <t xml:space="preserve">NACEBE (SANTA ROSA DEL ABUNA) </t>
  </si>
  <si>
    <t>Cuevo</t>
  </si>
  <si>
    <t>VACAS</t>
  </si>
  <si>
    <t>NUEVA ESPERANZA</t>
  </si>
  <si>
    <t>El Torno</t>
  </si>
  <si>
    <t>VILA VILA</t>
  </si>
  <si>
    <t>PORVENIR</t>
  </si>
  <si>
    <t>Gutierrez</t>
  </si>
  <si>
    <t>VILLA RIVERO</t>
  </si>
  <si>
    <t>PUERTO GONZALO MORENO</t>
  </si>
  <si>
    <t>La Guardia</t>
  </si>
  <si>
    <t xml:space="preserve">PUERTO RICO                   </t>
  </si>
  <si>
    <t>Lagunillas</t>
  </si>
  <si>
    <t>SAN LORENZO PND</t>
  </si>
  <si>
    <t>Montero</t>
  </si>
  <si>
    <t>ACASIO</t>
  </si>
  <si>
    <t>SENA</t>
  </si>
  <si>
    <t>Pailon</t>
  </si>
  <si>
    <t>ARAMPAMPA</t>
  </si>
  <si>
    <t>VILLA NUEVA</t>
  </si>
  <si>
    <t>Porongo</t>
  </si>
  <si>
    <t>BETANZOS</t>
  </si>
  <si>
    <t>Portachuelo</t>
  </si>
  <si>
    <t>CAIZA "D"</t>
  </si>
  <si>
    <t xml:space="preserve">ASCENCION DE GUARAYOS         </t>
  </si>
  <si>
    <t>Postrer Valle</t>
  </si>
  <si>
    <t>CHAQUI</t>
  </si>
  <si>
    <t xml:space="preserve">BOYUIBE                       </t>
  </si>
  <si>
    <t>Saipina</t>
  </si>
  <si>
    <t>CKOCHAS</t>
  </si>
  <si>
    <t xml:space="preserve">BUENA VISTA                   </t>
  </si>
  <si>
    <t>San Ignacio De Velasco</t>
  </si>
  <si>
    <t>COLQUECHACA</t>
  </si>
  <si>
    <t xml:space="preserve">CABEZAS                       </t>
  </si>
  <si>
    <t>San Matias</t>
  </si>
  <si>
    <t>COTAGAITA</t>
  </si>
  <si>
    <t xml:space="preserve">CAMIRI                        </t>
  </si>
  <si>
    <t>Santa Cruz De La Sierra</t>
  </si>
  <si>
    <t>MOJINETE</t>
  </si>
  <si>
    <t xml:space="preserve">CARMEN RIVERO TORREZ          </t>
  </si>
  <si>
    <t>Vallegrande</t>
  </si>
  <si>
    <t>OCURI</t>
  </si>
  <si>
    <t xml:space="preserve">CHARAGUA                      </t>
  </si>
  <si>
    <t>Warnes</t>
  </si>
  <si>
    <t>POCOATA</t>
  </si>
  <si>
    <t xml:space="preserve">COLPA BELGICA                 </t>
  </si>
  <si>
    <t>Bermejo</t>
  </si>
  <si>
    <t>PUNA</t>
  </si>
  <si>
    <t>COMARAPA</t>
  </si>
  <si>
    <t>Carapari</t>
  </si>
  <si>
    <t>RAVELO</t>
  </si>
  <si>
    <t xml:space="preserve">CONCEPCION                    </t>
  </si>
  <si>
    <t>Entre Rios  Trj</t>
  </si>
  <si>
    <t>S.P.B.V.</t>
  </si>
  <si>
    <t xml:space="preserve">COTOCA                        </t>
  </si>
  <si>
    <t>Padcaya</t>
  </si>
  <si>
    <t>TACOBAMBA</t>
  </si>
  <si>
    <t xml:space="preserve">CUATRO CAÑADAS                </t>
  </si>
  <si>
    <t>San Lorenzo(Tja)</t>
  </si>
  <si>
    <t>TINGUIPAYA</t>
  </si>
  <si>
    <t>CUEVO</t>
  </si>
  <si>
    <t>TOMAVE</t>
  </si>
  <si>
    <t xml:space="preserve">EL PUENTE(STC)                </t>
  </si>
  <si>
    <t>Uriondo (A. Concepcion)</t>
  </si>
  <si>
    <t>TORO TORO</t>
  </si>
  <si>
    <t xml:space="preserve">EL TORNO                      </t>
  </si>
  <si>
    <t>Villa Montes</t>
  </si>
  <si>
    <t>TUPIZA</t>
  </si>
  <si>
    <t xml:space="preserve">FERNANDEZ ALONSO              </t>
  </si>
  <si>
    <t>Yacuiba</t>
  </si>
  <si>
    <t>VILLAZON</t>
  </si>
  <si>
    <t xml:space="preserve">GENERAL SAAVEDRA              </t>
  </si>
  <si>
    <t>VITICHI</t>
  </si>
  <si>
    <t>GUARAYOS</t>
  </si>
  <si>
    <t xml:space="preserve">LA GUARDIA                    </t>
  </si>
  <si>
    <t>CARAPARI</t>
  </si>
  <si>
    <t>LAGUNILLAS</t>
  </si>
  <si>
    <t>EL PUENTE</t>
  </si>
  <si>
    <t xml:space="preserve">MAIRANA                       </t>
  </si>
  <si>
    <t>ENTRE RIOS</t>
  </si>
  <si>
    <t xml:space="preserve">MINEROS                       </t>
  </si>
  <si>
    <t>PADCAYA</t>
  </si>
  <si>
    <t xml:space="preserve">MONTERO                       </t>
  </si>
  <si>
    <t>SAN LORENZO</t>
  </si>
  <si>
    <t xml:space="preserve">OKINAWA                       </t>
  </si>
  <si>
    <t xml:space="preserve">PAILON                        </t>
  </si>
  <si>
    <t>URIONDO</t>
  </si>
  <si>
    <t>PAMAPA GRANDE</t>
  </si>
  <si>
    <t>VILLA MONTES</t>
  </si>
  <si>
    <t xml:space="preserve">PORONGO                       </t>
  </si>
  <si>
    <t>YACUIBA</t>
  </si>
  <si>
    <t xml:space="preserve">PORTACHUELO                   </t>
  </si>
  <si>
    <t>YUNCHARA</t>
  </si>
  <si>
    <t xml:space="preserve">PUERTO QUIJARRO               </t>
  </si>
  <si>
    <t xml:space="preserve">PUERTO SUAREZ                 </t>
  </si>
  <si>
    <t>CUATRO CAÑADAS</t>
  </si>
  <si>
    <t xml:space="preserve">QUIRUSILLAS                   </t>
  </si>
  <si>
    <t>BOYUIBE</t>
  </si>
  <si>
    <t xml:space="preserve">ROBORE                        </t>
  </si>
  <si>
    <t>CABEZAS</t>
  </si>
  <si>
    <t xml:space="preserve">SAIPINA                       </t>
  </si>
  <si>
    <t>CAMIRI</t>
  </si>
  <si>
    <t xml:space="preserve">SAMAIPATA                     </t>
  </si>
  <si>
    <t>CHARAGUA</t>
  </si>
  <si>
    <t>SAN ANTONIO DE LOMERIO</t>
  </si>
  <si>
    <t xml:space="preserve">SAN CARLOS                    </t>
  </si>
  <si>
    <t>COTOCA</t>
  </si>
  <si>
    <t xml:space="preserve">SAN IGNACIO DE VELASCO        </t>
  </si>
  <si>
    <t xml:space="preserve">SAN JAVIER(STC)               </t>
  </si>
  <si>
    <t>EL TORNO</t>
  </si>
  <si>
    <t xml:space="preserve">SAN JOSE DE CHIQUITOS         </t>
  </si>
  <si>
    <t>GUTIERREZ</t>
  </si>
  <si>
    <t xml:space="preserve">SAN JUAN DE YAPACANI          </t>
  </si>
  <si>
    <t>LA GUARDIA</t>
  </si>
  <si>
    <t xml:space="preserve">SAN JULIAN                    </t>
  </si>
  <si>
    <t xml:space="preserve">SAN MATIAS                    </t>
  </si>
  <si>
    <t>MAIRANA</t>
  </si>
  <si>
    <t xml:space="preserve">SAN MIGUEL DE VELASCO         </t>
  </si>
  <si>
    <t>MORO MORO</t>
  </si>
  <si>
    <t>SAN PEDRO SCZ</t>
  </si>
  <si>
    <t>OKINAWA</t>
  </si>
  <si>
    <t xml:space="preserve">SAN RAFAEL SCZ                </t>
  </si>
  <si>
    <t>PAILON</t>
  </si>
  <si>
    <t xml:space="preserve">SAN RAMON SCZ                 </t>
  </si>
  <si>
    <t>PAMPA GRANDE</t>
  </si>
  <si>
    <t xml:space="preserve">SANTA CRUZ DE LA SIERRA       </t>
  </si>
  <si>
    <t>PORONGO</t>
  </si>
  <si>
    <t xml:space="preserve">SANTA ROSA DEL SARA           </t>
  </si>
  <si>
    <t>POSTRER VALLE</t>
  </si>
  <si>
    <t xml:space="preserve">URUBICHA                      </t>
  </si>
  <si>
    <t>PUCARA</t>
  </si>
  <si>
    <t xml:space="preserve">VALLEGRANDE                   </t>
  </si>
  <si>
    <t>QUIRUSILLAS</t>
  </si>
  <si>
    <t xml:space="preserve">WARNES                        </t>
  </si>
  <si>
    <t>ROBORE</t>
  </si>
  <si>
    <t>YAPACANI</t>
  </si>
  <si>
    <t>SAIPINA</t>
  </si>
  <si>
    <t xml:space="preserve">TARIJA    </t>
  </si>
  <si>
    <t>SAMAIPATA</t>
  </si>
  <si>
    <t xml:space="preserve">BERMEJO                       </t>
  </si>
  <si>
    <t xml:space="preserve">CARAPARI                      </t>
  </si>
  <si>
    <t>SAN JAVIER</t>
  </si>
  <si>
    <t xml:space="preserve">ENTRE RIOS  TRJ               </t>
  </si>
  <si>
    <t>SAN JULIAN</t>
  </si>
  <si>
    <t>SANTA CRUZ DE LA SIERRA</t>
  </si>
  <si>
    <t>SAN LORENZO TRJ</t>
  </si>
  <si>
    <t>TRIGAL</t>
  </si>
  <si>
    <t xml:space="preserve">TARIJA                        </t>
  </si>
  <si>
    <t>VALLEGRANDE</t>
  </si>
  <si>
    <t>WARNES</t>
  </si>
  <si>
    <t xml:space="preserve">VILLA MONTES                  </t>
  </si>
  <si>
    <t xml:space="preserve">YACUIBA                       </t>
  </si>
  <si>
    <t>TOTAL BOLIVIA</t>
  </si>
  <si>
    <t xml:space="preserve"> Fuente: Programa Nacional de Vigilancia de Enfermedades Endemicas y Epidemicas, Ministerio de Salud y Deportes  - Bolivia.</t>
  </si>
  <si>
    <t>Depart</t>
  </si>
  <si>
    <t>Provincia</t>
  </si>
  <si>
    <t>Municipio</t>
  </si>
  <si>
    <t>Capital</t>
  </si>
  <si>
    <t>CodigoINE</t>
  </si>
  <si>
    <t>Promedio anual normalizado de infestación de chagas en % de viviendas 2011-2013</t>
  </si>
  <si>
    <t>Promedio anual normalizado de infestación de chagas en % de viviendas 2022-2024</t>
  </si>
  <si>
    <t>Promedio anual normalizado de incidencia de dengue en 10.000 hab. 2011-2013</t>
  </si>
  <si>
    <t>Promedio anual normalizado de incidencia de dengue en 10.000 hab. 2022-2024</t>
  </si>
  <si>
    <t>Promedio anual normalizado de IPA Malaria 2011-2013</t>
  </si>
  <si>
    <t>Promedio anual normalizadode IPA Malaria 2022-2024</t>
  </si>
  <si>
    <t>Promedio de enfermedades transmitidas por vectores 2011 - 2013</t>
  </si>
  <si>
    <t>Promedio de enfermedades transmitidas por vectores 2022 - 2024</t>
  </si>
  <si>
    <t>Oropeza</t>
  </si>
  <si>
    <t>Yotala</t>
  </si>
  <si>
    <t>Villa Azurduy</t>
  </si>
  <si>
    <t>Villa Orías</t>
  </si>
  <si>
    <t>Zudáñez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</si>
  <si>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</si>
  <si>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</si>
  <si>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</si>
  <si>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</si>
  <si>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</si>
  <si>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</si>
  <si>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Alcalá</t>
  </si>
  <si>
    <t>El Villar</t>
  </si>
  <si>
    <t>Hernando Siles</t>
  </si>
  <si>
    <t>San Pablo de Huacareta</t>
  </si>
  <si>
    <t>Yamparáez</t>
  </si>
  <si>
    <t>Nor Cinti</t>
  </si>
  <si>
    <t>Belisario Boeto</t>
  </si>
  <si>
    <t>Sur Cinti</t>
  </si>
  <si>
    <t>Villa Abecia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</si>
  <si>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</si>
  <si>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</si>
  <si>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</si>
  <si>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</si>
  <si>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</si>
  <si>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</si>
  <si>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</si>
  <si>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Murillo</t>
  </si>
  <si>
    <t>Nuestra Señora de La Paz</t>
  </si>
  <si>
    <t>Palca</t>
  </si>
  <si>
    <t>Mecapaca</t>
  </si>
  <si>
    <t>Achocalla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</si>
  <si>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</si>
  <si>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</si>
  <si>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</si>
  <si>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</si>
  <si>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</si>
  <si>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</si>
  <si>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</si>
  <si>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</si>
  <si>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</si>
  <si>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</si>
  <si>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</si>
  <si>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</si>
  <si>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</si>
  <si>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</si>
  <si>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</si>
  <si>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</si>
  <si>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</si>
  <si>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</si>
  <si>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</si>
  <si>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</si>
  <si>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</si>
  <si>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</si>
  <si>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</si>
  <si>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</si>
  <si>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</si>
  <si>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</si>
  <si>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</si>
  <si>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Aucapata</t>
  </si>
  <si>
    <t>Larecaja</t>
  </si>
  <si>
    <t>Sorata</t>
  </si>
  <si>
    <t>Tacacoma</t>
  </si>
  <si>
    <t>Quiabaya</t>
  </si>
  <si>
    <t>Combaya</t>
  </si>
  <si>
    <t>Franz Tamayo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</si>
  <si>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</si>
  <si>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</si>
  <si>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</si>
  <si>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</si>
  <si>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</si>
  <si>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</si>
  <si>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</si>
  <si>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</si>
  <si>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</si>
  <si>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</si>
  <si>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</si>
  <si>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</si>
  <si>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</si>
  <si>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</si>
  <si>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</si>
  <si>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</si>
  <si>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</si>
  <si>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</si>
  <si>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</si>
  <si>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</si>
  <si>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</si>
  <si>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</si>
  <si>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</si>
  <si>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</si>
  <si>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</si>
  <si>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</si>
  <si>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</si>
  <si>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</si>
  <si>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</si>
  <si>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</si>
  <si>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</si>
  <si>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</si>
  <si>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</si>
  <si>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</si>
  <si>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</si>
  <si>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</si>
  <si>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</si>
  <si>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</si>
  <si>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</si>
  <si>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</si>
  <si>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</si>
  <si>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</si>
  <si>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</si>
  <si>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</si>
  <si>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</si>
  <si>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Coripata</t>
  </si>
  <si>
    <t>Abel Iturralde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</si>
  <si>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</si>
  <si>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</si>
  <si>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</si>
  <si>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</si>
  <si>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</si>
  <si>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</si>
  <si>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</si>
  <si>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</si>
  <si>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</si>
  <si>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</si>
  <si>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</si>
  <si>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</si>
  <si>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</si>
  <si>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</si>
  <si>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</si>
  <si>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</si>
  <si>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</si>
  <si>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Alto Beni</t>
  </si>
  <si>
    <t>Cercado</t>
  </si>
  <si>
    <t>Campero</t>
  </si>
  <si>
    <t>Ayopaya</t>
  </si>
  <si>
    <t>Ayopaya (Independencia)</t>
  </si>
  <si>
    <t>Villa de Independencia</t>
  </si>
  <si>
    <t>Morochata</t>
  </si>
  <si>
    <t>Cocapata</t>
  </si>
  <si>
    <t>Esteban Arze</t>
  </si>
  <si>
    <t>Villa de Anzaldo</t>
  </si>
  <si>
    <t>Arbieto</t>
  </si>
  <si>
    <t>Sacabamba</t>
  </si>
  <si>
    <t>Arani</t>
  </si>
  <si>
    <t>Vacas</t>
  </si>
  <si>
    <t>Arque</t>
  </si>
  <si>
    <t>Villa de Arque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</si>
  <si>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</si>
  <si>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</si>
  <si>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</si>
  <si>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</si>
  <si>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</si>
  <si>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</si>
  <si>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</si>
  <si>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</si>
  <si>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Sipesipe</t>
  </si>
  <si>
    <t>Tiquipaya</t>
  </si>
  <si>
    <t>Vinto</t>
  </si>
  <si>
    <t>Colcapirhua</t>
  </si>
  <si>
    <t>Chapare</t>
  </si>
  <si>
    <t>Colomi</t>
  </si>
  <si>
    <t>Tapacarí</t>
  </si>
  <si>
    <t>Carrasco</t>
  </si>
  <si>
    <t>Totora</t>
  </si>
  <si>
    <t>Pocona</t>
  </si>
  <si>
    <t>Chimoré</t>
  </si>
  <si>
    <t>Entre Ríos</t>
  </si>
  <si>
    <t>Alalay</t>
  </si>
  <si>
    <t>TIOC-Raqaypampa</t>
  </si>
  <si>
    <t>Raqaypampa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</si>
  <si>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</si>
  <si>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</si>
  <si>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</si>
  <si>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</si>
  <si>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</si>
  <si>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</si>
  <si>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</si>
  <si>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</si>
  <si>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</si>
  <si>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</si>
  <si>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</si>
  <si>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</si>
  <si>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</si>
  <si>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</si>
  <si>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</si>
  <si>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</si>
  <si>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</si>
  <si>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</si>
  <si>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</si>
  <si>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</si>
  <si>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</si>
  <si>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</si>
  <si>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</si>
  <si>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</si>
  <si>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</si>
  <si>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</si>
  <si>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</si>
  <si>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</si>
  <si>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</si>
  <si>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</si>
  <si>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</si>
  <si>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</si>
  <si>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</si>
  <si>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</si>
  <si>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</si>
  <si>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</si>
  <si>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</si>
  <si>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</si>
  <si>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</si>
  <si>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</si>
  <si>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</si>
  <si>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</si>
  <si>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</si>
  <si>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</si>
  <si>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</si>
  <si>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</si>
  <si>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</si>
  <si>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</si>
  <si>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</si>
  <si>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</si>
  <si>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</si>
  <si>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</si>
  <si>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</si>
  <si>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</si>
  <si>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</si>
  <si>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</si>
  <si>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</si>
  <si>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</si>
  <si>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</si>
  <si>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</si>
  <si>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</si>
  <si>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</si>
  <si>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</si>
  <si>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</si>
  <si>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</si>
  <si>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</si>
  <si>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</si>
  <si>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</si>
  <si>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</si>
  <si>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</si>
  <si>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</si>
  <si>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</si>
  <si>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</si>
  <si>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</si>
  <si>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</si>
  <si>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</si>
  <si>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</si>
  <si>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</si>
  <si>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</si>
  <si>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Pocoata</t>
  </si>
  <si>
    <t>Ocurí</t>
  </si>
  <si>
    <t>San Pedro de Macha</t>
  </si>
  <si>
    <t>Chárcas</t>
  </si>
  <si>
    <t>San Pedro</t>
  </si>
  <si>
    <t>Nor Chichas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</si>
  <si>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</si>
  <si>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</si>
  <si>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</si>
  <si>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</si>
  <si>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</si>
  <si>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</si>
  <si>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</si>
  <si>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</si>
  <si>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</si>
  <si>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</si>
  <si>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</si>
  <si>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</si>
  <si>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</si>
  <si>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</si>
  <si>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</si>
  <si>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</si>
  <si>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</si>
  <si>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</si>
  <si>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</si>
  <si>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</si>
  <si>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</si>
  <si>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</si>
  <si>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</si>
  <si>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</si>
  <si>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</si>
  <si>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</si>
  <si>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</si>
  <si>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</si>
  <si>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</si>
  <si>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</si>
  <si>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</si>
  <si>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</si>
  <si>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</si>
  <si>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</si>
  <si>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</si>
  <si>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</si>
  <si>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</si>
  <si>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</si>
  <si>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</si>
  <si>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Gran Chaco</t>
  </si>
  <si>
    <t>Caraparí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</si>
  <si>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</si>
  <si>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</si>
  <si>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</si>
  <si>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</si>
  <si>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</si>
  <si>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</si>
  <si>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</si>
  <si>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</si>
  <si>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</si>
  <si>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Andrés Ibáñez</t>
  </si>
  <si>
    <t>Santa Cruz de la Sierra</t>
  </si>
  <si>
    <t>Porongo (Ayacucho)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</si>
  <si>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</si>
  <si>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</si>
  <si>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</si>
  <si>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</si>
  <si>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</si>
  <si>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</si>
  <si>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</si>
  <si>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</si>
  <si>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</si>
  <si>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</si>
  <si>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</si>
  <si>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</si>
  <si>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</si>
  <si>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</si>
  <si>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</si>
  <si>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</si>
  <si>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</si>
  <si>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Santa Rosa del Sara</t>
  </si>
  <si>
    <t>Colpa Bélgica</t>
  </si>
  <si>
    <t>Cordillera</t>
  </si>
  <si>
    <t>Gutiérrez</t>
  </si>
  <si>
    <t>Boyuibe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</si>
  <si>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</si>
  <si>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</si>
  <si>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</si>
  <si>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</si>
  <si>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</si>
  <si>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</si>
  <si>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</si>
  <si>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</si>
  <si>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</si>
  <si>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</si>
  <si>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</si>
  <si>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</si>
  <si>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</si>
  <si>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</si>
  <si>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</si>
  <si>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</si>
  <si>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</si>
  <si>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</si>
  <si>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</si>
  <si>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</si>
  <si>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</si>
  <si>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</si>
  <si>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</si>
  <si>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</si>
  <si>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</si>
  <si>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</si>
  <si>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</si>
  <si>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</si>
  <si>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</si>
  <si>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</si>
  <si>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</si>
  <si>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Vaca Diez</t>
  </si>
  <si>
    <t>Guayaramerín</t>
  </si>
  <si>
    <t>General José Ballivián</t>
  </si>
  <si>
    <t>Puerto Menor de 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</si>
  <si>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</si>
  <si>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</si>
  <si>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</si>
  <si>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</si>
  <si>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</si>
  <si>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</si>
  <si>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</si>
  <si>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</si>
  <si>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</si>
  <si>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</si>
  <si>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Iténez</t>
  </si>
  <si>
    <t>Huacaraje</t>
  </si>
  <si>
    <t>Territorio Indigena Multiétnico</t>
  </si>
  <si>
    <t>Nicolás Suárez</t>
  </si>
  <si>
    <t>Bolpebra</t>
  </si>
  <si>
    <t>Manuripi</t>
  </si>
  <si>
    <t>Madre de Dios</t>
  </si>
  <si>
    <t>Abuná</t>
  </si>
  <si>
    <t>Federico Román</t>
  </si>
  <si>
    <t>Nueva Esperanza</t>
  </si>
  <si>
    <t>Villa Nueva</t>
  </si>
  <si>
    <t>Loma Alta</t>
  </si>
  <si>
    <t>Santos Mercado</t>
  </si>
  <si>
    <t>Absoluto 2012</t>
  </si>
  <si>
    <t>Absoluto 2024</t>
  </si>
  <si>
    <t>id_departamento</t>
  </si>
  <si>
    <t>Incidencia de enfermedades por vectores 2011-2013</t>
  </si>
  <si>
    <t>Incidencia de enfermedades por vectores 2022-2024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</si>
  <si>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</si>
  <si>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</si>
  <si>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</si>
  <si>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</si>
  <si>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</si>
  <si>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</si>
  <si>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</si>
  <si>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</si>
  <si>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</si>
  <si>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</si>
  <si>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</si>
  <si>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</si>
  <si>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Tasa de enfermedades por vectores (Chagas, Malaria, Dengue) en el periodo 2011-2013 y 2022-2024</t>
  </si>
  <si>
    <t>Metas de los programas nacionales e internacionales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</si>
</sst>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#,##0.0"/>
    <numFmt numFmtId="166" formatCode="0.000"/>
    <numFmt numFmtId="167" formatCode="0.0"/>
    <numFmt numFmtId="168" formatCode="0\%"/>
  </numFmts>
  <fonts count="27">
    <font>
      <sz val="11.0"/>
      <color theme="1"/>
      <name val="Calibri"/>
      <scheme val="minor"/>
    </font>
    <font>
      <sz val="10.0"/>
      <color theme="1"/>
      <name val="Arial Narrow"/>
    </font>
    <font>
      <b/>
      <sz val="12.0"/>
      <color theme="1"/>
      <name val="Arial Narrow"/>
    </font>
    <font/>
    <font>
      <sz val="12.0"/>
      <color theme="1"/>
      <name val="Arial Narrow"/>
    </font>
    <font>
      <b/>
      <sz val="14.0"/>
      <color theme="1"/>
      <name val="Arial Narrow"/>
    </font>
    <font>
      <sz val="14.0"/>
      <color theme="1"/>
      <name val="Arial Narrow"/>
    </font>
    <font>
      <sz val="10.0"/>
      <color theme="1"/>
      <name val="Calibri"/>
    </font>
    <font>
      <b/>
      <sz val="9.0"/>
      <color theme="1"/>
      <name val="Calibri"/>
    </font>
    <font>
      <b/>
      <sz val="20.0"/>
      <color theme="1"/>
      <name val="Calibri"/>
    </font>
    <font>
      <sz val="16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sz val="18.0"/>
      <color theme="1"/>
      <name val="Arial Narrow"/>
    </font>
    <font>
      <sz val="10.0"/>
      <color theme="0"/>
      <name val="Calibri"/>
    </font>
    <font>
      <b/>
      <sz val="10.0"/>
      <color theme="0"/>
      <name val="Arial Narrow"/>
    </font>
    <font>
      <b/>
      <sz val="9.0"/>
      <color theme="0"/>
      <name val="Calibri"/>
    </font>
    <font>
      <b/>
      <sz val="11.0"/>
      <color theme="1"/>
      <name val="Calibri"/>
    </font>
    <font>
      <sz val="11.0"/>
      <color theme="1"/>
      <name val="Arial Narrow"/>
    </font>
    <font>
      <sz val="9.0"/>
      <color theme="1"/>
      <name val="Calibri"/>
    </font>
    <font>
      <b/>
      <sz val="10.0"/>
      <color rgb="FF000000"/>
      <name val="Arial Narrow"/>
    </font>
    <font>
      <b/>
      <sz val="10.0"/>
      <color theme="1"/>
      <name val="Arial Narrow"/>
    </font>
    <font>
      <b/>
      <sz val="8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9.0"/>
      <color theme="1"/>
      <name val="Play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0070C0"/>
        <bgColor rgb="FF0070C0"/>
      </patternFill>
    </fill>
    <fill>
      <patternFill patternType="solid">
        <fgColor rgb="FF548135"/>
        <bgColor rgb="FF548135"/>
      </patternFill>
    </fill>
    <fill>
      <patternFill patternType="solid">
        <fgColor theme="5"/>
        <bgColor theme="5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7FFF7"/>
        <bgColor rgb="FFF7FFF7"/>
      </patternFill>
    </fill>
    <fill>
      <patternFill patternType="solid">
        <fgColor rgb="FFFFD965"/>
        <bgColor rgb="FFFFD965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2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0"/>
      </right>
      <top/>
      <bottom style="thick">
        <color theme="0"/>
      </bottom>
    </border>
    <border>
      <left style="thin">
        <color theme="0"/>
      </left>
      <right style="thin">
        <color theme="0"/>
      </right>
      <top/>
      <bottom style="thick">
        <color theme="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theme="0"/>
      </right>
      <top style="thick">
        <color theme="0"/>
      </top>
      <bottom/>
    </border>
    <border>
      <left style="thin">
        <color theme="0"/>
      </left>
      <right style="thin">
        <color theme="0"/>
      </right>
      <top style="thick">
        <color theme="0"/>
      </top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Border="1" applyFont="1"/>
    <xf borderId="0" fillId="0" fontId="1" numFmtId="0" xfId="0" applyAlignment="1" applyFont="1">
      <alignment vertical="center"/>
    </xf>
    <xf borderId="2" fillId="2" fontId="5" numFmtId="0" xfId="0" applyAlignment="1" applyBorder="1" applyFont="1">
      <alignment horizontal="center"/>
    </xf>
    <xf borderId="0" fillId="0" fontId="6" numFmtId="0" xfId="0" applyAlignment="1" applyFont="1">
      <alignment vertical="center"/>
    </xf>
    <xf borderId="1" fillId="2" fontId="6" numFmtId="0" xfId="0" applyBorder="1" applyFont="1"/>
    <xf borderId="1" fillId="2" fontId="2" numFmtId="0" xfId="0" applyBorder="1" applyFont="1"/>
    <xf borderId="1" fillId="2" fontId="5" numFmtId="0" xfId="0" applyBorder="1" applyFont="1"/>
    <xf borderId="0" fillId="0" fontId="7" numFmtId="0" xfId="0" applyFont="1"/>
    <xf borderId="1" fillId="2" fontId="4" numFmtId="0" xfId="0" applyAlignment="1" applyBorder="1" applyFont="1">
      <alignment vertical="center"/>
    </xf>
    <xf borderId="1" fillId="2" fontId="4" numFmtId="0" xfId="0" applyAlignment="1" applyBorder="1" applyFont="1">
      <alignment horizontal="center"/>
    </xf>
    <xf borderId="0" fillId="0" fontId="8" numFmtId="0" xfId="0" applyAlignment="1" applyFont="1">
      <alignment vertical="center"/>
    </xf>
    <xf borderId="5" fillId="0" fontId="9" numFmtId="0" xfId="0" applyAlignment="1" applyBorder="1" applyFont="1">
      <alignment horizontal="center"/>
    </xf>
    <xf borderId="5" fillId="0" fontId="3" numFmtId="0" xfId="0" applyBorder="1" applyFont="1"/>
    <xf borderId="0" fillId="0" fontId="10" numFmtId="0" xfId="0" applyFont="1"/>
    <xf borderId="0" fillId="0" fontId="11" numFmtId="0" xfId="0" applyAlignment="1" applyFont="1">
      <alignment horizontal="center"/>
    </xf>
    <xf borderId="5" fillId="0" fontId="12" numFmtId="0" xfId="0" applyAlignment="1" applyBorder="1" applyFont="1">
      <alignment horizontal="center"/>
    </xf>
    <xf borderId="0" fillId="0" fontId="13" numFmtId="0" xfId="0" applyAlignment="1" applyFont="1">
      <alignment vertical="center"/>
    </xf>
    <xf borderId="5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6" fillId="3" fontId="8" numFmtId="3" xfId="0" applyAlignment="1" applyBorder="1" applyFill="1" applyFont="1" applyNumberFormat="1">
      <alignment horizontal="center" vertical="center"/>
    </xf>
    <xf borderId="6" fillId="3" fontId="8" numFmtId="3" xfId="0" applyAlignment="1" applyBorder="1" applyFont="1" applyNumberFormat="1">
      <alignment horizontal="center" shrinkToFit="0" vertical="center" wrapText="1"/>
    </xf>
    <xf borderId="6" fillId="3" fontId="8" numFmtId="3" xfId="0" applyAlignment="1" applyBorder="1" applyFont="1" applyNumberFormat="1">
      <alignment shrinkToFit="0" vertical="center" wrapText="1"/>
    </xf>
    <xf borderId="7" fillId="4" fontId="14" numFmtId="0" xfId="0" applyAlignment="1" applyBorder="1" applyFill="1" applyFont="1">
      <alignment horizontal="center" vertical="center"/>
    </xf>
    <xf borderId="8" fillId="4" fontId="14" numFmtId="0" xfId="0" applyAlignment="1" applyBorder="1" applyFont="1">
      <alignment horizontal="center" vertical="center"/>
    </xf>
    <xf borderId="9" fillId="4" fontId="14" numFmtId="0" xfId="0" applyAlignment="1" applyBorder="1" applyFont="1">
      <alignment horizontal="center" vertical="center"/>
    </xf>
    <xf borderId="10" fillId="5" fontId="15" numFmtId="0" xfId="0" applyAlignment="1" applyBorder="1" applyFill="1" applyFont="1">
      <alignment horizontal="center" vertical="center"/>
    </xf>
    <xf borderId="10" fillId="5" fontId="15" numFmtId="0" xfId="0" applyAlignment="1" applyBorder="1" applyFont="1">
      <alignment horizontal="center" shrinkToFit="0" vertical="center" wrapText="1"/>
    </xf>
    <xf borderId="11" fillId="5" fontId="15" numFmtId="0" xfId="0" applyAlignment="1" applyBorder="1" applyFont="1">
      <alignment horizontal="center" vertical="center"/>
    </xf>
    <xf borderId="12" fillId="0" fontId="3" numFmtId="0" xfId="0" applyBorder="1" applyFont="1"/>
    <xf borderId="0" fillId="0" fontId="15" numFmtId="0" xfId="0" applyAlignment="1" applyFont="1">
      <alignment vertical="center"/>
    </xf>
    <xf borderId="11" fillId="0" fontId="8" numFmtId="164" xfId="0" applyAlignment="1" applyBorder="1" applyFont="1" applyNumberFormat="1">
      <alignment vertical="center"/>
    </xf>
    <xf borderId="6" fillId="3" fontId="8" numFmtId="165" xfId="0" applyAlignment="1" applyBorder="1" applyFont="1" applyNumberFormat="1">
      <alignment vertical="center"/>
    </xf>
    <xf borderId="12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6" fillId="0" fontId="7" numFmtId="166" xfId="0" applyAlignment="1" applyBorder="1" applyFont="1" applyNumberFormat="1">
      <alignment horizontal="center" vertical="center"/>
    </xf>
    <xf borderId="13" fillId="6" fontId="16" numFmtId="0" xfId="0" applyAlignment="1" applyBorder="1" applyFill="1" applyFont="1">
      <alignment vertical="center"/>
    </xf>
    <xf borderId="14" fillId="6" fontId="16" numFmtId="0" xfId="0" applyAlignment="1" applyBorder="1" applyFont="1">
      <alignment horizontal="center" vertical="center"/>
    </xf>
    <xf borderId="15" fillId="0" fontId="3" numFmtId="0" xfId="0" applyBorder="1" applyFont="1"/>
    <xf borderId="6" fillId="5" fontId="15" numFmtId="3" xfId="0" applyAlignment="1" applyBorder="1" applyFont="1" applyNumberFormat="1">
      <alignment horizontal="center" shrinkToFit="0" vertical="center" wrapText="1"/>
    </xf>
    <xf borderId="0" fillId="0" fontId="17" numFmtId="0" xfId="0" applyFont="1"/>
    <xf borderId="1" fillId="2" fontId="18" numFmtId="0" xfId="0" applyAlignment="1" applyBorder="1" applyFont="1">
      <alignment horizontal="center"/>
    </xf>
    <xf borderId="1" fillId="2" fontId="18" numFmtId="0" xfId="0" applyAlignment="1" applyBorder="1" applyFont="1">
      <alignment vertical="center"/>
    </xf>
    <xf borderId="16" fillId="3" fontId="8" numFmtId="164" xfId="0" applyAlignment="1" applyBorder="1" applyFont="1" applyNumberFormat="1">
      <alignment vertical="center"/>
    </xf>
    <xf borderId="6" fillId="3" fontId="8" numFmtId="3" xfId="0" applyAlignment="1" applyBorder="1" applyFont="1" applyNumberFormat="1">
      <alignment vertical="center"/>
    </xf>
    <xf borderId="11" fillId="0" fontId="7" numFmtId="166" xfId="0" applyAlignment="1" applyBorder="1" applyFont="1" applyNumberFormat="1">
      <alignment horizontal="center" vertical="center"/>
    </xf>
    <xf borderId="17" fillId="7" fontId="19" numFmtId="0" xfId="0" applyAlignment="1" applyBorder="1" applyFill="1" applyFont="1">
      <alignment vertical="center"/>
    </xf>
    <xf borderId="17" fillId="7" fontId="19" numFmtId="2" xfId="0" applyAlignment="1" applyBorder="1" applyFont="1" applyNumberFormat="1">
      <alignment vertical="center"/>
    </xf>
    <xf borderId="18" fillId="7" fontId="19" numFmtId="2" xfId="0" applyAlignment="1" applyBorder="1" applyFont="1" applyNumberFormat="1">
      <alignment vertical="center"/>
    </xf>
    <xf borderId="16" fillId="8" fontId="20" numFmtId="0" xfId="0" applyAlignment="1" applyBorder="1" applyFill="1" applyFont="1">
      <alignment horizontal="center" shrinkToFit="0" vertical="center" wrapText="1"/>
    </xf>
    <xf borderId="19" fillId="8" fontId="20" numFmtId="0" xfId="0" applyAlignment="1" applyBorder="1" applyFont="1">
      <alignment horizontal="center" shrinkToFit="0" vertical="center" wrapText="1"/>
    </xf>
    <xf borderId="6" fillId="8" fontId="21" numFmtId="1" xfId="0" applyAlignment="1" applyBorder="1" applyFont="1" applyNumberFormat="1">
      <alignment vertical="center"/>
    </xf>
    <xf borderId="0" fillId="0" fontId="21" numFmtId="0" xfId="0" applyAlignment="1" applyFont="1">
      <alignment vertical="center"/>
    </xf>
    <xf borderId="1" fillId="2" fontId="21" numFmtId="0" xfId="0" applyAlignment="1" applyBorder="1" applyFont="1">
      <alignment horizontal="center"/>
    </xf>
    <xf borderId="20" fillId="0" fontId="8" numFmtId="164" xfId="0" applyAlignment="1" applyBorder="1" applyFont="1" applyNumberFormat="1">
      <alignment vertical="center"/>
    </xf>
    <xf borderId="6" fillId="0" fontId="8" numFmtId="3" xfId="0" applyAlignment="1" applyBorder="1" applyFont="1" applyNumberFormat="1">
      <alignment horizontal="left" vertical="center"/>
    </xf>
    <xf borderId="6" fillId="0" fontId="8" numFmtId="165" xfId="0" applyAlignment="1" applyBorder="1" applyFont="1" applyNumberFormat="1">
      <alignment vertical="center"/>
    </xf>
    <xf borderId="17" fillId="9" fontId="19" numFmtId="0" xfId="0" applyAlignment="1" applyBorder="1" applyFill="1" applyFont="1">
      <alignment vertical="center"/>
    </xf>
    <xf borderId="17" fillId="9" fontId="19" numFmtId="2" xfId="0" applyAlignment="1" applyBorder="1" applyFont="1" applyNumberFormat="1">
      <alignment vertical="center"/>
    </xf>
    <xf borderId="18" fillId="9" fontId="19" numFmtId="2" xfId="0" applyAlignment="1" applyBorder="1" applyFont="1" applyNumberFormat="1">
      <alignment vertical="center"/>
    </xf>
    <xf borderId="6" fillId="0" fontId="1" numFmtId="0" xfId="0" applyAlignment="1" applyBorder="1" applyFont="1">
      <alignment vertical="center"/>
    </xf>
    <xf borderId="6" fillId="0" fontId="1" numFmtId="1" xfId="0" applyBorder="1" applyFont="1" applyNumberFormat="1"/>
    <xf borderId="6" fillId="10" fontId="1" numFmtId="0" xfId="0" applyAlignment="1" applyBorder="1" applyFill="1" applyFont="1">
      <alignment vertical="center"/>
    </xf>
    <xf borderId="6" fillId="10" fontId="1" numFmtId="167" xfId="0" applyAlignment="1" applyBorder="1" applyFont="1" applyNumberFormat="1">
      <alignment vertical="center"/>
    </xf>
    <xf borderId="10" fillId="11" fontId="21" numFmtId="0" xfId="0" applyAlignment="1" applyBorder="1" applyFill="1" applyFont="1">
      <alignment horizontal="center" vertical="center"/>
    </xf>
    <xf borderId="10" fillId="11" fontId="20" numFmtId="0" xfId="0" applyAlignment="1" applyBorder="1" applyFont="1">
      <alignment horizontal="center" shrinkToFit="0" vertical="center" wrapText="1"/>
    </xf>
    <xf borderId="11" fillId="11" fontId="21" numFmtId="0" xfId="0" applyAlignment="1" applyBorder="1" applyFont="1">
      <alignment horizontal="center" vertical="center"/>
    </xf>
    <xf borderId="6" fillId="11" fontId="20" numFmtId="3" xfId="0" applyAlignment="1" applyBorder="1" applyFont="1" applyNumberFormat="1">
      <alignment horizontal="center" shrinkToFit="0" vertical="center" wrapText="1"/>
    </xf>
    <xf borderId="6" fillId="0" fontId="8" numFmtId="3" xfId="0" applyAlignment="1" applyBorder="1" applyFont="1" applyNumberFormat="1">
      <alignment vertical="center"/>
    </xf>
    <xf borderId="6" fillId="0" fontId="8" numFmtId="167" xfId="0" applyAlignment="1" applyBorder="1" applyFont="1" applyNumberFormat="1">
      <alignment vertical="center"/>
    </xf>
    <xf borderId="6" fillId="11" fontId="21" numFmtId="0" xfId="0" applyAlignment="1" applyBorder="1" applyFont="1">
      <alignment vertical="center"/>
    </xf>
    <xf borderId="6" fillId="11" fontId="21" numFmtId="0" xfId="0" applyAlignment="1" applyBorder="1" applyFont="1">
      <alignment horizontal="left"/>
    </xf>
    <xf borderId="6" fillId="0" fontId="1" numFmtId="1" xfId="0" applyAlignment="1" applyBorder="1" applyFont="1" applyNumberFormat="1">
      <alignment horizontal="center"/>
    </xf>
    <xf borderId="6" fillId="0" fontId="8" numFmtId="0" xfId="0" applyAlignment="1" applyBorder="1" applyFont="1">
      <alignment vertical="center"/>
    </xf>
    <xf borderId="6" fillId="0" fontId="1" numFmtId="0" xfId="0" applyAlignment="1" applyBorder="1" applyFont="1">
      <alignment horizontal="center"/>
    </xf>
    <xf borderId="6" fillId="11" fontId="21" numFmtId="3" xfId="0" applyAlignment="1" applyBorder="1" applyFont="1" applyNumberFormat="1">
      <alignment horizontal="left"/>
    </xf>
    <xf borderId="6" fillId="0" fontId="1" numFmtId="3" xfId="0" applyAlignment="1" applyBorder="1" applyFont="1" applyNumberFormat="1">
      <alignment horizontal="center"/>
    </xf>
    <xf borderId="21" fillId="6" fontId="16" numFmtId="0" xfId="0" applyAlignment="1" applyBorder="1" applyFont="1">
      <alignment horizontal="center" vertical="center"/>
    </xf>
    <xf borderId="21" fillId="6" fontId="16" numFmtId="2" xfId="0" applyAlignment="1" applyBorder="1" applyFont="1" applyNumberFormat="1">
      <alignment horizontal="center" vertical="center"/>
    </xf>
    <xf borderId="22" fillId="6" fontId="16" numFmtId="4" xfId="0" applyAlignment="1" applyBorder="1" applyFont="1" applyNumberFormat="1">
      <alignment horizontal="center" vertical="center"/>
    </xf>
    <xf borderId="0" fillId="0" fontId="8" numFmtId="3" xfId="0" applyAlignment="1" applyFont="1" applyNumberFormat="1">
      <alignment vertical="center"/>
    </xf>
    <xf borderId="11" fillId="11" fontId="20" numFmtId="3" xfId="0" applyAlignment="1" applyBorder="1" applyFont="1" applyNumberFormat="1">
      <alignment horizontal="center" shrinkToFit="0" vertical="center" wrapText="1"/>
    </xf>
    <xf borderId="0" fillId="0" fontId="7" numFmtId="2" xfId="0" applyFont="1" applyNumberFormat="1"/>
    <xf borderId="0" fillId="0" fontId="7" numFmtId="4" xfId="0" applyFont="1" applyNumberFormat="1"/>
    <xf borderId="6" fillId="11" fontId="20" numFmtId="168" xfId="0" applyAlignment="1" applyBorder="1" applyFont="1" applyNumberFormat="1">
      <alignment horizontal="center" shrinkToFit="0" vertical="center" wrapText="1"/>
    </xf>
    <xf borderId="2" fillId="2" fontId="4" numFmtId="0" xfId="0" applyAlignment="1" applyBorder="1" applyFont="1">
      <alignment horizontal="right"/>
    </xf>
    <xf borderId="6" fillId="7" fontId="17" numFmtId="0" xfId="0" applyBorder="1" applyFont="1"/>
    <xf borderId="6" fillId="7" fontId="22" numFmtId="0" xfId="0" applyAlignment="1" applyBorder="1" applyFont="1">
      <alignment horizontal="center"/>
    </xf>
    <xf borderId="6" fillId="7" fontId="22" numFmtId="0" xfId="0" applyBorder="1" applyFont="1"/>
    <xf borderId="6" fillId="2" fontId="22" numFmtId="167" xfId="0" applyBorder="1" applyFont="1" applyNumberFormat="1"/>
    <xf borderId="6" fillId="2" fontId="23" numFmtId="167" xfId="0" applyBorder="1" applyFont="1" applyNumberFormat="1"/>
    <xf borderId="6" fillId="9" fontId="23" numFmtId="167" xfId="0" applyBorder="1" applyFont="1" applyNumberFormat="1"/>
    <xf borderId="23" fillId="0" fontId="8" numFmtId="164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/>
    </xf>
    <xf borderId="1" fillId="10" fontId="1" numFmtId="0" xfId="0" applyAlignment="1" applyBorder="1" applyFont="1">
      <alignment vertical="center"/>
    </xf>
    <xf borderId="6" fillId="8" fontId="21" numFmtId="0" xfId="0" applyAlignment="1" applyBorder="1" applyFont="1">
      <alignment vertical="center"/>
    </xf>
    <xf borderId="6" fillId="2" fontId="1" numFmtId="1" xfId="0" applyBorder="1" applyFont="1" applyNumberFormat="1"/>
    <xf borderId="6" fillId="8" fontId="20" numFmtId="0" xfId="0" applyAlignment="1" applyBorder="1" applyFont="1">
      <alignment horizontal="center" shrinkToFit="0" vertical="center" wrapText="1"/>
    </xf>
    <xf borderId="6" fillId="8" fontId="20" numFmtId="3" xfId="0" applyAlignment="1" applyBorder="1" applyFont="1" applyNumberFormat="1">
      <alignment horizontal="center" shrinkToFit="0" vertical="center" wrapText="1"/>
    </xf>
    <xf borderId="0" fillId="0" fontId="1" numFmtId="167" xfId="0" applyAlignment="1" applyFont="1" applyNumberFormat="1">
      <alignment vertical="center"/>
    </xf>
    <xf borderId="10" fillId="0" fontId="7" numFmtId="166" xfId="0" applyAlignment="1" applyBorder="1" applyFont="1" applyNumberFormat="1">
      <alignment horizontal="center" vertical="center"/>
    </xf>
    <xf borderId="0" fillId="0" fontId="8" numFmtId="0" xfId="0" applyFont="1"/>
    <xf borderId="6" fillId="0" fontId="24" numFmtId="0" xfId="0" applyBorder="1" applyFont="1"/>
    <xf borderId="6" fillId="8" fontId="20" numFmtId="3" xfId="0" applyAlignment="1" applyBorder="1" applyFont="1" applyNumberFormat="1">
      <alignment horizontal="center" vertical="center"/>
    </xf>
    <xf borderId="20" fillId="0" fontId="8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1" numFmtId="1" xfId="0" applyBorder="1" applyFont="1" applyNumberFormat="1"/>
    <xf borderId="11" fillId="5" fontId="15" numFmtId="3" xfId="0" applyAlignment="1" applyBorder="1" applyFont="1" applyNumberFormat="1">
      <alignment horizontal="center" shrinkToFit="0" vertical="center" wrapText="1"/>
    </xf>
    <xf borderId="6" fillId="5" fontId="15" numFmtId="1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8" numFmtId="164" xfId="0" applyAlignment="1" applyFont="1" applyNumberFormat="1">
      <alignment vertical="center"/>
    </xf>
    <xf borderId="0" fillId="0" fontId="17" numFmtId="0" xfId="0" applyAlignment="1" applyFont="1">
      <alignment vertical="center"/>
    </xf>
    <xf borderId="6" fillId="3" fontId="17" numFmtId="3" xfId="0" applyAlignment="1" applyBorder="1" applyFont="1" applyNumberFormat="1">
      <alignment vertical="center"/>
    </xf>
    <xf borderId="6" fillId="3" fontId="17" numFmtId="165" xfId="0" applyAlignment="1" applyBorder="1" applyFont="1" applyNumberFormat="1">
      <alignment vertical="center"/>
    </xf>
    <xf borderId="0" fillId="0" fontId="17" numFmtId="3" xfId="0" applyAlignment="1" applyFont="1" applyNumberFormat="1">
      <alignment vertical="center"/>
    </xf>
    <xf borderId="0" fillId="0" fontId="4" numFmtId="0" xfId="0" applyAlignment="1" applyFont="1">
      <alignment vertical="center"/>
    </xf>
    <xf borderId="6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" fillId="0" fontId="25" numFmtId="0" xfId="0" applyBorder="1" applyFont="1"/>
    <xf borderId="6" fillId="0" fontId="25" numFmtId="1" xfId="0" applyBorder="1" applyFont="1" applyNumberFormat="1"/>
    <xf borderId="6" fillId="0" fontId="25" numFmtId="166" xfId="0" applyBorder="1" applyFont="1" applyNumberFormat="1"/>
    <xf borderId="0" fillId="0" fontId="25" numFmtId="0" xfId="0" applyAlignment="1" applyFont="1">
      <alignment shrinkToFit="0" wrapText="1"/>
    </xf>
    <xf borderId="6" fillId="0" fontId="17" numFmtId="0" xfId="0" applyAlignment="1" applyBorder="1" applyFont="1">
      <alignment vertical="center"/>
    </xf>
    <xf borderId="6" fillId="0" fontId="25" numFmtId="2" xfId="0" applyBorder="1" applyFont="1" applyNumberFormat="1"/>
    <xf borderId="6" fillId="12" fontId="17" numFmtId="0" xfId="0" applyBorder="1" applyFill="1" applyFont="1"/>
    <xf borderId="6" fillId="13" fontId="26" numFmtId="0" xfId="0" applyAlignment="1" applyBorder="1" applyFill="1" applyFont="1">
      <alignment horizontal="center" shrinkToFit="0" vertical="center" wrapText="1"/>
    </xf>
    <xf borderId="6" fillId="14" fontId="26" numFmtId="0" xfId="0" applyAlignment="1" applyBorder="1" applyFill="1" applyFont="1">
      <alignment horizontal="center" shrinkToFit="0" vertical="center" wrapText="1"/>
    </xf>
    <xf borderId="6" fillId="15" fontId="26" numFmtId="0" xfId="0" applyAlignment="1" applyBorder="1" applyFill="1" applyFont="1">
      <alignment horizontal="center" shrinkToFit="0" vertical="center" wrapText="1"/>
    </xf>
    <xf borderId="6" fillId="16" fontId="26" numFmtId="0" xfId="0" applyAlignment="1" applyBorder="1" applyFill="1" applyFont="1">
      <alignment horizontal="center" shrinkToFit="0" vertical="center" wrapText="1"/>
    </xf>
    <xf borderId="6" fillId="17" fontId="17" numFmtId="0" xfId="0" applyAlignment="1" applyBorder="1" applyFill="1" applyFont="1">
      <alignment horizontal="center" vertical="bottom"/>
    </xf>
    <xf borderId="6" fillId="0" fontId="25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os origin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Q126" displayName="Table_1" name="Table_1" id="1">
  <tableColumns count="16">
    <tableColumn name="DEPARTAMENTO" id="1"/>
    <tableColumn name="MUNICIPIO" id="2"/>
    <tableColumn name="2011" id="3"/>
    <tableColumn name="2012" id="4"/>
    <tableColumn name="2013" id="5"/>
    <tableColumn name="2014" id="6"/>
    <tableColumn name="2015" id="7"/>
    <tableColumn name="2016" id="8"/>
    <tableColumn name="2017" id="9"/>
    <tableColumn name="2018" id="10"/>
    <tableColumn name="2019" id="11"/>
    <tableColumn name="2020" id="12"/>
    <tableColumn name="2021" id="13"/>
    <tableColumn name="2022" id="14"/>
    <tableColumn name="2023" id="15"/>
    <tableColumn name="2024" id="16"/>
  </tableColumns>
  <tableStyleInfo name="Datos origi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7.71"/>
    <col customWidth="1" min="3" max="3" width="30.71"/>
    <col customWidth="1" min="4" max="15" width="8.71"/>
    <col customWidth="1" min="16" max="16" width="8.57"/>
    <col customWidth="1" min="17" max="32" width="11.43"/>
    <col customWidth="1" min="33" max="38" width="10.71"/>
    <col customWidth="1" min="39" max="39" width="8.57"/>
    <col customWidth="1" min="40" max="40" width="22.14"/>
    <col customWidth="1" min="41" max="60" width="9.71"/>
    <col customWidth="1" min="61" max="61" width="12.71"/>
    <col customWidth="1" min="62" max="62" width="12.14"/>
    <col customWidth="1" min="63" max="63" width="12.71"/>
    <col customWidth="1" min="64" max="64" width="12.14"/>
    <col customWidth="1" min="65" max="65" width="12.71"/>
    <col customWidth="1" min="66" max="66" width="12.14"/>
    <col customWidth="1" min="67" max="67" width="12.71"/>
    <col customWidth="1" min="68" max="68" width="12.14"/>
    <col customWidth="1" min="69" max="69" width="16.0"/>
    <col customWidth="1" min="70" max="70" width="5.14"/>
    <col customWidth="1" min="71" max="78" width="11.43"/>
    <col customWidth="1" min="79" max="104" width="10.71"/>
    <col customWidth="1" min="105" max="105" width="14.14"/>
    <col customWidth="1" min="106" max="106" width="28.14"/>
    <col customWidth="1" min="107" max="120" width="8.43"/>
    <col customWidth="1" min="121" max="134" width="11.43"/>
    <col customWidth="1" min="135" max="137" width="10.71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  <c r="AF1" s="6"/>
      <c r="AM1" s="7" t="s">
        <v>0</v>
      </c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4"/>
      <c r="BQ1" s="8"/>
      <c r="BR1" s="8"/>
      <c r="BS1" s="8"/>
      <c r="BT1" s="8"/>
      <c r="BU1" s="8"/>
      <c r="BV1" s="8"/>
      <c r="BW1" s="8"/>
      <c r="BX1" s="8"/>
      <c r="BY1" s="8"/>
      <c r="BZ1" s="8"/>
      <c r="DA1" s="7" t="s">
        <v>0</v>
      </c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4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</row>
    <row r="2" ht="14.25" customHeight="1">
      <c r="A2" s="1"/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6"/>
      <c r="AM2" s="7" t="s">
        <v>1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4"/>
      <c r="BQ2" s="8"/>
      <c r="BR2" s="8"/>
      <c r="BS2" s="8"/>
      <c r="BT2" s="8"/>
      <c r="BU2" s="8"/>
      <c r="BV2" s="8"/>
      <c r="BW2" s="8"/>
      <c r="BX2" s="8"/>
      <c r="BY2" s="8"/>
      <c r="BZ2" s="8"/>
      <c r="DA2" s="7" t="s">
        <v>1</v>
      </c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4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</row>
    <row r="3" ht="14.25" customHeight="1">
      <c r="A3" s="1"/>
      <c r="B3" s="2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6"/>
      <c r="AF3" s="6"/>
      <c r="AM3" s="7" t="s">
        <v>2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4"/>
      <c r="BQ3" s="8"/>
      <c r="BR3" s="8"/>
      <c r="BS3" s="8"/>
      <c r="BT3" s="8"/>
      <c r="BU3" s="8"/>
      <c r="BV3" s="8"/>
      <c r="BW3" s="8"/>
      <c r="BX3" s="8"/>
      <c r="BY3" s="8"/>
      <c r="BZ3" s="8"/>
      <c r="DA3" s="7" t="s">
        <v>2</v>
      </c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4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</row>
    <row r="4" ht="14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M4" s="13"/>
      <c r="AN4" s="14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"/>
      <c r="BJ4" s="1"/>
      <c r="BK4" s="1"/>
      <c r="BL4" s="1"/>
      <c r="BM4" s="1"/>
      <c r="BN4" s="1"/>
      <c r="BO4" s="1"/>
      <c r="BP4" s="1"/>
      <c r="BQ4" s="6"/>
      <c r="BR4" s="6"/>
      <c r="BS4" s="6"/>
      <c r="BT4" s="6"/>
      <c r="BU4" s="6"/>
      <c r="BV4" s="6"/>
      <c r="BW4" s="6"/>
      <c r="BX4" s="6"/>
      <c r="BY4" s="6"/>
      <c r="BZ4" s="6"/>
      <c r="DA4" s="15"/>
      <c r="DB4" s="16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</row>
    <row r="5" ht="14.25" customHeight="1">
      <c r="A5" s="18"/>
      <c r="B5" s="19" t="s">
        <v>3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M5" s="20" t="s">
        <v>4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21"/>
      <c r="BR5" s="21"/>
      <c r="BS5" s="21"/>
      <c r="BT5" s="21"/>
      <c r="BU5" s="21"/>
      <c r="BV5" s="21"/>
      <c r="BW5" s="21"/>
      <c r="BX5" s="21"/>
      <c r="BY5" s="21"/>
      <c r="BZ5" s="21"/>
      <c r="DA5" s="22" t="s">
        <v>5</v>
      </c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23"/>
      <c r="DR5" s="23"/>
      <c r="DS5" s="24" t="s">
        <v>6</v>
      </c>
      <c r="DT5" s="25">
        <v>2011.0</v>
      </c>
      <c r="DU5" s="26">
        <v>2012.0</v>
      </c>
      <c r="DV5" s="25">
        <v>2013.0</v>
      </c>
      <c r="DW5" s="26">
        <v>2014.0</v>
      </c>
      <c r="DX5" s="25">
        <v>2015.0</v>
      </c>
      <c r="DY5" s="25">
        <v>2016.0</v>
      </c>
      <c r="DZ5" s="25">
        <v>2017.0</v>
      </c>
      <c r="EA5" s="25">
        <v>2018.0</v>
      </c>
      <c r="EB5" s="25">
        <v>2019.0</v>
      </c>
      <c r="EC5" s="25">
        <v>2020.0</v>
      </c>
      <c r="ED5" s="25">
        <v>2021.0</v>
      </c>
      <c r="EE5" s="25">
        <v>2022.0</v>
      </c>
      <c r="EF5" s="25">
        <v>2023.0</v>
      </c>
      <c r="EG5" s="25">
        <v>2024.0</v>
      </c>
    </row>
    <row r="6" ht="14.25" customHeight="1">
      <c r="A6" s="12"/>
      <c r="B6" s="27" t="s">
        <v>7</v>
      </c>
      <c r="C6" s="28" t="s">
        <v>8</v>
      </c>
      <c r="D6" s="28" t="s">
        <v>9</v>
      </c>
      <c r="E6" s="28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28" t="s">
        <v>15</v>
      </c>
      <c r="K6" s="28" t="s">
        <v>16</v>
      </c>
      <c r="L6" s="28" t="s">
        <v>17</v>
      </c>
      <c r="M6" s="28" t="s">
        <v>18</v>
      </c>
      <c r="N6" s="28" t="s">
        <v>19</v>
      </c>
      <c r="O6" s="28" t="s">
        <v>20</v>
      </c>
      <c r="P6" s="28" t="s">
        <v>21</v>
      </c>
      <c r="Q6" s="28" t="s">
        <v>22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M6" s="30" t="s">
        <v>23</v>
      </c>
      <c r="AN6" s="31" t="s">
        <v>24</v>
      </c>
      <c r="AO6" s="32">
        <v>2011.0</v>
      </c>
      <c r="AP6" s="33"/>
      <c r="AQ6" s="32">
        <v>2012.0</v>
      </c>
      <c r="AR6" s="33"/>
      <c r="AS6" s="32">
        <v>2013.0</v>
      </c>
      <c r="AT6" s="33"/>
      <c r="AU6" s="32">
        <v>2014.0</v>
      </c>
      <c r="AV6" s="33"/>
      <c r="AW6" s="32">
        <v>2015.0</v>
      </c>
      <c r="AX6" s="33"/>
      <c r="AY6" s="32">
        <v>2016.0</v>
      </c>
      <c r="AZ6" s="33"/>
      <c r="BA6" s="32">
        <v>2017.0</v>
      </c>
      <c r="BB6" s="33"/>
      <c r="BC6" s="32">
        <v>2018.0</v>
      </c>
      <c r="BD6" s="33"/>
      <c r="BE6" s="32">
        <v>2019.0</v>
      </c>
      <c r="BF6" s="33"/>
      <c r="BG6" s="32">
        <v>2020.0</v>
      </c>
      <c r="BH6" s="33"/>
      <c r="BI6" s="32">
        <v>2021.0</v>
      </c>
      <c r="BJ6" s="33"/>
      <c r="BK6" s="32">
        <v>2022.0</v>
      </c>
      <c r="BL6" s="33"/>
      <c r="BM6" s="32">
        <v>2023.0</v>
      </c>
      <c r="BN6" s="33"/>
      <c r="BO6" s="32">
        <v>2024.0</v>
      </c>
      <c r="BP6" s="33"/>
      <c r="BQ6" s="34"/>
      <c r="BR6" s="34"/>
      <c r="BS6" s="34"/>
      <c r="BT6" s="34"/>
      <c r="BU6" s="34"/>
      <c r="BV6" s="34"/>
      <c r="BW6" s="34"/>
      <c r="BX6" s="34"/>
      <c r="BY6" s="34"/>
      <c r="BZ6" s="34"/>
      <c r="DA6" s="35" t="s">
        <v>25</v>
      </c>
      <c r="DB6" s="24" t="s">
        <v>6</v>
      </c>
      <c r="DC6" s="25">
        <v>2011.0</v>
      </c>
      <c r="DD6" s="26">
        <v>2012.0</v>
      </c>
      <c r="DE6" s="25">
        <v>2013.0</v>
      </c>
      <c r="DF6" s="26">
        <v>2014.0</v>
      </c>
      <c r="DG6" s="25">
        <v>2015.0</v>
      </c>
      <c r="DH6" s="25">
        <v>2016.0</v>
      </c>
      <c r="DI6" s="25">
        <v>2017.0</v>
      </c>
      <c r="DJ6" s="25">
        <v>2018.0</v>
      </c>
      <c r="DK6" s="25">
        <v>2019.0</v>
      </c>
      <c r="DL6" s="25">
        <v>2020.0</v>
      </c>
      <c r="DM6" s="25">
        <v>2021.0</v>
      </c>
      <c r="DN6" s="25">
        <v>2022.0</v>
      </c>
      <c r="DO6" s="25">
        <v>2023.0</v>
      </c>
      <c r="DP6" s="25">
        <v>2024.0</v>
      </c>
      <c r="DQ6" s="15"/>
      <c r="DR6" s="15"/>
      <c r="DS6" s="24" t="s">
        <v>26</v>
      </c>
      <c r="DT6" s="36">
        <v>24.689412219536326</v>
      </c>
      <c r="DU6" s="36">
        <v>23.261994794997094</v>
      </c>
      <c r="DV6" s="36">
        <v>30.264533342809507</v>
      </c>
      <c r="DW6" s="36">
        <v>9.068528807606064</v>
      </c>
      <c r="DX6" s="36">
        <v>21.798701576250338</v>
      </c>
      <c r="DY6" s="36">
        <v>26.99099216285649</v>
      </c>
      <c r="DZ6" s="36">
        <v>13.26465431712853</v>
      </c>
      <c r="EA6" s="36">
        <v>11.585567692816948</v>
      </c>
      <c r="EB6" s="36">
        <v>29.632678714486154</v>
      </c>
      <c r="EC6" s="36">
        <v>44.65504637254815</v>
      </c>
      <c r="ED6" s="36"/>
      <c r="EE6" s="36">
        <v>38.181449383727546</v>
      </c>
      <c r="EF6" s="36">
        <v>41.094919817670814</v>
      </c>
      <c r="EG6" s="36">
        <v>7.854539441500905</v>
      </c>
    </row>
    <row r="7" ht="14.25" customHeight="1">
      <c r="A7" s="12"/>
      <c r="B7" s="37" t="s">
        <v>27</v>
      </c>
      <c r="C7" s="38" t="s">
        <v>28</v>
      </c>
      <c r="D7" s="39">
        <v>12.546846993645104</v>
      </c>
      <c r="E7" s="39">
        <v>9.613817826299494</v>
      </c>
      <c r="F7" s="39">
        <v>6.517842594101353</v>
      </c>
      <c r="G7" s="39">
        <v>3.747759491608278</v>
      </c>
      <c r="H7" s="39">
        <v>0.16294606485253382</v>
      </c>
      <c r="I7" s="39">
        <v>0.8147303242626691</v>
      </c>
      <c r="J7" s="39">
        <v>1.9553527782304059</v>
      </c>
      <c r="K7" s="39">
        <v>0.0</v>
      </c>
      <c r="L7" s="39">
        <v>0.0</v>
      </c>
      <c r="M7" s="39">
        <v>0.0</v>
      </c>
      <c r="N7" s="39">
        <v>0.0</v>
      </c>
      <c r="O7" s="39">
        <v>0.0</v>
      </c>
      <c r="P7" s="39">
        <v>0.0</v>
      </c>
      <c r="Q7" s="39">
        <v>0.0</v>
      </c>
      <c r="R7" s="12"/>
      <c r="S7" s="12"/>
      <c r="T7" s="12"/>
      <c r="U7" s="40" t="s">
        <v>7</v>
      </c>
      <c r="V7" s="41" t="s">
        <v>10</v>
      </c>
      <c r="W7" s="41" t="s">
        <v>11</v>
      </c>
      <c r="X7" s="41" t="s">
        <v>12</v>
      </c>
      <c r="Y7" s="41" t="s">
        <v>13</v>
      </c>
      <c r="Z7" s="41" t="s">
        <v>14</v>
      </c>
      <c r="AA7" s="41" t="s">
        <v>15</v>
      </c>
      <c r="AB7" s="41" t="s">
        <v>16</v>
      </c>
      <c r="AC7" s="41" t="s">
        <v>17</v>
      </c>
      <c r="AD7" s="41" t="s">
        <v>18</v>
      </c>
      <c r="AE7" s="41" t="s">
        <v>19</v>
      </c>
      <c r="AF7" s="41" t="s">
        <v>20</v>
      </c>
      <c r="AG7" s="41">
        <v>2023.0</v>
      </c>
      <c r="AH7" s="41" t="s">
        <v>22</v>
      </c>
      <c r="AM7" s="42"/>
      <c r="AN7" s="42"/>
      <c r="AO7" s="43" t="s">
        <v>29</v>
      </c>
      <c r="AP7" s="43" t="s">
        <v>30</v>
      </c>
      <c r="AQ7" s="43" t="s">
        <v>29</v>
      </c>
      <c r="AR7" s="43" t="s">
        <v>30</v>
      </c>
      <c r="AS7" s="43" t="s">
        <v>29</v>
      </c>
      <c r="AT7" s="43" t="s">
        <v>30</v>
      </c>
      <c r="AU7" s="43" t="s">
        <v>29</v>
      </c>
      <c r="AV7" s="43" t="s">
        <v>30</v>
      </c>
      <c r="AW7" s="43" t="s">
        <v>29</v>
      </c>
      <c r="AX7" s="43" t="s">
        <v>30</v>
      </c>
      <c r="AY7" s="43" t="s">
        <v>29</v>
      </c>
      <c r="AZ7" s="43" t="s">
        <v>30</v>
      </c>
      <c r="BA7" s="43" t="s">
        <v>29</v>
      </c>
      <c r="BB7" s="43" t="s">
        <v>30</v>
      </c>
      <c r="BC7" s="43" t="s">
        <v>29</v>
      </c>
      <c r="BD7" s="43" t="s">
        <v>30</v>
      </c>
      <c r="BE7" s="43" t="s">
        <v>29</v>
      </c>
      <c r="BF7" s="43" t="s">
        <v>30</v>
      </c>
      <c r="BG7" s="43" t="s">
        <v>29</v>
      </c>
      <c r="BH7" s="43" t="s">
        <v>30</v>
      </c>
      <c r="BI7" s="43" t="s">
        <v>29</v>
      </c>
      <c r="BJ7" s="43" t="s">
        <v>30</v>
      </c>
      <c r="BK7" s="43" t="s">
        <v>29</v>
      </c>
      <c r="BL7" s="43" t="s">
        <v>30</v>
      </c>
      <c r="BM7" s="43" t="s">
        <v>29</v>
      </c>
      <c r="BN7" s="43" t="s">
        <v>30</v>
      </c>
      <c r="BO7" s="43" t="s">
        <v>29</v>
      </c>
      <c r="BP7" s="43" t="s">
        <v>30</v>
      </c>
      <c r="BQ7" s="34"/>
      <c r="BR7" s="34"/>
      <c r="BS7" s="34"/>
      <c r="BT7" s="44"/>
      <c r="BU7" s="45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DA7" s="47" t="s">
        <v>31</v>
      </c>
      <c r="DB7" s="24" t="s">
        <v>26</v>
      </c>
      <c r="DC7" s="36">
        <v>24.689412219536326</v>
      </c>
      <c r="DD7" s="36">
        <v>23.261994794997094</v>
      </c>
      <c r="DE7" s="36">
        <v>30.264533342809507</v>
      </c>
      <c r="DF7" s="36">
        <v>9.068528807606064</v>
      </c>
      <c r="DG7" s="36">
        <v>21.798701576250338</v>
      </c>
      <c r="DH7" s="36">
        <v>26.99099216285649</v>
      </c>
      <c r="DI7" s="36">
        <v>13.26465431712853</v>
      </c>
      <c r="DJ7" s="36">
        <v>11.585567692816948</v>
      </c>
      <c r="DK7" s="36">
        <v>29.632678714486154</v>
      </c>
      <c r="DL7" s="36">
        <v>44.65504637254815</v>
      </c>
      <c r="DM7" s="36"/>
      <c r="DN7" s="36">
        <v>38.181449383727546</v>
      </c>
      <c r="DO7" s="36">
        <v>41.094919817670814</v>
      </c>
      <c r="DP7" s="36">
        <v>7.854539441500905</v>
      </c>
      <c r="DQ7" s="15"/>
      <c r="DR7" s="15"/>
      <c r="DS7" s="48" t="s">
        <v>32</v>
      </c>
      <c r="DT7" s="36">
        <v>4.823867733449589</v>
      </c>
      <c r="DU7" s="36">
        <v>9.27920463960232</v>
      </c>
      <c r="DV7" s="36">
        <v>12.838468720821663</v>
      </c>
      <c r="DW7" s="36">
        <v>3.53545830934968</v>
      </c>
      <c r="DX7" s="36">
        <v>3.996311097448509</v>
      </c>
      <c r="DY7" s="36">
        <v>7.229386479093396</v>
      </c>
      <c r="DZ7" s="36">
        <v>4.108632236328526</v>
      </c>
      <c r="EA7" s="36">
        <v>1.9415119524329572</v>
      </c>
      <c r="EB7" s="36"/>
      <c r="EC7" s="36">
        <v>54.57359516062254</v>
      </c>
      <c r="ED7" s="36">
        <v>0.6</v>
      </c>
      <c r="EE7" s="36">
        <v>2.9</v>
      </c>
      <c r="EF7" s="36">
        <v>41.960653065313366</v>
      </c>
      <c r="EG7" s="36">
        <v>9.130006487109872</v>
      </c>
    </row>
    <row r="8" ht="14.25" customHeight="1">
      <c r="A8" s="12"/>
      <c r="B8" s="37" t="s">
        <v>27</v>
      </c>
      <c r="C8" s="38" t="s">
        <v>33</v>
      </c>
      <c r="D8" s="39">
        <v>0.0</v>
      </c>
      <c r="E8" s="39">
        <v>0.0</v>
      </c>
      <c r="F8" s="39">
        <v>0.30395136778115506</v>
      </c>
      <c r="G8" s="39">
        <v>0.15197568389057753</v>
      </c>
      <c r="H8" s="39">
        <v>0.0</v>
      </c>
      <c r="I8" s="49">
        <v>0.0</v>
      </c>
      <c r="J8" s="39">
        <v>0.0</v>
      </c>
      <c r="K8" s="39">
        <v>0.0</v>
      </c>
      <c r="L8" s="39">
        <v>0.0</v>
      </c>
      <c r="M8" s="39">
        <v>0.0</v>
      </c>
      <c r="N8" s="39">
        <v>0.0</v>
      </c>
      <c r="O8" s="39">
        <v>0.0</v>
      </c>
      <c r="P8" s="39">
        <v>0.0</v>
      </c>
      <c r="Q8" s="39">
        <v>0.0</v>
      </c>
      <c r="R8" s="12"/>
      <c r="S8" s="12"/>
      <c r="T8" s="12"/>
      <c r="U8" s="50" t="s">
        <v>27</v>
      </c>
      <c r="V8" s="51">
        <v>14.898</v>
      </c>
      <c r="W8" s="51">
        <v>15.946</v>
      </c>
      <c r="X8" s="51">
        <v>15.877</v>
      </c>
      <c r="Y8" s="51">
        <v>12.405</v>
      </c>
      <c r="Z8" s="51">
        <v>9.135</v>
      </c>
      <c r="AA8" s="51">
        <v>7.875</v>
      </c>
      <c r="AB8" s="51">
        <v>11.381</v>
      </c>
      <c r="AC8" s="51">
        <v>14.766</v>
      </c>
      <c r="AD8" s="52">
        <v>18.057045805337356</v>
      </c>
      <c r="AE8" s="52">
        <v>17.19062892684802</v>
      </c>
      <c r="AF8" s="52">
        <v>16.484872131787174</v>
      </c>
      <c r="AG8" s="52">
        <v>17.537769464256</v>
      </c>
      <c r="AH8" s="52">
        <v>25.1576477068642</v>
      </c>
      <c r="AM8" s="53" t="s">
        <v>34</v>
      </c>
      <c r="AN8" s="54"/>
      <c r="AO8" s="55">
        <v>10.0</v>
      </c>
      <c r="AP8" s="55">
        <v>16.0</v>
      </c>
      <c r="AQ8" s="55">
        <v>14.0</v>
      </c>
      <c r="AR8" s="55">
        <v>15.0</v>
      </c>
      <c r="AS8" s="55">
        <v>19.0</v>
      </c>
      <c r="AT8" s="55">
        <v>10.0</v>
      </c>
      <c r="AU8" s="55">
        <v>19.0</v>
      </c>
      <c r="AV8" s="55">
        <v>10.0</v>
      </c>
      <c r="AW8" s="55">
        <v>22.0</v>
      </c>
      <c r="AX8" s="55">
        <v>7.0</v>
      </c>
      <c r="AY8" s="55">
        <v>20.0</v>
      </c>
      <c r="AZ8" s="55">
        <v>8.0</v>
      </c>
      <c r="BA8" s="55">
        <v>18.0</v>
      </c>
      <c r="BB8" s="55">
        <v>11.0</v>
      </c>
      <c r="BC8" s="55">
        <v>20.0</v>
      </c>
      <c r="BD8" s="55">
        <v>6.0</v>
      </c>
      <c r="BE8" s="55">
        <v>17.0</v>
      </c>
      <c r="BF8" s="55">
        <v>6.0</v>
      </c>
      <c r="BG8" s="55">
        <f t="shared" ref="BG8:BP8" si="1">COUNT(BG9:BG37)</f>
        <v>10</v>
      </c>
      <c r="BH8" s="55">
        <f t="shared" si="1"/>
        <v>7</v>
      </c>
      <c r="BI8" s="55">
        <f t="shared" si="1"/>
        <v>11</v>
      </c>
      <c r="BJ8" s="55">
        <f t="shared" si="1"/>
        <v>11</v>
      </c>
      <c r="BK8" s="55">
        <f t="shared" si="1"/>
        <v>9</v>
      </c>
      <c r="BL8" s="55">
        <f t="shared" si="1"/>
        <v>14</v>
      </c>
      <c r="BM8" s="55">
        <f t="shared" si="1"/>
        <v>13</v>
      </c>
      <c r="BN8" s="55">
        <f t="shared" si="1"/>
        <v>13</v>
      </c>
      <c r="BO8" s="55">
        <f t="shared" si="1"/>
        <v>10</v>
      </c>
      <c r="BP8" s="55">
        <f t="shared" si="1"/>
        <v>16</v>
      </c>
      <c r="BQ8" s="56"/>
      <c r="BR8" s="56"/>
      <c r="BS8" s="56"/>
      <c r="BT8" s="1"/>
      <c r="BU8" s="57" t="s">
        <v>35</v>
      </c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DA8" s="58"/>
      <c r="DB8" s="59" t="s">
        <v>36</v>
      </c>
      <c r="DC8" s="60"/>
      <c r="DD8" s="60"/>
      <c r="DE8" s="60"/>
      <c r="DF8" s="60"/>
      <c r="DG8" s="60"/>
      <c r="DH8" s="60">
        <v>1.9120458891013383</v>
      </c>
      <c r="DI8" s="60">
        <v>1.9036740909956216</v>
      </c>
      <c r="DJ8" s="60"/>
      <c r="DK8" s="60"/>
      <c r="DL8" s="60">
        <v>16.007683688170324</v>
      </c>
      <c r="DM8" s="60"/>
      <c r="DN8" s="60"/>
      <c r="DO8" s="60"/>
      <c r="DP8" s="60"/>
      <c r="DQ8" s="15"/>
      <c r="DR8" s="15"/>
      <c r="DS8" s="48" t="s">
        <v>37</v>
      </c>
      <c r="DT8" s="36">
        <v>2.235076452753836</v>
      </c>
      <c r="DU8" s="36">
        <v>0.4453874444331781</v>
      </c>
      <c r="DV8" s="36">
        <v>3.067059777984447</v>
      </c>
      <c r="DW8" s="36">
        <v>1.4896896288953951</v>
      </c>
      <c r="DX8" s="36">
        <v>2.2</v>
      </c>
      <c r="DY8" s="36">
        <v>0.5416345646860896</v>
      </c>
      <c r="DZ8" s="36">
        <v>0.13772163914176114</v>
      </c>
      <c r="EA8" s="36">
        <v>1.0079949918564615</v>
      </c>
      <c r="EB8" s="36">
        <v>65.06150850413903</v>
      </c>
      <c r="EC8" s="36">
        <v>4.6306527534318915</v>
      </c>
      <c r="ED8" s="36">
        <v>0.8</v>
      </c>
      <c r="EE8" s="36">
        <v>3.8051372409087403</v>
      </c>
      <c r="EF8" s="36">
        <v>4.331289852992434</v>
      </c>
      <c r="EG8" s="36">
        <v>43.922219440578196</v>
      </c>
    </row>
    <row r="9" ht="14.25" customHeight="1">
      <c r="A9" s="12"/>
      <c r="B9" s="37" t="s">
        <v>27</v>
      </c>
      <c r="C9" s="38" t="s">
        <v>38</v>
      </c>
      <c r="D9" s="39">
        <v>57.14887246186956</v>
      </c>
      <c r="E9" s="39">
        <v>90.60072985870684</v>
      </c>
      <c r="F9" s="39">
        <v>91.16215963319921</v>
      </c>
      <c r="G9" s="39">
        <v>75.79301955647048</v>
      </c>
      <c r="H9" s="39">
        <v>41.66276784878824</v>
      </c>
      <c r="I9" s="49">
        <v>18.71432581641246</v>
      </c>
      <c r="J9" s="39">
        <v>16.866286142041734</v>
      </c>
      <c r="K9" s="39">
        <v>41.75633947787031</v>
      </c>
      <c r="L9" s="39">
        <v>46.762421633760646</v>
      </c>
      <c r="M9" s="39">
        <v>40.77383737250866</v>
      </c>
      <c r="N9" s="39">
        <v>27.393094413773746</v>
      </c>
      <c r="O9" s="39">
        <v>38.22401048002246</v>
      </c>
      <c r="P9" s="39">
        <v>23.626836343220734</v>
      </c>
      <c r="Q9" s="39">
        <v>34.92561055487976</v>
      </c>
      <c r="R9" s="12"/>
      <c r="S9" s="12"/>
      <c r="T9" s="12"/>
      <c r="U9" s="61" t="s">
        <v>34</v>
      </c>
      <c r="V9" s="62">
        <v>0.388</v>
      </c>
      <c r="W9" s="62">
        <v>0.212</v>
      </c>
      <c r="X9" s="62">
        <v>0.402</v>
      </c>
      <c r="Y9" s="62">
        <v>0.187</v>
      </c>
      <c r="Z9" s="62">
        <v>0.059</v>
      </c>
      <c r="AA9" s="62">
        <v>0.005</v>
      </c>
      <c r="AB9" s="62">
        <v>0.0</v>
      </c>
      <c r="AC9" s="62">
        <v>0.003</v>
      </c>
      <c r="AD9" s="63">
        <v>0.0026776701056876392</v>
      </c>
      <c r="AE9" s="63">
        <v>0.0026776701056876392</v>
      </c>
      <c r="AF9" s="63">
        <v>0.0026776701056876392</v>
      </c>
      <c r="AG9" s="63">
        <v>0.0053553402113752785</v>
      </c>
      <c r="AH9" s="63">
        <v>0.008033010317062918</v>
      </c>
      <c r="AM9" s="64">
        <v>1.0</v>
      </c>
      <c r="AN9" s="65" t="s">
        <v>39</v>
      </c>
      <c r="AO9" s="66">
        <v>1.4</v>
      </c>
      <c r="AP9" s="66"/>
      <c r="AQ9" s="66">
        <v>1.7</v>
      </c>
      <c r="AR9" s="66"/>
      <c r="AS9" s="66">
        <v>0.6</v>
      </c>
      <c r="AT9" s="66"/>
      <c r="AU9" s="66">
        <v>2.1</v>
      </c>
      <c r="AV9" s="66"/>
      <c r="AW9" s="66">
        <v>1.3</v>
      </c>
      <c r="AX9" s="66"/>
      <c r="AY9" s="66">
        <v>0.4</v>
      </c>
      <c r="AZ9" s="66"/>
      <c r="BA9" s="66">
        <v>0.3</v>
      </c>
      <c r="BB9" s="66"/>
      <c r="BC9" s="66">
        <v>0.2</v>
      </c>
      <c r="BD9" s="66"/>
      <c r="BE9" s="67">
        <v>0.0</v>
      </c>
      <c r="BF9" s="67"/>
      <c r="BG9" s="67"/>
      <c r="BH9" s="67"/>
      <c r="BI9" s="67"/>
      <c r="BJ9" s="67"/>
      <c r="BK9" s="67"/>
      <c r="BL9" s="67"/>
      <c r="BM9" s="66"/>
      <c r="BN9" s="67">
        <v>3.580562659846547</v>
      </c>
      <c r="BO9" s="66"/>
      <c r="BP9" s="67">
        <v>12.4</v>
      </c>
      <c r="BQ9" s="6"/>
      <c r="BR9" s="6"/>
      <c r="BS9" s="6"/>
      <c r="BT9" s="68" t="s">
        <v>23</v>
      </c>
      <c r="BU9" s="69" t="s">
        <v>40</v>
      </c>
      <c r="BV9" s="70">
        <v>2011.0</v>
      </c>
      <c r="BW9" s="33"/>
      <c r="BX9" s="70">
        <v>2012.0</v>
      </c>
      <c r="BY9" s="33"/>
      <c r="BZ9" s="70">
        <v>2013.0</v>
      </c>
      <c r="CA9" s="33"/>
      <c r="CB9" s="70">
        <v>2014.0</v>
      </c>
      <c r="CC9" s="33"/>
      <c r="CD9" s="70">
        <v>2015.0</v>
      </c>
      <c r="CE9" s="33"/>
      <c r="CF9" s="70">
        <v>2016.0</v>
      </c>
      <c r="CG9" s="33"/>
      <c r="CH9" s="70">
        <v>2017.0</v>
      </c>
      <c r="CI9" s="33"/>
      <c r="CJ9" s="70">
        <v>2018.0</v>
      </c>
      <c r="CK9" s="33"/>
      <c r="CL9" s="70">
        <v>2019.0</v>
      </c>
      <c r="CM9" s="33"/>
      <c r="CN9" s="70">
        <v>2020.0</v>
      </c>
      <c r="CO9" s="33"/>
      <c r="CP9" s="70">
        <v>2021.0</v>
      </c>
      <c r="CQ9" s="33"/>
      <c r="CR9" s="70">
        <v>2022.0</v>
      </c>
      <c r="CS9" s="33"/>
      <c r="CT9" s="70">
        <v>2023.0</v>
      </c>
      <c r="CU9" s="33"/>
      <c r="CV9" s="70">
        <v>2024.0</v>
      </c>
      <c r="CW9" s="33"/>
      <c r="DA9" s="58"/>
      <c r="DB9" s="59" t="s">
        <v>41</v>
      </c>
      <c r="DC9" s="60"/>
      <c r="DD9" s="60"/>
      <c r="DE9" s="60"/>
      <c r="DF9" s="60"/>
      <c r="DG9" s="60"/>
      <c r="DH9" s="60"/>
      <c r="DI9" s="60"/>
      <c r="DJ9" s="60">
        <v>3.028009084027252</v>
      </c>
      <c r="DK9" s="60"/>
      <c r="DL9" s="60"/>
      <c r="DM9" s="60"/>
      <c r="DN9" s="60">
        <v>2.4479804161566707</v>
      </c>
      <c r="DO9" s="60"/>
      <c r="DP9" s="60"/>
      <c r="DQ9" s="15"/>
      <c r="DR9" s="15"/>
      <c r="DS9" s="48" t="s">
        <v>42</v>
      </c>
      <c r="DT9" s="36">
        <v>1.6844483945719375</v>
      </c>
      <c r="DU9" s="36">
        <v>10.212418300653596</v>
      </c>
      <c r="DV9" s="36">
        <v>18.038372537944355</v>
      </c>
      <c r="DW9" s="36">
        <v>7.531562352400527</v>
      </c>
      <c r="DX9" s="36">
        <v>12.262020006453694</v>
      </c>
      <c r="DY9" s="36">
        <v>1.3728802430594935</v>
      </c>
      <c r="DZ9" s="36">
        <v>5.840864007053119</v>
      </c>
      <c r="EA9" s="36">
        <v>30.36208552222787</v>
      </c>
      <c r="EB9" s="36">
        <v>66.15661785886914</v>
      </c>
      <c r="EC9" s="36">
        <v>31.899120902161055</v>
      </c>
      <c r="ED9" s="36">
        <v>35.442115379805855</v>
      </c>
      <c r="EE9" s="36">
        <v>23.74618633241655</v>
      </c>
      <c r="EF9" s="36">
        <v>58.15485885366332</v>
      </c>
      <c r="EG9" s="36">
        <v>61.223231144383405</v>
      </c>
    </row>
    <row r="10" ht="14.25" customHeight="1">
      <c r="A10" s="12"/>
      <c r="B10" s="37" t="s">
        <v>27</v>
      </c>
      <c r="C10" s="38" t="s">
        <v>43</v>
      </c>
      <c r="D10" s="39">
        <v>1.206480523957256</v>
      </c>
      <c r="E10" s="39">
        <v>0.7755946225439503</v>
      </c>
      <c r="F10" s="39">
        <v>0.8617718028266115</v>
      </c>
      <c r="G10" s="39">
        <v>1.2926577042399172</v>
      </c>
      <c r="H10" s="39">
        <v>5.515339538090314</v>
      </c>
      <c r="I10" s="49">
        <v>0.6894174422612892</v>
      </c>
      <c r="J10" s="39">
        <v>0.3447087211306446</v>
      </c>
      <c r="K10" s="39">
        <v>1.2926577042399172</v>
      </c>
      <c r="L10" s="39">
        <v>0.43088590141330574</v>
      </c>
      <c r="M10" s="39">
        <v>0.1723543605653223</v>
      </c>
      <c r="N10" s="39">
        <v>0.0</v>
      </c>
      <c r="O10" s="39">
        <v>0.0</v>
      </c>
      <c r="P10" s="39">
        <v>0.0</v>
      </c>
      <c r="Q10" s="39">
        <v>0.0</v>
      </c>
      <c r="R10" s="12"/>
      <c r="S10" s="12"/>
      <c r="T10" s="12"/>
      <c r="U10" s="50" t="s">
        <v>44</v>
      </c>
      <c r="V10" s="51">
        <v>0.061</v>
      </c>
      <c r="W10" s="51">
        <v>0.019</v>
      </c>
      <c r="X10" s="51">
        <v>0.029</v>
      </c>
      <c r="Y10" s="51">
        <v>0.019</v>
      </c>
      <c r="Z10" s="51">
        <v>0.016</v>
      </c>
      <c r="AA10" s="51">
        <v>0.007</v>
      </c>
      <c r="AB10" s="51">
        <v>0.006</v>
      </c>
      <c r="AC10" s="51">
        <v>0.029</v>
      </c>
      <c r="AD10" s="52">
        <v>0.017130694349868737</v>
      </c>
      <c r="AE10" s="52">
        <v>0.017130694349868737</v>
      </c>
      <c r="AF10" s="52">
        <v>0.0</v>
      </c>
      <c r="AG10" s="52">
        <v>0.007137789312445307</v>
      </c>
      <c r="AH10" s="52">
        <v>0.012848020762401552</v>
      </c>
      <c r="AM10" s="64">
        <v>2.0</v>
      </c>
      <c r="AN10" s="65" t="s">
        <v>45</v>
      </c>
      <c r="AO10" s="66"/>
      <c r="AP10" s="66">
        <v>3.2</v>
      </c>
      <c r="AQ10" s="66">
        <v>1.9</v>
      </c>
      <c r="AR10" s="66"/>
      <c r="AS10" s="66">
        <v>2.4</v>
      </c>
      <c r="AT10" s="66"/>
      <c r="AU10" s="66">
        <v>0.9</v>
      </c>
      <c r="AV10" s="66"/>
      <c r="AW10" s="66">
        <v>0.9</v>
      </c>
      <c r="AX10" s="66"/>
      <c r="AY10" s="67">
        <v>1.0</v>
      </c>
      <c r="AZ10" s="66"/>
      <c r="BA10" s="66">
        <v>2.4</v>
      </c>
      <c r="BB10" s="66"/>
      <c r="BC10" s="66">
        <v>1.7</v>
      </c>
      <c r="BD10" s="66"/>
      <c r="BE10" s="67">
        <v>1.7</v>
      </c>
      <c r="BF10" s="67"/>
      <c r="BG10" s="67">
        <v>1.1</v>
      </c>
      <c r="BH10" s="67"/>
      <c r="BI10" s="67"/>
      <c r="BJ10" s="67">
        <v>5.9</v>
      </c>
      <c r="BK10" s="67"/>
      <c r="BL10" s="67">
        <v>5.913348946135832</v>
      </c>
      <c r="BM10" s="67"/>
      <c r="BN10" s="67"/>
      <c r="BO10" s="67">
        <v>1.3</v>
      </c>
      <c r="BP10" s="67"/>
      <c r="BQ10" s="6"/>
      <c r="BR10" s="6"/>
      <c r="BS10" s="6"/>
      <c r="BT10" s="42"/>
      <c r="BU10" s="42"/>
      <c r="BV10" s="71" t="s">
        <v>29</v>
      </c>
      <c r="BW10" s="71" t="s">
        <v>30</v>
      </c>
      <c r="BX10" s="71" t="s">
        <v>29</v>
      </c>
      <c r="BY10" s="71" t="s">
        <v>30</v>
      </c>
      <c r="BZ10" s="71" t="s">
        <v>29</v>
      </c>
      <c r="CA10" s="71" t="s">
        <v>30</v>
      </c>
      <c r="CB10" s="71" t="s">
        <v>29</v>
      </c>
      <c r="CC10" s="71" t="s">
        <v>30</v>
      </c>
      <c r="CD10" s="71" t="s">
        <v>29</v>
      </c>
      <c r="CE10" s="71" t="s">
        <v>30</v>
      </c>
      <c r="CF10" s="71" t="s">
        <v>29</v>
      </c>
      <c r="CG10" s="71" t="s">
        <v>30</v>
      </c>
      <c r="CH10" s="71" t="s">
        <v>29</v>
      </c>
      <c r="CI10" s="71" t="s">
        <v>30</v>
      </c>
      <c r="CJ10" s="71" t="s">
        <v>29</v>
      </c>
      <c r="CK10" s="71" t="s">
        <v>30</v>
      </c>
      <c r="CL10" s="71" t="s">
        <v>29</v>
      </c>
      <c r="CM10" s="71" t="s">
        <v>30</v>
      </c>
      <c r="CN10" s="71" t="s">
        <v>29</v>
      </c>
      <c r="CO10" s="71" t="s">
        <v>30</v>
      </c>
      <c r="CP10" s="71" t="s">
        <v>29</v>
      </c>
      <c r="CQ10" s="71" t="s">
        <v>30</v>
      </c>
      <c r="CR10" s="71" t="s">
        <v>29</v>
      </c>
      <c r="CS10" s="71" t="s">
        <v>30</v>
      </c>
      <c r="CT10" s="71" t="s">
        <v>29</v>
      </c>
      <c r="CU10" s="71" t="s">
        <v>30</v>
      </c>
      <c r="CV10" s="71" t="s">
        <v>29</v>
      </c>
      <c r="CW10" s="71" t="s">
        <v>30</v>
      </c>
      <c r="DA10" s="58"/>
      <c r="DB10" s="72" t="s">
        <v>46</v>
      </c>
      <c r="DC10" s="60">
        <v>46.18467979394668</v>
      </c>
      <c r="DD10" s="60">
        <v>56.65457099379609</v>
      </c>
      <c r="DE10" s="60">
        <v>60.20875467838296</v>
      </c>
      <c r="DF10" s="73">
        <v>5.641685284228105</v>
      </c>
      <c r="DG10" s="60">
        <v>10.571067448006435</v>
      </c>
      <c r="DH10" s="60">
        <v>87.68494342906875</v>
      </c>
      <c r="DI10" s="60">
        <v>14.743274716352214</v>
      </c>
      <c r="DJ10" s="60">
        <v>14.959202175883952</v>
      </c>
      <c r="DK10" s="60">
        <v>48.99415231085322</v>
      </c>
      <c r="DL10" s="60">
        <v>92.4717634882779</v>
      </c>
      <c r="DM10" s="60">
        <v>30.822462615335667</v>
      </c>
      <c r="DN10" s="60">
        <v>89.66945377822928</v>
      </c>
      <c r="DO10" s="60">
        <v>53.74383385477648</v>
      </c>
      <c r="DP10" s="60">
        <v>29.686694963075638</v>
      </c>
      <c r="DQ10" s="15"/>
      <c r="DR10" s="15"/>
      <c r="DS10" s="48" t="s">
        <v>47</v>
      </c>
      <c r="DT10" s="36">
        <v>12.51379446002644</v>
      </c>
      <c r="DU10" s="36">
        <v>10.633995836266418</v>
      </c>
      <c r="DV10" s="36">
        <v>5.476237042831997</v>
      </c>
      <c r="DW10" s="36">
        <v>16.073059360730593</v>
      </c>
      <c r="DX10" s="36">
        <v>36.65159581583242</v>
      </c>
      <c r="DY10" s="36">
        <v>55.8095908078321</v>
      </c>
      <c r="DZ10" s="36">
        <v>4.5388615351219075</v>
      </c>
      <c r="EA10" s="36">
        <v>4.374686569712231</v>
      </c>
      <c r="EB10" s="36">
        <v>69.39498832375494</v>
      </c>
      <c r="EC10" s="36">
        <v>56.92326349937847</v>
      </c>
      <c r="ED10" s="36">
        <v>39.644131971598696</v>
      </c>
      <c r="EE10" s="36">
        <v>13.90692248373681</v>
      </c>
      <c r="EF10" s="36">
        <v>13.261284485536523</v>
      </c>
      <c r="EG10" s="36">
        <v>41.58397126925621</v>
      </c>
    </row>
    <row r="11" ht="14.25" customHeight="1">
      <c r="A11" s="12"/>
      <c r="B11" s="37" t="s">
        <v>27</v>
      </c>
      <c r="C11" s="38" t="s">
        <v>48</v>
      </c>
      <c r="D11" s="39">
        <v>0.0</v>
      </c>
      <c r="E11" s="39">
        <v>0.0</v>
      </c>
      <c r="F11" s="39">
        <v>1.026694045174538</v>
      </c>
      <c r="G11" s="39">
        <v>0.0</v>
      </c>
      <c r="H11" s="39">
        <v>0.0</v>
      </c>
      <c r="I11" s="4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9">
        <v>0.0</v>
      </c>
      <c r="P11" s="39">
        <v>0.0</v>
      </c>
      <c r="Q11" s="39">
        <v>0.0</v>
      </c>
      <c r="R11" s="12"/>
      <c r="S11" s="12"/>
      <c r="T11" s="12"/>
      <c r="U11" s="61" t="s">
        <v>49</v>
      </c>
      <c r="V11" s="62">
        <v>0.518</v>
      </c>
      <c r="W11" s="62">
        <v>0.224</v>
      </c>
      <c r="X11" s="62">
        <v>0.01</v>
      </c>
      <c r="Y11" s="62">
        <v>0.014</v>
      </c>
      <c r="Z11" s="62">
        <v>0.041</v>
      </c>
      <c r="AA11" s="62">
        <v>0.104</v>
      </c>
      <c r="AB11" s="62">
        <v>0.025</v>
      </c>
      <c r="AC11" s="62">
        <v>0.632</v>
      </c>
      <c r="AD11" s="63">
        <v>0.6167602029515894</v>
      </c>
      <c r="AE11" s="63">
        <v>0.4929538270368137</v>
      </c>
      <c r="AF11" s="63">
        <v>0.9949943605627852</v>
      </c>
      <c r="AG11" s="63">
        <v>0.9143498404715091</v>
      </c>
      <c r="AH11" s="63">
        <v>2.071769079527991</v>
      </c>
      <c r="AM11" s="64">
        <v>3.0</v>
      </c>
      <c r="AN11" s="65" t="s">
        <v>50</v>
      </c>
      <c r="AO11" s="66">
        <v>1.3</v>
      </c>
      <c r="AP11" s="66"/>
      <c r="AQ11" s="66"/>
      <c r="AR11" s="66">
        <v>4.7</v>
      </c>
      <c r="AS11" s="66"/>
      <c r="AT11" s="66">
        <v>4.6</v>
      </c>
      <c r="AU11" s="66"/>
      <c r="AV11" s="66">
        <v>3.8</v>
      </c>
      <c r="AW11" s="66">
        <v>1.8</v>
      </c>
      <c r="AX11" s="66"/>
      <c r="AY11" s="66"/>
      <c r="AZ11" s="66">
        <v>5.9</v>
      </c>
      <c r="BA11" s="66"/>
      <c r="BB11" s="66">
        <v>4.2</v>
      </c>
      <c r="BC11" s="66">
        <v>1.8</v>
      </c>
      <c r="BD11" s="66"/>
      <c r="BE11" s="67">
        <v>2.0</v>
      </c>
      <c r="BF11" s="67"/>
      <c r="BG11" s="67"/>
      <c r="BH11" s="67"/>
      <c r="BI11" s="67"/>
      <c r="BJ11" s="67"/>
      <c r="BK11" s="67"/>
      <c r="BL11" s="67">
        <v>3.181427343078246</v>
      </c>
      <c r="BM11" s="67">
        <v>0.986989681471512</v>
      </c>
      <c r="BN11" s="67"/>
      <c r="BO11" s="67"/>
      <c r="BP11" s="67">
        <v>9.1</v>
      </c>
      <c r="BQ11" s="6"/>
      <c r="BR11" s="6"/>
      <c r="BS11" s="6"/>
      <c r="BT11" s="74">
        <v>1.0</v>
      </c>
      <c r="BU11" s="75" t="str">
        <f>+AM8</f>
        <v>Chuquisaca</v>
      </c>
      <c r="BV11" s="76">
        <f t="shared" ref="BV11:CW11" si="2">+AO8</f>
        <v>10</v>
      </c>
      <c r="BW11" s="76">
        <f t="shared" si="2"/>
        <v>16</v>
      </c>
      <c r="BX11" s="76">
        <f t="shared" si="2"/>
        <v>14</v>
      </c>
      <c r="BY11" s="76">
        <f t="shared" si="2"/>
        <v>15</v>
      </c>
      <c r="BZ11" s="76">
        <f t="shared" si="2"/>
        <v>19</v>
      </c>
      <c r="CA11" s="76">
        <f t="shared" si="2"/>
        <v>10</v>
      </c>
      <c r="CB11" s="76">
        <f t="shared" si="2"/>
        <v>19</v>
      </c>
      <c r="CC11" s="76">
        <f t="shared" si="2"/>
        <v>10</v>
      </c>
      <c r="CD11" s="76">
        <f t="shared" si="2"/>
        <v>22</v>
      </c>
      <c r="CE11" s="76">
        <f t="shared" si="2"/>
        <v>7</v>
      </c>
      <c r="CF11" s="76">
        <f t="shared" si="2"/>
        <v>20</v>
      </c>
      <c r="CG11" s="76">
        <f t="shared" si="2"/>
        <v>8</v>
      </c>
      <c r="CH11" s="76">
        <f t="shared" si="2"/>
        <v>18</v>
      </c>
      <c r="CI11" s="76">
        <f t="shared" si="2"/>
        <v>11</v>
      </c>
      <c r="CJ11" s="76">
        <f t="shared" si="2"/>
        <v>20</v>
      </c>
      <c r="CK11" s="76">
        <f t="shared" si="2"/>
        <v>6</v>
      </c>
      <c r="CL11" s="76">
        <f t="shared" si="2"/>
        <v>17</v>
      </c>
      <c r="CM11" s="76">
        <f t="shared" si="2"/>
        <v>6</v>
      </c>
      <c r="CN11" s="76">
        <f t="shared" si="2"/>
        <v>10</v>
      </c>
      <c r="CO11" s="76">
        <f t="shared" si="2"/>
        <v>7</v>
      </c>
      <c r="CP11" s="76">
        <f t="shared" si="2"/>
        <v>11</v>
      </c>
      <c r="CQ11" s="76">
        <f t="shared" si="2"/>
        <v>11</v>
      </c>
      <c r="CR11" s="76">
        <f t="shared" si="2"/>
        <v>9</v>
      </c>
      <c r="CS11" s="76">
        <f t="shared" si="2"/>
        <v>14</v>
      </c>
      <c r="CT11" s="76">
        <f t="shared" si="2"/>
        <v>13</v>
      </c>
      <c r="CU11" s="76">
        <f t="shared" si="2"/>
        <v>13</v>
      </c>
      <c r="CV11" s="76">
        <f t="shared" si="2"/>
        <v>10</v>
      </c>
      <c r="CW11" s="76">
        <f t="shared" si="2"/>
        <v>16</v>
      </c>
      <c r="DA11" s="58"/>
      <c r="DB11" s="72" t="s">
        <v>51</v>
      </c>
      <c r="DC11" s="60"/>
      <c r="DD11" s="60"/>
      <c r="DE11" s="60">
        <v>51.728191864566185</v>
      </c>
      <c r="DF11" s="77"/>
      <c r="DG11" s="60"/>
      <c r="DH11" s="60"/>
      <c r="DI11" s="60">
        <v>5.458515283842795</v>
      </c>
      <c r="DJ11" s="60">
        <v>2.232641214556821</v>
      </c>
      <c r="DK11" s="60"/>
      <c r="DL11" s="60">
        <v>48.06641905178064</v>
      </c>
      <c r="DM11" s="60"/>
      <c r="DN11" s="60"/>
      <c r="DO11" s="60"/>
      <c r="DP11" s="60">
        <v>15.125324114088158</v>
      </c>
      <c r="DQ11" s="15"/>
      <c r="DR11" s="15"/>
      <c r="DS11" s="48" t="s">
        <v>52</v>
      </c>
      <c r="DT11" s="36">
        <v>26.354503582249567</v>
      </c>
      <c r="DU11" s="36">
        <v>18.758617226712307</v>
      </c>
      <c r="DV11" s="36">
        <v>3.895735070372853</v>
      </c>
      <c r="DW11" s="36">
        <v>9.087278480338954</v>
      </c>
      <c r="DX11" s="36">
        <v>3.127343709867982</v>
      </c>
      <c r="DY11" s="36">
        <v>4.469226859380468</v>
      </c>
      <c r="DZ11" s="36">
        <v>0.7</v>
      </c>
      <c r="EA11" s="36">
        <v>0.4633972475069661</v>
      </c>
      <c r="EB11" s="36">
        <v>3.370206631854793</v>
      </c>
      <c r="EC11" s="36">
        <v>21.91043112449597</v>
      </c>
      <c r="ED11" s="36">
        <v>0.13117845220428462</v>
      </c>
      <c r="EE11" s="36">
        <v>2.6052563781339866</v>
      </c>
      <c r="EF11" s="36">
        <v>42.69875485568517</v>
      </c>
      <c r="EG11" s="36">
        <v>1.131964322364638</v>
      </c>
    </row>
    <row r="12" ht="14.25" customHeight="1">
      <c r="A12" s="12"/>
      <c r="B12" s="37" t="s">
        <v>27</v>
      </c>
      <c r="C12" s="38" t="s">
        <v>53</v>
      </c>
      <c r="D12" s="39">
        <v>12.089046144773699</v>
      </c>
      <c r="E12" s="39">
        <v>5.970809376382132</v>
      </c>
      <c r="F12" s="39">
        <v>2.6536930561698364</v>
      </c>
      <c r="G12" s="39">
        <v>6.929087424443462</v>
      </c>
      <c r="H12" s="39">
        <v>1.4742739200943535</v>
      </c>
      <c r="I12" s="49">
        <v>1.842842400117942</v>
      </c>
      <c r="J12" s="39">
        <v>3.833112192245319</v>
      </c>
      <c r="K12" s="39">
        <v>5.454813504349108</v>
      </c>
      <c r="L12" s="39">
        <v>4.054253280259473</v>
      </c>
      <c r="M12" s="39">
        <v>11.941618752764263</v>
      </c>
      <c r="N12" s="39">
        <v>7.4450832964764855</v>
      </c>
      <c r="O12" s="39">
        <v>15.332448768981276</v>
      </c>
      <c r="P12" s="39">
        <v>9.21421200058971</v>
      </c>
      <c r="Q12" s="39">
        <v>16.290726817042607</v>
      </c>
      <c r="R12" s="12"/>
      <c r="S12" s="12"/>
      <c r="T12" s="12"/>
      <c r="U12" s="50" t="s">
        <v>54</v>
      </c>
      <c r="V12" s="51">
        <v>11.648</v>
      </c>
      <c r="W12" s="51">
        <v>13.092</v>
      </c>
      <c r="X12" s="51">
        <v>15.492</v>
      </c>
      <c r="Y12" s="51">
        <v>23.452</v>
      </c>
      <c r="Z12" s="51">
        <v>20.857</v>
      </c>
      <c r="AA12" s="51">
        <v>15.833</v>
      </c>
      <c r="AB12" s="51">
        <v>12.78</v>
      </c>
      <c r="AC12" s="51">
        <v>34.593</v>
      </c>
      <c r="AD12" s="52">
        <v>51.93791643497517</v>
      </c>
      <c r="AE12" s="52">
        <v>34.19278683406987</v>
      </c>
      <c r="AF12" s="52">
        <v>35.870721023930074</v>
      </c>
      <c r="AG12" s="52">
        <v>32.7099612709376</v>
      </c>
      <c r="AH12" s="52">
        <v>49.703922658940364</v>
      </c>
      <c r="AM12" s="64">
        <v>4.0</v>
      </c>
      <c r="AN12" s="65" t="s">
        <v>55</v>
      </c>
      <c r="AO12" s="66"/>
      <c r="AP12" s="66">
        <v>10.2</v>
      </c>
      <c r="AQ12" s="66"/>
      <c r="AR12" s="66">
        <v>5.5</v>
      </c>
      <c r="AS12" s="66">
        <v>2.2</v>
      </c>
      <c r="AT12" s="66"/>
      <c r="AU12" s="66">
        <v>1.1</v>
      </c>
      <c r="AV12" s="66"/>
      <c r="AW12" s="66"/>
      <c r="AX12" s="67">
        <v>4.0</v>
      </c>
      <c r="AY12" s="66">
        <v>0.1</v>
      </c>
      <c r="AZ12" s="66"/>
      <c r="BA12" s="67">
        <v>1.0</v>
      </c>
      <c r="BB12" s="66"/>
      <c r="BC12" s="67">
        <v>0.5</v>
      </c>
      <c r="BD12" s="66"/>
      <c r="BE12" s="67"/>
      <c r="BF12" s="67"/>
      <c r="BG12" s="67"/>
      <c r="BH12" s="67"/>
      <c r="BI12" s="67"/>
      <c r="BJ12" s="67"/>
      <c r="BK12" s="67"/>
      <c r="BL12" s="67"/>
      <c r="BM12" s="66"/>
      <c r="BN12" s="67">
        <v>9.935205183585314</v>
      </c>
      <c r="BO12" s="67">
        <v>2.0</v>
      </c>
      <c r="BP12" s="67"/>
      <c r="BQ12" s="6"/>
      <c r="BR12" s="6"/>
      <c r="BS12" s="6"/>
      <c r="BT12" s="74">
        <v>2.0</v>
      </c>
      <c r="BU12" s="75" t="str">
        <f>+AM38</f>
        <v>La Paz</v>
      </c>
      <c r="BV12" s="78">
        <f t="shared" ref="BV12:CW12" si="3">+AO38</f>
        <v>13</v>
      </c>
      <c r="BW12" s="78">
        <f t="shared" si="3"/>
        <v>0</v>
      </c>
      <c r="BX12" s="78">
        <f t="shared" si="3"/>
        <v>8</v>
      </c>
      <c r="BY12" s="78">
        <f t="shared" si="3"/>
        <v>0</v>
      </c>
      <c r="BZ12" s="78">
        <f t="shared" si="3"/>
        <v>7</v>
      </c>
      <c r="CA12" s="78">
        <f t="shared" si="3"/>
        <v>0</v>
      </c>
      <c r="CB12" s="78">
        <f t="shared" si="3"/>
        <v>7</v>
      </c>
      <c r="CC12" s="78">
        <f t="shared" si="3"/>
        <v>2</v>
      </c>
      <c r="CD12" s="78">
        <f t="shared" si="3"/>
        <v>6</v>
      </c>
      <c r="CE12" s="78">
        <f t="shared" si="3"/>
        <v>2</v>
      </c>
      <c r="CF12" s="78">
        <f t="shared" si="3"/>
        <v>11</v>
      </c>
      <c r="CG12" s="78">
        <f t="shared" si="3"/>
        <v>1</v>
      </c>
      <c r="CH12" s="78">
        <f t="shared" si="3"/>
        <v>13</v>
      </c>
      <c r="CI12" s="78">
        <f t="shared" si="3"/>
        <v>0</v>
      </c>
      <c r="CJ12" s="78">
        <f t="shared" si="3"/>
        <v>13</v>
      </c>
      <c r="CK12" s="78" t="str">
        <f t="shared" si="3"/>
        <v/>
      </c>
      <c r="CL12" s="78">
        <f t="shared" si="3"/>
        <v>12</v>
      </c>
      <c r="CM12" s="78" t="str">
        <f t="shared" si="3"/>
        <v/>
      </c>
      <c r="CN12" s="78">
        <f t="shared" si="3"/>
        <v>6</v>
      </c>
      <c r="CO12" s="78">
        <f t="shared" si="3"/>
        <v>2</v>
      </c>
      <c r="CP12" s="78">
        <f t="shared" si="3"/>
        <v>8</v>
      </c>
      <c r="CQ12" s="78">
        <f t="shared" si="3"/>
        <v>1</v>
      </c>
      <c r="CR12" s="78">
        <f t="shared" si="3"/>
        <v>12</v>
      </c>
      <c r="CS12" s="78">
        <f t="shared" si="3"/>
        <v>0</v>
      </c>
      <c r="CT12" s="78">
        <f t="shared" si="3"/>
        <v>8</v>
      </c>
      <c r="CU12" s="78">
        <f t="shared" si="3"/>
        <v>1</v>
      </c>
      <c r="CV12" s="78">
        <f t="shared" si="3"/>
        <v>11</v>
      </c>
      <c r="CW12" s="78">
        <f t="shared" si="3"/>
        <v>1</v>
      </c>
      <c r="DA12" s="58"/>
      <c r="DB12" s="72" t="s">
        <v>56</v>
      </c>
      <c r="DC12" s="60">
        <v>2.5394285364273137</v>
      </c>
      <c r="DD12" s="60">
        <v>11.164867882396724</v>
      </c>
      <c r="DE12" s="60">
        <v>35.6234096692112</v>
      </c>
      <c r="DF12" s="77">
        <v>13.6</v>
      </c>
      <c r="DG12" s="60">
        <v>1.6440608302507191</v>
      </c>
      <c r="DH12" s="60">
        <v>6.189760367848616</v>
      </c>
      <c r="DI12" s="60">
        <v>17.68502962242462</v>
      </c>
      <c r="DJ12" s="60">
        <v>3.145395926712275</v>
      </c>
      <c r="DK12" s="60">
        <v>2.325040688212044</v>
      </c>
      <c r="DL12" s="60">
        <v>72.646631490403</v>
      </c>
      <c r="DM12" s="60">
        <v>1.6620959029335993</v>
      </c>
      <c r="DN12" s="60">
        <v>55.82922824302135</v>
      </c>
      <c r="DO12" s="60">
        <v>63.27573618885374</v>
      </c>
      <c r="DP12" s="60">
        <v>0.7831466833737959</v>
      </c>
      <c r="DQ12" s="15"/>
      <c r="DR12" s="15"/>
      <c r="DS12" s="48" t="s">
        <v>57</v>
      </c>
      <c r="DT12" s="36">
        <v>2.4569936689327845</v>
      </c>
      <c r="DU12" s="36">
        <v>10.347017726196663</v>
      </c>
      <c r="DV12" s="36">
        <v>12.072668738575814</v>
      </c>
      <c r="DW12" s="36">
        <v>7.371534678871688</v>
      </c>
      <c r="DX12" s="36">
        <v>19.454984477406</v>
      </c>
      <c r="DY12" s="36">
        <v>29.618075975691873</v>
      </c>
      <c r="DZ12" s="36">
        <v>2.048996096453355</v>
      </c>
      <c r="EA12" s="36">
        <v>2.1094640820980617</v>
      </c>
      <c r="EB12" s="36">
        <v>29.871939941466326</v>
      </c>
      <c r="EC12" s="36">
        <v>31.619561355911834</v>
      </c>
      <c r="ED12" s="36">
        <v>0.3</v>
      </c>
      <c r="EE12" s="36">
        <v>4.116517034539538</v>
      </c>
      <c r="EF12" s="36">
        <v>46.54950331460788</v>
      </c>
      <c r="EG12" s="36">
        <v>13.517125217033502</v>
      </c>
    </row>
    <row r="13" ht="14.25" customHeight="1">
      <c r="A13" s="12"/>
      <c r="B13" s="37" t="s">
        <v>27</v>
      </c>
      <c r="C13" s="38" t="s">
        <v>58</v>
      </c>
      <c r="D13" s="39">
        <v>16.51479381329568</v>
      </c>
      <c r="E13" s="39">
        <v>12.686715354235156</v>
      </c>
      <c r="F13" s="39">
        <v>17.066390133045033</v>
      </c>
      <c r="G13" s="39">
        <v>23.575226706087417</v>
      </c>
      <c r="H13" s="39">
        <v>26.895836550978533</v>
      </c>
      <c r="I13" s="49">
        <v>25.35136685568034</v>
      </c>
      <c r="J13" s="39">
        <v>21.07097941442535</v>
      </c>
      <c r="K13" s="39">
        <v>22.361714802638836</v>
      </c>
      <c r="L13" s="39">
        <v>32.35664011649715</v>
      </c>
      <c r="M13" s="39">
        <v>46.35615471173576</v>
      </c>
      <c r="N13" s="39">
        <v>50.96749994484036</v>
      </c>
      <c r="O13" s="39">
        <v>41.41385168678154</v>
      </c>
      <c r="P13" s="39">
        <v>53.60413035324228</v>
      </c>
      <c r="Q13" s="39">
        <v>74.31105619663306</v>
      </c>
      <c r="R13" s="12"/>
      <c r="S13" s="12"/>
      <c r="T13" s="12"/>
      <c r="U13" s="61" t="s">
        <v>59</v>
      </c>
      <c r="V13" s="62">
        <v>0.276</v>
      </c>
      <c r="W13" s="62">
        <v>0.276</v>
      </c>
      <c r="X13" s="62">
        <v>0.0</v>
      </c>
      <c r="Y13" s="62">
        <v>0.092</v>
      </c>
      <c r="Z13" s="62">
        <v>0.0</v>
      </c>
      <c r="AA13" s="62">
        <v>0.0</v>
      </c>
      <c r="AB13" s="62">
        <v>0.0</v>
      </c>
      <c r="AC13" s="62">
        <v>0.0</v>
      </c>
      <c r="AD13" s="63">
        <v>0.0</v>
      </c>
      <c r="AE13" s="63">
        <v>0.0</v>
      </c>
      <c r="AF13" s="63">
        <v>0.0</v>
      </c>
      <c r="AG13" s="63">
        <v>0.010582097677464717</v>
      </c>
      <c r="AH13" s="63">
        <v>0.009406309046635305</v>
      </c>
      <c r="AM13" s="64">
        <v>5.0</v>
      </c>
      <c r="AN13" s="65" t="s">
        <v>60</v>
      </c>
      <c r="AO13" s="66"/>
      <c r="AP13" s="66">
        <v>4.9</v>
      </c>
      <c r="AQ13" s="66"/>
      <c r="AR13" s="66">
        <v>4.2</v>
      </c>
      <c r="AS13" s="66"/>
      <c r="AT13" s="66">
        <v>5.3</v>
      </c>
      <c r="AU13" s="66"/>
      <c r="AV13" s="67">
        <v>5.0</v>
      </c>
      <c r="AW13" s="66">
        <v>2.2</v>
      </c>
      <c r="AX13" s="66"/>
      <c r="AY13" s="66">
        <v>2.7</v>
      </c>
      <c r="AZ13" s="66"/>
      <c r="BA13" s="66">
        <v>2.3</v>
      </c>
      <c r="BB13" s="66"/>
      <c r="BC13" s="66"/>
      <c r="BD13" s="66">
        <v>3.8</v>
      </c>
      <c r="BE13" s="67">
        <v>1.2</v>
      </c>
      <c r="BF13" s="67"/>
      <c r="BG13" s="67">
        <v>0.0</v>
      </c>
      <c r="BH13" s="67"/>
      <c r="BI13" s="67">
        <v>0.8</v>
      </c>
      <c r="BJ13" s="67"/>
      <c r="BK13" s="67"/>
      <c r="BL13" s="67">
        <v>3.390435403283369</v>
      </c>
      <c r="BM13" s="67">
        <v>2.138364779874214</v>
      </c>
      <c r="BN13" s="67"/>
      <c r="BO13" s="67"/>
      <c r="BP13" s="67">
        <v>3.1</v>
      </c>
      <c r="BQ13" s="6"/>
      <c r="BR13" s="6"/>
      <c r="BS13" s="6"/>
      <c r="BT13" s="74">
        <v>3.0</v>
      </c>
      <c r="BU13" s="75" t="str">
        <f>+AM64</f>
        <v>Cochabamba</v>
      </c>
      <c r="BV13" s="78">
        <f t="shared" ref="BV13:CW13" si="4">+AO64</f>
        <v>24</v>
      </c>
      <c r="BW13" s="78">
        <f t="shared" si="4"/>
        <v>12</v>
      </c>
      <c r="BX13" s="78">
        <f t="shared" si="4"/>
        <v>30</v>
      </c>
      <c r="BY13" s="78">
        <f t="shared" si="4"/>
        <v>10</v>
      </c>
      <c r="BZ13" s="78">
        <f t="shared" si="4"/>
        <v>24</v>
      </c>
      <c r="CA13" s="78">
        <f t="shared" si="4"/>
        <v>13</v>
      </c>
      <c r="CB13" s="78">
        <f t="shared" si="4"/>
        <v>23</v>
      </c>
      <c r="CC13" s="78">
        <f t="shared" si="4"/>
        <v>13</v>
      </c>
      <c r="CD13" s="78">
        <f t="shared" si="4"/>
        <v>25</v>
      </c>
      <c r="CE13" s="78">
        <f t="shared" si="4"/>
        <v>10</v>
      </c>
      <c r="CF13" s="78">
        <f t="shared" si="4"/>
        <v>26</v>
      </c>
      <c r="CG13" s="78">
        <f t="shared" si="4"/>
        <v>11</v>
      </c>
      <c r="CH13" s="78">
        <f t="shared" si="4"/>
        <v>27</v>
      </c>
      <c r="CI13" s="78">
        <f t="shared" si="4"/>
        <v>8</v>
      </c>
      <c r="CJ13" s="78">
        <f t="shared" si="4"/>
        <v>35</v>
      </c>
      <c r="CK13" s="78">
        <f t="shared" si="4"/>
        <v>2</v>
      </c>
      <c r="CL13" s="78">
        <f t="shared" si="4"/>
        <v>34</v>
      </c>
      <c r="CM13" s="78">
        <f t="shared" si="4"/>
        <v>2</v>
      </c>
      <c r="CN13" s="78">
        <f t="shared" si="4"/>
        <v>30</v>
      </c>
      <c r="CO13" s="78">
        <f t="shared" si="4"/>
        <v>3</v>
      </c>
      <c r="CP13" s="78">
        <f t="shared" si="4"/>
        <v>37</v>
      </c>
      <c r="CQ13" s="78">
        <f t="shared" si="4"/>
        <v>3</v>
      </c>
      <c r="CR13" s="78">
        <f t="shared" si="4"/>
        <v>37</v>
      </c>
      <c r="CS13" s="78">
        <f t="shared" si="4"/>
        <v>1</v>
      </c>
      <c r="CT13" s="78">
        <f t="shared" si="4"/>
        <v>36</v>
      </c>
      <c r="CU13" s="78">
        <f t="shared" si="4"/>
        <v>1</v>
      </c>
      <c r="CV13" s="78">
        <f t="shared" si="4"/>
        <v>33</v>
      </c>
      <c r="CW13" s="78">
        <f t="shared" si="4"/>
        <v>3</v>
      </c>
      <c r="DA13" s="58"/>
      <c r="DB13" s="72" t="s">
        <v>61</v>
      </c>
      <c r="DC13" s="60"/>
      <c r="DD13" s="60"/>
      <c r="DE13" s="60"/>
      <c r="DF13" s="77"/>
      <c r="DG13" s="60">
        <v>40.73319755600814</v>
      </c>
      <c r="DH13" s="60"/>
      <c r="DI13" s="60"/>
      <c r="DJ13" s="60"/>
      <c r="DK13" s="60"/>
      <c r="DL13" s="60"/>
      <c r="DM13" s="60"/>
      <c r="DN13" s="60"/>
      <c r="DO13" s="60"/>
      <c r="DP13" s="60"/>
      <c r="DQ13" s="15"/>
      <c r="DR13" s="15"/>
      <c r="DS13" s="48" t="s">
        <v>62</v>
      </c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>
        <v>31.719376807538016</v>
      </c>
    </row>
    <row r="14" ht="14.25" customHeight="1">
      <c r="A14" s="12"/>
      <c r="B14" s="37" t="s">
        <v>27</v>
      </c>
      <c r="C14" s="38" t="s">
        <v>63</v>
      </c>
      <c r="D14" s="39">
        <v>1.644652310222542</v>
      </c>
      <c r="E14" s="39">
        <v>0.4111630775556355</v>
      </c>
      <c r="F14" s="39">
        <v>0.5139538469445444</v>
      </c>
      <c r="G14" s="39">
        <v>0.2569769234722722</v>
      </c>
      <c r="H14" s="39">
        <v>0.4111630775556355</v>
      </c>
      <c r="I14" s="49">
        <v>0.46255846225008995</v>
      </c>
      <c r="J14" s="39">
        <v>0.3083723081667266</v>
      </c>
      <c r="K14" s="39">
        <v>0.6681400010279077</v>
      </c>
      <c r="L14" s="39">
        <v>0.6167446163334532</v>
      </c>
      <c r="M14" s="39">
        <v>0.35976769286118104</v>
      </c>
      <c r="N14" s="39">
        <v>0.20558153877781776</v>
      </c>
      <c r="O14" s="39">
        <v>0.5139538469445444</v>
      </c>
      <c r="P14" s="39">
        <v>0.35976769286118104</v>
      </c>
      <c r="Q14" s="39">
        <v>0.10279076938890888</v>
      </c>
      <c r="R14" s="12"/>
      <c r="S14" s="12"/>
      <c r="T14" s="12"/>
      <c r="U14" s="50" t="s">
        <v>64</v>
      </c>
      <c r="V14" s="51">
        <v>0.099</v>
      </c>
      <c r="W14" s="51">
        <v>0.031</v>
      </c>
      <c r="X14" s="51">
        <v>0.019</v>
      </c>
      <c r="Y14" s="51">
        <v>0.02</v>
      </c>
      <c r="Z14" s="51">
        <v>0.02</v>
      </c>
      <c r="AA14" s="51">
        <v>0.006</v>
      </c>
      <c r="AB14" s="51">
        <v>0.009</v>
      </c>
      <c r="AC14" s="51">
        <v>0.016</v>
      </c>
      <c r="AD14" s="52">
        <v>0.007054731784976479</v>
      </c>
      <c r="AE14" s="52">
        <v>0.008230520415805891</v>
      </c>
      <c r="AF14" s="52">
        <v>0.015285252200782369</v>
      </c>
      <c r="AG14" s="52">
        <v>0.0023152060417616863</v>
      </c>
      <c r="AH14" s="52">
        <v>0.00694561812528506</v>
      </c>
      <c r="AM14" s="64">
        <v>6.0</v>
      </c>
      <c r="AN14" s="65" t="s">
        <v>65</v>
      </c>
      <c r="AO14" s="66"/>
      <c r="AP14" s="66"/>
      <c r="AQ14" s="66"/>
      <c r="AR14" s="66">
        <v>16.1</v>
      </c>
      <c r="AS14" s="66"/>
      <c r="AT14" s="66">
        <v>16.4</v>
      </c>
      <c r="AU14" s="66"/>
      <c r="AV14" s="66">
        <v>17.2</v>
      </c>
      <c r="AW14" s="66"/>
      <c r="AX14" s="66">
        <v>9.3</v>
      </c>
      <c r="AY14" s="66"/>
      <c r="AZ14" s="66">
        <v>22.5</v>
      </c>
      <c r="BA14" s="66"/>
      <c r="BB14" s="66">
        <v>8.2</v>
      </c>
      <c r="BC14" s="66"/>
      <c r="BD14" s="66"/>
      <c r="BE14" s="67"/>
      <c r="BF14" s="67">
        <v>7.1</v>
      </c>
      <c r="BG14" s="67"/>
      <c r="BH14" s="67"/>
      <c r="BI14" s="67"/>
      <c r="BJ14" s="67">
        <v>8.6</v>
      </c>
      <c r="BK14" s="67"/>
      <c r="BL14" s="67">
        <v>12.663755458515283</v>
      </c>
      <c r="BM14" s="67">
        <v>0.0</v>
      </c>
      <c r="BN14" s="67"/>
      <c r="BO14" s="67"/>
      <c r="BP14" s="67">
        <v>22.9</v>
      </c>
      <c r="BQ14" s="6"/>
      <c r="BR14" s="6"/>
      <c r="BS14" s="6"/>
      <c r="BT14" s="74">
        <v>4.0</v>
      </c>
      <c r="BU14" s="79" t="str">
        <f>+AM106</f>
        <v>Potosi</v>
      </c>
      <c r="BV14" s="80">
        <f t="shared" ref="BV14:CW14" si="5">+AO106</f>
        <v>15</v>
      </c>
      <c r="BW14" s="80">
        <f t="shared" si="5"/>
        <v>3</v>
      </c>
      <c r="BX14" s="80">
        <f t="shared" si="5"/>
        <v>17</v>
      </c>
      <c r="BY14" s="80">
        <f t="shared" si="5"/>
        <v>3</v>
      </c>
      <c r="BZ14" s="80">
        <f t="shared" si="5"/>
        <v>17</v>
      </c>
      <c r="CA14" s="80">
        <f t="shared" si="5"/>
        <v>2</v>
      </c>
      <c r="CB14" s="80">
        <f t="shared" si="5"/>
        <v>18</v>
      </c>
      <c r="CC14" s="80">
        <f t="shared" si="5"/>
        <v>2</v>
      </c>
      <c r="CD14" s="80">
        <f t="shared" si="5"/>
        <v>18</v>
      </c>
      <c r="CE14" s="80">
        <f t="shared" si="5"/>
        <v>3</v>
      </c>
      <c r="CF14" s="80">
        <f t="shared" si="5"/>
        <v>14</v>
      </c>
      <c r="CG14" s="80">
        <f t="shared" si="5"/>
        <v>3</v>
      </c>
      <c r="CH14" s="80">
        <f t="shared" si="5"/>
        <v>16</v>
      </c>
      <c r="CI14" s="80">
        <f t="shared" si="5"/>
        <v>0</v>
      </c>
      <c r="CJ14" s="80">
        <f t="shared" si="5"/>
        <v>20</v>
      </c>
      <c r="CK14" s="80" t="str">
        <f t="shared" si="5"/>
        <v/>
      </c>
      <c r="CL14" s="80">
        <f t="shared" si="5"/>
        <v>18</v>
      </c>
      <c r="CM14" s="80" t="str">
        <f t="shared" si="5"/>
        <v/>
      </c>
      <c r="CN14" s="80">
        <f t="shared" si="5"/>
        <v>14</v>
      </c>
      <c r="CO14" s="80">
        <f t="shared" si="5"/>
        <v>3</v>
      </c>
      <c r="CP14" s="80">
        <f t="shared" si="5"/>
        <v>14</v>
      </c>
      <c r="CQ14" s="80">
        <f t="shared" si="5"/>
        <v>7</v>
      </c>
      <c r="CR14" s="80">
        <f t="shared" si="5"/>
        <v>16</v>
      </c>
      <c r="CS14" s="80">
        <f t="shared" si="5"/>
        <v>3</v>
      </c>
      <c r="CT14" s="80">
        <f t="shared" si="5"/>
        <v>15</v>
      </c>
      <c r="CU14" s="80">
        <f t="shared" si="5"/>
        <v>5</v>
      </c>
      <c r="CV14" s="80">
        <f t="shared" si="5"/>
        <v>17</v>
      </c>
      <c r="CW14" s="80">
        <f t="shared" si="5"/>
        <v>4</v>
      </c>
      <c r="DA14" s="58"/>
      <c r="DB14" s="72" t="s">
        <v>66</v>
      </c>
      <c r="DC14" s="60">
        <v>0.0</v>
      </c>
      <c r="DD14" s="60"/>
      <c r="DE14" s="77"/>
      <c r="DF14" s="77"/>
      <c r="DG14" s="60">
        <v>3.5793542844870787</v>
      </c>
      <c r="DH14" s="60"/>
      <c r="DI14" s="60"/>
      <c r="DJ14" s="60"/>
      <c r="DK14" s="60">
        <v>0.693000693000693</v>
      </c>
      <c r="DL14" s="60"/>
      <c r="DM14" s="60"/>
      <c r="DN14" s="60">
        <v>4.233341800016933</v>
      </c>
      <c r="DO14" s="60">
        <v>6.738544474393532</v>
      </c>
      <c r="DP14" s="60">
        <v>2.6609898882384244</v>
      </c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</row>
    <row r="15" ht="14.25" customHeight="1">
      <c r="A15" s="12"/>
      <c r="B15" s="37" t="s">
        <v>27</v>
      </c>
      <c r="C15" s="38" t="s">
        <v>67</v>
      </c>
      <c r="D15" s="39">
        <v>0.11946860365096053</v>
      </c>
      <c r="E15" s="39">
        <v>0.0</v>
      </c>
      <c r="F15" s="39">
        <v>0.09557488292076843</v>
      </c>
      <c r="G15" s="39">
        <v>0.02389372073019211</v>
      </c>
      <c r="H15" s="39">
        <v>0.04778744146038422</v>
      </c>
      <c r="I15" s="49">
        <v>0.16725604511134473</v>
      </c>
      <c r="J15" s="39">
        <v>0.14336232438115262</v>
      </c>
      <c r="K15" s="39">
        <v>0.16725604511134473</v>
      </c>
      <c r="L15" s="39">
        <v>0.21504348657172895</v>
      </c>
      <c r="M15" s="39">
        <v>0.19114976584153687</v>
      </c>
      <c r="N15" s="39">
        <v>0.07168116219057631</v>
      </c>
      <c r="O15" s="39">
        <v>0.0</v>
      </c>
      <c r="P15" s="39">
        <v>0.16725604511134473</v>
      </c>
      <c r="Q15" s="39">
        <v>0.0</v>
      </c>
      <c r="R15" s="12"/>
      <c r="S15" s="12"/>
      <c r="T15" s="12"/>
      <c r="U15" s="61" t="s">
        <v>68</v>
      </c>
      <c r="V15" s="62">
        <v>0.493</v>
      </c>
      <c r="W15" s="62">
        <v>0.225</v>
      </c>
      <c r="X15" s="62">
        <v>0.157</v>
      </c>
      <c r="Y15" s="62">
        <v>0.113</v>
      </c>
      <c r="Z15" s="62">
        <v>0.296</v>
      </c>
      <c r="AA15" s="62">
        <v>0.255</v>
      </c>
      <c r="AB15" s="62">
        <v>0.083</v>
      </c>
      <c r="AC15" s="62">
        <v>0.139</v>
      </c>
      <c r="AD15" s="63">
        <v>0.0023152060417616863</v>
      </c>
      <c r="AE15" s="63">
        <v>0.0023152060417616863</v>
      </c>
      <c r="AF15" s="63">
        <v>0.009260824167046745</v>
      </c>
      <c r="AG15" s="63">
        <v>2.2688887689234734</v>
      </c>
      <c r="AH15" s="63">
        <v>3.463597412713225</v>
      </c>
      <c r="AM15" s="64">
        <v>7.0</v>
      </c>
      <c r="AN15" s="65" t="s">
        <v>69</v>
      </c>
      <c r="AO15" s="66"/>
      <c r="AP15" s="66">
        <v>3.9</v>
      </c>
      <c r="AQ15" s="66">
        <v>1.3</v>
      </c>
      <c r="AR15" s="66"/>
      <c r="AS15" s="66">
        <v>1.2</v>
      </c>
      <c r="AT15" s="66"/>
      <c r="AU15" s="66">
        <v>1.2</v>
      </c>
      <c r="AV15" s="66"/>
      <c r="AW15" s="66">
        <v>0.8</v>
      </c>
      <c r="AX15" s="66"/>
      <c r="AY15" s="66">
        <v>0.2</v>
      </c>
      <c r="AZ15" s="66"/>
      <c r="BA15" s="66"/>
      <c r="BB15" s="67">
        <v>4.0</v>
      </c>
      <c r="BC15" s="66">
        <v>0.4</v>
      </c>
      <c r="BD15" s="67"/>
      <c r="BE15" s="67">
        <v>0.3</v>
      </c>
      <c r="BF15" s="67"/>
      <c r="BG15" s="67">
        <v>0.3</v>
      </c>
      <c r="BH15" s="67"/>
      <c r="BI15" s="67">
        <v>0.3</v>
      </c>
      <c r="BJ15" s="67"/>
      <c r="BK15" s="67">
        <v>0.683371298405467</v>
      </c>
      <c r="BL15" s="67"/>
      <c r="BM15" s="67"/>
      <c r="BN15" s="67">
        <v>11.874105865522175</v>
      </c>
      <c r="BO15" s="67">
        <v>0.3</v>
      </c>
      <c r="BP15" s="67"/>
      <c r="BQ15" s="6"/>
      <c r="BR15" s="6"/>
      <c r="BS15" s="6"/>
      <c r="BT15" s="74">
        <v>5.0</v>
      </c>
      <c r="BU15" s="79" t="str">
        <f>+AM128</f>
        <v>Tarija</v>
      </c>
      <c r="BV15" s="80">
        <f t="shared" ref="BV15:CW15" si="6">+AO128</f>
        <v>5</v>
      </c>
      <c r="BW15" s="80">
        <f t="shared" si="6"/>
        <v>5</v>
      </c>
      <c r="BX15" s="80">
        <f t="shared" si="6"/>
        <v>5</v>
      </c>
      <c r="BY15" s="80">
        <f t="shared" si="6"/>
        <v>5</v>
      </c>
      <c r="BZ15" s="80">
        <f t="shared" si="6"/>
        <v>6</v>
      </c>
      <c r="CA15" s="80">
        <f t="shared" si="6"/>
        <v>4</v>
      </c>
      <c r="CB15" s="80">
        <f t="shared" si="6"/>
        <v>5</v>
      </c>
      <c r="CC15" s="80">
        <f t="shared" si="6"/>
        <v>5</v>
      </c>
      <c r="CD15" s="80">
        <f t="shared" si="6"/>
        <v>6</v>
      </c>
      <c r="CE15" s="80">
        <f t="shared" si="6"/>
        <v>4</v>
      </c>
      <c r="CF15" s="80">
        <f t="shared" si="6"/>
        <v>6</v>
      </c>
      <c r="CG15" s="80">
        <f t="shared" si="6"/>
        <v>4</v>
      </c>
      <c r="CH15" s="80">
        <f t="shared" si="6"/>
        <v>8</v>
      </c>
      <c r="CI15" s="80">
        <f t="shared" si="6"/>
        <v>2</v>
      </c>
      <c r="CJ15" s="80">
        <f t="shared" si="6"/>
        <v>8</v>
      </c>
      <c r="CK15" s="80">
        <f t="shared" si="6"/>
        <v>2</v>
      </c>
      <c r="CL15" s="80">
        <f t="shared" si="6"/>
        <v>8</v>
      </c>
      <c r="CM15" s="80">
        <f t="shared" si="6"/>
        <v>2</v>
      </c>
      <c r="CN15" s="80">
        <f t="shared" si="6"/>
        <v>6</v>
      </c>
      <c r="CO15" s="80">
        <f t="shared" si="6"/>
        <v>3</v>
      </c>
      <c r="CP15" s="80">
        <f t="shared" si="6"/>
        <v>8</v>
      </c>
      <c r="CQ15" s="80">
        <f t="shared" si="6"/>
        <v>2</v>
      </c>
      <c r="CR15" s="80">
        <f t="shared" si="6"/>
        <v>8</v>
      </c>
      <c r="CS15" s="80">
        <f t="shared" si="6"/>
        <v>2</v>
      </c>
      <c r="CT15" s="80">
        <f t="shared" si="6"/>
        <v>7</v>
      </c>
      <c r="CU15" s="80">
        <f t="shared" si="6"/>
        <v>3</v>
      </c>
      <c r="CV15" s="80">
        <f t="shared" si="6"/>
        <v>8</v>
      </c>
      <c r="CW15" s="80">
        <f t="shared" si="6"/>
        <v>2</v>
      </c>
      <c r="DA15" s="58"/>
      <c r="DB15" s="72" t="s">
        <v>70</v>
      </c>
      <c r="DC15" s="60">
        <v>32.526548230888245</v>
      </c>
      <c r="DD15" s="60">
        <v>10.914914669849333</v>
      </c>
      <c r="DE15" s="73">
        <v>36.27044284690398</v>
      </c>
      <c r="DF15" s="73">
        <v>8.099325385458748</v>
      </c>
      <c r="DG15" s="60">
        <v>73.62699867281805</v>
      </c>
      <c r="DH15" s="60">
        <v>58.16122521212585</v>
      </c>
      <c r="DI15" s="60">
        <v>11.11006496563412</v>
      </c>
      <c r="DJ15" s="60">
        <v>32.70414858181084</v>
      </c>
      <c r="DK15" s="60">
        <v>20.713624187139626</v>
      </c>
      <c r="DL15" s="60">
        <v>34.880864652419554</v>
      </c>
      <c r="DM15" s="60">
        <v>25.905361437261284</v>
      </c>
      <c r="DN15" s="60">
        <v>46.66184958517964</v>
      </c>
      <c r="DO15" s="60">
        <v>87.69673901861948</v>
      </c>
      <c r="DP15" s="60">
        <v>9.240160162776155</v>
      </c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</row>
    <row r="16" ht="14.25" customHeight="1">
      <c r="A16" s="12"/>
      <c r="B16" s="37" t="s">
        <v>27</v>
      </c>
      <c r="C16" s="38" t="s">
        <v>71</v>
      </c>
      <c r="D16" s="39">
        <v>0.14176353841791892</v>
      </c>
      <c r="E16" s="39">
        <v>0.28352707683583783</v>
      </c>
      <c r="F16" s="39">
        <v>0.0</v>
      </c>
      <c r="G16" s="39">
        <v>0.28352707683583783</v>
      </c>
      <c r="H16" s="39">
        <v>0.14176353841791892</v>
      </c>
      <c r="I16" s="49">
        <v>0.5670541536716757</v>
      </c>
      <c r="J16" s="39">
        <v>0.0</v>
      </c>
      <c r="K16" s="39">
        <v>0.9923447689254324</v>
      </c>
      <c r="L16" s="39">
        <v>8.080521689821378</v>
      </c>
      <c r="M16" s="39">
        <v>4.252906152537568</v>
      </c>
      <c r="N16" s="39">
        <v>0.14176353841791892</v>
      </c>
      <c r="O16" s="39">
        <v>0.0</v>
      </c>
      <c r="P16" s="39">
        <v>0.0</v>
      </c>
      <c r="Q16" s="39">
        <v>0.0</v>
      </c>
      <c r="R16" s="12"/>
      <c r="S16" s="12"/>
      <c r="T16" s="12"/>
      <c r="U16" s="81" t="s">
        <v>72</v>
      </c>
      <c r="V16" s="82">
        <v>2.0158089442652614</v>
      </c>
      <c r="W16" s="82">
        <v>1.613904816545272</v>
      </c>
      <c r="X16" s="82">
        <v>1.6268740870677687</v>
      </c>
      <c r="Y16" s="82">
        <v>1.5182839237099148</v>
      </c>
      <c r="Z16" s="82">
        <v>1.2206501561258372</v>
      </c>
      <c r="AA16" s="82">
        <v>1.008305828588009</v>
      </c>
      <c r="AB16" s="82">
        <v>1.1769063453804667</v>
      </c>
      <c r="AC16" s="82">
        <v>2.056838377610203</v>
      </c>
      <c r="AD16" s="83">
        <v>2.6789237264011483</v>
      </c>
      <c r="AE16" s="83">
        <v>2.1891689005685597</v>
      </c>
      <c r="AF16" s="83">
        <v>2.27072143215917</v>
      </c>
      <c r="AG16" s="83">
        <v>2.26</v>
      </c>
      <c r="AH16" s="83">
        <v>3.4553214125953597</v>
      </c>
      <c r="AM16" s="64">
        <v>8.0</v>
      </c>
      <c r="AN16" s="65" t="s">
        <v>73</v>
      </c>
      <c r="AO16" s="66">
        <v>2.8</v>
      </c>
      <c r="AP16" s="66"/>
      <c r="AQ16" s="66">
        <v>2.2</v>
      </c>
      <c r="AR16" s="66"/>
      <c r="AS16" s="66"/>
      <c r="AT16" s="66">
        <v>3.4</v>
      </c>
      <c r="AU16" s="66">
        <v>2.7</v>
      </c>
      <c r="AV16" s="66"/>
      <c r="AW16" s="66">
        <v>2.1</v>
      </c>
      <c r="AX16" s="66"/>
      <c r="AY16" s="66">
        <v>1.2</v>
      </c>
      <c r="AZ16" s="66"/>
      <c r="BA16" s="66">
        <v>0.6</v>
      </c>
      <c r="BB16" s="66"/>
      <c r="BC16" s="66"/>
      <c r="BD16" s="66">
        <v>31.8</v>
      </c>
      <c r="BE16" s="67"/>
      <c r="BF16" s="67"/>
      <c r="BG16" s="67"/>
      <c r="BH16" s="67">
        <v>17.7</v>
      </c>
      <c r="BI16" s="67"/>
      <c r="BJ16" s="67">
        <v>10.9</v>
      </c>
      <c r="BK16" s="67"/>
      <c r="BL16" s="67">
        <v>2.4861878453038675</v>
      </c>
      <c r="BM16" s="67"/>
      <c r="BN16" s="67"/>
      <c r="BO16" s="67"/>
      <c r="BP16" s="67"/>
      <c r="BQ16" s="6"/>
      <c r="BR16" s="6"/>
      <c r="BS16" s="6"/>
      <c r="BT16" s="74">
        <v>6.0</v>
      </c>
      <c r="BU16" s="79" t="str">
        <f>+AM139</f>
        <v>Santa Cruz</v>
      </c>
      <c r="BV16" s="80">
        <f t="shared" ref="BV16:CW16" si="7">+AO139</f>
        <v>3</v>
      </c>
      <c r="BW16" s="80">
        <f t="shared" si="7"/>
        <v>10</v>
      </c>
      <c r="BX16" s="80">
        <f t="shared" si="7"/>
        <v>2</v>
      </c>
      <c r="BY16" s="80">
        <f t="shared" si="7"/>
        <v>9</v>
      </c>
      <c r="BZ16" s="80">
        <f t="shared" si="7"/>
        <v>4</v>
      </c>
      <c r="CA16" s="80">
        <f t="shared" si="7"/>
        <v>6</v>
      </c>
      <c r="CB16" s="80">
        <f t="shared" si="7"/>
        <v>9</v>
      </c>
      <c r="CC16" s="80">
        <f t="shared" si="7"/>
        <v>2</v>
      </c>
      <c r="CD16" s="80">
        <f t="shared" si="7"/>
        <v>6</v>
      </c>
      <c r="CE16" s="80">
        <f t="shared" si="7"/>
        <v>3</v>
      </c>
      <c r="CF16" s="80">
        <f t="shared" si="7"/>
        <v>4</v>
      </c>
      <c r="CG16" s="80">
        <f t="shared" si="7"/>
        <v>7</v>
      </c>
      <c r="CH16" s="80">
        <f t="shared" si="7"/>
        <v>9</v>
      </c>
      <c r="CI16" s="80">
        <f t="shared" si="7"/>
        <v>9</v>
      </c>
      <c r="CJ16" s="80">
        <f t="shared" si="7"/>
        <v>5</v>
      </c>
      <c r="CK16" s="80">
        <f t="shared" si="7"/>
        <v>3</v>
      </c>
      <c r="CL16" s="80">
        <f t="shared" si="7"/>
        <v>13</v>
      </c>
      <c r="CM16" s="80">
        <f t="shared" si="7"/>
        <v>2</v>
      </c>
      <c r="CN16" s="80">
        <f t="shared" si="7"/>
        <v>2</v>
      </c>
      <c r="CO16" s="80">
        <f t="shared" si="7"/>
        <v>0</v>
      </c>
      <c r="CP16" s="80">
        <f t="shared" si="7"/>
        <v>0</v>
      </c>
      <c r="CQ16" s="80">
        <f t="shared" si="7"/>
        <v>3</v>
      </c>
      <c r="CR16" s="80">
        <f t="shared" si="7"/>
        <v>5</v>
      </c>
      <c r="CS16" s="80">
        <f t="shared" si="7"/>
        <v>5</v>
      </c>
      <c r="CT16" s="80">
        <f t="shared" si="7"/>
        <v>6</v>
      </c>
      <c r="CU16" s="80">
        <f t="shared" si="7"/>
        <v>5</v>
      </c>
      <c r="CV16" s="80">
        <f t="shared" si="7"/>
        <v>6</v>
      </c>
      <c r="CW16" s="80">
        <f t="shared" si="7"/>
        <v>4</v>
      </c>
      <c r="DA16" s="58"/>
      <c r="DB16" s="72" t="s">
        <v>74</v>
      </c>
      <c r="DC16" s="60">
        <v>2.0756903837778964</v>
      </c>
      <c r="DD16" s="60">
        <v>4.902227790184651</v>
      </c>
      <c r="DE16" s="73">
        <v>16.417910447761194</v>
      </c>
      <c r="DF16" s="73">
        <v>49.546700400590346</v>
      </c>
      <c r="DG16" s="60">
        <v>0.46661378377117263</v>
      </c>
      <c r="DH16" s="60">
        <v>7.652280379553107</v>
      </c>
      <c r="DI16" s="60"/>
      <c r="DJ16" s="60">
        <v>4.672897196261682</v>
      </c>
      <c r="DK16" s="60">
        <v>30.489061019323472</v>
      </c>
      <c r="DL16" s="60">
        <v>21.170361493908526</v>
      </c>
      <c r="DM16" s="60">
        <v>4.236889181809622</v>
      </c>
      <c r="DN16" s="60">
        <v>3.707136237256719</v>
      </c>
      <c r="DO16" s="60">
        <v>9.579417936319679</v>
      </c>
      <c r="DP16" s="60">
        <v>14.273479874393377</v>
      </c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</row>
    <row r="17" ht="14.25" customHeight="1">
      <c r="A17" s="12"/>
      <c r="B17" s="37" t="s">
        <v>27</v>
      </c>
      <c r="C17" s="38" t="s">
        <v>75</v>
      </c>
      <c r="D17" s="39">
        <v>0.0</v>
      </c>
      <c r="E17" s="39">
        <v>0.19696671262556628</v>
      </c>
      <c r="F17" s="39">
        <v>0.0</v>
      </c>
      <c r="G17" s="39">
        <v>0.0</v>
      </c>
      <c r="H17" s="39">
        <v>0.0</v>
      </c>
      <c r="I17" s="49">
        <v>0.0</v>
      </c>
      <c r="J17" s="39">
        <v>0.0</v>
      </c>
      <c r="K17" s="39">
        <v>0.19696671262556628</v>
      </c>
      <c r="L17" s="39">
        <v>0.0</v>
      </c>
      <c r="M17" s="39">
        <v>0.0</v>
      </c>
      <c r="N17" s="39">
        <v>0.39393342525113256</v>
      </c>
      <c r="O17" s="39">
        <v>0.0</v>
      </c>
      <c r="P17" s="39">
        <v>0.0</v>
      </c>
      <c r="Q17" s="39">
        <v>0.0</v>
      </c>
      <c r="R17" s="12"/>
      <c r="S17" s="12"/>
      <c r="T17" s="12"/>
      <c r="U17" s="84" t="s">
        <v>76</v>
      </c>
      <c r="V17" s="84"/>
      <c r="W17" s="84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M17" s="64">
        <v>9.0</v>
      </c>
      <c r="AN17" s="65" t="s">
        <v>77</v>
      </c>
      <c r="AO17" s="66"/>
      <c r="AP17" s="67">
        <v>10.0</v>
      </c>
      <c r="AQ17" s="67">
        <v>1.0</v>
      </c>
      <c r="AR17" s="66"/>
      <c r="AS17" s="66">
        <v>1.6</v>
      </c>
      <c r="AT17" s="66"/>
      <c r="AU17" s="66">
        <v>2.7</v>
      </c>
      <c r="AV17" s="66"/>
      <c r="AW17" s="66">
        <v>0.6</v>
      </c>
      <c r="AX17" s="66"/>
      <c r="AY17" s="66"/>
      <c r="AZ17" s="66">
        <v>4.1</v>
      </c>
      <c r="BA17" s="66"/>
      <c r="BB17" s="66">
        <v>12.6</v>
      </c>
      <c r="BC17" s="66"/>
      <c r="BD17" s="66">
        <v>6.8</v>
      </c>
      <c r="BE17" s="67"/>
      <c r="BF17" s="67">
        <v>4.8</v>
      </c>
      <c r="BG17" s="67"/>
      <c r="BH17" s="67">
        <v>6.0</v>
      </c>
      <c r="BI17" s="67"/>
      <c r="BJ17" s="67">
        <v>4.9</v>
      </c>
      <c r="BK17" s="67"/>
      <c r="BL17" s="67">
        <v>4.882062534284147</v>
      </c>
      <c r="BM17" s="67">
        <v>2.7258150721539285</v>
      </c>
      <c r="BN17" s="67"/>
      <c r="BO17" s="67"/>
      <c r="BP17" s="67">
        <v>12.7</v>
      </c>
      <c r="BQ17" s="6"/>
      <c r="BR17" s="6"/>
      <c r="BS17" s="6"/>
      <c r="BT17" s="85" t="s">
        <v>78</v>
      </c>
      <c r="BU17" s="33"/>
      <c r="BV17" s="71">
        <f t="shared" ref="BV17:CW17" si="8">SUM(BV11:BV16)</f>
        <v>70</v>
      </c>
      <c r="BW17" s="71">
        <f t="shared" si="8"/>
        <v>46</v>
      </c>
      <c r="BX17" s="71">
        <f t="shared" si="8"/>
        <v>76</v>
      </c>
      <c r="BY17" s="71">
        <f t="shared" si="8"/>
        <v>42</v>
      </c>
      <c r="BZ17" s="71">
        <f t="shared" si="8"/>
        <v>77</v>
      </c>
      <c r="CA17" s="71">
        <f t="shared" si="8"/>
        <v>35</v>
      </c>
      <c r="CB17" s="71">
        <f t="shared" si="8"/>
        <v>81</v>
      </c>
      <c r="CC17" s="71">
        <f t="shared" si="8"/>
        <v>34</v>
      </c>
      <c r="CD17" s="71">
        <f t="shared" si="8"/>
        <v>83</v>
      </c>
      <c r="CE17" s="71">
        <f t="shared" si="8"/>
        <v>29</v>
      </c>
      <c r="CF17" s="71">
        <f t="shared" si="8"/>
        <v>81</v>
      </c>
      <c r="CG17" s="71">
        <f t="shared" si="8"/>
        <v>34</v>
      </c>
      <c r="CH17" s="71">
        <f t="shared" si="8"/>
        <v>91</v>
      </c>
      <c r="CI17" s="71">
        <f t="shared" si="8"/>
        <v>30</v>
      </c>
      <c r="CJ17" s="71">
        <f t="shared" si="8"/>
        <v>101</v>
      </c>
      <c r="CK17" s="71">
        <f t="shared" si="8"/>
        <v>13</v>
      </c>
      <c r="CL17" s="71">
        <f t="shared" si="8"/>
        <v>102</v>
      </c>
      <c r="CM17" s="71">
        <f t="shared" si="8"/>
        <v>12</v>
      </c>
      <c r="CN17" s="71">
        <f t="shared" si="8"/>
        <v>68</v>
      </c>
      <c r="CO17" s="71">
        <f t="shared" si="8"/>
        <v>18</v>
      </c>
      <c r="CP17" s="71">
        <f t="shared" si="8"/>
        <v>78</v>
      </c>
      <c r="CQ17" s="71">
        <f t="shared" si="8"/>
        <v>27</v>
      </c>
      <c r="CR17" s="71">
        <f t="shared" si="8"/>
        <v>87</v>
      </c>
      <c r="CS17" s="71">
        <f t="shared" si="8"/>
        <v>25</v>
      </c>
      <c r="CT17" s="71">
        <f t="shared" si="8"/>
        <v>85</v>
      </c>
      <c r="CU17" s="71">
        <f t="shared" si="8"/>
        <v>28</v>
      </c>
      <c r="CV17" s="71">
        <f t="shared" si="8"/>
        <v>85</v>
      </c>
      <c r="CW17" s="71">
        <f t="shared" si="8"/>
        <v>30</v>
      </c>
      <c r="DA17" s="58"/>
      <c r="DB17" s="72" t="s">
        <v>79</v>
      </c>
      <c r="DC17" s="60">
        <v>0.0</v>
      </c>
      <c r="DD17" s="60">
        <v>22.615405081814554</v>
      </c>
      <c r="DE17" s="73"/>
      <c r="DF17" s="77"/>
      <c r="DG17" s="60">
        <v>1.529168896704641</v>
      </c>
      <c r="DH17" s="60"/>
      <c r="DI17" s="60">
        <v>1.0055304172951232</v>
      </c>
      <c r="DJ17" s="60">
        <v>2.2634676324128566</v>
      </c>
      <c r="DK17" s="60">
        <v>3.0059367250319378</v>
      </c>
      <c r="DL17" s="60">
        <v>2.994460248540201</v>
      </c>
      <c r="DM17" s="60"/>
      <c r="DN17" s="60">
        <v>13.704888076747375</v>
      </c>
      <c r="DO17" s="60">
        <v>3.6020459621064767</v>
      </c>
      <c r="DP17" s="60">
        <v>2.5583626479053407</v>
      </c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</row>
    <row r="18" ht="14.25" customHeight="1">
      <c r="A18" s="12"/>
      <c r="B18" s="37" t="s">
        <v>27</v>
      </c>
      <c r="C18" s="38" t="s">
        <v>80</v>
      </c>
      <c r="D18" s="39">
        <v>1.1321531494442159</v>
      </c>
      <c r="E18" s="39">
        <v>0.8233841086867023</v>
      </c>
      <c r="F18" s="39">
        <v>0.20584602717167558</v>
      </c>
      <c r="G18" s="39">
        <v>0.5146150679291889</v>
      </c>
      <c r="H18" s="39">
        <v>0.20584602717167558</v>
      </c>
      <c r="I18" s="49">
        <v>2.573075339645945</v>
      </c>
      <c r="J18" s="39">
        <v>2.6759983532317824</v>
      </c>
      <c r="K18" s="39">
        <v>2.881844380403458</v>
      </c>
      <c r="L18" s="39">
        <v>6.07245780156443</v>
      </c>
      <c r="M18" s="39">
        <v>13.174145738987237</v>
      </c>
      <c r="N18" s="39">
        <v>8.645533141210375</v>
      </c>
      <c r="O18" s="39">
        <v>11.012762453684644</v>
      </c>
      <c r="P18" s="39">
        <v>9.983532317826265</v>
      </c>
      <c r="Q18" s="39">
        <v>32.626595306710584</v>
      </c>
      <c r="R18" s="12"/>
      <c r="S18" s="12"/>
      <c r="T18" s="12"/>
      <c r="U18" s="12"/>
      <c r="V18" s="86"/>
      <c r="W18" s="12"/>
      <c r="X18" s="12"/>
      <c r="Y18" s="12"/>
      <c r="Z18" s="12"/>
      <c r="AA18" s="12"/>
      <c r="AB18" s="12"/>
      <c r="AC18" s="12"/>
      <c r="AD18" s="12"/>
      <c r="AE18" s="12"/>
      <c r="AF18" s="87"/>
      <c r="AM18" s="64">
        <v>10.0</v>
      </c>
      <c r="AN18" s="65" t="s">
        <v>81</v>
      </c>
      <c r="AO18" s="66"/>
      <c r="AP18" s="66">
        <v>21.4</v>
      </c>
      <c r="AQ18" s="66"/>
      <c r="AR18" s="66">
        <v>6.9</v>
      </c>
      <c r="AS18" s="66"/>
      <c r="AT18" s="66">
        <v>6.9</v>
      </c>
      <c r="AU18" s="66"/>
      <c r="AV18" s="66">
        <v>6.2</v>
      </c>
      <c r="AW18" s="67">
        <v>0.0</v>
      </c>
      <c r="AX18" s="66"/>
      <c r="AY18" s="66"/>
      <c r="AZ18" s="66"/>
      <c r="BA18" s="66"/>
      <c r="BB18" s="66">
        <v>21.5</v>
      </c>
      <c r="BC18" s="66"/>
      <c r="BD18" s="66"/>
      <c r="BE18" s="67">
        <v>1.9</v>
      </c>
      <c r="BF18" s="67"/>
      <c r="BG18" s="67"/>
      <c r="BH18" s="67"/>
      <c r="BI18" s="67"/>
      <c r="BJ18" s="67">
        <v>12.6</v>
      </c>
      <c r="BK18" s="67"/>
      <c r="BL18" s="67">
        <v>25.272331154684096</v>
      </c>
      <c r="BM18" s="67">
        <v>0.28780743066457354</v>
      </c>
      <c r="BN18" s="67"/>
      <c r="BO18" s="67"/>
      <c r="BP18" s="67">
        <v>14.9</v>
      </c>
      <c r="BQ18" s="6"/>
      <c r="BR18" s="6"/>
      <c r="BS18" s="6"/>
      <c r="BT18" s="85">
        <v>154.0</v>
      </c>
      <c r="BU18" s="33"/>
      <c r="BV18" s="88">
        <f>BV17/BT18*100</f>
        <v>45.45454545</v>
      </c>
      <c r="BW18" s="88">
        <f>BW17/BT18*100</f>
        <v>29.87012987</v>
      </c>
      <c r="BX18" s="88">
        <f>BX17/BT18*100</f>
        <v>49.35064935</v>
      </c>
      <c r="BY18" s="88">
        <f>BY17/BT18*100</f>
        <v>27.27272727</v>
      </c>
      <c r="BZ18" s="88">
        <f>BZ17/BT18*100</f>
        <v>50</v>
      </c>
      <c r="CA18" s="88">
        <f>CA17/BT18*100</f>
        <v>22.72727273</v>
      </c>
      <c r="CB18" s="88">
        <f>CB17/BT18*100</f>
        <v>52.5974026</v>
      </c>
      <c r="CC18" s="88">
        <f>CC17/BT18*100</f>
        <v>22.07792208</v>
      </c>
      <c r="CD18" s="88">
        <f>CD17/BT18*100</f>
        <v>53.8961039</v>
      </c>
      <c r="CE18" s="88">
        <f>CE17/BT18*100</f>
        <v>18.83116883</v>
      </c>
      <c r="CF18" s="88">
        <f>CF17/BT18*100</f>
        <v>52.5974026</v>
      </c>
      <c r="CG18" s="88">
        <f>CG17/BT18*100</f>
        <v>22.07792208</v>
      </c>
      <c r="CH18" s="88">
        <f>CH17/BT18*100</f>
        <v>59.09090909</v>
      </c>
      <c r="CI18" s="88">
        <f>CI17/BT18*100</f>
        <v>19.48051948</v>
      </c>
      <c r="CJ18" s="88">
        <f>CJ17/BT18*100</f>
        <v>65.58441558</v>
      </c>
      <c r="CK18" s="88">
        <f>CK17/BT18*100</f>
        <v>8.441558442</v>
      </c>
      <c r="CL18" s="88">
        <f>CL17/BT18*100</f>
        <v>66.23376623</v>
      </c>
      <c r="CM18" s="88">
        <f>CM17/BT18*100</f>
        <v>7.792207792</v>
      </c>
      <c r="CN18" s="88">
        <f>CN17/BT18*100</f>
        <v>44.15584416</v>
      </c>
      <c r="CO18" s="88">
        <f>CO17/BT18*100</f>
        <v>11.68831169</v>
      </c>
      <c r="CP18" s="88">
        <f>CP17/BT18*100</f>
        <v>50.64935065</v>
      </c>
      <c r="CQ18" s="88">
        <f>CQ17/BT18*100</f>
        <v>17.53246753</v>
      </c>
      <c r="CR18" s="88">
        <f>CR17/BT18*100</f>
        <v>56.49350649</v>
      </c>
      <c r="CS18" s="88">
        <f>CS17/BT18*100</f>
        <v>16.23376623</v>
      </c>
      <c r="CT18" s="88">
        <f>CT17/BT18*100</f>
        <v>55.19480519</v>
      </c>
      <c r="CU18" s="88">
        <f>CU17/BT18*100</f>
        <v>18.18181818</v>
      </c>
      <c r="CV18" s="88">
        <f>CV17/BT18*100</f>
        <v>55.19480519</v>
      </c>
      <c r="CW18" s="88">
        <f>CW17/BT18*100</f>
        <v>19.48051948</v>
      </c>
      <c r="DA18" s="58"/>
      <c r="DB18" s="72" t="s">
        <v>82</v>
      </c>
      <c r="DC18" s="60">
        <v>1.7508423046536252</v>
      </c>
      <c r="DD18" s="60">
        <v>2.334130828032911</v>
      </c>
      <c r="DE18" s="77"/>
      <c r="DF18" s="73">
        <v>3.355704697986577</v>
      </c>
      <c r="DG18" s="60">
        <v>0.9290442457322029</v>
      </c>
      <c r="DH18" s="60">
        <v>1.3404107018390434</v>
      </c>
      <c r="DI18" s="60">
        <v>0.2625223143967237</v>
      </c>
      <c r="DJ18" s="60">
        <v>4.7664442326024785</v>
      </c>
      <c r="DK18" s="60">
        <v>93.76972319899018</v>
      </c>
      <c r="DL18" s="60">
        <v>28.662919587074814</v>
      </c>
      <c r="DM18" s="60">
        <v>14.009661835748792</v>
      </c>
      <c r="DN18" s="60">
        <v>92.99133973782594</v>
      </c>
      <c r="DO18" s="60">
        <v>70.2413241532791</v>
      </c>
      <c r="DP18" s="60">
        <v>12.51042535446205</v>
      </c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</row>
    <row r="19" ht="14.25" customHeight="1">
      <c r="A19" s="12"/>
      <c r="B19" s="37" t="s">
        <v>27</v>
      </c>
      <c r="C19" s="38" t="s">
        <v>83</v>
      </c>
      <c r="D19" s="39">
        <v>0.009255317179719749</v>
      </c>
      <c r="E19" s="39">
        <v>0.018510634359439497</v>
      </c>
      <c r="F19" s="39">
        <v>0.08329785461747774</v>
      </c>
      <c r="G19" s="39">
        <v>0.10180848897691723</v>
      </c>
      <c r="H19" s="39">
        <v>0.06478722025803824</v>
      </c>
      <c r="I19" s="49">
        <v>0.027765951539159246</v>
      </c>
      <c r="J19" s="39">
        <v>0.07404253743775799</v>
      </c>
      <c r="K19" s="39">
        <v>0.09255317179719749</v>
      </c>
      <c r="L19" s="39">
        <v>0.16659570923495548</v>
      </c>
      <c r="M19" s="39">
        <v>0.11106380615663698</v>
      </c>
      <c r="N19" s="39">
        <v>0.05553190307831849</v>
      </c>
      <c r="O19" s="39">
        <v>0.30542546693075173</v>
      </c>
      <c r="P19" s="39">
        <v>0.07404253743775799</v>
      </c>
      <c r="Q19" s="39">
        <v>0.0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M19" s="64">
        <v>11.0</v>
      </c>
      <c r="AN19" s="65" t="s">
        <v>84</v>
      </c>
      <c r="AO19" s="66">
        <v>2.9</v>
      </c>
      <c r="AP19" s="66"/>
      <c r="AQ19" s="66">
        <v>1.9</v>
      </c>
      <c r="AR19" s="66"/>
      <c r="AS19" s="66">
        <v>2.7</v>
      </c>
      <c r="AT19" s="66"/>
      <c r="AU19" s="66"/>
      <c r="AV19" s="66">
        <v>4.1</v>
      </c>
      <c r="AW19" s="66"/>
      <c r="AX19" s="66">
        <v>4.5</v>
      </c>
      <c r="AY19" s="66">
        <v>2.6</v>
      </c>
      <c r="AZ19" s="66"/>
      <c r="BA19" s="66"/>
      <c r="BB19" s="66">
        <v>4.2</v>
      </c>
      <c r="BC19" s="66"/>
      <c r="BD19" s="66">
        <v>16.1</v>
      </c>
      <c r="BE19" s="67"/>
      <c r="BF19" s="67"/>
      <c r="BG19" s="67"/>
      <c r="BH19" s="67"/>
      <c r="BI19" s="67"/>
      <c r="BJ19" s="67">
        <v>25.6</v>
      </c>
      <c r="BK19" s="67"/>
      <c r="BL19" s="67">
        <v>13.712374581939798</v>
      </c>
      <c r="BM19" s="66"/>
      <c r="BN19" s="67">
        <v>20.333333333333332</v>
      </c>
      <c r="BO19" s="66"/>
      <c r="BP19" s="67">
        <v>21.2</v>
      </c>
      <c r="BQ19" s="6"/>
      <c r="BR19" s="6"/>
      <c r="BS19" s="6"/>
      <c r="BT19" s="44" t="s">
        <v>76</v>
      </c>
      <c r="BU19" s="45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DA19" s="58"/>
      <c r="DB19" s="72" t="s">
        <v>85</v>
      </c>
      <c r="DC19" s="60">
        <v>4.75336088138501</v>
      </c>
      <c r="DD19" s="60">
        <v>0.0</v>
      </c>
      <c r="DE19" s="73">
        <v>0.0</v>
      </c>
      <c r="DF19" s="77"/>
      <c r="DG19" s="60">
        <v>10.881886193606892</v>
      </c>
      <c r="DH19" s="60">
        <v>0.5411841108345059</v>
      </c>
      <c r="DI19" s="60"/>
      <c r="DJ19" s="60">
        <v>0.8938946992044338</v>
      </c>
      <c r="DK19" s="60">
        <v>12.013348164627365</v>
      </c>
      <c r="DL19" s="60">
        <v>16.840985640843822</v>
      </c>
      <c r="DM19" s="60">
        <v>9.172097513878832</v>
      </c>
      <c r="DN19" s="60">
        <v>5.191617896922787</v>
      </c>
      <c r="DO19" s="60">
        <v>1.845784689216003</v>
      </c>
      <c r="DP19" s="60">
        <v>0.6395906619763352</v>
      </c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</row>
    <row r="20" ht="14.25" customHeight="1">
      <c r="A20" s="12"/>
      <c r="B20" s="37" t="s">
        <v>34</v>
      </c>
      <c r="C20" s="38" t="s">
        <v>86</v>
      </c>
      <c r="D20" s="39">
        <v>2.63756252842201</v>
      </c>
      <c r="E20" s="39">
        <v>1.364256480218281</v>
      </c>
      <c r="F20" s="39">
        <v>0.6366530241018644</v>
      </c>
      <c r="G20" s="39">
        <v>5.093224192814915</v>
      </c>
      <c r="H20" s="39">
        <v>1.9099590723055935</v>
      </c>
      <c r="I20" s="49">
        <v>0.4547521600727603</v>
      </c>
      <c r="J20" s="39">
        <v>0.0</v>
      </c>
      <c r="K20" s="39">
        <v>0.0</v>
      </c>
      <c r="L20" s="39">
        <v>0.0</v>
      </c>
      <c r="M20" s="39">
        <v>0.0</v>
      </c>
      <c r="N20" s="39">
        <v>0.0</v>
      </c>
      <c r="O20" s="39">
        <v>0.0</v>
      </c>
      <c r="P20" s="39">
        <v>0.0</v>
      </c>
      <c r="Q20" s="39">
        <v>0.0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M20" s="64">
        <v>12.0</v>
      </c>
      <c r="AN20" s="65" t="s">
        <v>87</v>
      </c>
      <c r="AO20" s="66"/>
      <c r="AP20" s="66">
        <v>4.3</v>
      </c>
      <c r="AQ20" s="66">
        <v>2.9</v>
      </c>
      <c r="AR20" s="66"/>
      <c r="AS20" s="66">
        <v>1.2</v>
      </c>
      <c r="AT20" s="66"/>
      <c r="AU20" s="66">
        <v>1.8</v>
      </c>
      <c r="AV20" s="66"/>
      <c r="AW20" s="66"/>
      <c r="AX20" s="66">
        <v>4.2</v>
      </c>
      <c r="AY20" s="66"/>
      <c r="AZ20" s="66">
        <v>5.3</v>
      </c>
      <c r="BA20" s="66">
        <v>2.1</v>
      </c>
      <c r="BB20" s="66"/>
      <c r="BC20" s="66"/>
      <c r="BD20" s="67">
        <v>3.0</v>
      </c>
      <c r="BE20" s="67"/>
      <c r="BF20" s="67">
        <v>7.0</v>
      </c>
      <c r="BG20" s="67"/>
      <c r="BH20" s="67"/>
      <c r="BI20" s="67">
        <v>0.5</v>
      </c>
      <c r="BJ20" s="67"/>
      <c r="BK20" s="67"/>
      <c r="BL20" s="67">
        <v>5.912786400591279</v>
      </c>
      <c r="BM20" s="67">
        <v>0.07674597083653108</v>
      </c>
      <c r="BN20" s="67"/>
      <c r="BO20" s="67"/>
      <c r="BP20" s="67">
        <v>3.4</v>
      </c>
      <c r="BQ20" s="6"/>
      <c r="BR20" s="6"/>
      <c r="BS20" s="6"/>
      <c r="BT20" s="44"/>
      <c r="BU20" s="45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DA20" s="58"/>
      <c r="DB20" s="72" t="s">
        <v>88</v>
      </c>
      <c r="DC20" s="60"/>
      <c r="DD20" s="60"/>
      <c r="DE20" s="73"/>
      <c r="DF20" s="77"/>
      <c r="DG20" s="60">
        <v>5.291005291005291</v>
      </c>
      <c r="DH20" s="60">
        <v>7.674597083653108</v>
      </c>
      <c r="DI20" s="60">
        <v>2.543881963876876</v>
      </c>
      <c r="DJ20" s="60"/>
      <c r="DK20" s="60">
        <v>1.703867779860283</v>
      </c>
      <c r="DL20" s="60">
        <v>18.625126989502203</v>
      </c>
      <c r="DM20" s="60">
        <v>7.458975634012929</v>
      </c>
      <c r="DN20" s="60">
        <v>4.946821667078902</v>
      </c>
      <c r="DO20" s="60">
        <v>2.460024600246002</v>
      </c>
      <c r="DP20" s="60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</row>
    <row r="21" ht="14.25" customHeight="1">
      <c r="A21" s="12"/>
      <c r="B21" s="37" t="s">
        <v>34</v>
      </c>
      <c r="C21" s="38" t="s">
        <v>89</v>
      </c>
      <c r="D21" s="39">
        <v>0.06236357966947303</v>
      </c>
      <c r="E21" s="39">
        <v>0.0</v>
      </c>
      <c r="F21" s="39">
        <v>0.0</v>
      </c>
      <c r="G21" s="39">
        <v>0.0</v>
      </c>
      <c r="H21" s="39">
        <v>0.0</v>
      </c>
      <c r="I21" s="49">
        <v>0.0</v>
      </c>
      <c r="J21" s="39">
        <v>0.0</v>
      </c>
      <c r="K21" s="39">
        <v>0.0</v>
      </c>
      <c r="L21" s="39">
        <v>0.0</v>
      </c>
      <c r="M21" s="39">
        <v>0.06236357966947303</v>
      </c>
      <c r="N21" s="39">
        <v>0.0</v>
      </c>
      <c r="O21" s="39">
        <v>0.0</v>
      </c>
      <c r="P21" s="39">
        <v>0.0</v>
      </c>
      <c r="Q21" s="39">
        <v>0.0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M21" s="64">
        <v>13.0</v>
      </c>
      <c r="AN21" s="65" t="s">
        <v>90</v>
      </c>
      <c r="AO21" s="66"/>
      <c r="AP21" s="66"/>
      <c r="AQ21" s="66"/>
      <c r="AR21" s="66">
        <v>9.4</v>
      </c>
      <c r="AS21" s="66">
        <v>2.8</v>
      </c>
      <c r="AT21" s="66"/>
      <c r="AU21" s="66">
        <v>1.3</v>
      </c>
      <c r="AV21" s="66"/>
      <c r="AW21" s="66">
        <v>1.1</v>
      </c>
      <c r="AX21" s="66"/>
      <c r="AY21" s="67">
        <v>1.0</v>
      </c>
      <c r="AZ21" s="66"/>
      <c r="BA21" s="66">
        <v>1.3</v>
      </c>
      <c r="BB21" s="66"/>
      <c r="BC21" s="66">
        <v>0.6</v>
      </c>
      <c r="BD21" s="66"/>
      <c r="BE21" s="67">
        <v>0.6</v>
      </c>
      <c r="BF21" s="67"/>
      <c r="BG21" s="67">
        <v>0.5</v>
      </c>
      <c r="BH21" s="67"/>
      <c r="BI21" s="67">
        <v>0.1</v>
      </c>
      <c r="BJ21" s="67"/>
      <c r="BK21" s="67">
        <v>0.823529411764706</v>
      </c>
      <c r="BL21" s="67"/>
      <c r="BM21" s="67">
        <v>1.0526315789473684</v>
      </c>
      <c r="BN21" s="67"/>
      <c r="BO21" s="67">
        <v>0.3</v>
      </c>
      <c r="BP21" s="67"/>
      <c r="BQ21" s="6"/>
      <c r="BR21" s="6"/>
      <c r="BS21" s="6"/>
      <c r="BT21" s="13"/>
      <c r="BU21" s="89" t="s">
        <v>91</v>
      </c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4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DA21" s="58"/>
      <c r="DB21" s="72" t="s">
        <v>92</v>
      </c>
      <c r="DC21" s="60"/>
      <c r="DD21" s="60"/>
      <c r="DE21" s="73"/>
      <c r="DF21" s="77"/>
      <c r="DG21" s="60"/>
      <c r="DH21" s="60">
        <v>1.6775708773695688</v>
      </c>
      <c r="DI21" s="60"/>
      <c r="DJ21" s="60"/>
      <c r="DK21" s="60">
        <v>1.2631047113805733</v>
      </c>
      <c r="DL21" s="60">
        <v>33.59044538442399</v>
      </c>
      <c r="DM21" s="60"/>
      <c r="DN21" s="60">
        <v>42.84066567803592</v>
      </c>
      <c r="DO21" s="60">
        <v>9.861932938856016</v>
      </c>
      <c r="DP21" s="60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</row>
    <row r="22" ht="14.25" customHeight="1">
      <c r="A22" s="12"/>
      <c r="B22" s="37" t="s">
        <v>34</v>
      </c>
      <c r="C22" s="38" t="s">
        <v>93</v>
      </c>
      <c r="D22" s="39">
        <v>0.2191420588396428</v>
      </c>
      <c r="E22" s="39">
        <v>0.2739275735495535</v>
      </c>
      <c r="F22" s="39">
        <v>0.4930696323891963</v>
      </c>
      <c r="G22" s="39">
        <v>0.38349860296937494</v>
      </c>
      <c r="H22" s="39">
        <v>0.1095710294198214</v>
      </c>
      <c r="I22" s="49">
        <v>0.0</v>
      </c>
      <c r="J22" s="39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9">
        <v>0.0</v>
      </c>
      <c r="Q22" s="39">
        <v>0.0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M22" s="64">
        <v>14.0</v>
      </c>
      <c r="AN22" s="65" t="s">
        <v>94</v>
      </c>
      <c r="AO22" s="66"/>
      <c r="AP22" s="66">
        <v>3.3</v>
      </c>
      <c r="AQ22" s="66"/>
      <c r="AR22" s="66">
        <v>3.6</v>
      </c>
      <c r="AS22" s="66">
        <v>1.4</v>
      </c>
      <c r="AT22" s="66"/>
      <c r="AU22" s="67">
        <v>1.0</v>
      </c>
      <c r="AV22" s="66"/>
      <c r="AW22" s="66">
        <v>0.9</v>
      </c>
      <c r="AX22" s="66"/>
      <c r="AY22" s="66">
        <v>1.3</v>
      </c>
      <c r="AZ22" s="66"/>
      <c r="BA22" s="66">
        <v>2.8</v>
      </c>
      <c r="BB22" s="66"/>
      <c r="BC22" s="67">
        <v>1.0</v>
      </c>
      <c r="BD22" s="66"/>
      <c r="BE22" s="67">
        <v>0.9</v>
      </c>
      <c r="BF22" s="67"/>
      <c r="BG22" s="67">
        <v>2.0</v>
      </c>
      <c r="BH22" s="67"/>
      <c r="BI22" s="67">
        <v>1.2</v>
      </c>
      <c r="BJ22" s="67"/>
      <c r="BK22" s="67">
        <v>1.2391158740790356</v>
      </c>
      <c r="BL22" s="67"/>
      <c r="BM22" s="66"/>
      <c r="BN22" s="67">
        <v>23.52941176470588</v>
      </c>
      <c r="BO22" s="66"/>
      <c r="BP22" s="67">
        <v>4.2</v>
      </c>
      <c r="BQ22" s="6"/>
      <c r="BR22" s="6"/>
      <c r="BS22" s="6"/>
      <c r="BT22" s="1"/>
      <c r="BU22" s="90" t="s">
        <v>95</v>
      </c>
      <c r="BV22" s="91">
        <v>1999.0</v>
      </c>
      <c r="BW22" s="91">
        <v>2003.0</v>
      </c>
      <c r="BX22" s="91">
        <v>2004.0</v>
      </c>
      <c r="BY22" s="91">
        <v>2005.0</v>
      </c>
      <c r="BZ22" s="91">
        <v>2006.0</v>
      </c>
      <c r="CA22" s="91">
        <v>2007.0</v>
      </c>
      <c r="CB22" s="91">
        <v>2008.0</v>
      </c>
      <c r="CC22" s="91">
        <v>2009.0</v>
      </c>
      <c r="CD22" s="91">
        <v>2010.0</v>
      </c>
      <c r="CE22" s="91">
        <v>2011.0</v>
      </c>
      <c r="CF22" s="91">
        <v>2012.0</v>
      </c>
      <c r="CG22" s="91">
        <v>2013.0</v>
      </c>
      <c r="CH22" s="91">
        <v>2014.0</v>
      </c>
      <c r="CI22" s="91">
        <v>2015.0</v>
      </c>
      <c r="CJ22" s="91">
        <v>2016.0</v>
      </c>
      <c r="CK22" s="91">
        <v>2017.0</v>
      </c>
      <c r="CL22" s="91">
        <v>2018.0</v>
      </c>
      <c r="CM22" s="91">
        <v>2019.0</v>
      </c>
      <c r="CN22" s="91">
        <v>2020.0</v>
      </c>
      <c r="CO22" s="91">
        <v>2021.0</v>
      </c>
      <c r="CP22" s="91">
        <v>2022.0</v>
      </c>
      <c r="CQ22" s="91">
        <v>2023.0</v>
      </c>
      <c r="CR22" s="91">
        <v>2024.0</v>
      </c>
      <c r="CS22" s="1"/>
      <c r="CT22" s="1"/>
      <c r="CU22" s="1"/>
      <c r="CV22" s="1"/>
      <c r="CW22" s="1"/>
      <c r="DA22" s="58"/>
      <c r="DB22" s="72" t="s">
        <v>96</v>
      </c>
      <c r="DC22" s="60">
        <v>8.693242163304292</v>
      </c>
      <c r="DD22" s="60"/>
      <c r="DE22" s="73">
        <v>0.0</v>
      </c>
      <c r="DF22" s="73">
        <v>6.397952655150352</v>
      </c>
      <c r="DG22" s="60">
        <v>11.700468018720748</v>
      </c>
      <c r="DH22" s="60">
        <v>2.0678246484698097</v>
      </c>
      <c r="DI22" s="60">
        <v>12.219959266802444</v>
      </c>
      <c r="DJ22" s="60">
        <v>1.9282684149633629</v>
      </c>
      <c r="DK22" s="60">
        <v>9.619084263178145</v>
      </c>
      <c r="DL22" s="60">
        <v>36.42638036809816</v>
      </c>
      <c r="DM22" s="60"/>
      <c r="DN22" s="60">
        <v>9.444654325651682</v>
      </c>
      <c r="DO22" s="60">
        <v>117.2311127651656</v>
      </c>
      <c r="DP22" s="60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</row>
    <row r="23" ht="14.25" customHeight="1">
      <c r="A23" s="12"/>
      <c r="B23" s="37" t="s">
        <v>34</v>
      </c>
      <c r="C23" s="38" t="s">
        <v>97</v>
      </c>
      <c r="D23" s="39">
        <v>4.3991664737207685</v>
      </c>
      <c r="E23" s="39">
        <v>1.5049780041676315</v>
      </c>
      <c r="F23" s="39">
        <v>0.0</v>
      </c>
      <c r="G23" s="39">
        <v>2.083815698078259</v>
      </c>
      <c r="H23" s="39">
        <v>0.34730261634637644</v>
      </c>
      <c r="I23" s="4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M23" s="64">
        <v>15.0</v>
      </c>
      <c r="AN23" s="65" t="s">
        <v>98</v>
      </c>
      <c r="AO23" s="66">
        <v>1.3</v>
      </c>
      <c r="AP23" s="66"/>
      <c r="AQ23" s="66"/>
      <c r="AR23" s="66">
        <v>3.6</v>
      </c>
      <c r="AS23" s="66">
        <v>2.7</v>
      </c>
      <c r="AT23" s="66"/>
      <c r="AU23" s="66">
        <v>2.2</v>
      </c>
      <c r="AV23" s="66"/>
      <c r="AW23" s="67">
        <v>1.0</v>
      </c>
      <c r="AX23" s="66"/>
      <c r="AY23" s="66">
        <v>1.7</v>
      </c>
      <c r="AZ23" s="66"/>
      <c r="BA23" s="66"/>
      <c r="BB23" s="66">
        <v>3.7</v>
      </c>
      <c r="BC23" s="66"/>
      <c r="BD23" s="66">
        <v>6.5</v>
      </c>
      <c r="BE23" s="67"/>
      <c r="BF23" s="67">
        <v>5.1</v>
      </c>
      <c r="BG23" s="67"/>
      <c r="BH23" s="67">
        <v>23.5</v>
      </c>
      <c r="BI23" s="67"/>
      <c r="BJ23" s="67">
        <v>5.2</v>
      </c>
      <c r="BK23" s="67"/>
      <c r="BL23" s="67">
        <v>7.35632183908046</v>
      </c>
      <c r="BM23" s="66"/>
      <c r="BN23" s="67">
        <v>12.268518518518519</v>
      </c>
      <c r="BO23" s="66"/>
      <c r="BP23" s="67">
        <v>3.5</v>
      </c>
      <c r="BQ23" s="6"/>
      <c r="BR23" s="6"/>
      <c r="BS23" s="6"/>
      <c r="BT23" s="1"/>
      <c r="BU23" s="92" t="s">
        <v>99</v>
      </c>
      <c r="BV23" s="93">
        <v>55.0</v>
      </c>
      <c r="BW23" s="94">
        <v>12.323055256262396</v>
      </c>
      <c r="BX23" s="94">
        <v>2.9024354981771863</v>
      </c>
      <c r="BY23" s="94">
        <v>3.9248104629653753</v>
      </c>
      <c r="BZ23" s="94">
        <v>2.642523546485046</v>
      </c>
      <c r="CA23" s="94">
        <v>3.1947222401445257</v>
      </c>
      <c r="CB23" s="94">
        <v>3.047297974734309</v>
      </c>
      <c r="CC23" s="94">
        <v>2.436059831131718</v>
      </c>
      <c r="CD23" s="94">
        <v>2.765953227661515</v>
      </c>
      <c r="CE23" s="94">
        <v>3.1622059243737497</v>
      </c>
      <c r="CF23" s="94">
        <v>2.47905256391999</v>
      </c>
      <c r="CG23" s="94">
        <v>2.5092550528238786</v>
      </c>
      <c r="CH23" s="94">
        <v>2.315093906017379</v>
      </c>
      <c r="CI23" s="94">
        <v>2.0633991169069588</v>
      </c>
      <c r="CJ23" s="94">
        <v>1.9</v>
      </c>
      <c r="CK23" s="94">
        <v>1.8</v>
      </c>
      <c r="CL23" s="94">
        <v>1.4</v>
      </c>
      <c r="CM23" s="94">
        <v>1.0</v>
      </c>
      <c r="CN23" s="94">
        <v>1.2</v>
      </c>
      <c r="CO23" s="94">
        <v>1.8</v>
      </c>
      <c r="CP23" s="95">
        <v>1.3</v>
      </c>
      <c r="CQ23" s="95">
        <v>1.4</v>
      </c>
      <c r="CR23" s="95">
        <v>1.4</v>
      </c>
      <c r="CS23" s="1"/>
      <c r="CT23" s="1"/>
      <c r="CU23" s="1"/>
      <c r="CV23" s="1"/>
      <c r="CW23" s="1"/>
      <c r="DA23" s="58"/>
      <c r="DB23" s="72" t="s">
        <v>100</v>
      </c>
      <c r="DC23" s="60">
        <v>0.0</v>
      </c>
      <c r="DD23" s="60">
        <v>0.0</v>
      </c>
      <c r="DE23" s="73">
        <v>0.0</v>
      </c>
      <c r="DF23" s="73">
        <v>2.7522430781086586</v>
      </c>
      <c r="DG23" s="60">
        <v>1.6053941242575052</v>
      </c>
      <c r="DH23" s="60">
        <v>0.5477051155657794</v>
      </c>
      <c r="DI23" s="60"/>
      <c r="DJ23" s="60">
        <v>1.6295491580662684</v>
      </c>
      <c r="DK23" s="60">
        <v>4.914541582482389</v>
      </c>
      <c r="DL23" s="60">
        <v>64.2292490118577</v>
      </c>
      <c r="DM23" s="60">
        <v>48.199295965339836</v>
      </c>
      <c r="DN23" s="60">
        <v>3.242892660252946</v>
      </c>
      <c r="DO23" s="60">
        <v>43.156929384474296</v>
      </c>
      <c r="DP23" s="60">
        <v>1.6572754391779914</v>
      </c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</row>
    <row r="24" ht="14.25" customHeight="1">
      <c r="A24" s="12"/>
      <c r="B24" s="37" t="s">
        <v>34</v>
      </c>
      <c r="C24" s="38" t="s">
        <v>101</v>
      </c>
      <c r="D24" s="39">
        <v>0.0</v>
      </c>
      <c r="E24" s="39">
        <v>0.0</v>
      </c>
      <c r="F24" s="39">
        <v>0.0</v>
      </c>
      <c r="G24" s="39">
        <v>0.0</v>
      </c>
      <c r="H24" s="39">
        <v>0.12442453651860148</v>
      </c>
      <c r="I24" s="4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M24" s="64">
        <v>16.0</v>
      </c>
      <c r="AN24" s="65" t="s">
        <v>102</v>
      </c>
      <c r="AO24" s="66">
        <v>1.8</v>
      </c>
      <c r="AP24" s="66"/>
      <c r="AQ24" s="66">
        <v>2.4</v>
      </c>
      <c r="AR24" s="66"/>
      <c r="AS24" s="66">
        <v>1.6</v>
      </c>
      <c r="AT24" s="66"/>
      <c r="AU24" s="66">
        <v>1.9</v>
      </c>
      <c r="AV24" s="66"/>
      <c r="AW24" s="66">
        <v>1.7</v>
      </c>
      <c r="AX24" s="66"/>
      <c r="AY24" s="66">
        <v>1.7</v>
      </c>
      <c r="AZ24" s="66"/>
      <c r="BA24" s="66">
        <v>1.3</v>
      </c>
      <c r="BB24" s="66"/>
      <c r="BC24" s="66">
        <v>1.7</v>
      </c>
      <c r="BD24" s="66"/>
      <c r="BE24" s="67">
        <v>0.7</v>
      </c>
      <c r="BF24" s="67"/>
      <c r="BG24" s="67"/>
      <c r="BH24" s="67">
        <v>4.2</v>
      </c>
      <c r="BI24" s="67"/>
      <c r="BJ24" s="67">
        <v>3.9</v>
      </c>
      <c r="BK24" s="67">
        <v>1.408901697086135</v>
      </c>
      <c r="BL24" s="67"/>
      <c r="BM24" s="66"/>
      <c r="BN24" s="67">
        <v>24.159663865546218</v>
      </c>
      <c r="BO24" s="66"/>
      <c r="BP24" s="67">
        <v>3.5</v>
      </c>
      <c r="BQ24" s="6"/>
      <c r="BR24" s="6"/>
      <c r="BS24" s="6"/>
      <c r="BT24" s="1"/>
      <c r="BU24" s="92" t="s">
        <v>103</v>
      </c>
      <c r="BV24" s="94">
        <v>25.242977704070995</v>
      </c>
      <c r="BW24" s="94">
        <v>9.534070425493857</v>
      </c>
      <c r="BX24" s="94">
        <v>1.248031634515069</v>
      </c>
      <c r="BY24" s="94">
        <v>1.75181721074434</v>
      </c>
      <c r="BZ24" s="94">
        <v>1.3318454144892589</v>
      </c>
      <c r="CA24" s="94">
        <v>1.34847409510291</v>
      </c>
      <c r="CB24" s="94">
        <v>1.23759274112693</v>
      </c>
      <c r="CC24" s="94">
        <v>0.9150161664236867</v>
      </c>
      <c r="CD24" s="94">
        <v>1.0060415372208928</v>
      </c>
      <c r="CE24" s="94">
        <v>1.3433378134778269</v>
      </c>
      <c r="CF24" s="94">
        <v>0.9286120254309119</v>
      </c>
      <c r="CG24" s="94">
        <v>0.9591746651587938</v>
      </c>
      <c r="CH24" s="94">
        <v>0.797676579616116</v>
      </c>
      <c r="CI24" s="94">
        <v>0.7403421589883995</v>
      </c>
      <c r="CJ24" s="94">
        <v>0.5</v>
      </c>
      <c r="CK24" s="94">
        <v>0.6</v>
      </c>
      <c r="CL24" s="94">
        <v>0.4</v>
      </c>
      <c r="CM24" s="94">
        <v>0.3</v>
      </c>
      <c r="CN24" s="94">
        <v>0.3</v>
      </c>
      <c r="CO24" s="94">
        <v>0.5</v>
      </c>
      <c r="CP24" s="95">
        <v>0.3</v>
      </c>
      <c r="CQ24" s="95">
        <v>0.4</v>
      </c>
      <c r="CR24" s="95">
        <v>0.3</v>
      </c>
      <c r="CS24" s="1"/>
      <c r="CT24" s="1"/>
      <c r="CU24" s="1"/>
      <c r="CV24" s="1"/>
      <c r="CW24" s="1"/>
      <c r="DA24" s="58"/>
      <c r="DB24" s="72" t="s">
        <v>104</v>
      </c>
      <c r="DC24" s="60">
        <v>4.544936144468094</v>
      </c>
      <c r="DD24" s="60"/>
      <c r="DE24" s="73">
        <v>0.0</v>
      </c>
      <c r="DF24" s="73">
        <v>1.1184431271669835</v>
      </c>
      <c r="DG24" s="60">
        <v>2.003606491685033</v>
      </c>
      <c r="DH24" s="60">
        <v>1.0766580534022394</v>
      </c>
      <c r="DI24" s="60"/>
      <c r="DJ24" s="60">
        <v>0.9778994719342852</v>
      </c>
      <c r="DK24" s="60">
        <v>5.826374053214216</v>
      </c>
      <c r="DL24" s="60">
        <v>8.671355621928894</v>
      </c>
      <c r="DM24" s="60">
        <v>0.9800078400627205</v>
      </c>
      <c r="DN24" s="60">
        <v>0.962000962000962</v>
      </c>
      <c r="DO24" s="60">
        <v>0.9444654325651681</v>
      </c>
      <c r="DP24" s="60">
        <v>0.08041364780430535</v>
      </c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</row>
    <row r="25" ht="14.25" customHeight="1">
      <c r="A25" s="12"/>
      <c r="B25" s="37" t="s">
        <v>34</v>
      </c>
      <c r="C25" s="38" t="s">
        <v>105</v>
      </c>
      <c r="D25" s="39">
        <v>0.8199165175909362</v>
      </c>
      <c r="E25" s="39">
        <v>0.6708407871198568</v>
      </c>
      <c r="F25" s="39">
        <v>0.4472271914132379</v>
      </c>
      <c r="G25" s="39">
        <v>0.7453786523553966</v>
      </c>
      <c r="H25" s="39">
        <v>0.0</v>
      </c>
      <c r="I25" s="49">
        <v>0.3726893261776983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M25" s="64">
        <v>17.0</v>
      </c>
      <c r="AN25" s="65" t="s">
        <v>106</v>
      </c>
      <c r="AO25" s="66">
        <v>0.1</v>
      </c>
      <c r="AP25" s="66"/>
      <c r="AQ25" s="66">
        <v>0.3</v>
      </c>
      <c r="AR25" s="66"/>
      <c r="AS25" s="66">
        <v>0.0</v>
      </c>
      <c r="AT25" s="66"/>
      <c r="AU25" s="67">
        <v>0.0</v>
      </c>
      <c r="AV25" s="66"/>
      <c r="AW25" s="66">
        <v>0.1</v>
      </c>
      <c r="AX25" s="66"/>
      <c r="AY25" s="66">
        <v>0.2</v>
      </c>
      <c r="AZ25" s="66"/>
      <c r="BA25" s="66">
        <v>0.1</v>
      </c>
      <c r="BB25" s="66"/>
      <c r="BC25" s="67">
        <v>0.0</v>
      </c>
      <c r="BD25" s="66"/>
      <c r="BE25" s="67"/>
      <c r="BF25" s="67"/>
      <c r="BG25" s="67"/>
      <c r="BH25" s="67"/>
      <c r="BI25" s="67">
        <v>0.0</v>
      </c>
      <c r="BJ25" s="67"/>
      <c r="BK25" s="67">
        <v>0.0</v>
      </c>
      <c r="BL25" s="67"/>
      <c r="BM25" s="67">
        <v>0.4269854824935952</v>
      </c>
      <c r="BN25" s="67"/>
      <c r="BO25" s="67">
        <v>0.0</v>
      </c>
      <c r="BP25" s="67"/>
      <c r="BQ25" s="6"/>
      <c r="BR25" s="6"/>
      <c r="BS25" s="6"/>
      <c r="BT25" s="1"/>
      <c r="BU25" s="92" t="s">
        <v>107</v>
      </c>
      <c r="BV25" s="94">
        <v>25.683518678457588</v>
      </c>
      <c r="BW25" s="94">
        <v>8.719911955133563</v>
      </c>
      <c r="BX25" s="94">
        <v>1.7851072392868168</v>
      </c>
      <c r="BY25" s="94">
        <v>2.323424432691556</v>
      </c>
      <c r="BZ25" s="94">
        <v>1.3663904195186052</v>
      </c>
      <c r="CA25" s="94">
        <v>1.9394799664494484</v>
      </c>
      <c r="CB25" s="94">
        <v>1.8767545618608383</v>
      </c>
      <c r="CC25" s="94">
        <v>1.5937669645021528</v>
      </c>
      <c r="CD25" s="94">
        <v>1.7754451832952156</v>
      </c>
      <c r="CE25" s="94">
        <v>1.9381034525333982</v>
      </c>
      <c r="CF25" s="94">
        <v>1.5707209305010836</v>
      </c>
      <c r="CG25" s="94">
        <v>1.5526579480686018</v>
      </c>
      <c r="CH25" s="94">
        <v>1.6036796370987887</v>
      </c>
      <c r="CI25" s="94">
        <v>1.3838289521578806</v>
      </c>
      <c r="CJ25" s="94">
        <v>1.4</v>
      </c>
      <c r="CK25" s="94">
        <v>1.2</v>
      </c>
      <c r="CL25" s="94">
        <v>1.0</v>
      </c>
      <c r="CM25" s="94">
        <v>0.8</v>
      </c>
      <c r="CN25" s="94">
        <v>1.0</v>
      </c>
      <c r="CO25" s="94">
        <v>1.4</v>
      </c>
      <c r="CP25" s="95">
        <v>1.0</v>
      </c>
      <c r="CQ25" s="95">
        <v>1.1</v>
      </c>
      <c r="CR25" s="95">
        <v>1.1</v>
      </c>
      <c r="CS25" s="1"/>
      <c r="CT25" s="1"/>
      <c r="CU25" s="1"/>
      <c r="CV25" s="1"/>
      <c r="CW25" s="1"/>
      <c r="DA25" s="96"/>
      <c r="DB25" s="72" t="s">
        <v>108</v>
      </c>
      <c r="DC25" s="60">
        <v>43.542313649838064</v>
      </c>
      <c r="DD25" s="60">
        <v>36.6</v>
      </c>
      <c r="DE25" s="73">
        <v>29.951464193565847</v>
      </c>
      <c r="DF25" s="73">
        <v>7.883552758885123</v>
      </c>
      <c r="DG25" s="60">
        <v>10.0455052803297</v>
      </c>
      <c r="DH25" s="60">
        <v>7.885137544225337</v>
      </c>
      <c r="DI25" s="60">
        <v>18.042913964142222</v>
      </c>
      <c r="DJ25" s="60">
        <v>4.6421168052632</v>
      </c>
      <c r="DK25" s="60">
        <v>28.713824102399602</v>
      </c>
      <c r="DL25" s="60">
        <v>55.794944013715295</v>
      </c>
      <c r="DM25" s="60">
        <v>8.235511031897241</v>
      </c>
      <c r="DN25" s="60">
        <v>22.915639171909394</v>
      </c>
      <c r="DO25" s="60">
        <v>12.655768970409047</v>
      </c>
      <c r="DP25" s="60">
        <v>8.09192425958893</v>
      </c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</row>
    <row r="26" ht="14.25" customHeight="1">
      <c r="A26" s="12"/>
      <c r="B26" s="37" t="s">
        <v>34</v>
      </c>
      <c r="C26" s="38" t="s">
        <v>109</v>
      </c>
      <c r="D26" s="39">
        <v>0.2613695765812859</v>
      </c>
      <c r="E26" s="39">
        <v>0.0</v>
      </c>
      <c r="F26" s="39">
        <v>0.0</v>
      </c>
      <c r="G26" s="39">
        <v>0.0</v>
      </c>
      <c r="H26" s="39">
        <v>0.0</v>
      </c>
      <c r="I26" s="4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M26" s="64">
        <v>18.0</v>
      </c>
      <c r="AN26" s="65" t="s">
        <v>110</v>
      </c>
      <c r="AO26" s="67"/>
      <c r="AP26" s="67">
        <v>10.0</v>
      </c>
      <c r="AQ26" s="66"/>
      <c r="AR26" s="66">
        <v>4.4</v>
      </c>
      <c r="AS26" s="66">
        <v>2.6</v>
      </c>
      <c r="AT26" s="66"/>
      <c r="AU26" s="66"/>
      <c r="AV26" s="66">
        <v>3.5</v>
      </c>
      <c r="AW26" s="66">
        <v>2.6</v>
      </c>
      <c r="AX26" s="66"/>
      <c r="AY26" s="66">
        <v>1.1</v>
      </c>
      <c r="AZ26" s="66"/>
      <c r="BA26" s="66">
        <v>1.1</v>
      </c>
      <c r="BB26" s="66"/>
      <c r="BC26" s="66">
        <v>1.4</v>
      </c>
      <c r="BD26" s="66"/>
      <c r="BE26" s="67">
        <v>0.4</v>
      </c>
      <c r="BF26" s="67"/>
      <c r="BG26" s="67"/>
      <c r="BH26" s="67">
        <v>3.6</v>
      </c>
      <c r="BI26" s="67"/>
      <c r="BJ26" s="67">
        <v>3.8</v>
      </c>
      <c r="BK26" s="67">
        <v>0.707941820054061</v>
      </c>
      <c r="BL26" s="67"/>
      <c r="BM26" s="67">
        <v>1.211612284069098</v>
      </c>
      <c r="BN26" s="67"/>
      <c r="BO26" s="67">
        <v>1.2</v>
      </c>
      <c r="BP26" s="67"/>
      <c r="BQ26" s="6"/>
      <c r="BR26" s="6"/>
      <c r="BS26" s="6"/>
      <c r="BT26" s="46"/>
      <c r="BU26" s="44" t="s">
        <v>76</v>
      </c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DA26" s="47" t="s">
        <v>111</v>
      </c>
      <c r="DB26" s="48" t="s">
        <v>32</v>
      </c>
      <c r="DC26" s="36">
        <v>4.823867733449589</v>
      </c>
      <c r="DD26" s="36">
        <v>9.27920463960232</v>
      </c>
      <c r="DE26" s="36">
        <v>12.838468720821663</v>
      </c>
      <c r="DF26" s="36">
        <v>3.53545830934968</v>
      </c>
      <c r="DG26" s="36">
        <v>3.996311097448509</v>
      </c>
      <c r="DH26" s="36">
        <v>7.229386479093396</v>
      </c>
      <c r="DI26" s="36">
        <v>4.108632236328526</v>
      </c>
      <c r="DJ26" s="36">
        <v>1.9415119524329572</v>
      </c>
      <c r="DK26" s="36"/>
      <c r="DL26" s="36">
        <v>54.57359516062254</v>
      </c>
      <c r="DM26" s="36">
        <v>0.6</v>
      </c>
      <c r="DN26" s="36">
        <v>2.9</v>
      </c>
      <c r="DO26" s="36">
        <v>41.960653065313366</v>
      </c>
      <c r="DP26" s="36">
        <v>9.130006487109872</v>
      </c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</row>
    <row r="27" ht="14.25" customHeight="1">
      <c r="A27" s="12"/>
      <c r="B27" s="37" t="s">
        <v>34</v>
      </c>
      <c r="C27" s="38" t="s">
        <v>112</v>
      </c>
      <c r="D27" s="39">
        <v>0.7216742843396681</v>
      </c>
      <c r="E27" s="39">
        <v>0.0</v>
      </c>
      <c r="F27" s="39">
        <v>1.6839066634592255</v>
      </c>
      <c r="G27" s="39">
        <v>2.0447438056290594</v>
      </c>
      <c r="H27" s="39">
        <v>0.0</v>
      </c>
      <c r="I27" s="49">
        <v>0.9622323791195574</v>
      </c>
      <c r="J27" s="39">
        <v>0.0</v>
      </c>
      <c r="K27" s="39">
        <v>0.0</v>
      </c>
      <c r="L27" s="39">
        <v>0.0</v>
      </c>
      <c r="M27" s="39">
        <v>0.0</v>
      </c>
      <c r="N27" s="39">
        <v>0.0</v>
      </c>
      <c r="O27" s="39">
        <v>0.0</v>
      </c>
      <c r="P27" s="39">
        <v>0.0</v>
      </c>
      <c r="Q27" s="39">
        <v>0.0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M27" s="64">
        <v>19.0</v>
      </c>
      <c r="AN27" s="65" t="s">
        <v>113</v>
      </c>
      <c r="AO27" s="66"/>
      <c r="AP27" s="66">
        <v>11.4</v>
      </c>
      <c r="AQ27" s="66">
        <v>1.6</v>
      </c>
      <c r="AR27" s="66"/>
      <c r="AS27" s="66">
        <v>2.9</v>
      </c>
      <c r="AT27" s="66"/>
      <c r="AU27" s="66"/>
      <c r="AV27" s="66">
        <v>3.1</v>
      </c>
      <c r="AW27" s="66">
        <v>2.2</v>
      </c>
      <c r="AX27" s="66"/>
      <c r="AY27" s="66"/>
      <c r="AZ27" s="66">
        <v>7.4</v>
      </c>
      <c r="BA27" s="66"/>
      <c r="BB27" s="66">
        <v>5.1</v>
      </c>
      <c r="BC27" s="66">
        <v>1.9</v>
      </c>
      <c r="BD27" s="66"/>
      <c r="BE27" s="67">
        <v>2.5</v>
      </c>
      <c r="BF27" s="67"/>
      <c r="BG27" s="67"/>
      <c r="BH27" s="67">
        <v>3.9</v>
      </c>
      <c r="BI27" s="67"/>
      <c r="BJ27" s="67"/>
      <c r="BK27" s="67"/>
      <c r="BL27" s="67"/>
      <c r="BM27" s="67"/>
      <c r="BN27" s="67">
        <v>5.846895720313442</v>
      </c>
      <c r="BO27" s="67"/>
      <c r="BP27" s="67">
        <v>16.5</v>
      </c>
      <c r="BQ27" s="6"/>
      <c r="BR27" s="6"/>
      <c r="BS27" s="6"/>
      <c r="BT27" s="1"/>
      <c r="BU27" s="97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DA27" s="58"/>
      <c r="DB27" s="72" t="s">
        <v>39</v>
      </c>
      <c r="DC27" s="60"/>
      <c r="DD27" s="60"/>
      <c r="DE27" s="60"/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>
        <v>1.272102785905101</v>
      </c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</row>
    <row r="28" ht="14.25" customHeight="1">
      <c r="A28" s="12"/>
      <c r="B28" s="37" t="s">
        <v>34</v>
      </c>
      <c r="C28" s="38" t="s">
        <v>114</v>
      </c>
      <c r="D28" s="39">
        <v>1.3613613613613613</v>
      </c>
      <c r="E28" s="39">
        <v>1.041041041041041</v>
      </c>
      <c r="F28" s="39">
        <v>0.12012012012012012</v>
      </c>
      <c r="G28" s="39">
        <v>0.12012012012012012</v>
      </c>
      <c r="H28" s="39">
        <v>0.0</v>
      </c>
      <c r="I28" s="49">
        <v>0.0</v>
      </c>
      <c r="J28" s="39">
        <v>0.0</v>
      </c>
      <c r="K28" s="39">
        <v>0.0</v>
      </c>
      <c r="L28" s="39">
        <v>0.0</v>
      </c>
      <c r="M28" s="39">
        <v>0.0</v>
      </c>
      <c r="N28" s="39">
        <v>0.0</v>
      </c>
      <c r="O28" s="39">
        <v>0.0</v>
      </c>
      <c r="P28" s="39">
        <v>0.08008008008008008</v>
      </c>
      <c r="Q28" s="39">
        <v>0.0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M28" s="64">
        <v>20.0</v>
      </c>
      <c r="AN28" s="65" t="s">
        <v>115</v>
      </c>
      <c r="AO28" s="66"/>
      <c r="AP28" s="66"/>
      <c r="AQ28" s="66"/>
      <c r="AR28" s="66">
        <v>3.1</v>
      </c>
      <c r="AS28" s="66">
        <v>1.9</v>
      </c>
      <c r="AT28" s="66"/>
      <c r="AU28" s="66">
        <v>0.3</v>
      </c>
      <c r="AV28" s="66"/>
      <c r="AW28" s="66">
        <v>0.5</v>
      </c>
      <c r="AX28" s="66"/>
      <c r="AY28" s="67">
        <v>0.0</v>
      </c>
      <c r="AZ28" s="66"/>
      <c r="BA28" s="67">
        <v>0.0</v>
      </c>
      <c r="BB28" s="98"/>
      <c r="BC28" s="67">
        <v>0.2</v>
      </c>
      <c r="BD28" s="98"/>
      <c r="BE28" s="67"/>
      <c r="BF28" s="67"/>
      <c r="BG28" s="67"/>
      <c r="BH28" s="67"/>
      <c r="BI28" s="67"/>
      <c r="BJ28" s="67"/>
      <c r="BK28" s="67"/>
      <c r="BL28" s="67"/>
      <c r="BM28" s="67">
        <v>0.74487895716946</v>
      </c>
      <c r="BN28" s="67"/>
      <c r="BO28" s="67"/>
      <c r="BP28" s="67"/>
      <c r="BQ28" s="6"/>
      <c r="BR28" s="6"/>
      <c r="BS28" s="6"/>
      <c r="BT28" s="1"/>
      <c r="BU28" s="97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DA28" s="58"/>
      <c r="DB28" s="72" t="s">
        <v>45</v>
      </c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>
        <v>2.039151712887439</v>
      </c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</row>
    <row r="29" ht="14.25" customHeight="1">
      <c r="A29" s="12"/>
      <c r="B29" s="37" t="s">
        <v>34</v>
      </c>
      <c r="C29" s="38" t="s">
        <v>116</v>
      </c>
      <c r="D29" s="39">
        <v>1.4972861688190156</v>
      </c>
      <c r="E29" s="39">
        <v>2.1523488676773352</v>
      </c>
      <c r="F29" s="39">
        <v>1.2165450121654502</v>
      </c>
      <c r="G29" s="39">
        <v>0.46790192775594236</v>
      </c>
      <c r="H29" s="39">
        <v>0.09358038555118847</v>
      </c>
      <c r="I29" s="4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M29" s="64">
        <v>21.0</v>
      </c>
      <c r="AN29" s="65" t="s">
        <v>117</v>
      </c>
      <c r="AO29" s="66"/>
      <c r="AP29" s="66">
        <v>5.4</v>
      </c>
      <c r="AQ29" s="66"/>
      <c r="AR29" s="66">
        <v>3.7</v>
      </c>
      <c r="AS29" s="66"/>
      <c r="AT29" s="66">
        <v>3.6</v>
      </c>
      <c r="AU29" s="66"/>
      <c r="AV29" s="66">
        <v>5.3</v>
      </c>
      <c r="AW29" s="66"/>
      <c r="AX29" s="66">
        <v>4.2</v>
      </c>
      <c r="AY29" s="66"/>
      <c r="AZ29" s="66">
        <v>5.7</v>
      </c>
      <c r="BA29" s="66"/>
      <c r="BB29" s="66">
        <v>3.3</v>
      </c>
      <c r="BC29" s="66">
        <v>2.8</v>
      </c>
      <c r="BD29" s="66"/>
      <c r="BE29" s="67">
        <v>2.8</v>
      </c>
      <c r="BF29" s="67"/>
      <c r="BG29" s="67">
        <v>1.8</v>
      </c>
      <c r="BH29" s="67"/>
      <c r="BI29" s="67"/>
      <c r="BJ29" s="67">
        <v>23.6</v>
      </c>
      <c r="BK29" s="67"/>
      <c r="BL29" s="67">
        <v>6.529209621993128</v>
      </c>
      <c r="BM29" s="67"/>
      <c r="BN29" s="67"/>
      <c r="BO29" s="67"/>
      <c r="BP29" s="67">
        <v>17.3</v>
      </c>
      <c r="BQ29" s="6"/>
      <c r="BR29" s="6"/>
      <c r="BS29" s="6"/>
      <c r="BT29" s="6"/>
      <c r="BU29" s="6"/>
      <c r="BV29" s="6"/>
      <c r="BW29" s="6"/>
      <c r="BX29" s="6"/>
      <c r="BY29" s="6"/>
      <c r="BZ29" s="6"/>
      <c r="DA29" s="58"/>
      <c r="DB29" s="72" t="s">
        <v>118</v>
      </c>
      <c r="DC29" s="60"/>
      <c r="DD29" s="60"/>
      <c r="DE29" s="60"/>
      <c r="DF29" s="60"/>
      <c r="DG29" s="60"/>
      <c r="DH29" s="60">
        <v>6.675567423230975</v>
      </c>
      <c r="DI29" s="60"/>
      <c r="DJ29" s="60"/>
      <c r="DK29" s="60"/>
      <c r="DL29" s="60"/>
      <c r="DM29" s="60"/>
      <c r="DN29" s="60"/>
      <c r="DO29" s="60"/>
      <c r="DP29" s="60">
        <v>24.204058834481476</v>
      </c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</row>
    <row r="30" ht="14.25" customHeight="1">
      <c r="A30" s="12"/>
      <c r="B30" s="37" t="s">
        <v>34</v>
      </c>
      <c r="C30" s="38" t="s">
        <v>119</v>
      </c>
      <c r="D30" s="39">
        <v>0.16777585146244617</v>
      </c>
      <c r="E30" s="39">
        <v>2.237011352832616</v>
      </c>
      <c r="F30" s="39">
        <v>1.286281527878754</v>
      </c>
      <c r="G30" s="39">
        <v>0.055925283820815394</v>
      </c>
      <c r="H30" s="39">
        <v>0.0</v>
      </c>
      <c r="I30" s="4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M30" s="64">
        <v>22.0</v>
      </c>
      <c r="AN30" s="65" t="s">
        <v>120</v>
      </c>
      <c r="AO30" s="67">
        <v>2.0</v>
      </c>
      <c r="AP30" s="66"/>
      <c r="AQ30" s="66">
        <v>0.5</v>
      </c>
      <c r="AR30" s="66"/>
      <c r="AS30" s="66">
        <v>1.1</v>
      </c>
      <c r="AT30" s="66"/>
      <c r="AU30" s="66">
        <v>1.3</v>
      </c>
      <c r="AV30" s="66"/>
      <c r="AW30" s="66">
        <v>0.7</v>
      </c>
      <c r="AX30" s="66"/>
      <c r="AY30" s="67">
        <v>2.0</v>
      </c>
      <c r="AZ30" s="66"/>
      <c r="BA30" s="66">
        <v>0.8</v>
      </c>
      <c r="BB30" s="66"/>
      <c r="BC30" s="66">
        <v>1.4</v>
      </c>
      <c r="BD30" s="66"/>
      <c r="BE30" s="67">
        <v>0.8</v>
      </c>
      <c r="BF30" s="67"/>
      <c r="BG30" s="67">
        <v>0.9</v>
      </c>
      <c r="BH30" s="67"/>
      <c r="BI30" s="67">
        <v>0.8</v>
      </c>
      <c r="BJ30" s="67"/>
      <c r="BK30" s="67">
        <v>0.9090909090909091</v>
      </c>
      <c r="BL30" s="67"/>
      <c r="BM30" s="66"/>
      <c r="BN30" s="67">
        <v>4.6366782006920415</v>
      </c>
      <c r="BO30" s="66">
        <v>0.7</v>
      </c>
      <c r="BP30" s="67"/>
      <c r="BQ30" s="6"/>
      <c r="BR30" s="6"/>
      <c r="BS30" s="6"/>
      <c r="BT30" s="6"/>
      <c r="BU30" s="6"/>
      <c r="BV30" s="6"/>
      <c r="BW30" s="6"/>
      <c r="BX30" s="6"/>
      <c r="BY30" s="6"/>
      <c r="BZ30" s="6"/>
      <c r="DA30" s="58"/>
      <c r="DB30" s="72" t="s">
        <v>121</v>
      </c>
      <c r="DC30" s="60"/>
      <c r="DD30" s="60"/>
      <c r="DE30" s="60"/>
      <c r="DF30" s="60"/>
      <c r="DG30" s="60"/>
      <c r="DH30" s="60">
        <v>0.0</v>
      </c>
      <c r="DI30" s="60"/>
      <c r="DJ30" s="60"/>
      <c r="DK30" s="60"/>
      <c r="DL30" s="60"/>
      <c r="DM30" s="60"/>
      <c r="DN30" s="60"/>
      <c r="DO30" s="60"/>
      <c r="DP30" s="60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</row>
    <row r="31" ht="14.25" customHeight="1">
      <c r="A31" s="12"/>
      <c r="B31" s="37" t="s">
        <v>34</v>
      </c>
      <c r="C31" s="38" t="s">
        <v>122</v>
      </c>
      <c r="D31" s="39">
        <v>0.0</v>
      </c>
      <c r="E31" s="39">
        <v>0.0</v>
      </c>
      <c r="F31" s="39">
        <v>0.0787153652392947</v>
      </c>
      <c r="G31" s="39">
        <v>0.39357682619647355</v>
      </c>
      <c r="H31" s="39">
        <v>0.0</v>
      </c>
      <c r="I31" s="49">
        <v>0.1574307304785894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M31" s="64">
        <v>23.0</v>
      </c>
      <c r="AN31" s="65" t="s">
        <v>123</v>
      </c>
      <c r="AO31" s="66"/>
      <c r="AP31" s="66">
        <v>3.4</v>
      </c>
      <c r="AQ31" s="66"/>
      <c r="AR31" s="66">
        <v>3.8</v>
      </c>
      <c r="AS31" s="66">
        <v>0.9</v>
      </c>
      <c r="AT31" s="66"/>
      <c r="AU31" s="66">
        <v>2.4</v>
      </c>
      <c r="AV31" s="66"/>
      <c r="AW31" s="66">
        <v>1.1</v>
      </c>
      <c r="AX31" s="66"/>
      <c r="AY31" s="66">
        <v>0.5</v>
      </c>
      <c r="AZ31" s="66"/>
      <c r="BA31" s="66">
        <v>0.6</v>
      </c>
      <c r="BB31" s="66"/>
      <c r="BC31" s="66">
        <v>0.4</v>
      </c>
      <c r="BD31" s="66"/>
      <c r="BE31" s="67">
        <v>0.0</v>
      </c>
      <c r="BF31" s="67"/>
      <c r="BG31" s="67"/>
      <c r="BH31" s="67"/>
      <c r="BI31" s="67">
        <v>0.0</v>
      </c>
      <c r="BJ31" s="67"/>
      <c r="BK31" s="67">
        <v>0.0</v>
      </c>
      <c r="BL31" s="67"/>
      <c r="BM31" s="67">
        <v>2.043343653250774</v>
      </c>
      <c r="BN31" s="67"/>
      <c r="BO31" s="67">
        <v>0.6</v>
      </c>
      <c r="BP31" s="67"/>
      <c r="BQ31" s="6"/>
      <c r="BR31" s="6"/>
      <c r="BS31" s="6"/>
      <c r="BT31" s="6"/>
      <c r="BU31" s="6"/>
      <c r="BV31" s="6"/>
      <c r="BW31" s="6"/>
      <c r="BX31" s="6"/>
      <c r="BY31" s="6"/>
      <c r="BZ31" s="6"/>
      <c r="DA31" s="58"/>
      <c r="DB31" s="72" t="s">
        <v>55</v>
      </c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>
        <v>1.7743080198722498</v>
      </c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</row>
    <row r="32" ht="14.25" customHeight="1">
      <c r="A32" s="12"/>
      <c r="B32" s="37" t="s">
        <v>34</v>
      </c>
      <c r="C32" s="38" t="s">
        <v>124</v>
      </c>
      <c r="D32" s="39">
        <v>0.059644518668734346</v>
      </c>
      <c r="E32" s="39">
        <v>0.0</v>
      </c>
      <c r="F32" s="39">
        <v>0.0</v>
      </c>
      <c r="G32" s="39">
        <v>0.6262674460217106</v>
      </c>
      <c r="H32" s="39">
        <v>1.192890373374687</v>
      </c>
      <c r="I32" s="49">
        <v>0.029822259334367173</v>
      </c>
      <c r="J32" s="39">
        <v>0.0</v>
      </c>
      <c r="K32" s="39">
        <v>0.0</v>
      </c>
      <c r="L32" s="39">
        <v>0.0</v>
      </c>
      <c r="M32" s="39">
        <v>0.0</v>
      </c>
      <c r="N32" s="39">
        <v>0.0</v>
      </c>
      <c r="O32" s="39">
        <v>0.0</v>
      </c>
      <c r="P32" s="39">
        <v>0.0</v>
      </c>
      <c r="Q32" s="39">
        <v>0.0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M32" s="64">
        <v>24.0</v>
      </c>
      <c r="AN32" s="65" t="s">
        <v>125</v>
      </c>
      <c r="AO32" s="66"/>
      <c r="AP32" s="67">
        <v>3.0</v>
      </c>
      <c r="AQ32" s="67">
        <v>1.0</v>
      </c>
      <c r="AR32" s="66"/>
      <c r="AS32" s="66">
        <v>2.2</v>
      </c>
      <c r="AT32" s="66"/>
      <c r="AU32" s="66">
        <v>1.6</v>
      </c>
      <c r="AV32" s="66"/>
      <c r="AW32" s="66">
        <v>1.2</v>
      </c>
      <c r="AX32" s="66"/>
      <c r="AY32" s="66">
        <v>1.7</v>
      </c>
      <c r="AZ32" s="66"/>
      <c r="BA32" s="66">
        <v>1.1</v>
      </c>
      <c r="BB32" s="66"/>
      <c r="BC32" s="66">
        <v>2.5</v>
      </c>
      <c r="BD32" s="66"/>
      <c r="BE32" s="67">
        <v>2.5</v>
      </c>
      <c r="BF32" s="67"/>
      <c r="BG32" s="67"/>
      <c r="BH32" s="67"/>
      <c r="BI32" s="67"/>
      <c r="BJ32" s="67"/>
      <c r="BK32" s="67"/>
      <c r="BL32" s="67">
        <v>21.875</v>
      </c>
      <c r="BM32" s="66"/>
      <c r="BN32" s="67">
        <v>17.087667161961367</v>
      </c>
      <c r="BO32" s="66"/>
      <c r="BP32" s="67"/>
      <c r="BQ32" s="6"/>
      <c r="BR32" s="6"/>
      <c r="BS32" s="6"/>
      <c r="BT32" s="6"/>
      <c r="BU32" s="6"/>
      <c r="BV32" s="6"/>
      <c r="BW32" s="6"/>
      <c r="BX32" s="6"/>
      <c r="BY32" s="6"/>
      <c r="BZ32" s="6"/>
      <c r="DA32" s="58"/>
      <c r="DB32" s="72" t="s">
        <v>60</v>
      </c>
      <c r="DC32" s="60"/>
      <c r="DD32" s="60"/>
      <c r="DE32" s="60"/>
      <c r="DF32" s="60"/>
      <c r="DG32" s="60"/>
      <c r="DH32" s="60"/>
      <c r="DI32" s="60">
        <v>3.694126339120798</v>
      </c>
      <c r="DJ32" s="60"/>
      <c r="DK32" s="60"/>
      <c r="DL32" s="60">
        <v>58.6756077116513</v>
      </c>
      <c r="DM32" s="60"/>
      <c r="DN32" s="60">
        <v>8.49102377486657</v>
      </c>
      <c r="DO32" s="60">
        <v>142.71891630382197</v>
      </c>
      <c r="DP32" s="60">
        <v>6.943480072212193</v>
      </c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</row>
    <row r="33" ht="14.25" customHeight="1">
      <c r="A33" s="12"/>
      <c r="B33" s="37" t="s">
        <v>34</v>
      </c>
      <c r="C33" s="38" t="s">
        <v>126</v>
      </c>
      <c r="D33" s="39">
        <v>0.0</v>
      </c>
      <c r="E33" s="39">
        <v>0.0</v>
      </c>
      <c r="F33" s="39">
        <v>0.0</v>
      </c>
      <c r="G33" s="39">
        <v>0.132890365448505</v>
      </c>
      <c r="H33" s="39">
        <v>0.132890365448505</v>
      </c>
      <c r="I33" s="49">
        <v>0.0</v>
      </c>
      <c r="J33" s="39">
        <v>0.0</v>
      </c>
      <c r="K33" s="39">
        <v>0.0</v>
      </c>
      <c r="L33" s="39">
        <v>0.0</v>
      </c>
      <c r="M33" s="39">
        <v>0.0</v>
      </c>
      <c r="N33" s="39">
        <v>0.0</v>
      </c>
      <c r="O33" s="39">
        <v>0.0</v>
      </c>
      <c r="P33" s="39">
        <v>0.0</v>
      </c>
      <c r="Q33" s="39">
        <v>0.0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M33" s="64">
        <v>25.0</v>
      </c>
      <c r="AN33" s="65" t="s">
        <v>127</v>
      </c>
      <c r="AO33" s="66">
        <v>1.6</v>
      </c>
      <c r="AP33" s="66"/>
      <c r="AQ33" s="66">
        <v>0.8</v>
      </c>
      <c r="AR33" s="66"/>
      <c r="AS33" s="66"/>
      <c r="AT33" s="66">
        <v>5.4</v>
      </c>
      <c r="AU33" s="66">
        <v>0.4</v>
      </c>
      <c r="AV33" s="66"/>
      <c r="AW33" s="66">
        <v>0.6</v>
      </c>
      <c r="AX33" s="66"/>
      <c r="AY33" s="66">
        <v>0.8</v>
      </c>
      <c r="AZ33" s="66"/>
      <c r="BA33" s="66">
        <v>0.4</v>
      </c>
      <c r="BB33" s="66"/>
      <c r="BC33" s="66">
        <v>0.6</v>
      </c>
      <c r="BD33" s="66"/>
      <c r="BE33" s="67">
        <v>0.2</v>
      </c>
      <c r="BF33" s="67"/>
      <c r="BG33" s="67">
        <v>0.1</v>
      </c>
      <c r="BH33" s="67"/>
      <c r="BI33" s="67">
        <v>0.4</v>
      </c>
      <c r="BJ33" s="67"/>
      <c r="BK33" s="67">
        <v>0.23752969121140144</v>
      </c>
      <c r="BL33" s="67"/>
      <c r="BM33" s="67">
        <v>2.102496714848883</v>
      </c>
      <c r="BN33" s="67"/>
      <c r="BO33" s="67">
        <v>0.3</v>
      </c>
      <c r="BP33" s="67"/>
      <c r="BQ33" s="6"/>
      <c r="BR33" s="6"/>
      <c r="BS33" s="6"/>
      <c r="BT33" s="6"/>
      <c r="BU33" s="6"/>
      <c r="BV33" s="6"/>
      <c r="BW33" s="6"/>
      <c r="BX33" s="6"/>
      <c r="BY33" s="6"/>
      <c r="BZ33" s="6"/>
      <c r="DA33" s="58"/>
      <c r="DB33" s="72" t="s">
        <v>65</v>
      </c>
      <c r="DC33" s="60"/>
      <c r="DD33" s="60"/>
      <c r="DE33" s="60"/>
      <c r="DF33" s="60"/>
      <c r="DG33" s="60"/>
      <c r="DH33" s="60"/>
      <c r="DI33" s="60"/>
      <c r="DJ33" s="60"/>
      <c r="DK33" s="60"/>
      <c r="DL33" s="60">
        <v>79.24528301886792</v>
      </c>
      <c r="DM33" s="60"/>
      <c r="DN33" s="60">
        <v>52.041633306645316</v>
      </c>
      <c r="DO33" s="60">
        <v>116.04641856742697</v>
      </c>
      <c r="DP33" s="60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</row>
    <row r="34" ht="14.25" customHeight="1">
      <c r="A34" s="12"/>
      <c r="B34" s="37" t="s">
        <v>34</v>
      </c>
      <c r="C34" s="38" t="s">
        <v>128</v>
      </c>
      <c r="D34" s="39">
        <v>0.03372769755998845</v>
      </c>
      <c r="E34" s="39">
        <v>0.0262326536577688</v>
      </c>
      <c r="F34" s="39">
        <v>0.011242565853329486</v>
      </c>
      <c r="G34" s="39">
        <v>0.007495043902219657</v>
      </c>
      <c r="H34" s="39">
        <v>0.0037475219511098287</v>
      </c>
      <c r="I34" s="49">
        <v>0.0037475219511098287</v>
      </c>
      <c r="J34" s="39">
        <v>0.007495043902219657</v>
      </c>
      <c r="K34" s="39">
        <v>0.0</v>
      </c>
      <c r="L34" s="39">
        <v>0.0037475219511098287</v>
      </c>
      <c r="M34" s="39">
        <v>0.0</v>
      </c>
      <c r="N34" s="39">
        <v>0.0037475219511098287</v>
      </c>
      <c r="O34" s="39">
        <v>0.0037475219511098287</v>
      </c>
      <c r="P34" s="39">
        <v>0.0</v>
      </c>
      <c r="Q34" s="39">
        <v>0.0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M34" s="64">
        <v>26.0</v>
      </c>
      <c r="AN34" s="65" t="s">
        <v>129</v>
      </c>
      <c r="AO34" s="66"/>
      <c r="AP34" s="66">
        <v>9.4</v>
      </c>
      <c r="AQ34" s="66"/>
      <c r="AR34" s="66">
        <v>7.9</v>
      </c>
      <c r="AS34" s="66"/>
      <c r="AT34" s="66">
        <v>11.5</v>
      </c>
      <c r="AU34" s="66"/>
      <c r="AV34" s="66">
        <v>11.7</v>
      </c>
      <c r="AW34" s="66"/>
      <c r="AX34" s="66">
        <v>8.3</v>
      </c>
      <c r="AY34" s="66"/>
      <c r="AZ34" s="66">
        <v>7.1</v>
      </c>
      <c r="BA34" s="66"/>
      <c r="BB34" s="66">
        <v>49.3</v>
      </c>
      <c r="BC34" s="66"/>
      <c r="BD34" s="66"/>
      <c r="BE34" s="67"/>
      <c r="BF34" s="67">
        <v>11.5</v>
      </c>
      <c r="BG34" s="67">
        <v>0.2</v>
      </c>
      <c r="BH34" s="67"/>
      <c r="BI34" s="67"/>
      <c r="BJ34" s="67">
        <v>10.8</v>
      </c>
      <c r="BK34" s="67"/>
      <c r="BL34" s="67">
        <v>9.79498861047836</v>
      </c>
      <c r="BM34" s="66"/>
      <c r="BN34" s="67">
        <v>15.441176470588236</v>
      </c>
      <c r="BO34" s="66"/>
      <c r="BP34" s="67">
        <v>19.6</v>
      </c>
      <c r="BQ34" s="6"/>
      <c r="BR34" s="6"/>
      <c r="BS34" s="6"/>
      <c r="BT34" s="6"/>
      <c r="BU34" s="6"/>
      <c r="BV34" s="6"/>
      <c r="BW34" s="6"/>
      <c r="BX34" s="6"/>
      <c r="BY34" s="6"/>
      <c r="BZ34" s="6"/>
      <c r="DA34" s="58"/>
      <c r="DB34" s="72" t="s">
        <v>130</v>
      </c>
      <c r="DC34" s="60">
        <v>6.029947831155532</v>
      </c>
      <c r="DD34" s="60">
        <v>22.94564749749032</v>
      </c>
      <c r="DE34" s="60">
        <v>32.598774286086844</v>
      </c>
      <c r="DF34" s="60">
        <v>92.83061982290774</v>
      </c>
      <c r="DG34" s="60">
        <v>7.125552230297847</v>
      </c>
      <c r="DH34" s="60">
        <v>19.906156689890516</v>
      </c>
      <c r="DI34" s="60">
        <v>15.60505036175344</v>
      </c>
      <c r="DJ34" s="60">
        <v>5.660911406736484</v>
      </c>
      <c r="DK34" s="60"/>
      <c r="DL34" s="60">
        <v>284.4669764821856</v>
      </c>
      <c r="DM34" s="60">
        <v>2.8093833403567916</v>
      </c>
      <c r="DN34" s="60">
        <v>1.4011489421325487</v>
      </c>
      <c r="DO34" s="60">
        <v>342.4657534246575</v>
      </c>
      <c r="DP34" s="60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</row>
    <row r="35" ht="14.25" customHeight="1">
      <c r="A35" s="12"/>
      <c r="B35" s="37" t="s">
        <v>34</v>
      </c>
      <c r="C35" s="38" t="s">
        <v>131</v>
      </c>
      <c r="D35" s="39">
        <v>0.05716572343223003</v>
      </c>
      <c r="E35" s="39">
        <v>0.0</v>
      </c>
      <c r="F35" s="39">
        <v>0.0</v>
      </c>
      <c r="G35" s="39">
        <v>0.0</v>
      </c>
      <c r="H35" s="39">
        <v>0.0</v>
      </c>
      <c r="I35" s="49">
        <v>0.0</v>
      </c>
      <c r="J35" s="39">
        <v>0.0</v>
      </c>
      <c r="K35" s="39">
        <v>0.0</v>
      </c>
      <c r="L35" s="39">
        <v>0.0</v>
      </c>
      <c r="M35" s="39">
        <v>0.0</v>
      </c>
      <c r="N35" s="39">
        <v>0.0</v>
      </c>
      <c r="O35" s="39">
        <v>0.0</v>
      </c>
      <c r="P35" s="39">
        <v>0.0</v>
      </c>
      <c r="Q35" s="39">
        <v>0.0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M35" s="64">
        <v>27.0</v>
      </c>
      <c r="AN35" s="65" t="s">
        <v>132</v>
      </c>
      <c r="AO35" s="66">
        <v>1.8</v>
      </c>
      <c r="AP35" s="66"/>
      <c r="AQ35" s="66">
        <v>0.3</v>
      </c>
      <c r="AR35" s="66"/>
      <c r="AS35" s="66">
        <v>0.9</v>
      </c>
      <c r="AT35" s="66"/>
      <c r="AU35" s="66">
        <v>1.1</v>
      </c>
      <c r="AV35" s="66"/>
      <c r="AW35" s="66">
        <v>0.6</v>
      </c>
      <c r="AX35" s="66"/>
      <c r="AY35" s="66">
        <v>0.7</v>
      </c>
      <c r="AZ35" s="66"/>
      <c r="BA35" s="66">
        <v>0.2</v>
      </c>
      <c r="BB35" s="66"/>
      <c r="BC35" s="66">
        <v>0.1</v>
      </c>
      <c r="BD35" s="66"/>
      <c r="BE35" s="67"/>
      <c r="BF35" s="67"/>
      <c r="BG35" s="67"/>
      <c r="BH35" s="67"/>
      <c r="BI35" s="67"/>
      <c r="BJ35" s="67"/>
      <c r="BK35" s="67"/>
      <c r="BL35" s="67"/>
      <c r="BM35" s="67">
        <v>0.5028735632183908</v>
      </c>
      <c r="BN35" s="67"/>
      <c r="BO35" s="67">
        <v>0.4</v>
      </c>
      <c r="BP35" s="67"/>
      <c r="BQ35" s="6"/>
      <c r="BR35" s="6"/>
      <c r="BS35" s="6"/>
      <c r="BT35" s="6"/>
      <c r="BU35" s="6"/>
      <c r="BV35" s="6"/>
      <c r="BW35" s="6"/>
      <c r="BX35" s="6"/>
      <c r="BY35" s="6"/>
      <c r="BZ35" s="6"/>
      <c r="DA35" s="58"/>
      <c r="DB35" s="72" t="s">
        <v>133</v>
      </c>
      <c r="DC35" s="60">
        <v>4.4161889236888445</v>
      </c>
      <c r="DD35" s="60">
        <v>5.17196793379881</v>
      </c>
      <c r="DE35" s="60">
        <v>11.942675159235668</v>
      </c>
      <c r="DF35" s="60">
        <v>23.767082590612002</v>
      </c>
      <c r="DG35" s="60">
        <v>3.135656332066006</v>
      </c>
      <c r="DH35" s="60">
        <v>8.774128854349462</v>
      </c>
      <c r="DI35" s="60">
        <v>1.6579623642543315</v>
      </c>
      <c r="DJ35" s="60">
        <v>1.1374838856449534</v>
      </c>
      <c r="DK35" s="60"/>
      <c r="DL35" s="60">
        <v>306.79597330285037</v>
      </c>
      <c r="DM35" s="60">
        <v>7.625622090223151</v>
      </c>
      <c r="DN35" s="60">
        <v>33.83757961783439</v>
      </c>
      <c r="DO35" s="60">
        <v>438.7142631495814</v>
      </c>
      <c r="DP35" s="60">
        <v>98.01118961081391</v>
      </c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</row>
    <row r="36" ht="14.25" customHeight="1">
      <c r="A36" s="12"/>
      <c r="B36" s="37" t="s">
        <v>34</v>
      </c>
      <c r="C36" s="38" t="s">
        <v>134</v>
      </c>
      <c r="D36" s="39">
        <v>0.0</v>
      </c>
      <c r="E36" s="39">
        <v>0.0</v>
      </c>
      <c r="F36" s="39">
        <v>0.0</v>
      </c>
      <c r="G36" s="39">
        <v>0.13585110718652355</v>
      </c>
      <c r="H36" s="39">
        <v>0.0</v>
      </c>
      <c r="I36" s="4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M36" s="64">
        <v>28.0</v>
      </c>
      <c r="AN36" s="65" t="s">
        <v>135</v>
      </c>
      <c r="AO36" s="66"/>
      <c r="AP36" s="66">
        <v>14.8</v>
      </c>
      <c r="AQ36" s="66"/>
      <c r="AR36" s="66">
        <v>4.9</v>
      </c>
      <c r="AS36" s="66"/>
      <c r="AT36" s="66">
        <v>6.9</v>
      </c>
      <c r="AU36" s="66"/>
      <c r="AV36" s="66">
        <v>13.1</v>
      </c>
      <c r="AW36" s="66"/>
      <c r="AX36" s="66">
        <v>4.6</v>
      </c>
      <c r="AY36" s="66"/>
      <c r="AZ36" s="66">
        <v>7.1</v>
      </c>
      <c r="BA36" s="66"/>
      <c r="BB36" s="66">
        <v>5.2</v>
      </c>
      <c r="BC36" s="66">
        <v>2.3</v>
      </c>
      <c r="BD36" s="66"/>
      <c r="BE36" s="67"/>
      <c r="BF36" s="67">
        <v>5.4</v>
      </c>
      <c r="BG36" s="67"/>
      <c r="BH36" s="67">
        <v>7.2</v>
      </c>
      <c r="BI36" s="67">
        <v>1.4</v>
      </c>
      <c r="BJ36" s="67"/>
      <c r="BK36" s="67"/>
      <c r="BL36" s="67"/>
      <c r="BM36" s="67"/>
      <c r="BN36" s="67">
        <v>4.735376044568245</v>
      </c>
      <c r="BO36" s="67"/>
      <c r="BP36" s="67">
        <v>3.1</v>
      </c>
      <c r="BQ36" s="6"/>
      <c r="BR36" s="6"/>
      <c r="BS36" s="6"/>
      <c r="BT36" s="6"/>
      <c r="BU36" s="6"/>
      <c r="BV36" s="6"/>
      <c r="BW36" s="6"/>
      <c r="BX36" s="6"/>
      <c r="BY36" s="6"/>
      <c r="BZ36" s="6"/>
      <c r="DA36" s="58"/>
      <c r="DB36" s="72" t="s">
        <v>90</v>
      </c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>
        <v>2.932551319648094</v>
      </c>
      <c r="DP36" s="60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</row>
    <row r="37" ht="14.25" customHeight="1">
      <c r="A37" s="12"/>
      <c r="B37" s="37" t="s">
        <v>34</v>
      </c>
      <c r="C37" s="38" t="s">
        <v>136</v>
      </c>
      <c r="D37" s="39">
        <v>0.11402508551881414</v>
      </c>
      <c r="E37" s="39">
        <v>0.0</v>
      </c>
      <c r="F37" s="39">
        <v>0.0</v>
      </c>
      <c r="G37" s="39">
        <v>0.0</v>
      </c>
      <c r="H37" s="39">
        <v>0.0</v>
      </c>
      <c r="I37" s="49">
        <v>0.0</v>
      </c>
      <c r="J37" s="39">
        <v>0.0</v>
      </c>
      <c r="K37" s="39">
        <v>0.0</v>
      </c>
      <c r="L37" s="39">
        <v>0.0</v>
      </c>
      <c r="M37" s="39">
        <v>0.0</v>
      </c>
      <c r="N37" s="39">
        <v>0.0</v>
      </c>
      <c r="O37" s="39">
        <v>0.0</v>
      </c>
      <c r="P37" s="39">
        <v>0.0</v>
      </c>
      <c r="Q37" s="39">
        <v>0.0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M37" s="64">
        <v>29.0</v>
      </c>
      <c r="AN37" s="65" t="s">
        <v>137</v>
      </c>
      <c r="AO37" s="66"/>
      <c r="AP37" s="66">
        <v>7.5</v>
      </c>
      <c r="AQ37" s="66"/>
      <c r="AR37" s="66">
        <v>5.4</v>
      </c>
      <c r="AS37" s="66"/>
      <c r="AT37" s="66">
        <v>3.1</v>
      </c>
      <c r="AU37" s="66">
        <v>2.1</v>
      </c>
      <c r="AV37" s="66"/>
      <c r="AW37" s="66">
        <v>1.5</v>
      </c>
      <c r="AX37" s="66"/>
      <c r="AY37" s="66">
        <v>1.9</v>
      </c>
      <c r="AZ37" s="66"/>
      <c r="BA37" s="66">
        <v>1.3</v>
      </c>
      <c r="BB37" s="66"/>
      <c r="BC37" s="67">
        <v>1.4</v>
      </c>
      <c r="BD37" s="66"/>
      <c r="BE37" s="67">
        <v>1.5</v>
      </c>
      <c r="BF37" s="67"/>
      <c r="BG37" s="67">
        <v>1.9</v>
      </c>
      <c r="BH37" s="67"/>
      <c r="BI37" s="67">
        <v>2.4</v>
      </c>
      <c r="BJ37" s="67"/>
      <c r="BK37" s="67"/>
      <c r="BL37" s="67">
        <v>3.835227272727273</v>
      </c>
      <c r="BM37" s="67"/>
      <c r="BN37" s="67">
        <v>4.821002386634845</v>
      </c>
      <c r="BO37" s="67"/>
      <c r="BP37" s="67">
        <v>6.2</v>
      </c>
      <c r="BQ37" s="6"/>
      <c r="BR37" s="6"/>
      <c r="BS37" s="6"/>
      <c r="BT37" s="6"/>
      <c r="BU37" s="6"/>
      <c r="BV37" s="6"/>
      <c r="BW37" s="6"/>
      <c r="BX37" s="6"/>
      <c r="BY37" s="6"/>
      <c r="BZ37" s="6"/>
      <c r="DA37" s="58"/>
      <c r="DB37" s="72" t="s">
        <v>106</v>
      </c>
      <c r="DC37" s="60"/>
      <c r="DD37" s="60"/>
      <c r="DE37" s="60"/>
      <c r="DF37" s="60"/>
      <c r="DG37" s="60"/>
      <c r="DH37" s="60"/>
      <c r="DI37" s="60"/>
      <c r="DJ37" s="60">
        <v>1.2878300064391501</v>
      </c>
      <c r="DK37" s="60"/>
      <c r="DL37" s="60"/>
      <c r="DM37" s="60"/>
      <c r="DN37" s="60"/>
      <c r="DO37" s="60"/>
      <c r="DP37" s="60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</row>
    <row r="38" ht="14.25" customHeight="1">
      <c r="A38" s="12"/>
      <c r="B38" s="37" t="s">
        <v>34</v>
      </c>
      <c r="C38" s="38" t="s">
        <v>138</v>
      </c>
      <c r="D38" s="39">
        <v>0.5938242280285035</v>
      </c>
      <c r="E38" s="39">
        <v>0.0</v>
      </c>
      <c r="F38" s="39">
        <v>0.0</v>
      </c>
      <c r="G38" s="39">
        <v>0.0</v>
      </c>
      <c r="H38" s="39">
        <v>0.0</v>
      </c>
      <c r="I38" s="4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M38" s="53" t="s">
        <v>49</v>
      </c>
      <c r="AN38" s="54"/>
      <c r="AO38" s="99">
        <v>13.0</v>
      </c>
      <c r="AP38" s="99">
        <v>0.0</v>
      </c>
      <c r="AQ38" s="99">
        <v>8.0</v>
      </c>
      <c r="AR38" s="99">
        <v>0.0</v>
      </c>
      <c r="AS38" s="99">
        <v>7.0</v>
      </c>
      <c r="AT38" s="99">
        <v>0.0</v>
      </c>
      <c r="AU38" s="99">
        <v>7.0</v>
      </c>
      <c r="AV38" s="99">
        <v>2.0</v>
      </c>
      <c r="AW38" s="99">
        <v>6.0</v>
      </c>
      <c r="AX38" s="99">
        <v>2.0</v>
      </c>
      <c r="AY38" s="99">
        <v>11.0</v>
      </c>
      <c r="AZ38" s="99">
        <v>1.0</v>
      </c>
      <c r="BA38" s="99">
        <v>13.0</v>
      </c>
      <c r="BB38" s="99">
        <v>0.0</v>
      </c>
      <c r="BC38" s="99">
        <v>13.0</v>
      </c>
      <c r="BD38" s="99"/>
      <c r="BE38" s="99">
        <v>12.0</v>
      </c>
      <c r="BF38" s="99"/>
      <c r="BG38" s="99">
        <f t="shared" ref="BG38:BP38" si="9">COUNT(BG39:BG63)</f>
        <v>6</v>
      </c>
      <c r="BH38" s="99">
        <f t="shared" si="9"/>
        <v>2</v>
      </c>
      <c r="BI38" s="99">
        <f t="shared" si="9"/>
        <v>8</v>
      </c>
      <c r="BJ38" s="99">
        <f t="shared" si="9"/>
        <v>1</v>
      </c>
      <c r="BK38" s="99">
        <f t="shared" si="9"/>
        <v>12</v>
      </c>
      <c r="BL38" s="99">
        <f t="shared" si="9"/>
        <v>0</v>
      </c>
      <c r="BM38" s="99">
        <f t="shared" si="9"/>
        <v>8</v>
      </c>
      <c r="BN38" s="99">
        <f t="shared" si="9"/>
        <v>1</v>
      </c>
      <c r="BO38" s="99">
        <f t="shared" si="9"/>
        <v>11</v>
      </c>
      <c r="BP38" s="99">
        <f t="shared" si="9"/>
        <v>1</v>
      </c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DA38" s="58"/>
      <c r="DB38" s="72" t="s">
        <v>139</v>
      </c>
      <c r="DC38" s="60"/>
      <c r="DD38" s="60"/>
      <c r="DE38" s="60"/>
      <c r="DF38" s="60">
        <v>0.0</v>
      </c>
      <c r="DG38" s="60"/>
      <c r="DH38" s="60"/>
      <c r="DI38" s="60"/>
      <c r="DJ38" s="60"/>
      <c r="DK38" s="60"/>
      <c r="DL38" s="60">
        <v>24.36746131665516</v>
      </c>
      <c r="DM38" s="60">
        <v>0.05649781353461621</v>
      </c>
      <c r="DN38" s="60">
        <v>0.3605662554362297</v>
      </c>
      <c r="DO38" s="60">
        <v>4.220948978258027</v>
      </c>
      <c r="DP38" s="60">
        <v>2.4651751794005907</v>
      </c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</row>
    <row r="39" ht="14.25" customHeight="1">
      <c r="A39" s="12"/>
      <c r="B39" s="37" t="s">
        <v>34</v>
      </c>
      <c r="C39" s="38" t="s">
        <v>140</v>
      </c>
      <c r="D39" s="39">
        <v>0.06030635628995296</v>
      </c>
      <c r="E39" s="39">
        <v>0.24122542515981185</v>
      </c>
      <c r="F39" s="39">
        <v>0.0</v>
      </c>
      <c r="G39" s="39">
        <v>0.06030635628995296</v>
      </c>
      <c r="H39" s="39">
        <v>0.0</v>
      </c>
      <c r="I39" s="4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M39" s="64">
        <v>1.0</v>
      </c>
      <c r="AN39" s="65" t="s">
        <v>141</v>
      </c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>
        <v>2.9</v>
      </c>
      <c r="BJ39" s="66"/>
      <c r="BK39" s="67">
        <v>0.0</v>
      </c>
      <c r="BL39" s="66"/>
      <c r="BM39" s="67"/>
      <c r="BN39" s="66"/>
      <c r="BO39" s="67">
        <v>0.0</v>
      </c>
      <c r="BP39" s="66"/>
      <c r="BQ39" s="6"/>
      <c r="BR39" s="6"/>
      <c r="BS39" s="6"/>
      <c r="BT39" s="6"/>
      <c r="BU39" s="6"/>
      <c r="BV39" s="6"/>
      <c r="BW39" s="6"/>
      <c r="BX39" s="6"/>
      <c r="BY39" s="6"/>
      <c r="BZ39" s="6"/>
      <c r="DA39" s="58"/>
      <c r="DB39" s="72" t="s">
        <v>117</v>
      </c>
      <c r="DC39" s="60"/>
      <c r="DD39" s="60"/>
      <c r="DE39" s="60"/>
      <c r="DF39" s="60"/>
      <c r="DG39" s="60"/>
      <c r="DH39" s="60"/>
      <c r="DI39" s="60"/>
      <c r="DJ39" s="60"/>
      <c r="DK39" s="60"/>
      <c r="DL39" s="60">
        <v>64.16867193766473</v>
      </c>
      <c r="DM39" s="60">
        <v>1.118067978533095</v>
      </c>
      <c r="DN39" s="60"/>
      <c r="DO39" s="60">
        <v>4.411116012351124</v>
      </c>
      <c r="DP39" s="60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</row>
    <row r="40" ht="14.25" customHeight="1">
      <c r="A40" s="12"/>
      <c r="B40" s="37" t="s">
        <v>34</v>
      </c>
      <c r="C40" s="38" t="s">
        <v>142</v>
      </c>
      <c r="D40" s="39">
        <v>2.00052187527181</v>
      </c>
      <c r="E40" s="39">
        <v>0.08697921196833956</v>
      </c>
      <c r="F40" s="39">
        <v>0.0</v>
      </c>
      <c r="G40" s="39">
        <v>0.08697921196833956</v>
      </c>
      <c r="H40" s="39">
        <v>0.0</v>
      </c>
      <c r="I40" s="49">
        <v>0.0</v>
      </c>
      <c r="J40" s="39">
        <v>0.0</v>
      </c>
      <c r="K40" s="39">
        <v>0.0</v>
      </c>
      <c r="L40" s="39">
        <v>0.0</v>
      </c>
      <c r="M40" s="39">
        <v>0.0</v>
      </c>
      <c r="N40" s="39">
        <v>0.0</v>
      </c>
      <c r="O40" s="39">
        <v>0.0</v>
      </c>
      <c r="P40" s="39">
        <v>0.0</v>
      </c>
      <c r="Q40" s="39">
        <v>0.0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M40" s="64">
        <v>2.0</v>
      </c>
      <c r="AN40" s="65" t="s">
        <v>143</v>
      </c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7">
        <v>0.0</v>
      </c>
      <c r="BB40" s="66"/>
      <c r="BC40" s="67">
        <v>0.0</v>
      </c>
      <c r="BD40" s="66"/>
      <c r="BE40" s="67">
        <v>0.0</v>
      </c>
      <c r="BF40" s="66"/>
      <c r="BG40" s="67"/>
      <c r="BH40" s="66"/>
      <c r="BI40" s="67"/>
      <c r="BJ40" s="66"/>
      <c r="BK40" s="67"/>
      <c r="BL40" s="66"/>
      <c r="BM40" s="67"/>
      <c r="BN40" s="66"/>
      <c r="BO40" s="67"/>
      <c r="BP40" s="66"/>
      <c r="BQ40" s="6"/>
      <c r="BR40" s="6"/>
      <c r="BS40" s="6"/>
      <c r="BT40" s="6"/>
      <c r="BU40" s="6"/>
      <c r="BV40" s="6"/>
      <c r="BW40" s="6"/>
      <c r="BX40" s="6"/>
      <c r="BY40" s="6"/>
      <c r="BZ40" s="6"/>
      <c r="DA40" s="58"/>
      <c r="DB40" s="72" t="s">
        <v>144</v>
      </c>
      <c r="DC40" s="60"/>
      <c r="DD40" s="60"/>
      <c r="DE40" s="60">
        <v>0.0</v>
      </c>
      <c r="DF40" s="60"/>
      <c r="DG40" s="60"/>
      <c r="DH40" s="60"/>
      <c r="DI40" s="60">
        <v>2.131741632914091</v>
      </c>
      <c r="DJ40" s="60"/>
      <c r="DK40" s="60"/>
      <c r="DL40" s="60">
        <v>80.32896624270823</v>
      </c>
      <c r="DM40" s="60">
        <v>1.0598834128245893</v>
      </c>
      <c r="DN40" s="60">
        <v>2.1168501270110074</v>
      </c>
      <c r="DO40" s="60">
        <v>188.12090467131685</v>
      </c>
      <c r="DP40" s="60">
        <v>4.546832373446499</v>
      </c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</row>
    <row r="41" ht="14.25" customHeight="1">
      <c r="A41" s="12"/>
      <c r="B41" s="37" t="s">
        <v>34</v>
      </c>
      <c r="C41" s="38" t="s">
        <v>145</v>
      </c>
      <c r="D41" s="39">
        <v>0.5997001499250374</v>
      </c>
      <c r="E41" s="39">
        <v>0.1999000499750125</v>
      </c>
      <c r="F41" s="39">
        <v>0.0</v>
      </c>
      <c r="G41" s="39">
        <v>0.0</v>
      </c>
      <c r="H41" s="39">
        <v>0.0</v>
      </c>
      <c r="I41" s="4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</v>
      </c>
      <c r="P41" s="39">
        <v>0.0</v>
      </c>
      <c r="Q41" s="39">
        <v>0.0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M41" s="64">
        <v>3.0</v>
      </c>
      <c r="AN41" s="65" t="s">
        <v>146</v>
      </c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7"/>
      <c r="BD41" s="66"/>
      <c r="BE41" s="67">
        <v>0.0</v>
      </c>
      <c r="BF41" s="66"/>
      <c r="BG41" s="67"/>
      <c r="BH41" s="66"/>
      <c r="BI41" s="67"/>
      <c r="BJ41" s="66">
        <v>3.1</v>
      </c>
      <c r="BK41" s="67"/>
      <c r="BL41" s="66"/>
      <c r="BM41" s="67"/>
      <c r="BN41" s="66"/>
      <c r="BO41" s="67"/>
      <c r="BP41" s="66"/>
      <c r="BQ41" s="6"/>
      <c r="BR41" s="6"/>
      <c r="BS41" s="6"/>
      <c r="BT41" s="6"/>
      <c r="BU41" s="6"/>
      <c r="BV41" s="6"/>
      <c r="BW41" s="6"/>
      <c r="BX41" s="6"/>
      <c r="BY41" s="6"/>
      <c r="BZ41" s="6"/>
      <c r="DA41" s="47" t="s">
        <v>111</v>
      </c>
      <c r="DB41" s="48" t="s">
        <v>37</v>
      </c>
      <c r="DC41" s="36">
        <v>2.235076452753836</v>
      </c>
      <c r="DD41" s="36">
        <v>0.4453874444331781</v>
      </c>
      <c r="DE41" s="36">
        <v>3.067059777984447</v>
      </c>
      <c r="DF41" s="36">
        <v>1.4896896288953951</v>
      </c>
      <c r="DG41" s="36">
        <v>2.2</v>
      </c>
      <c r="DH41" s="36">
        <v>0.5416345646860896</v>
      </c>
      <c r="DI41" s="36">
        <v>0.13772163914176114</v>
      </c>
      <c r="DJ41" s="36">
        <v>1.0079949918564615</v>
      </c>
      <c r="DK41" s="36">
        <v>65.06150850413903</v>
      </c>
      <c r="DL41" s="36">
        <v>4.6306527534318915</v>
      </c>
      <c r="DM41" s="36">
        <v>0.8</v>
      </c>
      <c r="DN41" s="36">
        <v>3.8051372409087403</v>
      </c>
      <c r="DO41" s="36">
        <v>4.331289852992434</v>
      </c>
      <c r="DP41" s="36">
        <v>43.922219440578196</v>
      </c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</row>
    <row r="42" ht="14.25" customHeight="1">
      <c r="A42" s="12"/>
      <c r="B42" s="37" t="s">
        <v>34</v>
      </c>
      <c r="C42" s="38" t="s">
        <v>147</v>
      </c>
      <c r="D42" s="39">
        <v>0.0</v>
      </c>
      <c r="E42" s="39">
        <v>0.0</v>
      </c>
      <c r="F42" s="39">
        <v>0.0</v>
      </c>
      <c r="G42" s="39">
        <v>0.0</v>
      </c>
      <c r="H42" s="39">
        <v>0.0</v>
      </c>
      <c r="I42" s="49">
        <v>0.0</v>
      </c>
      <c r="J42" s="39">
        <v>0.0</v>
      </c>
      <c r="K42" s="39">
        <v>0.0</v>
      </c>
      <c r="L42" s="39">
        <v>0.0</v>
      </c>
      <c r="M42" s="39">
        <v>0.0</v>
      </c>
      <c r="N42" s="39">
        <v>0.0</v>
      </c>
      <c r="O42" s="39">
        <v>0.0</v>
      </c>
      <c r="P42" s="39">
        <v>0.0</v>
      </c>
      <c r="Q42" s="39">
        <v>0.0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M42" s="64">
        <v>4.0</v>
      </c>
      <c r="AN42" s="65" t="s">
        <v>148</v>
      </c>
      <c r="AO42" s="66">
        <v>0.8</v>
      </c>
      <c r="AP42" s="66"/>
      <c r="AQ42" s="66">
        <v>1.1</v>
      </c>
      <c r="AR42" s="66"/>
      <c r="AS42" s="66">
        <v>1.6</v>
      </c>
      <c r="AT42" s="66"/>
      <c r="AU42" s="66"/>
      <c r="AV42" s="66">
        <v>5.7</v>
      </c>
      <c r="AW42" s="66"/>
      <c r="AX42" s="66"/>
      <c r="AY42" s="66">
        <v>0.6</v>
      </c>
      <c r="AZ42" s="66"/>
      <c r="BA42" s="66">
        <v>2.9</v>
      </c>
      <c r="BB42" s="66"/>
      <c r="BC42" s="67">
        <v>0.6</v>
      </c>
      <c r="BD42" s="66"/>
      <c r="BE42" s="67"/>
      <c r="BF42" s="66"/>
      <c r="BG42" s="67">
        <v>0.6</v>
      </c>
      <c r="BH42" s="66"/>
      <c r="BI42" s="67"/>
      <c r="BJ42" s="66"/>
      <c r="BK42" s="67">
        <v>1.7543859649122806</v>
      </c>
      <c r="BL42" s="66"/>
      <c r="BM42" s="66"/>
      <c r="BN42" s="66"/>
      <c r="BO42" s="66"/>
      <c r="BP42" s="66"/>
      <c r="BQ42" s="6"/>
      <c r="BR42" s="6"/>
      <c r="BS42" s="6"/>
      <c r="BT42" s="6"/>
      <c r="BU42" s="6"/>
      <c r="BV42" s="6"/>
      <c r="BW42" s="6"/>
      <c r="BX42" s="6"/>
      <c r="BY42" s="6"/>
      <c r="BZ42" s="6"/>
      <c r="DA42" s="58"/>
      <c r="DB42" s="72" t="s">
        <v>149</v>
      </c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>
        <v>10.461743306861951</v>
      </c>
      <c r="DP42" s="60">
        <v>200.0</v>
      </c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</row>
    <row r="43" ht="14.25" customHeight="1">
      <c r="A43" s="12"/>
      <c r="B43" s="37" t="s">
        <v>44</v>
      </c>
      <c r="C43" s="38" t="s">
        <v>150</v>
      </c>
      <c r="D43" s="39">
        <v>0.0</v>
      </c>
      <c r="E43" s="39">
        <v>0.0</v>
      </c>
      <c r="F43" s="39">
        <v>0.0</v>
      </c>
      <c r="G43" s="39">
        <v>0.0</v>
      </c>
      <c r="H43" s="39">
        <v>0.0</v>
      </c>
      <c r="I43" s="49">
        <v>0.0</v>
      </c>
      <c r="J43" s="39">
        <v>0.0</v>
      </c>
      <c r="K43" s="39">
        <v>0.0</v>
      </c>
      <c r="L43" s="39">
        <v>0.0</v>
      </c>
      <c r="M43" s="39">
        <v>0.0</v>
      </c>
      <c r="N43" s="39">
        <v>0.0</v>
      </c>
      <c r="O43" s="39">
        <v>0.0</v>
      </c>
      <c r="P43" s="39">
        <v>0.0</v>
      </c>
      <c r="Q43" s="39">
        <v>0.0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M43" s="64">
        <v>5.0</v>
      </c>
      <c r="AN43" s="65" t="s">
        <v>151</v>
      </c>
      <c r="AO43" s="66">
        <v>0.1</v>
      </c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>
        <v>4.2</v>
      </c>
      <c r="BA43" s="66"/>
      <c r="BB43" s="66"/>
      <c r="BC43" s="67">
        <v>0.2</v>
      </c>
      <c r="BD43" s="66"/>
      <c r="BE43" s="67"/>
      <c r="BF43" s="66"/>
      <c r="BG43" s="67"/>
      <c r="BH43" s="66"/>
      <c r="BI43" s="67"/>
      <c r="BJ43" s="66"/>
      <c r="BK43" s="67">
        <v>0.34843205574912894</v>
      </c>
      <c r="BL43" s="66"/>
      <c r="BM43" s="66"/>
      <c r="BN43" s="66"/>
      <c r="BO43" s="66"/>
      <c r="BP43" s="66"/>
      <c r="BQ43" s="6"/>
      <c r="BR43" s="6"/>
      <c r="BS43" s="6"/>
      <c r="BT43" s="6"/>
      <c r="BU43" s="6"/>
      <c r="BV43" s="6"/>
      <c r="BW43" s="6"/>
      <c r="BX43" s="6"/>
      <c r="BY43" s="6"/>
      <c r="BZ43" s="6"/>
      <c r="DA43" s="58"/>
      <c r="DB43" s="72" t="s">
        <v>152</v>
      </c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>
        <v>2.731494127287626</v>
      </c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</row>
    <row r="44" ht="14.25" customHeight="1">
      <c r="A44" s="12"/>
      <c r="B44" s="37" t="s">
        <v>44</v>
      </c>
      <c r="C44" s="38" t="s">
        <v>153</v>
      </c>
      <c r="D44" s="39">
        <v>0.0</v>
      </c>
      <c r="E44" s="39">
        <v>0.0</v>
      </c>
      <c r="F44" s="39">
        <v>0.0</v>
      </c>
      <c r="G44" s="39">
        <v>0.0</v>
      </c>
      <c r="H44" s="39">
        <v>0.0</v>
      </c>
      <c r="I44" s="49">
        <v>0.0</v>
      </c>
      <c r="J44" s="39">
        <v>0.0</v>
      </c>
      <c r="K44" s="39">
        <v>0.0</v>
      </c>
      <c r="L44" s="39">
        <v>0.0</v>
      </c>
      <c r="M44" s="39">
        <v>0.0</v>
      </c>
      <c r="N44" s="39">
        <v>0.0</v>
      </c>
      <c r="O44" s="39">
        <v>0.0</v>
      </c>
      <c r="P44" s="39">
        <v>0.0</v>
      </c>
      <c r="Q44" s="39">
        <v>0.0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M44" s="64">
        <v>6.0</v>
      </c>
      <c r="AN44" s="65" t="s">
        <v>154</v>
      </c>
      <c r="AO44" s="66"/>
      <c r="AP44" s="66"/>
      <c r="AQ44" s="66"/>
      <c r="AR44" s="66"/>
      <c r="AS44" s="66"/>
      <c r="AT44" s="66"/>
      <c r="AU44" s="67">
        <v>0.0</v>
      </c>
      <c r="AV44" s="66"/>
      <c r="AW44" s="66"/>
      <c r="AX44" s="66"/>
      <c r="AY44" s="66"/>
      <c r="AZ44" s="66"/>
      <c r="BA44" s="66"/>
      <c r="BB44" s="66"/>
      <c r="BC44" s="67"/>
      <c r="BD44" s="66"/>
      <c r="BE44" s="67">
        <v>0.0</v>
      </c>
      <c r="BF44" s="66"/>
      <c r="BG44" s="67"/>
      <c r="BH44" s="66"/>
      <c r="BI44" s="67">
        <v>0.0</v>
      </c>
      <c r="BJ44" s="66"/>
      <c r="BK44" s="67"/>
      <c r="BL44" s="66"/>
      <c r="BM44" s="67"/>
      <c r="BN44" s="66"/>
      <c r="BO44" s="67"/>
      <c r="BP44" s="66"/>
      <c r="BQ44" s="6"/>
      <c r="BR44" s="6"/>
      <c r="BS44" s="6"/>
      <c r="BT44" s="6"/>
      <c r="BU44" s="6"/>
      <c r="BV44" s="6"/>
      <c r="BW44" s="6"/>
      <c r="BX44" s="6"/>
      <c r="BY44" s="6"/>
      <c r="BZ44" s="6"/>
      <c r="DA44" s="58"/>
      <c r="DB44" s="72" t="s">
        <v>155</v>
      </c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>
        <v>0.8763473841030585</v>
      </c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</row>
    <row r="45" ht="14.25" customHeight="1">
      <c r="A45" s="12"/>
      <c r="B45" s="37" t="s">
        <v>44</v>
      </c>
      <c r="C45" s="38" t="s">
        <v>156</v>
      </c>
      <c r="D45" s="39">
        <v>0.08968609865470852</v>
      </c>
      <c r="E45" s="39">
        <v>0.0</v>
      </c>
      <c r="F45" s="39">
        <v>0.0</v>
      </c>
      <c r="G45" s="39">
        <v>0.0</v>
      </c>
      <c r="H45" s="39">
        <v>0.0</v>
      </c>
      <c r="I45" s="4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M45" s="64">
        <v>7.0</v>
      </c>
      <c r="AN45" s="65" t="s">
        <v>157</v>
      </c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"/>
      <c r="BR45" s="6"/>
      <c r="BS45" s="6"/>
      <c r="BT45" s="6"/>
      <c r="BU45" s="6"/>
      <c r="BV45" s="6"/>
      <c r="BW45" s="6"/>
      <c r="BX45" s="6"/>
      <c r="BY45" s="6"/>
      <c r="BZ45" s="6"/>
      <c r="DA45" s="58"/>
      <c r="DB45" s="72" t="s">
        <v>158</v>
      </c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>
        <v>0.5555555555555556</v>
      </c>
      <c r="DP45" s="60">
        <v>0.6567281802062127</v>
      </c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</row>
    <row r="46" ht="14.25" customHeight="1">
      <c r="A46" s="12"/>
      <c r="B46" s="37" t="s">
        <v>44</v>
      </c>
      <c r="C46" s="38" t="s">
        <v>44</v>
      </c>
      <c r="D46" s="39">
        <v>0.0</v>
      </c>
      <c r="E46" s="39">
        <v>0.0</v>
      </c>
      <c r="F46" s="39">
        <v>0.003097432847655863</v>
      </c>
      <c r="G46" s="39">
        <v>0.0015487164238279314</v>
      </c>
      <c r="H46" s="39">
        <v>0.0</v>
      </c>
      <c r="I46" s="49">
        <v>0.0</v>
      </c>
      <c r="J46" s="39">
        <v>0.0</v>
      </c>
      <c r="K46" s="39">
        <v>0.0</v>
      </c>
      <c r="L46" s="39">
        <v>0.0</v>
      </c>
      <c r="M46" s="39">
        <v>0.0015487164238279314</v>
      </c>
      <c r="N46" s="39">
        <v>0.0</v>
      </c>
      <c r="O46" s="39">
        <v>0.0</v>
      </c>
      <c r="P46" s="39">
        <v>0.0</v>
      </c>
      <c r="Q46" s="39">
        <v>0.003097432847655863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M46" s="64">
        <v>8.0</v>
      </c>
      <c r="AN46" s="65" t="s">
        <v>159</v>
      </c>
      <c r="AO46" s="66">
        <v>0.9</v>
      </c>
      <c r="AP46" s="66"/>
      <c r="AQ46" s="66">
        <v>0.8</v>
      </c>
      <c r="AR46" s="66"/>
      <c r="AS46" s="66">
        <v>0.7</v>
      </c>
      <c r="AT46" s="66"/>
      <c r="AU46" s="66">
        <v>0.6</v>
      </c>
      <c r="AV46" s="66"/>
      <c r="AW46" s="66">
        <v>0.1</v>
      </c>
      <c r="AX46" s="66"/>
      <c r="AY46" s="66">
        <v>0.5</v>
      </c>
      <c r="AZ46" s="66"/>
      <c r="BA46" s="66"/>
      <c r="BB46" s="66"/>
      <c r="BC46" s="67"/>
      <c r="BD46" s="66"/>
      <c r="BE46" s="67">
        <v>0.4</v>
      </c>
      <c r="BF46" s="66"/>
      <c r="BG46" s="67"/>
      <c r="BH46" s="66"/>
      <c r="BI46" s="67">
        <v>1.0</v>
      </c>
      <c r="BJ46" s="66"/>
      <c r="BK46" s="67">
        <v>1.1235955056179776</v>
      </c>
      <c r="BL46" s="66"/>
      <c r="BM46" s="67">
        <v>1.3904982618771726</v>
      </c>
      <c r="BN46" s="66"/>
      <c r="BO46" s="67">
        <v>1.1</v>
      </c>
      <c r="BP46" s="66"/>
      <c r="BQ46" s="6"/>
      <c r="BR46" s="6"/>
      <c r="BS46" s="6"/>
      <c r="BT46" s="6"/>
      <c r="BU46" s="6"/>
      <c r="BV46" s="6"/>
      <c r="BW46" s="6"/>
      <c r="BX46" s="6"/>
      <c r="BY46" s="6"/>
      <c r="BZ46" s="6"/>
      <c r="DA46" s="58"/>
      <c r="DB46" s="72" t="s">
        <v>160</v>
      </c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>
        <v>0.9402914903620122</v>
      </c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</row>
    <row r="47" ht="14.25" customHeight="1">
      <c r="A47" s="12"/>
      <c r="B47" s="37" t="s">
        <v>44</v>
      </c>
      <c r="C47" s="38" t="s">
        <v>161</v>
      </c>
      <c r="D47" s="39">
        <v>0.0</v>
      </c>
      <c r="E47" s="39">
        <v>0.0</v>
      </c>
      <c r="F47" s="39">
        <v>0.0</v>
      </c>
      <c r="G47" s="39">
        <v>0.0</v>
      </c>
      <c r="H47" s="39">
        <v>0.0</v>
      </c>
      <c r="I47" s="49">
        <v>0.0</v>
      </c>
      <c r="J47" s="39">
        <v>0.0</v>
      </c>
      <c r="K47" s="39">
        <v>0.0</v>
      </c>
      <c r="L47" s="39">
        <v>0.0</v>
      </c>
      <c r="M47" s="39">
        <v>0.0</v>
      </c>
      <c r="N47" s="39">
        <v>0.0</v>
      </c>
      <c r="O47" s="39">
        <v>0.0</v>
      </c>
      <c r="P47" s="39">
        <v>0.0</v>
      </c>
      <c r="Q47" s="39">
        <v>0.0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M47" s="64">
        <v>9.0</v>
      </c>
      <c r="AN47" s="100" t="s">
        <v>162</v>
      </c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7"/>
      <c r="BD47" s="66"/>
      <c r="BE47" s="67"/>
      <c r="BF47" s="66"/>
      <c r="BG47" s="67"/>
      <c r="BH47" s="66"/>
      <c r="BI47" s="67"/>
      <c r="BJ47" s="66"/>
      <c r="BK47" s="67"/>
      <c r="BL47" s="66"/>
      <c r="BM47" s="66"/>
      <c r="BN47" s="66"/>
      <c r="BO47" s="67">
        <v>0.0</v>
      </c>
      <c r="BP47" s="66"/>
      <c r="BQ47" s="6"/>
      <c r="BR47" s="6"/>
      <c r="BS47" s="6"/>
      <c r="BT47" s="6"/>
      <c r="BU47" s="6"/>
      <c r="BV47" s="6"/>
      <c r="BW47" s="6"/>
      <c r="BX47" s="6"/>
      <c r="BY47" s="6"/>
      <c r="BZ47" s="6"/>
      <c r="DA47" s="58"/>
      <c r="DB47" s="72" t="s">
        <v>163</v>
      </c>
      <c r="DC47" s="60"/>
      <c r="DD47" s="60"/>
      <c r="DE47" s="60"/>
      <c r="DF47" s="60"/>
      <c r="DG47" s="60"/>
      <c r="DH47" s="60"/>
      <c r="DI47" s="60"/>
      <c r="DJ47" s="60"/>
      <c r="DK47" s="60"/>
      <c r="DL47" s="60">
        <v>4.158196266863796</v>
      </c>
      <c r="DM47" s="60"/>
      <c r="DN47" s="60"/>
      <c r="DO47" s="60">
        <v>2.34181068802398</v>
      </c>
      <c r="DP47" s="60">
        <v>142.03514592296926</v>
      </c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</row>
    <row r="48" ht="14.25" customHeight="1">
      <c r="A48" s="12"/>
      <c r="B48" s="37" t="s">
        <v>44</v>
      </c>
      <c r="C48" s="38" t="s">
        <v>164</v>
      </c>
      <c r="D48" s="39">
        <v>0.5108991825613078</v>
      </c>
      <c r="E48" s="39">
        <v>0.17029972752043596</v>
      </c>
      <c r="F48" s="39">
        <v>0.0</v>
      </c>
      <c r="G48" s="39">
        <v>0.0</v>
      </c>
      <c r="H48" s="39">
        <v>0.0</v>
      </c>
      <c r="I48" s="49">
        <v>0.0</v>
      </c>
      <c r="J48" s="39">
        <v>0.0</v>
      </c>
      <c r="K48" s="39">
        <v>0.0</v>
      </c>
      <c r="L48" s="39">
        <v>0.0</v>
      </c>
      <c r="M48" s="39">
        <v>0.0</v>
      </c>
      <c r="N48" s="39">
        <v>0.17029972752043596</v>
      </c>
      <c r="O48" s="39">
        <v>0.0</v>
      </c>
      <c r="P48" s="39">
        <v>0.0</v>
      </c>
      <c r="Q48" s="39">
        <v>0.0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M48" s="64">
        <v>10.0</v>
      </c>
      <c r="AN48" s="100" t="s">
        <v>165</v>
      </c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>
        <v>0.7</v>
      </c>
      <c r="BB48" s="66"/>
      <c r="BC48" s="66"/>
      <c r="BD48" s="66"/>
      <c r="BE48" s="66"/>
      <c r="BF48" s="66"/>
      <c r="BG48" s="66"/>
      <c r="BH48" s="66"/>
      <c r="BI48" s="66"/>
      <c r="BJ48" s="66"/>
      <c r="BK48" s="67">
        <v>0.5319148936170213</v>
      </c>
      <c r="BL48" s="66"/>
      <c r="BM48" s="67"/>
      <c r="BN48" s="66"/>
      <c r="BO48" s="67">
        <v>0.5</v>
      </c>
      <c r="BP48" s="66"/>
      <c r="BQ48" s="6"/>
      <c r="BR48" s="6"/>
      <c r="BS48" s="6"/>
      <c r="BT48" s="6"/>
      <c r="BU48" s="6"/>
      <c r="BV48" s="6"/>
      <c r="BW48" s="6"/>
      <c r="BX48" s="6"/>
      <c r="BY48" s="6"/>
      <c r="BZ48" s="6"/>
      <c r="DA48" s="58"/>
      <c r="DB48" s="72" t="s">
        <v>166</v>
      </c>
      <c r="DC48" s="60"/>
      <c r="DD48" s="60"/>
      <c r="DE48" s="60"/>
      <c r="DF48" s="60"/>
      <c r="DG48" s="60"/>
      <c r="DH48" s="60">
        <v>2.2</v>
      </c>
      <c r="DI48" s="60">
        <v>0.4302000430200043</v>
      </c>
      <c r="DJ48" s="60"/>
      <c r="DK48" s="60">
        <v>39.10402429764616</v>
      </c>
      <c r="DL48" s="60">
        <v>3.3513312232358965</v>
      </c>
      <c r="DM48" s="60">
        <v>2.386539914880076</v>
      </c>
      <c r="DN48" s="60">
        <v>16.78638351030606</v>
      </c>
      <c r="DO48" s="60">
        <v>22.61402836335761</v>
      </c>
      <c r="DP48" s="60">
        <v>71.96609921823628</v>
      </c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</row>
    <row r="49" ht="14.25" customHeight="1">
      <c r="A49" s="12"/>
      <c r="B49" s="37" t="s">
        <v>44</v>
      </c>
      <c r="C49" s="38" t="s">
        <v>167</v>
      </c>
      <c r="D49" s="39">
        <v>0.0</v>
      </c>
      <c r="E49" s="39">
        <v>0.0</v>
      </c>
      <c r="F49" s="39">
        <v>0.0</v>
      </c>
      <c r="G49" s="39">
        <v>0.0</v>
      </c>
      <c r="H49" s="39">
        <v>0.0</v>
      </c>
      <c r="I49" s="49">
        <v>0.0</v>
      </c>
      <c r="J49" s="39">
        <v>0.0</v>
      </c>
      <c r="K49" s="39">
        <v>0.0</v>
      </c>
      <c r="L49" s="39">
        <v>0.0</v>
      </c>
      <c r="M49" s="39">
        <v>0.0</v>
      </c>
      <c r="N49" s="39">
        <v>0.0</v>
      </c>
      <c r="O49" s="39">
        <v>0.0</v>
      </c>
      <c r="P49" s="39">
        <v>0.0</v>
      </c>
      <c r="Q49" s="39">
        <v>0.0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M49" s="64">
        <v>11.0</v>
      </c>
      <c r="AN49" s="65" t="s">
        <v>168</v>
      </c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7"/>
      <c r="AZ49" s="66"/>
      <c r="BA49" s="66"/>
      <c r="BB49" s="66"/>
      <c r="BC49" s="67">
        <v>0.0</v>
      </c>
      <c r="BD49" s="66"/>
      <c r="BE49" s="67"/>
      <c r="BF49" s="66"/>
      <c r="BG49" s="67"/>
      <c r="BH49" s="66"/>
      <c r="BI49" s="67"/>
      <c r="BJ49" s="66"/>
      <c r="BK49" s="67"/>
      <c r="BL49" s="66"/>
      <c r="BM49" s="66"/>
      <c r="BN49" s="66"/>
      <c r="BO49" s="66"/>
      <c r="BP49" s="66"/>
      <c r="BQ49" s="6"/>
      <c r="BR49" s="6"/>
      <c r="BS49" s="6"/>
      <c r="BT49" s="6"/>
      <c r="BU49" s="6"/>
      <c r="BV49" s="6"/>
      <c r="BW49" s="6"/>
      <c r="BX49" s="6"/>
      <c r="BY49" s="6"/>
      <c r="BZ49" s="6"/>
      <c r="DA49" s="58"/>
      <c r="DB49" s="72" t="s">
        <v>169</v>
      </c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>
        <v>0.44406945246236507</v>
      </c>
      <c r="DP49" s="60">
        <v>2.3949801216649904</v>
      </c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</row>
    <row r="50" ht="14.25" customHeight="1">
      <c r="A50" s="12"/>
      <c r="B50" s="37" t="s">
        <v>44</v>
      </c>
      <c r="C50" s="38" t="s">
        <v>170</v>
      </c>
      <c r="D50" s="39">
        <v>0.0</v>
      </c>
      <c r="E50" s="39">
        <v>0.0</v>
      </c>
      <c r="F50" s="39">
        <v>0.0</v>
      </c>
      <c r="G50" s="39">
        <v>0.0</v>
      </c>
      <c r="H50" s="39">
        <v>0.0</v>
      </c>
      <c r="I50" s="39">
        <v>0.0</v>
      </c>
      <c r="J50" s="39">
        <v>0.0</v>
      </c>
      <c r="K50" s="39">
        <v>0.0</v>
      </c>
      <c r="L50" s="39">
        <v>0.0</v>
      </c>
      <c r="M50" s="39">
        <v>0.0</v>
      </c>
      <c r="N50" s="39">
        <v>0.09449116507606539</v>
      </c>
      <c r="O50" s="39">
        <v>0.0</v>
      </c>
      <c r="P50" s="39">
        <v>0.0</v>
      </c>
      <c r="Q50" s="39">
        <v>0.0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M50" s="64">
        <v>12.0</v>
      </c>
      <c r="AN50" s="65" t="s">
        <v>171</v>
      </c>
      <c r="AO50" s="66">
        <v>0.5</v>
      </c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>
        <v>0.5</v>
      </c>
      <c r="BB50" s="66"/>
      <c r="BC50" s="67"/>
      <c r="BD50" s="66"/>
      <c r="BE50" s="67"/>
      <c r="BF50" s="66"/>
      <c r="BG50" s="67"/>
      <c r="BH50" s="66"/>
      <c r="BI50" s="67"/>
      <c r="BJ50" s="66"/>
      <c r="BK50" s="67"/>
      <c r="BL50" s="66"/>
      <c r="BM50" s="66"/>
      <c r="BN50" s="67">
        <v>3.5452322738386304</v>
      </c>
      <c r="BO50" s="66">
        <v>0.1</v>
      </c>
      <c r="BP50" s="67"/>
      <c r="BQ50" s="6"/>
      <c r="BR50" s="6"/>
      <c r="BS50" s="6"/>
      <c r="BT50" s="6"/>
      <c r="BU50" s="6"/>
      <c r="BV50" s="6"/>
      <c r="BW50" s="6"/>
      <c r="BX50" s="6"/>
      <c r="BY50" s="6"/>
      <c r="BZ50" s="6"/>
      <c r="DA50" s="58"/>
      <c r="DB50" s="72" t="s">
        <v>172</v>
      </c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>
        <v>0.44406945246236507</v>
      </c>
      <c r="DP50" s="60">
        <v>3.595828838547285</v>
      </c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</row>
    <row r="51" ht="14.25" customHeight="1">
      <c r="A51" s="12"/>
      <c r="B51" s="37" t="s">
        <v>44</v>
      </c>
      <c r="C51" s="38" t="s">
        <v>173</v>
      </c>
      <c r="D51" s="39">
        <v>0.2908607400328257</v>
      </c>
      <c r="E51" s="39">
        <v>0.2285334385972202</v>
      </c>
      <c r="F51" s="39">
        <v>0.20775767145201837</v>
      </c>
      <c r="G51" s="39">
        <v>0.35318804146843125</v>
      </c>
      <c r="H51" s="39">
        <v>0.20775767145201837</v>
      </c>
      <c r="I51" s="49">
        <v>0.2285334385972202</v>
      </c>
      <c r="J51" s="39">
        <v>0.08310306858080733</v>
      </c>
      <c r="K51" s="39">
        <v>0.08310306858080733</v>
      </c>
      <c r="L51" s="39">
        <v>0.35318804146843125</v>
      </c>
      <c r="M51" s="39">
        <v>0.2285334385972202</v>
      </c>
      <c r="N51" s="39">
        <v>0.16620613716161467</v>
      </c>
      <c r="O51" s="39">
        <v>0.0</v>
      </c>
      <c r="P51" s="39">
        <v>0.08310306858080733</v>
      </c>
      <c r="Q51" s="39">
        <v>0.14543037001641285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M51" s="64">
        <v>13.0</v>
      </c>
      <c r="AN51" s="65" t="s">
        <v>174</v>
      </c>
      <c r="AO51" s="66">
        <v>0.1</v>
      </c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7"/>
      <c r="BD51" s="66"/>
      <c r="BE51" s="67"/>
      <c r="BF51" s="66"/>
      <c r="BG51" s="67"/>
      <c r="BH51" s="66"/>
      <c r="BI51" s="67"/>
      <c r="BJ51" s="66"/>
      <c r="BK51" s="67"/>
      <c r="BL51" s="66"/>
      <c r="BM51" s="67"/>
      <c r="BN51" s="66"/>
      <c r="BO51" s="67">
        <v>0.0</v>
      </c>
      <c r="BP51" s="66"/>
      <c r="BQ51" s="6"/>
      <c r="BR51" s="6"/>
      <c r="BS51" s="6"/>
      <c r="BT51" s="6"/>
      <c r="BU51" s="6"/>
      <c r="BV51" s="6"/>
      <c r="BW51" s="6"/>
      <c r="BX51" s="6"/>
      <c r="BY51" s="6"/>
      <c r="BZ51" s="6"/>
      <c r="DA51" s="58"/>
      <c r="DB51" s="72" t="s">
        <v>37</v>
      </c>
      <c r="DC51" s="60">
        <v>0.0</v>
      </c>
      <c r="DD51" s="60">
        <v>0.0</v>
      </c>
      <c r="DE51" s="60"/>
      <c r="DF51" s="60">
        <v>0.0</v>
      </c>
      <c r="DG51" s="60"/>
      <c r="DH51" s="60">
        <v>0.32618339335107766</v>
      </c>
      <c r="DI51" s="60">
        <v>0.07678673125283951</v>
      </c>
      <c r="DJ51" s="60"/>
      <c r="DK51" s="60"/>
      <c r="DL51" s="60">
        <v>5.109607996398418</v>
      </c>
      <c r="DM51" s="60">
        <v>0.11886705433175318</v>
      </c>
      <c r="DN51" s="60">
        <v>0.0700772484869154</v>
      </c>
      <c r="DO51" s="60">
        <v>1.5268788071517625</v>
      </c>
      <c r="DP51" s="60">
        <v>73.68281016623229</v>
      </c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</row>
    <row r="52" ht="14.25" customHeight="1">
      <c r="A52" s="12"/>
      <c r="B52" s="37" t="s">
        <v>44</v>
      </c>
      <c r="C52" s="38" t="s">
        <v>175</v>
      </c>
      <c r="D52" s="39">
        <v>0.13504388926401079</v>
      </c>
      <c r="E52" s="39">
        <v>0.033760972316002696</v>
      </c>
      <c r="F52" s="39">
        <v>0.0</v>
      </c>
      <c r="G52" s="39">
        <v>0.0</v>
      </c>
      <c r="H52" s="39">
        <v>0.0</v>
      </c>
      <c r="I52" s="49">
        <v>0.0</v>
      </c>
      <c r="J52" s="39">
        <v>0.0</v>
      </c>
      <c r="K52" s="39">
        <v>0.0</v>
      </c>
      <c r="L52" s="39">
        <v>0.033760972316002696</v>
      </c>
      <c r="M52" s="39">
        <v>0.0</v>
      </c>
      <c r="N52" s="39">
        <v>0.033760972316002696</v>
      </c>
      <c r="O52" s="39">
        <v>0.0</v>
      </c>
      <c r="P52" s="39">
        <v>0.0</v>
      </c>
      <c r="Q52" s="39">
        <v>0.0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M52" s="64">
        <v>14.0</v>
      </c>
      <c r="AN52" s="65" t="s">
        <v>176</v>
      </c>
      <c r="AO52" s="67">
        <v>0.0</v>
      </c>
      <c r="AP52" s="66"/>
      <c r="AQ52" s="66">
        <v>0.9</v>
      </c>
      <c r="AR52" s="66"/>
      <c r="AS52" s="66"/>
      <c r="AT52" s="66"/>
      <c r="AU52" s="66"/>
      <c r="AV52" s="66">
        <v>4.7</v>
      </c>
      <c r="AW52" s="66"/>
      <c r="AX52" s="66"/>
      <c r="AY52" s="66">
        <v>0.3</v>
      </c>
      <c r="AZ52" s="66"/>
      <c r="BA52" s="67">
        <v>0.0</v>
      </c>
      <c r="BB52" s="66"/>
      <c r="BC52" s="67"/>
      <c r="BD52" s="66"/>
      <c r="BE52" s="67">
        <v>0.8</v>
      </c>
      <c r="BF52" s="66"/>
      <c r="BG52" s="67"/>
      <c r="BH52" s="66"/>
      <c r="BI52" s="67"/>
      <c r="BJ52" s="66"/>
      <c r="BK52" s="67">
        <v>0.0</v>
      </c>
      <c r="BL52" s="66"/>
      <c r="BM52" s="67">
        <v>2.027027027027027</v>
      </c>
      <c r="BN52" s="66"/>
      <c r="BO52" s="67">
        <v>1.4</v>
      </c>
      <c r="BP52" s="66"/>
      <c r="BQ52" s="6"/>
      <c r="BR52" s="6"/>
      <c r="BS52" s="6"/>
      <c r="BT52" s="6"/>
      <c r="BU52" s="6"/>
      <c r="BV52" s="6"/>
      <c r="BW52" s="6"/>
      <c r="BX52" s="6"/>
      <c r="BY52" s="6"/>
      <c r="BZ52" s="6"/>
      <c r="DA52" s="58"/>
      <c r="DB52" s="72" t="s">
        <v>177</v>
      </c>
      <c r="DC52" s="60"/>
      <c r="DD52" s="60"/>
      <c r="DE52" s="60"/>
      <c r="DF52" s="60"/>
      <c r="DG52" s="60"/>
      <c r="DH52" s="60"/>
      <c r="DI52" s="60"/>
      <c r="DJ52" s="60"/>
      <c r="DK52" s="60"/>
      <c r="DL52" s="60">
        <v>1.0281507680286237</v>
      </c>
      <c r="DM52" s="60"/>
      <c r="DN52" s="60"/>
      <c r="DO52" s="60">
        <v>1.8860095809286712</v>
      </c>
      <c r="DP52" s="60">
        <v>10.71940816788707</v>
      </c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</row>
    <row r="53" ht="14.25" customHeight="1">
      <c r="A53" s="12"/>
      <c r="B53" s="37" t="s">
        <v>44</v>
      </c>
      <c r="C53" s="38" t="s">
        <v>178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M53" s="64">
        <v>15.0</v>
      </c>
      <c r="AN53" s="65" t="s">
        <v>179</v>
      </c>
      <c r="AO53" s="66">
        <v>0.3</v>
      </c>
      <c r="AP53" s="66"/>
      <c r="AQ53" s="66"/>
      <c r="AR53" s="66"/>
      <c r="AS53" s="67">
        <v>1.0</v>
      </c>
      <c r="AT53" s="66"/>
      <c r="AU53" s="66">
        <v>1.8</v>
      </c>
      <c r="AV53" s="66"/>
      <c r="AW53" s="66"/>
      <c r="AX53" s="67">
        <v>10.0</v>
      </c>
      <c r="AY53" s="66">
        <v>0.5</v>
      </c>
      <c r="AZ53" s="66"/>
      <c r="BA53" s="66">
        <v>0.1</v>
      </c>
      <c r="BB53" s="66"/>
      <c r="BC53" s="67"/>
      <c r="BD53" s="66"/>
      <c r="BE53" s="67">
        <v>0.0</v>
      </c>
      <c r="BF53" s="66"/>
      <c r="BG53" s="67"/>
      <c r="BH53" s="67">
        <v>10.0</v>
      </c>
      <c r="BI53" s="67">
        <v>0.4</v>
      </c>
      <c r="BJ53" s="67"/>
      <c r="BK53" s="67">
        <v>0.27972027972027974</v>
      </c>
      <c r="BL53" s="67"/>
      <c r="BM53" s="67">
        <v>0.0</v>
      </c>
      <c r="BN53" s="67"/>
      <c r="BO53" s="67">
        <v>0.0</v>
      </c>
      <c r="BP53" s="67"/>
      <c r="BQ53" s="6"/>
      <c r="BR53" s="6"/>
      <c r="BS53" s="6"/>
      <c r="BT53" s="6"/>
      <c r="BU53" s="6"/>
      <c r="BV53" s="6"/>
      <c r="BW53" s="6"/>
      <c r="BX53" s="6"/>
      <c r="BY53" s="6"/>
      <c r="BZ53" s="6"/>
      <c r="DA53" s="58"/>
      <c r="DB53" s="72" t="s">
        <v>180</v>
      </c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>
        <v>1.552955792525106</v>
      </c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</row>
    <row r="54" ht="14.25" customHeight="1">
      <c r="A54" s="12"/>
      <c r="B54" s="37" t="s">
        <v>44</v>
      </c>
      <c r="C54" s="38" t="s">
        <v>181</v>
      </c>
      <c r="D54" s="39">
        <v>0.011379282877593055</v>
      </c>
      <c r="E54" s="39">
        <v>0.011379282877593055</v>
      </c>
      <c r="F54" s="39">
        <v>0.0</v>
      </c>
      <c r="G54" s="39">
        <v>0.0</v>
      </c>
      <c r="H54" s="39">
        <v>0.005689641438796527</v>
      </c>
      <c r="I54" s="49">
        <v>0.0</v>
      </c>
      <c r="J54" s="39">
        <v>0.0</v>
      </c>
      <c r="K54" s="39">
        <v>0.0</v>
      </c>
      <c r="L54" s="39">
        <v>0.005689641438796527</v>
      </c>
      <c r="M54" s="39">
        <v>0.0</v>
      </c>
      <c r="N54" s="39">
        <v>0.005689641438796527</v>
      </c>
      <c r="O54" s="39">
        <v>0.0</v>
      </c>
      <c r="P54" s="39">
        <v>0.0</v>
      </c>
      <c r="Q54" s="39">
        <v>0.0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M54" s="64">
        <v>16.0</v>
      </c>
      <c r="AN54" s="65" t="s">
        <v>182</v>
      </c>
      <c r="AO54" s="66"/>
      <c r="AP54" s="66"/>
      <c r="AQ54" s="66"/>
      <c r="AR54" s="66"/>
      <c r="AS54" s="66"/>
      <c r="AT54" s="66"/>
      <c r="AU54" s="66"/>
      <c r="AV54" s="66"/>
      <c r="AW54" s="66">
        <v>2.4</v>
      </c>
      <c r="AX54" s="66"/>
      <c r="AY54" s="66"/>
      <c r="AZ54" s="66"/>
      <c r="BA54" s="66">
        <v>0.1</v>
      </c>
      <c r="BB54" s="66"/>
      <c r="BC54" s="67"/>
      <c r="BD54" s="66"/>
      <c r="BE54" s="67">
        <v>2.7</v>
      </c>
      <c r="BF54" s="66"/>
      <c r="BG54" s="67"/>
      <c r="BH54" s="66">
        <v>5.6</v>
      </c>
      <c r="BI54" s="67">
        <v>1.0</v>
      </c>
      <c r="BJ54" s="66"/>
      <c r="BK54" s="67">
        <v>1.3333333333333335</v>
      </c>
      <c r="BL54" s="66"/>
      <c r="BM54" s="67">
        <v>0.900163666121113</v>
      </c>
      <c r="BN54" s="66"/>
      <c r="BO54" s="67">
        <v>1.8</v>
      </c>
      <c r="BP54" s="66"/>
      <c r="BQ54" s="6"/>
      <c r="BR54" s="6"/>
      <c r="BS54" s="6"/>
      <c r="BT54" s="6"/>
      <c r="BU54" s="6"/>
      <c r="BV54" s="6"/>
      <c r="BW54" s="6"/>
      <c r="BX54" s="6"/>
      <c r="BY54" s="6"/>
      <c r="BZ54" s="6"/>
      <c r="DA54" s="58"/>
      <c r="DB54" s="72" t="s">
        <v>183</v>
      </c>
      <c r="DC54" s="60">
        <v>0.8764868184799287</v>
      </c>
      <c r="DD54" s="60">
        <v>1.2599615711720793</v>
      </c>
      <c r="DE54" s="60"/>
      <c r="DF54" s="60">
        <v>8.469705677727699</v>
      </c>
      <c r="DG54" s="60"/>
      <c r="DH54" s="60">
        <v>1.4541224371092045</v>
      </c>
      <c r="DI54" s="60"/>
      <c r="DJ54" s="60">
        <v>1.4107556006997348</v>
      </c>
      <c r="DK54" s="60">
        <v>50.97209069132639</v>
      </c>
      <c r="DL54" s="60">
        <v>8.803059063024401</v>
      </c>
      <c r="DM54" s="60">
        <v>1.5907524258974495</v>
      </c>
      <c r="DN54" s="60">
        <v>40.64511086214534</v>
      </c>
      <c r="DO54" s="60">
        <v>47.897136417191746</v>
      </c>
      <c r="DP54" s="60">
        <v>91.60808435852373</v>
      </c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</row>
    <row r="55" ht="14.25" customHeight="1">
      <c r="A55" s="12"/>
      <c r="B55" s="37" t="s">
        <v>44</v>
      </c>
      <c r="C55" s="38" t="s">
        <v>184</v>
      </c>
      <c r="D55" s="39">
        <v>0.046598322460391424</v>
      </c>
      <c r="E55" s="39">
        <v>0.0</v>
      </c>
      <c r="F55" s="39">
        <v>0.0</v>
      </c>
      <c r="G55" s="39">
        <v>0.0</v>
      </c>
      <c r="H55" s="39">
        <v>0.0</v>
      </c>
      <c r="I55" s="4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0.046598322460391424</v>
      </c>
      <c r="Q55" s="39">
        <v>0.0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M55" s="64">
        <v>17.0</v>
      </c>
      <c r="AN55" s="65" t="s">
        <v>185</v>
      </c>
      <c r="AO55" s="66">
        <v>0.2</v>
      </c>
      <c r="AP55" s="66"/>
      <c r="AQ55" s="66"/>
      <c r="AR55" s="66"/>
      <c r="AS55" s="66"/>
      <c r="AT55" s="66"/>
      <c r="AU55" s="66"/>
      <c r="AV55" s="66"/>
      <c r="AW55" s="66"/>
      <c r="AX55" s="66"/>
      <c r="AY55" s="66">
        <v>0.9</v>
      </c>
      <c r="AZ55" s="66"/>
      <c r="BA55" s="66">
        <v>0.8</v>
      </c>
      <c r="BB55" s="66"/>
      <c r="BC55" s="67">
        <v>0.1</v>
      </c>
      <c r="BD55" s="66"/>
      <c r="BE55" s="67"/>
      <c r="BF55" s="66"/>
      <c r="BG55" s="67"/>
      <c r="BH55" s="66"/>
      <c r="BI55" s="67"/>
      <c r="BJ55" s="66"/>
      <c r="BK55" s="67"/>
      <c r="BL55" s="66"/>
      <c r="BM55" s="66"/>
      <c r="BN55" s="66"/>
      <c r="BO55" s="66"/>
      <c r="BP55" s="66"/>
      <c r="BQ55" s="6"/>
      <c r="BR55" s="6"/>
      <c r="BS55" s="6"/>
      <c r="BT55" s="6"/>
      <c r="BU55" s="6"/>
      <c r="BV55" s="6"/>
      <c r="BW55" s="6"/>
      <c r="BX55" s="6"/>
      <c r="BY55" s="6"/>
      <c r="BZ55" s="6"/>
      <c r="DA55" s="58"/>
      <c r="DB55" s="72" t="s">
        <v>186</v>
      </c>
      <c r="DC55" s="60"/>
      <c r="DD55" s="60"/>
      <c r="DE55" s="60"/>
      <c r="DF55" s="60"/>
      <c r="DG55" s="60"/>
      <c r="DH55" s="60"/>
      <c r="DI55" s="60"/>
      <c r="DJ55" s="60"/>
      <c r="DK55" s="60"/>
      <c r="DL55" s="60">
        <v>10.667951409201969</v>
      </c>
      <c r="DM55" s="60"/>
      <c r="DN55" s="60">
        <v>1.0557060914241476</v>
      </c>
      <c r="DO55" s="60">
        <v>2.816207272855282</v>
      </c>
      <c r="DP55" s="60">
        <v>80.11690013100876</v>
      </c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</row>
    <row r="56" ht="14.25" customHeight="1">
      <c r="A56" s="12"/>
      <c r="B56" s="37" t="s">
        <v>44</v>
      </c>
      <c r="C56" s="38" t="s">
        <v>187</v>
      </c>
      <c r="D56" s="39">
        <v>0.0</v>
      </c>
      <c r="E56" s="39">
        <v>0.0</v>
      </c>
      <c r="F56" s="39">
        <v>0.0</v>
      </c>
      <c r="G56" s="39">
        <v>0.0</v>
      </c>
      <c r="H56" s="39">
        <v>0.09368559115608019</v>
      </c>
      <c r="I56" s="4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M56" s="64">
        <v>18.0</v>
      </c>
      <c r="AN56" s="65" t="s">
        <v>188</v>
      </c>
      <c r="AO56" s="66">
        <v>1.6</v>
      </c>
      <c r="AP56" s="66"/>
      <c r="AQ56" s="66">
        <v>1.4</v>
      </c>
      <c r="AR56" s="66"/>
      <c r="AS56" s="66">
        <v>1.8</v>
      </c>
      <c r="AT56" s="66"/>
      <c r="AU56" s="66">
        <v>2.9</v>
      </c>
      <c r="AV56" s="66"/>
      <c r="AW56" s="67">
        <v>1.0</v>
      </c>
      <c r="AX56" s="66"/>
      <c r="AY56" s="66">
        <v>1.9</v>
      </c>
      <c r="AZ56" s="66"/>
      <c r="BA56" s="66">
        <v>1.1</v>
      </c>
      <c r="BB56" s="66"/>
      <c r="BC56" s="67">
        <v>0.9</v>
      </c>
      <c r="BD56" s="66"/>
      <c r="BE56" s="67">
        <v>2.3</v>
      </c>
      <c r="BF56" s="66"/>
      <c r="BG56" s="67">
        <v>2.0</v>
      </c>
      <c r="BH56" s="66"/>
      <c r="BI56" s="67">
        <v>1.9</v>
      </c>
      <c r="BJ56" s="66"/>
      <c r="BK56" s="67">
        <v>2.1172638436482085</v>
      </c>
      <c r="BL56" s="66"/>
      <c r="BM56" s="67">
        <v>0.9045226130653266</v>
      </c>
      <c r="BN56" s="66"/>
      <c r="BO56" s="67">
        <v>1.7</v>
      </c>
      <c r="BP56" s="66"/>
      <c r="BQ56" s="6"/>
      <c r="BR56" s="6"/>
      <c r="BS56" s="6"/>
      <c r="BT56" s="6"/>
      <c r="BU56" s="6"/>
      <c r="BV56" s="6"/>
      <c r="BW56" s="6"/>
      <c r="BX56" s="6"/>
      <c r="BY56" s="6"/>
      <c r="BZ56" s="6"/>
      <c r="DA56" s="58"/>
      <c r="DB56" s="72" t="s">
        <v>189</v>
      </c>
      <c r="DC56" s="60"/>
      <c r="DD56" s="60"/>
      <c r="DE56" s="60"/>
      <c r="DF56" s="60"/>
      <c r="DG56" s="60"/>
      <c r="DH56" s="60"/>
      <c r="DI56" s="60"/>
      <c r="DJ56" s="60"/>
      <c r="DK56" s="60"/>
      <c r="DL56" s="60">
        <v>8.547008547008547</v>
      </c>
      <c r="DM56" s="60"/>
      <c r="DN56" s="60"/>
      <c r="DO56" s="60">
        <v>84.40693025322079</v>
      </c>
      <c r="DP56" s="60">
        <v>4.492362982929021</v>
      </c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</row>
    <row r="57" ht="14.25" customHeight="1">
      <c r="A57" s="12"/>
      <c r="B57" s="37" t="s">
        <v>44</v>
      </c>
      <c r="C57" s="38" t="s">
        <v>190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4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M57" s="64">
        <v>19.0</v>
      </c>
      <c r="AN57" s="65" t="s">
        <v>191</v>
      </c>
      <c r="AO57" s="66">
        <v>1.5</v>
      </c>
      <c r="AP57" s="66"/>
      <c r="AQ57" s="66">
        <v>0.6</v>
      </c>
      <c r="AR57" s="66"/>
      <c r="AS57" s="66">
        <v>0.6</v>
      </c>
      <c r="AT57" s="66"/>
      <c r="AU57" s="66">
        <v>0.2</v>
      </c>
      <c r="AV57" s="66"/>
      <c r="AW57" s="66">
        <v>0.6</v>
      </c>
      <c r="AX57" s="66"/>
      <c r="AY57" s="66">
        <v>0.2</v>
      </c>
      <c r="AZ57" s="66"/>
      <c r="BA57" s="66">
        <v>0.4</v>
      </c>
      <c r="BB57" s="66"/>
      <c r="BC57" s="67">
        <v>1.0</v>
      </c>
      <c r="BD57" s="66"/>
      <c r="BE57" s="67">
        <v>0.0</v>
      </c>
      <c r="BF57" s="66"/>
      <c r="BG57" s="67">
        <v>1.9</v>
      </c>
      <c r="BH57" s="66"/>
      <c r="BI57" s="67">
        <v>0.3</v>
      </c>
      <c r="BJ57" s="66"/>
      <c r="BK57" s="67">
        <v>0.0</v>
      </c>
      <c r="BL57" s="66"/>
      <c r="BM57" s="67">
        <v>0.10643959552953698</v>
      </c>
      <c r="BN57" s="66"/>
      <c r="BO57" s="67"/>
      <c r="BP57" s="66"/>
      <c r="BQ57" s="6"/>
      <c r="BR57" s="6"/>
      <c r="BS57" s="6"/>
      <c r="BT57" s="6"/>
      <c r="BU57" s="6"/>
      <c r="BV57" s="6"/>
      <c r="BW57" s="6"/>
      <c r="BX57" s="6"/>
      <c r="BY57" s="6"/>
      <c r="BZ57" s="6"/>
      <c r="DA57" s="58"/>
      <c r="DB57" s="72" t="s">
        <v>192</v>
      </c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>
        <v>3.0921459492888066</v>
      </c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</row>
    <row r="58" ht="14.25" customHeight="1">
      <c r="A58" s="12"/>
      <c r="B58" s="37" t="s">
        <v>44</v>
      </c>
      <c r="C58" s="38" t="s">
        <v>193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4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M58" s="64">
        <v>20.0</v>
      </c>
      <c r="AN58" s="65" t="s">
        <v>194</v>
      </c>
      <c r="AO58" s="66">
        <v>2.4</v>
      </c>
      <c r="AP58" s="66"/>
      <c r="AQ58" s="67">
        <v>2.0</v>
      </c>
      <c r="AR58" s="66"/>
      <c r="AS58" s="66">
        <v>1.9</v>
      </c>
      <c r="AT58" s="66"/>
      <c r="AU58" s="66">
        <v>1.4</v>
      </c>
      <c r="AV58" s="66"/>
      <c r="AW58" s="66">
        <v>1.7</v>
      </c>
      <c r="AX58" s="66"/>
      <c r="AY58" s="66">
        <v>1.4</v>
      </c>
      <c r="AZ58" s="66"/>
      <c r="BA58" s="67">
        <v>1.0</v>
      </c>
      <c r="BB58" s="66"/>
      <c r="BC58" s="67">
        <v>1.1</v>
      </c>
      <c r="BD58" s="66"/>
      <c r="BE58" s="67">
        <v>0.2</v>
      </c>
      <c r="BF58" s="66"/>
      <c r="BG58" s="67">
        <v>0.4</v>
      </c>
      <c r="BH58" s="66"/>
      <c r="BI58" s="67"/>
      <c r="BJ58" s="66"/>
      <c r="BK58" s="67"/>
      <c r="BL58" s="66"/>
      <c r="BM58" s="67">
        <v>1.8181818181818181</v>
      </c>
      <c r="BN58" s="66"/>
      <c r="BO58" s="67">
        <v>0.3</v>
      </c>
      <c r="BP58" s="66"/>
      <c r="BQ58" s="6"/>
      <c r="BR58" s="6"/>
      <c r="BS58" s="6"/>
      <c r="BT58" s="6"/>
      <c r="BU58" s="6"/>
      <c r="BV58" s="6"/>
      <c r="BW58" s="6"/>
      <c r="BX58" s="6"/>
      <c r="BY58" s="6"/>
      <c r="BZ58" s="6"/>
      <c r="DA58" s="58"/>
      <c r="DB58" s="72" t="s">
        <v>195</v>
      </c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>
        <v>1.6891891891891893</v>
      </c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</row>
    <row r="59" ht="14.25" customHeight="1">
      <c r="A59" s="12"/>
      <c r="B59" s="37" t="s">
        <v>44</v>
      </c>
      <c r="C59" s="38" t="s">
        <v>196</v>
      </c>
      <c r="D59" s="39">
        <v>0.1082338934437319</v>
      </c>
      <c r="E59" s="39">
        <v>0.013529236680466487</v>
      </c>
      <c r="F59" s="39">
        <v>0.0</v>
      </c>
      <c r="G59" s="39">
        <v>0.0</v>
      </c>
      <c r="H59" s="39">
        <v>0.013529236680466487</v>
      </c>
      <c r="I59" s="49">
        <v>0.0</v>
      </c>
      <c r="J59" s="39">
        <v>0.013529236680466487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M59" s="64">
        <v>21.0</v>
      </c>
      <c r="AN59" s="65" t="s">
        <v>197</v>
      </c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7">
        <v>0.0</v>
      </c>
      <c r="AZ59" s="66"/>
      <c r="BA59" s="66"/>
      <c r="BB59" s="66"/>
      <c r="BC59" s="67">
        <v>0.0</v>
      </c>
      <c r="BD59" s="66"/>
      <c r="BE59" s="67"/>
      <c r="BF59" s="66"/>
      <c r="BG59" s="67"/>
      <c r="BH59" s="66"/>
      <c r="BI59" s="67"/>
      <c r="BJ59" s="66"/>
      <c r="BK59" s="67"/>
      <c r="BL59" s="66"/>
      <c r="BM59" s="66"/>
      <c r="BN59" s="66"/>
      <c r="BO59" s="66"/>
      <c r="BP59" s="66"/>
      <c r="BQ59" s="6"/>
      <c r="BR59" s="6"/>
      <c r="BS59" s="6"/>
      <c r="BT59" s="6"/>
      <c r="BU59" s="6"/>
      <c r="BV59" s="6"/>
      <c r="BW59" s="6"/>
      <c r="BX59" s="6"/>
      <c r="BY59" s="6"/>
      <c r="BZ59" s="6"/>
      <c r="DA59" s="58"/>
      <c r="DB59" s="72" t="s">
        <v>198</v>
      </c>
      <c r="DC59" s="60">
        <v>15.364162462195516</v>
      </c>
      <c r="DD59" s="60">
        <v>0.19167736865308316</v>
      </c>
      <c r="DE59" s="60"/>
      <c r="DF59" s="60"/>
      <c r="DG59" s="60">
        <v>0.20058168689198677</v>
      </c>
      <c r="DH59" s="60">
        <v>1.2406947890818858</v>
      </c>
      <c r="DI59" s="60">
        <v>0.5218298834579926</v>
      </c>
      <c r="DJ59" s="60">
        <v>0.19454117463961246</v>
      </c>
      <c r="DK59" s="60">
        <v>44.32965846889215</v>
      </c>
      <c r="DL59" s="60">
        <v>5.538896422636896</v>
      </c>
      <c r="DM59" s="60">
        <v>3.2378701290291247</v>
      </c>
      <c r="DN59" s="60">
        <v>16.233766233766236</v>
      </c>
      <c r="DO59" s="60"/>
      <c r="DP59" s="60">
        <v>22.84559794855855</v>
      </c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</row>
    <row r="60" ht="14.25" customHeight="1">
      <c r="A60" s="12"/>
      <c r="B60" s="37" t="s">
        <v>49</v>
      </c>
      <c r="C60" s="38" t="s">
        <v>199</v>
      </c>
      <c r="D60" s="39">
        <v>1.8395701215084475</v>
      </c>
      <c r="E60" s="39">
        <v>0.3388681802778719</v>
      </c>
      <c r="F60" s="39">
        <v>0.04840974003969599</v>
      </c>
      <c r="G60" s="39">
        <v>0.0</v>
      </c>
      <c r="H60" s="39">
        <v>0.0</v>
      </c>
      <c r="I60" s="49">
        <v>0.0</v>
      </c>
      <c r="J60" s="39">
        <v>0.0</v>
      </c>
      <c r="K60" s="39">
        <v>0.0</v>
      </c>
      <c r="L60" s="39">
        <v>0.0</v>
      </c>
      <c r="M60" s="39">
        <v>0.0</v>
      </c>
      <c r="N60" s="39">
        <v>0.0</v>
      </c>
      <c r="O60" s="39">
        <v>0.0</v>
      </c>
      <c r="P60" s="39">
        <v>0.0</v>
      </c>
      <c r="Q60" s="39">
        <v>0.0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M60" s="64">
        <v>22.0</v>
      </c>
      <c r="AN60" s="65" t="s">
        <v>200</v>
      </c>
      <c r="AO60" s="66">
        <v>0.5</v>
      </c>
      <c r="AP60" s="66"/>
      <c r="AQ60" s="66">
        <v>1.4</v>
      </c>
      <c r="AR60" s="66"/>
      <c r="AS60" s="67">
        <v>1.0</v>
      </c>
      <c r="AT60" s="66"/>
      <c r="AU60" s="66">
        <v>1.8</v>
      </c>
      <c r="AV60" s="66"/>
      <c r="AW60" s="66">
        <v>0.9</v>
      </c>
      <c r="AX60" s="66"/>
      <c r="AY60" s="66">
        <v>0.7</v>
      </c>
      <c r="AZ60" s="66"/>
      <c r="BA60" s="66">
        <v>1.3</v>
      </c>
      <c r="BB60" s="66"/>
      <c r="BC60" s="67">
        <v>0.6</v>
      </c>
      <c r="BD60" s="66"/>
      <c r="BE60" s="67">
        <v>2.0</v>
      </c>
      <c r="BF60" s="66"/>
      <c r="BG60" s="67">
        <v>1.2</v>
      </c>
      <c r="BH60" s="66"/>
      <c r="BI60" s="67">
        <v>1.0</v>
      </c>
      <c r="BJ60" s="66"/>
      <c r="BK60" s="67">
        <v>1.2106537530266344</v>
      </c>
      <c r="BL60" s="66"/>
      <c r="BM60" s="67">
        <v>0.9265858873841768</v>
      </c>
      <c r="BN60" s="66"/>
      <c r="BO60" s="67"/>
      <c r="BP60" s="66">
        <v>3.1</v>
      </c>
      <c r="BQ60" s="6"/>
      <c r="BR60" s="6"/>
      <c r="BS60" s="6"/>
      <c r="BT60" s="6"/>
      <c r="BU60" s="6"/>
      <c r="BV60" s="6"/>
      <c r="BW60" s="6"/>
      <c r="BX60" s="6"/>
      <c r="BY60" s="6"/>
      <c r="BZ60" s="6"/>
      <c r="DA60" s="58"/>
      <c r="DB60" s="72" t="s">
        <v>201</v>
      </c>
      <c r="DC60" s="60"/>
      <c r="DD60" s="60"/>
      <c r="DE60" s="60"/>
      <c r="DF60" s="60"/>
      <c r="DG60" s="60"/>
      <c r="DH60" s="60"/>
      <c r="DI60" s="60"/>
      <c r="DJ60" s="60"/>
      <c r="DK60" s="60"/>
      <c r="DL60" s="60">
        <v>0.302929326588107</v>
      </c>
      <c r="DM60" s="60"/>
      <c r="DN60" s="60"/>
      <c r="DO60" s="60"/>
      <c r="DP60" s="60">
        <v>3.4469881940654354</v>
      </c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</row>
    <row r="61" ht="14.25" customHeight="1">
      <c r="A61" s="12"/>
      <c r="B61" s="37" t="s">
        <v>49</v>
      </c>
      <c r="C61" s="38" t="s">
        <v>202</v>
      </c>
      <c r="D61" s="39">
        <v>0.0</v>
      </c>
      <c r="E61" s="39">
        <v>0.0</v>
      </c>
      <c r="F61" s="39">
        <v>0.0</v>
      </c>
      <c r="G61" s="39">
        <v>0.0</v>
      </c>
      <c r="H61" s="39">
        <v>0.0</v>
      </c>
      <c r="I61" s="49">
        <v>0.0</v>
      </c>
      <c r="J61" s="39">
        <v>0.0</v>
      </c>
      <c r="K61" s="39">
        <v>0.0</v>
      </c>
      <c r="L61" s="39">
        <v>0.0</v>
      </c>
      <c r="M61" s="39">
        <v>0.0</v>
      </c>
      <c r="N61" s="39">
        <v>0.0</v>
      </c>
      <c r="O61" s="39">
        <v>0.0</v>
      </c>
      <c r="P61" s="39">
        <v>0.0</v>
      </c>
      <c r="Q61" s="39">
        <v>0.0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M61" s="64">
        <v>23.0</v>
      </c>
      <c r="AN61" s="65" t="s">
        <v>203</v>
      </c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7">
        <v>0.0</v>
      </c>
      <c r="AZ61" s="66"/>
      <c r="BA61" s="66"/>
      <c r="BB61" s="66"/>
      <c r="BC61" s="67">
        <v>0.0</v>
      </c>
      <c r="BD61" s="66"/>
      <c r="BE61" s="67"/>
      <c r="BF61" s="66"/>
      <c r="BG61" s="67"/>
      <c r="BH61" s="66"/>
      <c r="BI61" s="67"/>
      <c r="BJ61" s="66"/>
      <c r="BK61" s="67"/>
      <c r="BL61" s="66"/>
      <c r="BM61" s="66"/>
      <c r="BN61" s="66"/>
      <c r="BO61" s="66"/>
      <c r="BP61" s="66"/>
      <c r="BQ61" s="6"/>
      <c r="BR61" s="6"/>
      <c r="BS61" s="6"/>
      <c r="BT61" s="6"/>
      <c r="BU61" s="6"/>
      <c r="BV61" s="6"/>
      <c r="BW61" s="6"/>
      <c r="BX61" s="6"/>
      <c r="BY61" s="6"/>
      <c r="BZ61" s="6"/>
      <c r="DA61" s="58"/>
      <c r="DB61" s="72" t="s">
        <v>204</v>
      </c>
      <c r="DC61" s="60"/>
      <c r="DD61" s="60"/>
      <c r="DE61" s="60"/>
      <c r="DF61" s="60"/>
      <c r="DG61" s="60"/>
      <c r="DH61" s="60"/>
      <c r="DI61" s="60"/>
      <c r="DJ61" s="60"/>
      <c r="DK61" s="60"/>
      <c r="DL61" s="60">
        <v>0.7675956542276807</v>
      </c>
      <c r="DM61" s="60">
        <v>0.11192442862579187</v>
      </c>
      <c r="DN61" s="60"/>
      <c r="DO61" s="60">
        <v>1.1994659768868121</v>
      </c>
      <c r="DP61" s="60">
        <v>20.261713803292526</v>
      </c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</row>
    <row r="62" ht="14.25" customHeight="1">
      <c r="A62" s="12"/>
      <c r="B62" s="37" t="s">
        <v>49</v>
      </c>
      <c r="C62" s="38" t="s">
        <v>205</v>
      </c>
      <c r="D62" s="39">
        <v>0.23388621435671544</v>
      </c>
      <c r="E62" s="39">
        <v>0.038981035726119245</v>
      </c>
      <c r="F62" s="39">
        <v>0.038981035726119245</v>
      </c>
      <c r="G62" s="39">
        <v>0.019490517863059623</v>
      </c>
      <c r="H62" s="39">
        <v>0.07796207145223849</v>
      </c>
      <c r="I62" s="49">
        <v>0.05847155358917886</v>
      </c>
      <c r="J62" s="39">
        <v>0.038981035726119245</v>
      </c>
      <c r="K62" s="39">
        <v>0.038981035726119245</v>
      </c>
      <c r="L62" s="39">
        <v>0.11694310717835772</v>
      </c>
      <c r="M62" s="39">
        <v>0.0</v>
      </c>
      <c r="N62" s="39">
        <v>0.0</v>
      </c>
      <c r="O62" s="39">
        <v>0.0</v>
      </c>
      <c r="P62" s="39">
        <v>0.019490517863059623</v>
      </c>
      <c r="Q62" s="39">
        <v>0.11694310717835772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M62" s="64">
        <v>24.0</v>
      </c>
      <c r="AN62" s="65" t="s">
        <v>206</v>
      </c>
      <c r="AO62" s="66"/>
      <c r="AP62" s="66"/>
      <c r="AQ62" s="66">
        <v>1.5</v>
      </c>
      <c r="AR62" s="66"/>
      <c r="AS62" s="66"/>
      <c r="AT62" s="66"/>
      <c r="AU62" s="66"/>
      <c r="AV62" s="66"/>
      <c r="AW62" s="66"/>
      <c r="AX62" s="66"/>
      <c r="AY62" s="66"/>
      <c r="AZ62" s="66"/>
      <c r="BA62" s="66">
        <v>1.9</v>
      </c>
      <c r="BB62" s="66"/>
      <c r="BC62" s="67">
        <v>0.0</v>
      </c>
      <c r="BD62" s="66"/>
      <c r="BE62" s="67"/>
      <c r="BF62" s="66"/>
      <c r="BG62" s="67"/>
      <c r="BH62" s="66"/>
      <c r="BI62" s="67"/>
      <c r="BJ62" s="66"/>
      <c r="BK62" s="67"/>
      <c r="BL62" s="66"/>
      <c r="BM62" s="67"/>
      <c r="BN62" s="66"/>
      <c r="BO62" s="67"/>
      <c r="BP62" s="66"/>
      <c r="BQ62" s="6"/>
      <c r="BR62" s="6"/>
      <c r="BS62" s="6"/>
      <c r="BT62" s="6"/>
      <c r="BU62" s="6"/>
      <c r="BV62" s="6"/>
      <c r="BW62" s="6"/>
      <c r="BX62" s="6"/>
      <c r="BY62" s="6"/>
      <c r="BZ62" s="6"/>
      <c r="DA62" s="58"/>
      <c r="DB62" s="72" t="s">
        <v>207</v>
      </c>
      <c r="DC62" s="60">
        <v>0.0</v>
      </c>
      <c r="DD62" s="60">
        <v>0.0</v>
      </c>
      <c r="DE62" s="60">
        <v>8.820286659316428</v>
      </c>
      <c r="DF62" s="60"/>
      <c r="DG62" s="60"/>
      <c r="DH62" s="60"/>
      <c r="DI62" s="60"/>
      <c r="DJ62" s="60"/>
      <c r="DK62" s="60"/>
      <c r="DL62" s="60">
        <v>0.3829345229832514</v>
      </c>
      <c r="DM62" s="60"/>
      <c r="DN62" s="60">
        <v>0.0541732351714312</v>
      </c>
      <c r="DO62" s="60">
        <v>0.9653752091646287</v>
      </c>
      <c r="DP62" s="60">
        <v>8.970169609431492</v>
      </c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</row>
    <row r="63" ht="14.25" customHeight="1">
      <c r="A63" s="12"/>
      <c r="B63" s="37" t="s">
        <v>49</v>
      </c>
      <c r="C63" s="38" t="s">
        <v>208</v>
      </c>
      <c r="D63" s="39">
        <v>0.5567083354420771</v>
      </c>
      <c r="E63" s="39">
        <v>0.0</v>
      </c>
      <c r="F63" s="39">
        <v>0.0</v>
      </c>
      <c r="G63" s="39">
        <v>0.0</v>
      </c>
      <c r="H63" s="39">
        <v>0.0</v>
      </c>
      <c r="I63" s="49">
        <v>0.0</v>
      </c>
      <c r="J63" s="39">
        <v>0.0</v>
      </c>
      <c r="K63" s="39">
        <v>0.0</v>
      </c>
      <c r="L63" s="39">
        <v>0.05060984867655246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M63" s="64">
        <v>25.0</v>
      </c>
      <c r="AN63" s="65" t="s">
        <v>209</v>
      </c>
      <c r="AO63" s="66">
        <v>0.5</v>
      </c>
      <c r="AP63" s="66"/>
      <c r="AQ63" s="66"/>
      <c r="AR63" s="66"/>
      <c r="AS63" s="66"/>
      <c r="AT63" s="66"/>
      <c r="AU63" s="66"/>
      <c r="AV63" s="66"/>
      <c r="AW63" s="66"/>
      <c r="AX63" s="67">
        <v>10.0</v>
      </c>
      <c r="AY63" s="66"/>
      <c r="AZ63" s="66"/>
      <c r="BA63" s="66"/>
      <c r="BB63" s="66"/>
      <c r="BC63" s="67">
        <v>0.0</v>
      </c>
      <c r="BD63" s="66"/>
      <c r="BE63" s="67">
        <v>0.4</v>
      </c>
      <c r="BF63" s="66"/>
      <c r="BG63" s="67">
        <v>0.0</v>
      </c>
      <c r="BH63" s="66"/>
      <c r="BI63" s="67"/>
      <c r="BJ63" s="66"/>
      <c r="BK63" s="67">
        <v>1.3201320132013201</v>
      </c>
      <c r="BL63" s="66"/>
      <c r="BM63" s="67"/>
      <c r="BN63" s="66"/>
      <c r="BO63" s="67"/>
      <c r="BP63" s="66"/>
      <c r="BQ63" s="6"/>
      <c r="BR63" s="6"/>
      <c r="BS63" s="6"/>
      <c r="BT63" s="6"/>
      <c r="BU63" s="6"/>
      <c r="BV63" s="6"/>
      <c r="BW63" s="6"/>
      <c r="BX63" s="6"/>
      <c r="BY63" s="6"/>
      <c r="BZ63" s="6"/>
      <c r="DA63" s="58"/>
      <c r="DB63" s="72" t="s">
        <v>210</v>
      </c>
      <c r="DC63" s="60">
        <v>22.91782309624119</v>
      </c>
      <c r="DD63" s="60">
        <v>5.967095729264342</v>
      </c>
      <c r="DE63" s="60">
        <v>3.657978966620942</v>
      </c>
      <c r="DF63" s="60">
        <v>18.700910110958734</v>
      </c>
      <c r="DG63" s="60">
        <v>3.5368495512622133</v>
      </c>
      <c r="DH63" s="60">
        <v>2.839756592292089</v>
      </c>
      <c r="DI63" s="60"/>
      <c r="DJ63" s="60">
        <v>0.4231013327691982</v>
      </c>
      <c r="DK63" s="60">
        <v>103.52312573050592</v>
      </c>
      <c r="DL63" s="60">
        <v>18.13386086383119</v>
      </c>
      <c r="DM63" s="60">
        <v>12.679628064243449</v>
      </c>
      <c r="DN63" s="60">
        <v>30.057451584674503</v>
      </c>
      <c r="DO63" s="60">
        <v>30.528021708815437</v>
      </c>
      <c r="DP63" s="60">
        <v>66.13219049026489</v>
      </c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</row>
    <row r="64" ht="14.25" customHeight="1">
      <c r="A64" s="12"/>
      <c r="B64" s="37" t="s">
        <v>49</v>
      </c>
      <c r="C64" s="38" t="s">
        <v>211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4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M64" s="101" t="s">
        <v>44</v>
      </c>
      <c r="AN64" s="101"/>
      <c r="AO64" s="99">
        <v>24.0</v>
      </c>
      <c r="AP64" s="99">
        <v>12.0</v>
      </c>
      <c r="AQ64" s="99">
        <v>30.0</v>
      </c>
      <c r="AR64" s="99">
        <v>10.0</v>
      </c>
      <c r="AS64" s="99">
        <v>24.0</v>
      </c>
      <c r="AT64" s="99">
        <v>13.0</v>
      </c>
      <c r="AU64" s="99">
        <v>23.0</v>
      </c>
      <c r="AV64" s="99">
        <v>13.0</v>
      </c>
      <c r="AW64" s="99">
        <v>25.0</v>
      </c>
      <c r="AX64" s="99">
        <v>10.0</v>
      </c>
      <c r="AY64" s="99">
        <v>26.0</v>
      </c>
      <c r="AZ64" s="99">
        <v>11.0</v>
      </c>
      <c r="BA64" s="99">
        <v>27.0</v>
      </c>
      <c r="BB64" s="99">
        <v>8.0</v>
      </c>
      <c r="BC64" s="99">
        <v>35.0</v>
      </c>
      <c r="BD64" s="99">
        <v>2.0</v>
      </c>
      <c r="BE64" s="99">
        <v>34.0</v>
      </c>
      <c r="BF64" s="99">
        <v>2.0</v>
      </c>
      <c r="BG64" s="99">
        <f t="shared" ref="BG64:BP64" si="10">COUNT(BG65:BG105)</f>
        <v>30</v>
      </c>
      <c r="BH64" s="99">
        <f t="shared" si="10"/>
        <v>3</v>
      </c>
      <c r="BI64" s="99">
        <f t="shared" si="10"/>
        <v>37</v>
      </c>
      <c r="BJ64" s="99">
        <f t="shared" si="10"/>
        <v>3</v>
      </c>
      <c r="BK64" s="99">
        <f t="shared" si="10"/>
        <v>37</v>
      </c>
      <c r="BL64" s="99">
        <f t="shared" si="10"/>
        <v>1</v>
      </c>
      <c r="BM64" s="99">
        <f t="shared" si="10"/>
        <v>36</v>
      </c>
      <c r="BN64" s="99">
        <f t="shared" si="10"/>
        <v>1</v>
      </c>
      <c r="BO64" s="99">
        <f t="shared" si="10"/>
        <v>33</v>
      </c>
      <c r="BP64" s="99">
        <f t="shared" si="10"/>
        <v>3</v>
      </c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DA64" s="58"/>
      <c r="DB64" s="72" t="s">
        <v>212</v>
      </c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>
        <v>2.5322866548493286</v>
      </c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</row>
    <row r="65" ht="14.25" customHeight="1">
      <c r="A65" s="12"/>
      <c r="B65" s="37" t="s">
        <v>49</v>
      </c>
      <c r="C65" s="38" t="s">
        <v>213</v>
      </c>
      <c r="D65" s="39">
        <v>0.0</v>
      </c>
      <c r="E65" s="39">
        <v>0.0</v>
      </c>
      <c r="F65" s="39">
        <v>0.0</v>
      </c>
      <c r="G65" s="39">
        <v>0.0</v>
      </c>
      <c r="H65" s="39">
        <v>0.0</v>
      </c>
      <c r="I65" s="49">
        <v>0.0</v>
      </c>
      <c r="J65" s="39">
        <v>0.0</v>
      </c>
      <c r="K65" s="39">
        <v>0.0</v>
      </c>
      <c r="L65" s="39">
        <v>0.0</v>
      </c>
      <c r="M65" s="39">
        <v>0.0</v>
      </c>
      <c r="N65" s="39">
        <v>0.0</v>
      </c>
      <c r="O65" s="39">
        <v>0.0</v>
      </c>
      <c r="P65" s="39">
        <v>0.0</v>
      </c>
      <c r="Q65" s="39">
        <v>0.0</v>
      </c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M65" s="64">
        <v>1.0</v>
      </c>
      <c r="AN65" s="65" t="s">
        <v>149</v>
      </c>
      <c r="AO65" s="66"/>
      <c r="AP65" s="66">
        <v>5.7</v>
      </c>
      <c r="AQ65" s="66"/>
      <c r="AR65" s="66">
        <v>4.8</v>
      </c>
      <c r="AS65" s="66">
        <v>1.9</v>
      </c>
      <c r="AT65" s="66"/>
      <c r="AU65" s="66"/>
      <c r="AV65" s="66">
        <v>3.2</v>
      </c>
      <c r="AW65" s="66"/>
      <c r="AX65" s="66">
        <v>4.2</v>
      </c>
      <c r="AY65" s="66"/>
      <c r="AZ65" s="66">
        <v>3.4</v>
      </c>
      <c r="BA65" s="66">
        <v>1.9</v>
      </c>
      <c r="BB65" s="66"/>
      <c r="BC65" s="67">
        <v>1.5</v>
      </c>
      <c r="BD65" s="67"/>
      <c r="BE65" s="67">
        <v>1.0</v>
      </c>
      <c r="BF65" s="67"/>
      <c r="BG65" s="67">
        <v>1.7</v>
      </c>
      <c r="BH65" s="67"/>
      <c r="BI65" s="67">
        <v>2.1</v>
      </c>
      <c r="BJ65" s="67"/>
      <c r="BK65" s="67">
        <v>1.9342121473450782</v>
      </c>
      <c r="BL65" s="67"/>
      <c r="BM65" s="67">
        <v>0.8123476848090982</v>
      </c>
      <c r="BN65" s="67"/>
      <c r="BO65" s="67">
        <v>1.4</v>
      </c>
      <c r="BP65" s="67"/>
      <c r="BQ65" s="6"/>
      <c r="BR65" s="6"/>
      <c r="BS65" s="6"/>
      <c r="BT65" s="6"/>
      <c r="BU65" s="6"/>
      <c r="BV65" s="6"/>
      <c r="BW65" s="6"/>
      <c r="BX65" s="6"/>
      <c r="BY65" s="6"/>
      <c r="BZ65" s="6"/>
      <c r="DA65" s="58"/>
      <c r="DB65" s="72" t="s">
        <v>214</v>
      </c>
      <c r="DC65" s="60"/>
      <c r="DD65" s="60"/>
      <c r="DE65" s="60"/>
      <c r="DF65" s="60"/>
      <c r="DG65" s="60"/>
      <c r="DH65" s="60"/>
      <c r="DI65" s="60"/>
      <c r="DJ65" s="60"/>
      <c r="DK65" s="60"/>
      <c r="DL65" s="60">
        <v>1.0607828577490188</v>
      </c>
      <c r="DM65" s="60">
        <v>0.20990323460884533</v>
      </c>
      <c r="DN65" s="60"/>
      <c r="DO65" s="60">
        <v>0.8180293672542844</v>
      </c>
      <c r="DP65" s="60">
        <v>17.98528803438787</v>
      </c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</row>
    <row r="66" ht="14.25" customHeight="1">
      <c r="A66" s="12"/>
      <c r="B66" s="37" t="s">
        <v>49</v>
      </c>
      <c r="C66" s="38" t="s">
        <v>215</v>
      </c>
      <c r="D66" s="39">
        <v>0.1327844907714779</v>
      </c>
      <c r="E66" s="39">
        <v>0.0</v>
      </c>
      <c r="F66" s="39">
        <v>0.0</v>
      </c>
      <c r="G66" s="39">
        <v>0.0</v>
      </c>
      <c r="H66" s="39">
        <v>0.0</v>
      </c>
      <c r="I66" s="49">
        <v>0.0</v>
      </c>
      <c r="J66" s="39">
        <v>0.0</v>
      </c>
      <c r="K66" s="39">
        <v>0.0</v>
      </c>
      <c r="L66" s="39">
        <v>0.0</v>
      </c>
      <c r="M66" s="39">
        <v>0.0</v>
      </c>
      <c r="N66" s="39">
        <v>0.0</v>
      </c>
      <c r="O66" s="39">
        <v>0.0</v>
      </c>
      <c r="P66" s="39">
        <v>0.1327844907714779</v>
      </c>
      <c r="Q66" s="39">
        <v>0.0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M66" s="64">
        <v>2.0</v>
      </c>
      <c r="AN66" s="65" t="s">
        <v>216</v>
      </c>
      <c r="AO66" s="66"/>
      <c r="AP66" s="66"/>
      <c r="AQ66" s="66">
        <v>0.0</v>
      </c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7"/>
      <c r="BD66" s="67"/>
      <c r="BE66" s="67">
        <v>0.0</v>
      </c>
      <c r="BF66" s="67"/>
      <c r="BG66" s="67"/>
      <c r="BH66" s="67"/>
      <c r="BI66" s="67">
        <v>0.0</v>
      </c>
      <c r="BJ66" s="67"/>
      <c r="BK66" s="67"/>
      <c r="BL66" s="67"/>
      <c r="BM66" s="67"/>
      <c r="BN66" s="67"/>
      <c r="BO66" s="67"/>
      <c r="BP66" s="67"/>
      <c r="BQ66" s="6"/>
      <c r="BR66" s="6"/>
      <c r="BS66" s="6"/>
      <c r="BT66" s="6"/>
      <c r="BU66" s="6"/>
      <c r="BV66" s="6"/>
      <c r="BW66" s="6"/>
      <c r="BX66" s="6"/>
      <c r="BY66" s="6"/>
      <c r="BZ66" s="6"/>
      <c r="DA66" s="58"/>
      <c r="DB66" s="72" t="s">
        <v>217</v>
      </c>
      <c r="DC66" s="60"/>
      <c r="DD66" s="60"/>
      <c r="DE66" s="60"/>
      <c r="DF66" s="60"/>
      <c r="DG66" s="60"/>
      <c r="DH66" s="60"/>
      <c r="DI66" s="60"/>
      <c r="DJ66" s="60"/>
      <c r="DK66" s="60"/>
      <c r="DL66" s="60">
        <v>1.1604518025684667</v>
      </c>
      <c r="DM66" s="60"/>
      <c r="DN66" s="60"/>
      <c r="DO66" s="60">
        <v>0.44353765634702386</v>
      </c>
      <c r="DP66" s="60">
        <v>1.2227928588897041</v>
      </c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</row>
    <row r="67" ht="14.25" customHeight="1">
      <c r="A67" s="12"/>
      <c r="B67" s="37" t="s">
        <v>49</v>
      </c>
      <c r="C67" s="38" t="s">
        <v>218</v>
      </c>
      <c r="D67" s="39">
        <v>0.0</v>
      </c>
      <c r="E67" s="39">
        <v>0.0</v>
      </c>
      <c r="F67" s="39">
        <v>0.0</v>
      </c>
      <c r="G67" s="39">
        <v>0.0</v>
      </c>
      <c r="H67" s="39">
        <v>0.0</v>
      </c>
      <c r="I67" s="49">
        <v>0.0</v>
      </c>
      <c r="J67" s="39">
        <v>0.0</v>
      </c>
      <c r="K67" s="39">
        <v>0.0</v>
      </c>
      <c r="L67" s="39">
        <v>0.0</v>
      </c>
      <c r="M67" s="39">
        <v>0.0</v>
      </c>
      <c r="N67" s="39">
        <v>0.0</v>
      </c>
      <c r="O67" s="39">
        <v>0.0</v>
      </c>
      <c r="P67" s="39">
        <v>0.0</v>
      </c>
      <c r="Q67" s="39">
        <v>0.0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M67" s="64">
        <v>3.0</v>
      </c>
      <c r="AN67" s="65" t="s">
        <v>152</v>
      </c>
      <c r="AO67" s="66"/>
      <c r="AP67" s="67">
        <v>5.0</v>
      </c>
      <c r="AQ67" s="66">
        <v>0.5</v>
      </c>
      <c r="AR67" s="66"/>
      <c r="AS67" s="66">
        <v>2.6</v>
      </c>
      <c r="AT67" s="66"/>
      <c r="AU67" s="66">
        <v>2.0</v>
      </c>
      <c r="AV67" s="66"/>
      <c r="AW67" s="66">
        <v>1.6</v>
      </c>
      <c r="AX67" s="66"/>
      <c r="AY67" s="66">
        <v>2.0</v>
      </c>
      <c r="AZ67" s="66"/>
      <c r="BA67" s="66">
        <v>1.8</v>
      </c>
      <c r="BB67" s="66"/>
      <c r="BC67" s="67">
        <v>1.5</v>
      </c>
      <c r="BD67" s="67"/>
      <c r="BE67" s="67">
        <v>2.1</v>
      </c>
      <c r="BF67" s="67"/>
      <c r="BG67" s="67">
        <v>2.1</v>
      </c>
      <c r="BH67" s="67"/>
      <c r="BI67" s="67">
        <v>1.3</v>
      </c>
      <c r="BJ67" s="67"/>
      <c r="BK67" s="67">
        <v>1.8135654697134567</v>
      </c>
      <c r="BL67" s="67"/>
      <c r="BM67" s="67">
        <v>1.6341923318667504</v>
      </c>
      <c r="BN67" s="67"/>
      <c r="BO67" s="67">
        <v>1.3</v>
      </c>
      <c r="BP67" s="67"/>
      <c r="BQ67" s="6"/>
      <c r="BR67" s="6"/>
      <c r="BS67" s="6"/>
      <c r="BT67" s="6"/>
      <c r="BU67" s="6"/>
      <c r="BV67" s="6"/>
      <c r="BW67" s="6"/>
      <c r="BX67" s="6"/>
      <c r="BY67" s="6"/>
      <c r="BZ67" s="6"/>
      <c r="DA67" s="58"/>
      <c r="DB67" s="72" t="s">
        <v>219</v>
      </c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>
        <v>0.47027840481565086</v>
      </c>
      <c r="DP67" s="60">
        <v>1.6492578339747115</v>
      </c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</row>
    <row r="68" ht="14.25" customHeight="1">
      <c r="A68" s="12"/>
      <c r="B68" s="37" t="s">
        <v>49</v>
      </c>
      <c r="C68" s="38" t="s">
        <v>220</v>
      </c>
      <c r="D68" s="39">
        <v>16.84981684981685</v>
      </c>
      <c r="E68" s="39">
        <v>43.85138670852957</v>
      </c>
      <c r="F68" s="39">
        <v>19.570905285191</v>
      </c>
      <c r="G68" s="39">
        <v>0.10465724751439037</v>
      </c>
      <c r="H68" s="39">
        <v>0.20931449502878074</v>
      </c>
      <c r="I68" s="49">
        <v>0.9419152276295133</v>
      </c>
      <c r="J68" s="39">
        <v>7.953950811093668</v>
      </c>
      <c r="K68" s="39">
        <v>0.6279434850863422</v>
      </c>
      <c r="L68" s="39">
        <v>54.84039769754055</v>
      </c>
      <c r="M68" s="39">
        <v>56.09628466771324</v>
      </c>
      <c r="N68" s="39">
        <v>45.421245421245416</v>
      </c>
      <c r="O68" s="39">
        <v>90.52851909994767</v>
      </c>
      <c r="P68" s="39">
        <v>83.6211407639979</v>
      </c>
      <c r="Q68" s="39">
        <v>189.63893249607537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M68" s="64">
        <v>4.0</v>
      </c>
      <c r="AN68" s="65" t="s">
        <v>155</v>
      </c>
      <c r="AO68" s="66">
        <v>2.2</v>
      </c>
      <c r="AP68" s="66"/>
      <c r="AQ68" s="67">
        <v>2.0</v>
      </c>
      <c r="AR68" s="66"/>
      <c r="AS68" s="66">
        <v>1.1</v>
      </c>
      <c r="AT68" s="66"/>
      <c r="AU68" s="66">
        <v>0.8</v>
      </c>
      <c r="AV68" s="66"/>
      <c r="AW68" s="66">
        <v>1.3</v>
      </c>
      <c r="AX68" s="66"/>
      <c r="AY68" s="66">
        <v>0.6</v>
      </c>
      <c r="AZ68" s="66"/>
      <c r="BA68" s="66"/>
      <c r="BB68" s="67">
        <v>3.1</v>
      </c>
      <c r="BC68" s="67">
        <v>2.3</v>
      </c>
      <c r="BD68" s="67"/>
      <c r="BE68" s="67">
        <v>1.1</v>
      </c>
      <c r="BF68" s="67"/>
      <c r="BG68" s="67">
        <v>1.0</v>
      </c>
      <c r="BH68" s="67"/>
      <c r="BI68" s="67">
        <v>1.7</v>
      </c>
      <c r="BJ68" s="67"/>
      <c r="BK68" s="67">
        <v>1.2058823529411764</v>
      </c>
      <c r="BL68" s="67"/>
      <c r="BM68" s="67">
        <v>1.6666666666666667</v>
      </c>
      <c r="BN68" s="67"/>
      <c r="BO68" s="67">
        <v>1.2</v>
      </c>
      <c r="BP68" s="67"/>
      <c r="BQ68" s="6"/>
      <c r="BR68" s="6"/>
      <c r="BS68" s="6"/>
      <c r="BT68" s="6"/>
      <c r="BU68" s="6"/>
      <c r="BV68" s="6"/>
      <c r="BW68" s="6"/>
      <c r="BX68" s="6"/>
      <c r="BY68" s="6"/>
      <c r="BZ68" s="6"/>
      <c r="DA68" s="58"/>
      <c r="DB68" s="72" t="s">
        <v>221</v>
      </c>
      <c r="DC68" s="60"/>
      <c r="DD68" s="60"/>
      <c r="DE68" s="60"/>
      <c r="DF68" s="60"/>
      <c r="DG68" s="60"/>
      <c r="DH68" s="60"/>
      <c r="DI68" s="60"/>
      <c r="DJ68" s="60"/>
      <c r="DK68" s="60"/>
      <c r="DL68" s="60">
        <v>0.45536649413336167</v>
      </c>
      <c r="DM68" s="60"/>
      <c r="DN68" s="60"/>
      <c r="DO68" s="60">
        <v>0.9269129165314919</v>
      </c>
      <c r="DP68" s="60">
        <v>1.1869436201780417</v>
      </c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</row>
    <row r="69" ht="14.25" customHeight="1">
      <c r="A69" s="12"/>
      <c r="B69" s="37" t="s">
        <v>49</v>
      </c>
      <c r="C69" s="38" t="s">
        <v>49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4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M69" s="64">
        <v>5.0</v>
      </c>
      <c r="AN69" s="65" t="s">
        <v>158</v>
      </c>
      <c r="AO69" s="66">
        <v>2.4</v>
      </c>
      <c r="AP69" s="66"/>
      <c r="AQ69" s="66"/>
      <c r="AR69" s="66">
        <v>8.6</v>
      </c>
      <c r="AS69" s="66"/>
      <c r="AT69" s="66">
        <v>8.2</v>
      </c>
      <c r="AU69" s="66">
        <v>1.9</v>
      </c>
      <c r="AV69" s="66"/>
      <c r="AW69" s="66">
        <v>0.5</v>
      </c>
      <c r="AX69" s="66"/>
      <c r="AY69" s="66">
        <v>2.3</v>
      </c>
      <c r="AZ69" s="66"/>
      <c r="BA69" s="66">
        <v>1.7</v>
      </c>
      <c r="BB69" s="66"/>
      <c r="BC69" s="67">
        <v>1.3</v>
      </c>
      <c r="BD69" s="67"/>
      <c r="BE69" s="67">
        <v>0.7</v>
      </c>
      <c r="BF69" s="67"/>
      <c r="BG69" s="67">
        <v>0.6</v>
      </c>
      <c r="BH69" s="67"/>
      <c r="BI69" s="67">
        <v>0.2</v>
      </c>
      <c r="BJ69" s="67"/>
      <c r="BK69" s="67">
        <v>0.3468419131069733</v>
      </c>
      <c r="BL69" s="67"/>
      <c r="BM69" s="67">
        <v>2.9185245237130117</v>
      </c>
      <c r="BN69" s="67"/>
      <c r="BO69" s="67">
        <v>1.3</v>
      </c>
      <c r="BP69" s="67"/>
      <c r="BQ69" s="6"/>
      <c r="BR69" s="6"/>
      <c r="BS69" s="6"/>
      <c r="BT69" s="6"/>
      <c r="BU69" s="6"/>
      <c r="BV69" s="6"/>
      <c r="BW69" s="6"/>
      <c r="BX69" s="6"/>
      <c r="BY69" s="6"/>
      <c r="BZ69" s="6"/>
      <c r="DA69" s="96"/>
      <c r="DB69" s="72" t="s">
        <v>222</v>
      </c>
      <c r="DC69" s="60">
        <v>16.477952187422662</v>
      </c>
      <c r="DD69" s="60">
        <v>3.645880805739658</v>
      </c>
      <c r="DE69" s="60">
        <v>2.5445633395384966</v>
      </c>
      <c r="DF69" s="60">
        <v>7.229924276056267</v>
      </c>
      <c r="DG69" s="60">
        <v>3.023411722950324</v>
      </c>
      <c r="DH69" s="60"/>
      <c r="DI69" s="60">
        <v>0.36668989035972277</v>
      </c>
      <c r="DJ69" s="60">
        <v>1.5382051709330495</v>
      </c>
      <c r="DK69" s="60">
        <v>82.15066890482731</v>
      </c>
      <c r="DL69" s="60">
        <v>25.36181595649376</v>
      </c>
      <c r="DM69" s="60">
        <v>2.8053113895642414</v>
      </c>
      <c r="DN69" s="60">
        <v>12.494649282136121</v>
      </c>
      <c r="DO69" s="60">
        <v>17.525973951591656</v>
      </c>
      <c r="DP69" s="60">
        <v>50.00627693852785</v>
      </c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</row>
    <row r="70" ht="14.25" customHeight="1">
      <c r="A70" s="12"/>
      <c r="B70" s="37" t="s">
        <v>49</v>
      </c>
      <c r="C70" s="38" t="s">
        <v>223</v>
      </c>
      <c r="D70" s="39">
        <v>0.07069635913750442</v>
      </c>
      <c r="E70" s="39">
        <v>0.0</v>
      </c>
      <c r="F70" s="39">
        <v>0.0</v>
      </c>
      <c r="G70" s="39">
        <v>0.0</v>
      </c>
      <c r="H70" s="39">
        <v>0.0</v>
      </c>
      <c r="I70" s="49">
        <v>0.0</v>
      </c>
      <c r="J70" s="39">
        <v>0.07069635913750442</v>
      </c>
      <c r="K70" s="39">
        <v>0.0</v>
      </c>
      <c r="L70" s="39">
        <v>0.0</v>
      </c>
      <c r="M70" s="39">
        <v>0.07069635913750442</v>
      </c>
      <c r="N70" s="39">
        <v>0.0</v>
      </c>
      <c r="O70" s="39">
        <v>0.0</v>
      </c>
      <c r="P70" s="39">
        <v>0.0</v>
      </c>
      <c r="Q70" s="39">
        <v>0.0</v>
      </c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M70" s="64">
        <v>6.0</v>
      </c>
      <c r="AN70" s="65" t="s">
        <v>160</v>
      </c>
      <c r="AO70" s="66"/>
      <c r="AP70" s="66">
        <v>3.7</v>
      </c>
      <c r="AQ70" s="66">
        <v>1.5</v>
      </c>
      <c r="AR70" s="66"/>
      <c r="AS70" s="66">
        <v>1.7</v>
      </c>
      <c r="AT70" s="66"/>
      <c r="AU70" s="66">
        <v>2.7</v>
      </c>
      <c r="AV70" s="66"/>
      <c r="AW70" s="66">
        <v>2.8</v>
      </c>
      <c r="AX70" s="66"/>
      <c r="AY70" s="66"/>
      <c r="AZ70" s="66">
        <v>4.7</v>
      </c>
      <c r="BA70" s="66">
        <v>1.9</v>
      </c>
      <c r="BB70" s="66"/>
      <c r="BC70" s="67">
        <v>1.9</v>
      </c>
      <c r="BD70" s="67"/>
      <c r="BE70" s="67">
        <v>1.9</v>
      </c>
      <c r="BF70" s="67"/>
      <c r="BG70" s="67">
        <v>0.6</v>
      </c>
      <c r="BH70" s="67"/>
      <c r="BI70" s="67">
        <v>2.6</v>
      </c>
      <c r="BJ70" s="67"/>
      <c r="BK70" s="67">
        <v>0.8666666666666667</v>
      </c>
      <c r="BL70" s="67"/>
      <c r="BM70" s="67">
        <v>0.15544041450777202</v>
      </c>
      <c r="BN70" s="67"/>
      <c r="BO70" s="67"/>
      <c r="BP70" s="67">
        <v>6.7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DA70" s="96"/>
      <c r="DB70" s="72" t="s">
        <v>224</v>
      </c>
      <c r="DC70" s="60"/>
      <c r="DD70" s="60"/>
      <c r="DE70" s="60"/>
      <c r="DF70" s="60"/>
      <c r="DG70" s="60"/>
      <c r="DH70" s="60"/>
      <c r="DI70" s="60"/>
      <c r="DJ70" s="60"/>
      <c r="DK70" s="60"/>
      <c r="DL70" s="60">
        <v>0.1609502502776392</v>
      </c>
      <c r="DM70" s="60"/>
      <c r="DN70" s="60"/>
      <c r="DO70" s="60">
        <v>0.3280409395092508</v>
      </c>
      <c r="DP70" s="60">
        <v>13.626665232280851</v>
      </c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</row>
    <row r="71" ht="14.25" customHeight="1">
      <c r="A71" s="12"/>
      <c r="B71" s="37" t="s">
        <v>49</v>
      </c>
      <c r="C71" s="38" t="s">
        <v>225</v>
      </c>
      <c r="D71" s="39">
        <v>0.3576822192194579</v>
      </c>
      <c r="E71" s="39">
        <v>0.039742468802161986</v>
      </c>
      <c r="F71" s="39">
        <v>0.039742468802161986</v>
      </c>
      <c r="G71" s="39">
        <v>0.0</v>
      </c>
      <c r="H71" s="39">
        <v>0.039742468802161986</v>
      </c>
      <c r="I71" s="49">
        <v>0.19871234401080995</v>
      </c>
      <c r="J71" s="39">
        <v>0.0</v>
      </c>
      <c r="K71" s="39">
        <v>0.0</v>
      </c>
      <c r="L71" s="39">
        <v>0.0</v>
      </c>
      <c r="M71" s="39">
        <v>0.039742468802161986</v>
      </c>
      <c r="N71" s="39">
        <v>0.0</v>
      </c>
      <c r="O71" s="39">
        <v>0.0</v>
      </c>
      <c r="P71" s="39">
        <v>0.0</v>
      </c>
      <c r="Q71" s="39">
        <v>0.23845481281297193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M71" s="64">
        <v>7.0</v>
      </c>
      <c r="AN71" s="65" t="s">
        <v>163</v>
      </c>
      <c r="AO71" s="66"/>
      <c r="AP71" s="66">
        <v>6.2</v>
      </c>
      <c r="AQ71" s="66"/>
      <c r="AR71" s="66">
        <v>5.2</v>
      </c>
      <c r="AS71" s="66"/>
      <c r="AT71" s="66">
        <v>6.1</v>
      </c>
      <c r="AU71" s="66"/>
      <c r="AV71" s="66">
        <v>7.3</v>
      </c>
      <c r="AW71" s="66"/>
      <c r="AX71" s="66">
        <v>6.1</v>
      </c>
      <c r="AY71" s="66">
        <v>2.6</v>
      </c>
      <c r="AZ71" s="66"/>
      <c r="BA71" s="66">
        <v>0.7</v>
      </c>
      <c r="BB71" s="66"/>
      <c r="BC71" s="67">
        <v>1.0</v>
      </c>
      <c r="BD71" s="67"/>
      <c r="BE71" s="67">
        <v>0.9</v>
      </c>
      <c r="BF71" s="67"/>
      <c r="BG71" s="67">
        <v>1.1</v>
      </c>
      <c r="BH71" s="67"/>
      <c r="BI71" s="67">
        <v>1.3</v>
      </c>
      <c r="BJ71" s="67"/>
      <c r="BK71" s="67">
        <v>1.434053726519895</v>
      </c>
      <c r="BL71" s="67"/>
      <c r="BM71" s="67">
        <v>1.4762070163251129</v>
      </c>
      <c r="BN71" s="67"/>
      <c r="BO71" s="67">
        <v>1.8</v>
      </c>
      <c r="BP71" s="67"/>
      <c r="BQ71" s="6"/>
      <c r="BR71" s="6"/>
      <c r="BS71" s="6"/>
      <c r="BT71" s="6"/>
      <c r="BU71" s="6"/>
      <c r="BV71" s="6"/>
      <c r="BW71" s="6"/>
      <c r="BX71" s="6"/>
      <c r="BY71" s="6"/>
      <c r="BZ71" s="6"/>
      <c r="DA71" s="47" t="s">
        <v>226</v>
      </c>
      <c r="DB71" s="48" t="s">
        <v>42</v>
      </c>
      <c r="DC71" s="36">
        <v>1.6844483945719375</v>
      </c>
      <c r="DD71" s="36">
        <v>10.212418300653596</v>
      </c>
      <c r="DE71" s="36">
        <v>18.038372537944355</v>
      </c>
      <c r="DF71" s="36">
        <v>7.531562352400527</v>
      </c>
      <c r="DG71" s="36">
        <v>12.262020006453694</v>
      </c>
      <c r="DH71" s="36">
        <v>1.3728802430594935</v>
      </c>
      <c r="DI71" s="36">
        <v>5.840864007053119</v>
      </c>
      <c r="DJ71" s="36">
        <v>30.36208552222787</v>
      </c>
      <c r="DK71" s="36">
        <v>66.15661785886914</v>
      </c>
      <c r="DL71" s="36">
        <v>31.899120902161055</v>
      </c>
      <c r="DM71" s="36">
        <v>35.442115379805855</v>
      </c>
      <c r="DN71" s="36">
        <v>23.74618633241655</v>
      </c>
      <c r="DO71" s="36">
        <v>58.15485885366332</v>
      </c>
      <c r="DP71" s="36">
        <v>61.223231144383405</v>
      </c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</row>
    <row r="72" ht="14.25" customHeight="1">
      <c r="A72" s="12"/>
      <c r="B72" s="37" t="s">
        <v>49</v>
      </c>
      <c r="C72" s="38" t="s">
        <v>227</v>
      </c>
      <c r="D72" s="39">
        <v>0.33860045146726864</v>
      </c>
      <c r="E72" s="39">
        <v>0.22573363431151242</v>
      </c>
      <c r="F72" s="39">
        <v>0.0</v>
      </c>
      <c r="G72" s="39">
        <v>0.0</v>
      </c>
      <c r="H72" s="39">
        <v>0.11286681715575621</v>
      </c>
      <c r="I72" s="49">
        <v>0.7900677200902935</v>
      </c>
      <c r="J72" s="39">
        <v>0.0</v>
      </c>
      <c r="K72" s="39">
        <v>0.22573363431151242</v>
      </c>
      <c r="L72" s="39">
        <v>0.564334085778781</v>
      </c>
      <c r="M72" s="39">
        <v>0.45146726862302483</v>
      </c>
      <c r="N72" s="39">
        <v>0.0</v>
      </c>
      <c r="O72" s="39">
        <v>0.11286681715575621</v>
      </c>
      <c r="P72" s="39">
        <v>0.0</v>
      </c>
      <c r="Q72" s="39">
        <v>0.0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M72" s="64">
        <v>8.0</v>
      </c>
      <c r="AN72" s="65" t="s">
        <v>169</v>
      </c>
      <c r="AO72" s="66">
        <v>1.1</v>
      </c>
      <c r="AP72" s="66"/>
      <c r="AQ72" s="66">
        <v>0.9</v>
      </c>
      <c r="AR72" s="66"/>
      <c r="AS72" s="66">
        <v>0.6</v>
      </c>
      <c r="AT72" s="66"/>
      <c r="AU72" s="66">
        <v>0.6</v>
      </c>
      <c r="AV72" s="66"/>
      <c r="AW72" s="66">
        <v>0.5</v>
      </c>
      <c r="AX72" s="66"/>
      <c r="AY72" s="66">
        <v>0.0</v>
      </c>
      <c r="AZ72" s="66"/>
      <c r="BA72" s="66">
        <v>0.7</v>
      </c>
      <c r="BB72" s="66"/>
      <c r="BC72" s="67">
        <v>0.3</v>
      </c>
      <c r="BD72" s="67"/>
      <c r="BE72" s="67">
        <v>0.3</v>
      </c>
      <c r="BF72" s="67"/>
      <c r="BG72" s="67">
        <v>0.9</v>
      </c>
      <c r="BH72" s="67"/>
      <c r="BI72" s="67">
        <v>0.4</v>
      </c>
      <c r="BJ72" s="67"/>
      <c r="BK72" s="67">
        <v>0.5235602094240838</v>
      </c>
      <c r="BL72" s="67"/>
      <c r="BM72" s="67">
        <v>0.49813200498132004</v>
      </c>
      <c r="BN72" s="67"/>
      <c r="BO72" s="67">
        <v>0.3</v>
      </c>
      <c r="BP72" s="67"/>
      <c r="BQ72" s="6"/>
      <c r="BR72" s="6"/>
      <c r="BS72" s="6"/>
      <c r="BT72" s="6"/>
      <c r="BU72" s="6"/>
      <c r="BV72" s="6"/>
      <c r="BW72" s="6"/>
      <c r="BX72" s="6"/>
      <c r="BY72" s="6"/>
      <c r="BZ72" s="6"/>
      <c r="DA72" s="58"/>
      <c r="DB72" s="72" t="s">
        <v>228</v>
      </c>
      <c r="DC72" s="60">
        <v>7.388486023431289</v>
      </c>
      <c r="DD72" s="60">
        <v>2.973830293417922</v>
      </c>
      <c r="DE72" s="60"/>
      <c r="DF72" s="60"/>
      <c r="DG72" s="60">
        <v>0.8529512111907199</v>
      </c>
      <c r="DH72" s="60">
        <v>3.1276063386155126</v>
      </c>
      <c r="DI72" s="60">
        <v>3.1689025034329776</v>
      </c>
      <c r="DJ72" s="60">
        <v>2.5052192066805845</v>
      </c>
      <c r="DK72" s="60">
        <v>46.46917268276492</v>
      </c>
      <c r="DL72" s="60">
        <v>59.391239792130655</v>
      </c>
      <c r="DM72" s="60">
        <v>12.271307452030344</v>
      </c>
      <c r="DN72" s="60">
        <v>35.07977820527328</v>
      </c>
      <c r="DO72" s="60">
        <v>95.29276693455797</v>
      </c>
      <c r="DP72" s="60">
        <v>91.4372797409277</v>
      </c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</row>
    <row r="73" ht="14.25" customHeight="1">
      <c r="A73" s="12"/>
      <c r="B73" s="37" t="s">
        <v>49</v>
      </c>
      <c r="C73" s="38" t="s">
        <v>229</v>
      </c>
      <c r="D73" s="39">
        <v>1.0498687664041995</v>
      </c>
      <c r="E73" s="39">
        <v>0.2099737532808399</v>
      </c>
      <c r="F73" s="39">
        <v>0.0</v>
      </c>
      <c r="G73" s="39">
        <v>0.0</v>
      </c>
      <c r="H73" s="39">
        <v>0.0</v>
      </c>
      <c r="I73" s="49">
        <v>0.2099737532808399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M73" s="64">
        <v>9.0</v>
      </c>
      <c r="AN73" s="65" t="s">
        <v>172</v>
      </c>
      <c r="AO73" s="66"/>
      <c r="AP73" s="66"/>
      <c r="AQ73" s="66"/>
      <c r="AR73" s="66"/>
      <c r="AS73" s="66">
        <v>1.3</v>
      </c>
      <c r="AT73" s="66"/>
      <c r="AU73" s="66"/>
      <c r="AV73" s="66"/>
      <c r="AW73" s="66"/>
      <c r="AX73" s="66"/>
      <c r="AY73" s="66">
        <v>1.8</v>
      </c>
      <c r="AZ73" s="66"/>
      <c r="BA73" s="66"/>
      <c r="BB73" s="66"/>
      <c r="BC73" s="67">
        <v>1.3</v>
      </c>
      <c r="BD73" s="67"/>
      <c r="BE73" s="67"/>
      <c r="BF73" s="67"/>
      <c r="BG73" s="67"/>
      <c r="BH73" s="67"/>
      <c r="BI73" s="67">
        <v>0.2</v>
      </c>
      <c r="BJ73" s="67"/>
      <c r="BK73" s="67">
        <v>1.098901098901099</v>
      </c>
      <c r="BL73" s="67"/>
      <c r="BM73" s="67">
        <v>1.4814814814814816</v>
      </c>
      <c r="BN73" s="67"/>
      <c r="BO73" s="67"/>
      <c r="BP73" s="67"/>
      <c r="BQ73" s="6"/>
      <c r="BR73" s="6"/>
      <c r="BS73" s="6"/>
      <c r="BT73" s="6"/>
      <c r="BU73" s="6"/>
      <c r="BV73" s="6"/>
      <c r="BW73" s="6"/>
      <c r="BX73" s="6"/>
      <c r="BY73" s="6"/>
      <c r="BZ73" s="6"/>
      <c r="DA73" s="58"/>
      <c r="DB73" s="72" t="s">
        <v>141</v>
      </c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>
        <v>4.623208506703652</v>
      </c>
      <c r="DP73" s="60">
        <v>47.251535674909434</v>
      </c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</row>
    <row r="74" ht="14.25" customHeight="1">
      <c r="A74" s="12"/>
      <c r="B74" s="37" t="s">
        <v>49</v>
      </c>
      <c r="C74" s="38" t="s">
        <v>230</v>
      </c>
      <c r="D74" s="39">
        <v>0.09812579727210283</v>
      </c>
      <c r="E74" s="39">
        <v>0.0</v>
      </c>
      <c r="F74" s="39">
        <v>0.0</v>
      </c>
      <c r="G74" s="39">
        <v>0.0</v>
      </c>
      <c r="H74" s="39">
        <v>0.0</v>
      </c>
      <c r="I74" s="49">
        <v>0.0</v>
      </c>
      <c r="J74" s="39">
        <v>0.0</v>
      </c>
      <c r="K74" s="39">
        <v>0.0</v>
      </c>
      <c r="L74" s="39">
        <v>0.0</v>
      </c>
      <c r="M74" s="39">
        <v>0.0</v>
      </c>
      <c r="N74" s="39">
        <v>0.0</v>
      </c>
      <c r="O74" s="39">
        <v>0.0</v>
      </c>
      <c r="P74" s="39">
        <v>0.0</v>
      </c>
      <c r="Q74" s="39">
        <v>0.0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M74" s="64">
        <v>10.0</v>
      </c>
      <c r="AN74" s="65" t="s">
        <v>111</v>
      </c>
      <c r="AO74" s="66"/>
      <c r="AP74" s="67">
        <v>7.0</v>
      </c>
      <c r="AQ74" s="66"/>
      <c r="AR74" s="66">
        <v>15.7</v>
      </c>
      <c r="AS74" s="66"/>
      <c r="AT74" s="66">
        <v>53.0</v>
      </c>
      <c r="AU74" s="66"/>
      <c r="AV74" s="66">
        <v>4.3</v>
      </c>
      <c r="AW74" s="66">
        <v>2.1</v>
      </c>
      <c r="AX74" s="66"/>
      <c r="AY74" s="66"/>
      <c r="AZ74" s="66">
        <v>3.5</v>
      </c>
      <c r="BA74" s="66"/>
      <c r="BB74" s="66">
        <v>3.1</v>
      </c>
      <c r="BC74" s="67">
        <v>1.5</v>
      </c>
      <c r="BD74" s="67"/>
      <c r="BE74" s="67">
        <v>1.1</v>
      </c>
      <c r="BF74" s="67"/>
      <c r="BG74" s="67">
        <v>1.7</v>
      </c>
      <c r="BH74" s="67"/>
      <c r="BI74" s="67">
        <v>0.8</v>
      </c>
      <c r="BJ74" s="67"/>
      <c r="BK74" s="67">
        <v>0.2211454031025399</v>
      </c>
      <c r="BL74" s="67"/>
      <c r="BM74" s="67">
        <v>0.31892146558909873</v>
      </c>
      <c r="BN74" s="67"/>
      <c r="BO74" s="67">
        <v>0.5</v>
      </c>
      <c r="BP74" s="67"/>
      <c r="BQ74" s="6"/>
      <c r="BR74" s="6"/>
      <c r="BS74" s="6"/>
      <c r="BT74" s="6"/>
      <c r="BU74" s="6"/>
      <c r="BV74" s="6"/>
      <c r="BW74" s="6"/>
      <c r="BX74" s="6"/>
      <c r="BY74" s="6"/>
      <c r="BZ74" s="6"/>
      <c r="DA74" s="58"/>
      <c r="DB74" s="72" t="s">
        <v>143</v>
      </c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>
        <v>23.749443372420956</v>
      </c>
      <c r="DO74" s="60"/>
      <c r="DP74" s="60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</row>
    <row r="75" ht="14.25" customHeight="1">
      <c r="A75" s="12"/>
      <c r="B75" s="37" t="s">
        <v>54</v>
      </c>
      <c r="C75" s="38" t="s">
        <v>231</v>
      </c>
      <c r="D75" s="39">
        <v>10.02444987775061</v>
      </c>
      <c r="E75" s="39">
        <v>14.425427872860636</v>
      </c>
      <c r="F75" s="39">
        <v>20.78239608801956</v>
      </c>
      <c r="G75" s="39">
        <v>11.246943765281173</v>
      </c>
      <c r="H75" s="39">
        <v>14.180929095354523</v>
      </c>
      <c r="I75" s="49">
        <v>19.559902200489</v>
      </c>
      <c r="J75" s="39">
        <v>9.04645476772616</v>
      </c>
      <c r="K75" s="39">
        <v>1.2224938875305624</v>
      </c>
      <c r="L75" s="39">
        <v>4.88997555012225</v>
      </c>
      <c r="M75" s="39">
        <v>23.227383863080686</v>
      </c>
      <c r="N75" s="39">
        <v>43.0317848410758</v>
      </c>
      <c r="O75" s="39">
        <v>63.32518337408313</v>
      </c>
      <c r="P75" s="39">
        <v>32.27383863080684</v>
      </c>
      <c r="Q75" s="39">
        <v>57.45721271393643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M75" s="64">
        <v>11.0</v>
      </c>
      <c r="AN75" s="65" t="s">
        <v>177</v>
      </c>
      <c r="AO75" s="66">
        <v>0.6</v>
      </c>
      <c r="AP75" s="66"/>
      <c r="AQ75" s="66">
        <v>0.4</v>
      </c>
      <c r="AR75" s="66"/>
      <c r="AS75" s="66">
        <v>0.8</v>
      </c>
      <c r="AT75" s="66"/>
      <c r="AU75" s="67">
        <v>1.0</v>
      </c>
      <c r="AV75" s="66"/>
      <c r="AW75" s="67">
        <v>1.0</v>
      </c>
      <c r="AX75" s="66"/>
      <c r="AY75" s="66">
        <v>1.2</v>
      </c>
      <c r="AZ75" s="66"/>
      <c r="BA75" s="66">
        <v>0.7</v>
      </c>
      <c r="BB75" s="66"/>
      <c r="BC75" s="67">
        <v>0.1</v>
      </c>
      <c r="BD75" s="67"/>
      <c r="BE75" s="67">
        <v>0.0</v>
      </c>
      <c r="BF75" s="67"/>
      <c r="BG75" s="67">
        <v>0.0</v>
      </c>
      <c r="BH75" s="67"/>
      <c r="BI75" s="67">
        <v>0.0</v>
      </c>
      <c r="BJ75" s="67"/>
      <c r="BK75" s="67">
        <v>0.24330900243309003</v>
      </c>
      <c r="BL75" s="67"/>
      <c r="BM75" s="67">
        <v>0.7037196610656327</v>
      </c>
      <c r="BN75" s="67"/>
      <c r="BO75" s="67">
        <v>0.3</v>
      </c>
      <c r="BP75" s="67"/>
      <c r="BQ75" s="6"/>
      <c r="BR75" s="6"/>
      <c r="BS75" s="6"/>
      <c r="BT75" s="6"/>
      <c r="BU75" s="6"/>
      <c r="BV75" s="6"/>
      <c r="BW75" s="6"/>
      <c r="BX75" s="6"/>
      <c r="BY75" s="6"/>
      <c r="BZ75" s="6"/>
      <c r="DA75" s="58"/>
      <c r="DB75" s="72" t="s">
        <v>151</v>
      </c>
      <c r="DC75" s="60"/>
      <c r="DD75" s="60"/>
      <c r="DE75" s="60"/>
      <c r="DF75" s="60"/>
      <c r="DG75" s="60"/>
      <c r="DH75" s="60"/>
      <c r="DI75" s="60"/>
      <c r="DJ75" s="60"/>
      <c r="DK75" s="60"/>
      <c r="DL75" s="60">
        <v>20.3533338760889</v>
      </c>
      <c r="DM75" s="60">
        <v>0.9486765961483731</v>
      </c>
      <c r="DN75" s="60">
        <v>4.714312653215162</v>
      </c>
      <c r="DO75" s="60">
        <v>14.062060560607481</v>
      </c>
      <c r="DP75" s="60">
        <v>65.22441072005167</v>
      </c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</row>
    <row r="76" ht="14.25" customHeight="1">
      <c r="A76" s="12"/>
      <c r="B76" s="37" t="s">
        <v>54</v>
      </c>
      <c r="C76" s="38" t="s">
        <v>232</v>
      </c>
      <c r="D76" s="39">
        <v>2.025359184792928</v>
      </c>
      <c r="E76" s="39">
        <v>1.729994303677293</v>
      </c>
      <c r="F76" s="39">
        <v>2.616088947024199</v>
      </c>
      <c r="G76" s="39">
        <v>1.139264541446022</v>
      </c>
      <c r="H76" s="39">
        <v>4.092913352602375</v>
      </c>
      <c r="I76" s="49">
        <v>3.607671047912403</v>
      </c>
      <c r="J76" s="39">
        <v>2.4262115234498616</v>
      </c>
      <c r="K76" s="39">
        <v>1.392434439545138</v>
      </c>
      <c r="L76" s="39">
        <v>2.4473090149581216</v>
      </c>
      <c r="M76" s="39">
        <v>2.173041625350746</v>
      </c>
      <c r="N76" s="39">
        <v>2.4262115234498616</v>
      </c>
      <c r="O76" s="39">
        <v>3.544378573387624</v>
      </c>
      <c r="P76" s="39">
        <v>2.8059663705985356</v>
      </c>
      <c r="Q76" s="39">
        <v>5.422055317622735</v>
      </c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M76" s="64">
        <v>12.0</v>
      </c>
      <c r="AN76" s="65" t="s">
        <v>233</v>
      </c>
      <c r="AO76" s="66">
        <v>1.9</v>
      </c>
      <c r="AP76" s="66"/>
      <c r="AQ76" s="66">
        <v>1.3</v>
      </c>
      <c r="AR76" s="66"/>
      <c r="AS76" s="66">
        <v>2.5</v>
      </c>
      <c r="AT76" s="66"/>
      <c r="AU76" s="66">
        <v>1.5</v>
      </c>
      <c r="AV76" s="66"/>
      <c r="AW76" s="66">
        <v>1.1</v>
      </c>
      <c r="AX76" s="66"/>
      <c r="AY76" s="66">
        <v>0.6</v>
      </c>
      <c r="AZ76" s="66"/>
      <c r="BA76" s="66">
        <v>0.4</v>
      </c>
      <c r="BB76" s="66"/>
      <c r="BC76" s="67">
        <v>0.5</v>
      </c>
      <c r="BD76" s="67"/>
      <c r="BE76" s="67">
        <v>0.2</v>
      </c>
      <c r="BF76" s="67"/>
      <c r="BG76" s="67">
        <v>0.5</v>
      </c>
      <c r="BH76" s="67"/>
      <c r="BI76" s="67">
        <v>0.3</v>
      </c>
      <c r="BJ76" s="67"/>
      <c r="BK76" s="67">
        <v>0.2012072434607646</v>
      </c>
      <c r="BL76" s="67"/>
      <c r="BM76" s="67">
        <v>0.17817371937639198</v>
      </c>
      <c r="BN76" s="67"/>
      <c r="BO76" s="67">
        <v>0.1</v>
      </c>
      <c r="BP76" s="67"/>
      <c r="BQ76" s="6"/>
      <c r="BR76" s="6"/>
      <c r="BS76" s="6"/>
      <c r="BT76" s="6"/>
      <c r="BU76" s="6"/>
      <c r="BV76" s="6"/>
      <c r="BW76" s="6"/>
      <c r="BX76" s="6"/>
      <c r="BY76" s="6"/>
      <c r="BZ76" s="6"/>
      <c r="DA76" s="58"/>
      <c r="DB76" s="72" t="s">
        <v>234</v>
      </c>
      <c r="DC76" s="60">
        <v>16.4659258793232</v>
      </c>
      <c r="DD76" s="60">
        <v>9.059143263879902</v>
      </c>
      <c r="DE76" s="60">
        <v>15.51229349259288</v>
      </c>
      <c r="DF76" s="60">
        <v>2.5938094414663673</v>
      </c>
      <c r="DG76" s="60">
        <v>2.877366634056511</v>
      </c>
      <c r="DH76" s="60">
        <v>4.118883999219579</v>
      </c>
      <c r="DI76" s="60">
        <v>3.4746351633078527</v>
      </c>
      <c r="DJ76" s="60">
        <v>112.78550008487204</v>
      </c>
      <c r="DK76" s="60">
        <v>91.5348976797404</v>
      </c>
      <c r="DL76" s="60">
        <v>11.375927790832122</v>
      </c>
      <c r="DM76" s="60">
        <v>57.20171824318401</v>
      </c>
      <c r="DN76" s="60">
        <v>27.472527472527474</v>
      </c>
      <c r="DO76" s="60">
        <v>83.99100568757991</v>
      </c>
      <c r="DP76" s="60">
        <v>85.37452993190364</v>
      </c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</row>
    <row r="77" ht="14.25" customHeight="1">
      <c r="A77" s="12"/>
      <c r="B77" s="37" t="s">
        <v>54</v>
      </c>
      <c r="C77" s="38" t="s">
        <v>235</v>
      </c>
      <c r="D77" s="39">
        <v>137.17605004468274</v>
      </c>
      <c r="E77" s="39">
        <v>124.21805183199285</v>
      </c>
      <c r="F77" s="39">
        <v>157.73011617515638</v>
      </c>
      <c r="G77" s="39">
        <v>134.04825737265415</v>
      </c>
      <c r="H77" s="39">
        <v>55.40661304736372</v>
      </c>
      <c r="I77" s="49">
        <v>25.915996425379806</v>
      </c>
      <c r="J77" s="39">
        <v>10.723860589812332</v>
      </c>
      <c r="K77" s="39">
        <v>54.9597855227882</v>
      </c>
      <c r="L77" s="39">
        <v>222.5201072386059</v>
      </c>
      <c r="M77" s="39">
        <v>107.68543342269884</v>
      </c>
      <c r="N77" s="39">
        <v>51.385165326184094</v>
      </c>
      <c r="O77" s="39">
        <v>48.704200178731014</v>
      </c>
      <c r="P77" s="39">
        <v>57.64075067024128</v>
      </c>
      <c r="Q77" s="39">
        <v>113.94101876675605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M77" s="64">
        <v>13.0</v>
      </c>
      <c r="AN77" s="65" t="s">
        <v>236</v>
      </c>
      <c r="AO77" s="66">
        <v>2.4</v>
      </c>
      <c r="AP77" s="66"/>
      <c r="AQ77" s="66">
        <v>0.6</v>
      </c>
      <c r="AR77" s="66"/>
      <c r="AS77" s="66">
        <v>0.6</v>
      </c>
      <c r="AT77" s="66"/>
      <c r="AU77" s="66">
        <v>0.5</v>
      </c>
      <c r="AV77" s="66"/>
      <c r="AW77" s="66">
        <v>0.7</v>
      </c>
      <c r="AX77" s="66"/>
      <c r="AY77" s="66">
        <v>0.8</v>
      </c>
      <c r="AZ77" s="66"/>
      <c r="BA77" s="66">
        <v>0.7</v>
      </c>
      <c r="BB77" s="66"/>
      <c r="BC77" s="67">
        <v>0.4</v>
      </c>
      <c r="BD77" s="67"/>
      <c r="BE77" s="67">
        <v>0.1</v>
      </c>
      <c r="BF77" s="67"/>
      <c r="BG77" s="67">
        <v>0.1</v>
      </c>
      <c r="BH77" s="67"/>
      <c r="BI77" s="67">
        <v>0.5</v>
      </c>
      <c r="BJ77" s="67"/>
      <c r="BK77" s="67">
        <v>0.7399577167019028</v>
      </c>
      <c r="BL77" s="67"/>
      <c r="BM77" s="67">
        <v>1.0901883052527255</v>
      </c>
      <c r="BN77" s="67"/>
      <c r="BO77" s="67">
        <v>0.2</v>
      </c>
      <c r="BP77" s="67"/>
      <c r="BQ77" s="6"/>
      <c r="BR77" s="6"/>
      <c r="BS77" s="6"/>
      <c r="BT77" s="6"/>
      <c r="BU77" s="6"/>
      <c r="BV77" s="6"/>
      <c r="BW77" s="6"/>
      <c r="BX77" s="6"/>
      <c r="BY77" s="6"/>
      <c r="BZ77" s="6"/>
      <c r="DA77" s="58"/>
      <c r="DB77" s="72" t="s">
        <v>159</v>
      </c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>
        <v>56.0192065851149</v>
      </c>
      <c r="DN77" s="60">
        <v>3.4283755213987774</v>
      </c>
      <c r="DO77" s="60">
        <v>11.995887124414486</v>
      </c>
      <c r="DP77" s="60">
        <v>134.04092351460773</v>
      </c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</row>
    <row r="78" ht="14.25" customHeight="1">
      <c r="A78" s="12"/>
      <c r="B78" s="37" t="s">
        <v>54</v>
      </c>
      <c r="C78" s="38" t="s">
        <v>237</v>
      </c>
      <c r="D78" s="39">
        <v>2.494180246092451</v>
      </c>
      <c r="E78" s="39">
        <v>0.6651147322913202</v>
      </c>
      <c r="F78" s="39">
        <v>0.0</v>
      </c>
      <c r="G78" s="39">
        <v>0.4988360492184902</v>
      </c>
      <c r="H78" s="39">
        <v>8.147655470568672</v>
      </c>
      <c r="I78" s="49">
        <v>6.318589956767542</v>
      </c>
      <c r="J78" s="39">
        <v>1.9953441968739607</v>
      </c>
      <c r="K78" s="39">
        <v>3.4918523445294314</v>
      </c>
      <c r="L78" s="39">
        <v>7.815098104423013</v>
      </c>
      <c r="M78" s="39">
        <v>11.140671765879615</v>
      </c>
      <c r="N78" s="39">
        <v>2.494180246092451</v>
      </c>
      <c r="O78" s="39">
        <v>2.494180246092451</v>
      </c>
      <c r="P78" s="39">
        <v>1.9953441968739607</v>
      </c>
      <c r="Q78" s="39">
        <v>3.4918523445294314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M78" s="64">
        <v>14.0</v>
      </c>
      <c r="AN78" s="65" t="s">
        <v>186</v>
      </c>
      <c r="AO78" s="66"/>
      <c r="AP78" s="66">
        <v>10.6</v>
      </c>
      <c r="AQ78" s="66"/>
      <c r="AR78" s="66">
        <v>6.4</v>
      </c>
      <c r="AS78" s="66"/>
      <c r="AT78" s="66">
        <v>5.2</v>
      </c>
      <c r="AU78" s="66"/>
      <c r="AV78" s="66">
        <v>4.8</v>
      </c>
      <c r="AW78" s="66"/>
      <c r="AX78" s="66">
        <v>4.3</v>
      </c>
      <c r="AY78" s="66"/>
      <c r="AZ78" s="66">
        <v>4.3</v>
      </c>
      <c r="BA78" s="66"/>
      <c r="BB78" s="66">
        <v>3.2</v>
      </c>
      <c r="BC78" s="67">
        <v>1.9</v>
      </c>
      <c r="BD78" s="67"/>
      <c r="BE78" s="67">
        <v>0.8</v>
      </c>
      <c r="BF78" s="67"/>
      <c r="BG78" s="67">
        <v>0.6</v>
      </c>
      <c r="BH78" s="67"/>
      <c r="BI78" s="67">
        <v>0.4</v>
      </c>
      <c r="BJ78" s="67"/>
      <c r="BK78" s="67">
        <v>0.5893446487505893</v>
      </c>
      <c r="BL78" s="67"/>
      <c r="BM78" s="67">
        <v>0.7625768267698612</v>
      </c>
      <c r="BN78" s="67"/>
      <c r="BO78" s="67">
        <v>0.5</v>
      </c>
      <c r="BP78" s="67"/>
      <c r="BQ78" s="6"/>
      <c r="BR78" s="6"/>
      <c r="BS78" s="6"/>
      <c r="BT78" s="6"/>
      <c r="BU78" s="6"/>
      <c r="BV78" s="6"/>
      <c r="BW78" s="6"/>
      <c r="BX78" s="6"/>
      <c r="BY78" s="6"/>
      <c r="BZ78" s="6"/>
      <c r="DA78" s="58"/>
      <c r="DB78" s="72" t="s">
        <v>171</v>
      </c>
      <c r="DC78" s="60"/>
      <c r="DD78" s="60"/>
      <c r="DE78" s="60"/>
      <c r="DF78" s="60"/>
      <c r="DG78" s="60"/>
      <c r="DH78" s="60"/>
      <c r="DI78" s="60"/>
      <c r="DJ78" s="60">
        <v>1.1</v>
      </c>
      <c r="DK78" s="60"/>
      <c r="DL78" s="60"/>
      <c r="DM78" s="60">
        <v>7.684426229508197</v>
      </c>
      <c r="DN78" s="60">
        <v>5.1023662223356085</v>
      </c>
      <c r="DO78" s="60">
        <v>1.2706480304955527</v>
      </c>
      <c r="DP78" s="60">
        <v>30.53115851108323</v>
      </c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</row>
    <row r="79" ht="14.25" customHeight="1">
      <c r="A79" s="12"/>
      <c r="B79" s="37" t="s">
        <v>54</v>
      </c>
      <c r="C79" s="38" t="s">
        <v>238</v>
      </c>
      <c r="D79" s="39">
        <v>25.551684088269457</v>
      </c>
      <c r="E79" s="39">
        <v>48.78048780487805</v>
      </c>
      <c r="F79" s="39">
        <v>42.973286875725904</v>
      </c>
      <c r="G79" s="39">
        <v>62.717770034843205</v>
      </c>
      <c r="H79" s="39">
        <v>76.07433217189315</v>
      </c>
      <c r="I79" s="49">
        <v>9.291521486643438</v>
      </c>
      <c r="J79" s="39">
        <v>21.486643437862952</v>
      </c>
      <c r="K79" s="39">
        <v>12.195121951219512</v>
      </c>
      <c r="L79" s="39">
        <v>72.00929152148665</v>
      </c>
      <c r="M79" s="39">
        <v>73.75145180023229</v>
      </c>
      <c r="N79" s="39">
        <v>92.33449477351917</v>
      </c>
      <c r="O79" s="39">
        <v>33.10104529616724</v>
      </c>
      <c r="P79" s="39">
        <v>58.6527293844367</v>
      </c>
      <c r="Q79" s="39">
        <v>253.19396051103365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M79" s="64">
        <v>15.0</v>
      </c>
      <c r="AN79" s="65" t="s">
        <v>239</v>
      </c>
      <c r="AO79" s="66">
        <v>2.1</v>
      </c>
      <c r="AP79" s="66"/>
      <c r="AQ79" s="67">
        <v>1.0</v>
      </c>
      <c r="AR79" s="66"/>
      <c r="AS79" s="66"/>
      <c r="AT79" s="66">
        <v>8.6</v>
      </c>
      <c r="AU79" s="66">
        <v>0.5</v>
      </c>
      <c r="AV79" s="66"/>
      <c r="AW79" s="66"/>
      <c r="AX79" s="66"/>
      <c r="AY79" s="66"/>
      <c r="AZ79" s="66">
        <v>5.9</v>
      </c>
      <c r="BA79" s="67">
        <v>0.0</v>
      </c>
      <c r="BB79" s="66"/>
      <c r="BC79" s="67">
        <v>0.1</v>
      </c>
      <c r="BD79" s="67"/>
      <c r="BE79" s="67">
        <v>0.9</v>
      </c>
      <c r="BF79" s="67"/>
      <c r="BG79" s="67"/>
      <c r="BH79" s="67"/>
      <c r="BI79" s="67">
        <v>0.0</v>
      </c>
      <c r="BJ79" s="67"/>
      <c r="BK79" s="67">
        <v>0.2767527675276753</v>
      </c>
      <c r="BL79" s="67"/>
      <c r="BM79" s="67">
        <v>0.41025641025641024</v>
      </c>
      <c r="BN79" s="67"/>
      <c r="BO79" s="67">
        <v>0.0</v>
      </c>
      <c r="BP79" s="67"/>
      <c r="BQ79" s="6"/>
      <c r="BR79" s="6"/>
      <c r="BS79" s="6"/>
      <c r="BT79" s="6"/>
      <c r="BU79" s="6"/>
      <c r="BV79" s="6"/>
      <c r="BW79" s="6"/>
      <c r="BX79" s="6"/>
      <c r="BY79" s="6"/>
      <c r="BZ79" s="6"/>
      <c r="DA79" s="58"/>
      <c r="DB79" s="72" t="s">
        <v>174</v>
      </c>
      <c r="DC79" s="60"/>
      <c r="DD79" s="60"/>
      <c r="DE79" s="60"/>
      <c r="DF79" s="60"/>
      <c r="DG79" s="60"/>
      <c r="DH79" s="60"/>
      <c r="DI79" s="60"/>
      <c r="DJ79" s="60"/>
      <c r="DK79" s="60"/>
      <c r="DL79" s="60">
        <v>2.899811512251704</v>
      </c>
      <c r="DM79" s="60">
        <v>1.1984659635666346</v>
      </c>
      <c r="DN79" s="60"/>
      <c r="DO79" s="60">
        <v>67.2360530619662</v>
      </c>
      <c r="DP79" s="60">
        <v>51.86114596403179</v>
      </c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</row>
    <row r="80" ht="14.25" customHeight="1">
      <c r="A80" s="12"/>
      <c r="B80" s="37" t="s">
        <v>54</v>
      </c>
      <c r="C80" s="38" t="s">
        <v>240</v>
      </c>
      <c r="D80" s="39">
        <v>32.34824281150159</v>
      </c>
      <c r="E80" s="39">
        <v>31.150159744408946</v>
      </c>
      <c r="F80" s="39">
        <v>15.175718849840255</v>
      </c>
      <c r="G80" s="39">
        <v>16.773162939297123</v>
      </c>
      <c r="H80" s="39">
        <v>109.82428115015975</v>
      </c>
      <c r="I80" s="49">
        <v>114.21725239616613</v>
      </c>
      <c r="J80" s="39">
        <v>95.84664536741214</v>
      </c>
      <c r="K80" s="39">
        <v>40.335463258785936</v>
      </c>
      <c r="L80" s="39">
        <v>91.05431309904154</v>
      </c>
      <c r="M80" s="39">
        <v>111.42172523961662</v>
      </c>
      <c r="N80" s="39">
        <v>99.84025559105432</v>
      </c>
      <c r="O80" s="39">
        <v>57.9073482428115</v>
      </c>
      <c r="P80" s="39">
        <v>23.1629392971246</v>
      </c>
      <c r="Q80" s="39">
        <v>65.89456869009584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M80" s="64">
        <v>16.0</v>
      </c>
      <c r="AN80" s="65" t="s">
        <v>189</v>
      </c>
      <c r="AO80" s="66"/>
      <c r="AP80" s="66">
        <v>5.7</v>
      </c>
      <c r="AQ80" s="66"/>
      <c r="AR80" s="66">
        <v>3.8</v>
      </c>
      <c r="AS80" s="67">
        <v>1.0</v>
      </c>
      <c r="AT80" s="66"/>
      <c r="AU80" s="66"/>
      <c r="AV80" s="66">
        <v>9.6</v>
      </c>
      <c r="AW80" s="66"/>
      <c r="AX80" s="66">
        <v>3.5</v>
      </c>
      <c r="AY80" s="66"/>
      <c r="AZ80" s="66">
        <v>3.4</v>
      </c>
      <c r="BA80" s="66"/>
      <c r="BB80" s="66">
        <v>3.6</v>
      </c>
      <c r="BC80" s="67">
        <v>2.1</v>
      </c>
      <c r="BD80" s="67"/>
      <c r="BE80" s="67">
        <v>1.1</v>
      </c>
      <c r="BF80" s="67"/>
      <c r="BG80" s="67">
        <v>1.1</v>
      </c>
      <c r="BH80" s="67"/>
      <c r="BI80" s="67">
        <v>1.6</v>
      </c>
      <c r="BJ80" s="67"/>
      <c r="BK80" s="67">
        <v>1.6163222045574988</v>
      </c>
      <c r="BL80" s="67"/>
      <c r="BM80" s="67">
        <v>1.2153950033760972</v>
      </c>
      <c r="BN80" s="67"/>
      <c r="BO80" s="67">
        <v>1.1</v>
      </c>
      <c r="BP80" s="67"/>
      <c r="BQ80" s="6"/>
      <c r="BR80" s="6"/>
      <c r="BS80" s="6"/>
      <c r="BT80" s="6"/>
      <c r="BU80" s="6"/>
      <c r="BV80" s="6"/>
      <c r="BW80" s="6"/>
      <c r="BX80" s="6"/>
      <c r="BY80" s="6"/>
      <c r="BZ80" s="6"/>
      <c r="DA80" s="58"/>
      <c r="DB80" s="72" t="s">
        <v>241</v>
      </c>
      <c r="DC80" s="60">
        <v>53.47467236494775</v>
      </c>
      <c r="DD80" s="60">
        <v>30.6502225789973</v>
      </c>
      <c r="DE80" s="60">
        <v>17.77251184834123</v>
      </c>
      <c r="DF80" s="60">
        <v>16.026808479638667</v>
      </c>
      <c r="DG80" s="60">
        <v>14.24316975268678</v>
      </c>
      <c r="DH80" s="60">
        <v>19.650655021834062</v>
      </c>
      <c r="DI80" s="60">
        <v>20.375491194877018</v>
      </c>
      <c r="DJ80" s="60">
        <v>10.76426264800861</v>
      </c>
      <c r="DK80" s="60">
        <v>28.92354124748491</v>
      </c>
      <c r="DL80" s="60">
        <v>11.242270938729623</v>
      </c>
      <c r="DM80" s="60">
        <v>71.4129563506522</v>
      </c>
      <c r="DN80" s="60">
        <v>31.361680402596456</v>
      </c>
      <c r="DO80" s="60">
        <v>94.18808411214954</v>
      </c>
      <c r="DP80" s="60">
        <v>70.84834788981861</v>
      </c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</row>
    <row r="81" ht="14.25" customHeight="1">
      <c r="A81" s="12"/>
      <c r="B81" s="37" t="s">
        <v>54</v>
      </c>
      <c r="C81" s="38" t="s">
        <v>242</v>
      </c>
      <c r="D81" s="39">
        <v>84.9673202614379</v>
      </c>
      <c r="E81" s="39">
        <v>88.70214752567693</v>
      </c>
      <c r="F81" s="39">
        <v>100.3734827264239</v>
      </c>
      <c r="G81" s="39">
        <v>143.79084967320262</v>
      </c>
      <c r="H81" s="39">
        <v>117.18020541549953</v>
      </c>
      <c r="I81" s="49">
        <v>35.0140056022409</v>
      </c>
      <c r="J81" s="39">
        <v>52.287581699346404</v>
      </c>
      <c r="K81" s="39">
        <v>74.69654528478058</v>
      </c>
      <c r="L81" s="39">
        <v>225.0233426704015</v>
      </c>
      <c r="M81" s="39">
        <v>337.53501400560225</v>
      </c>
      <c r="N81" s="39">
        <v>217.08683473389357</v>
      </c>
      <c r="O81" s="39">
        <v>80.76563958916901</v>
      </c>
      <c r="P81" s="39">
        <v>38.74883286647993</v>
      </c>
      <c r="Q81" s="39">
        <v>98.97292250233426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M81" s="64">
        <v>17.0</v>
      </c>
      <c r="AN81" s="65" t="s">
        <v>192</v>
      </c>
      <c r="AO81" s="66"/>
      <c r="AP81" s="66">
        <v>3.6</v>
      </c>
      <c r="AQ81" s="66">
        <v>2.4</v>
      </c>
      <c r="AR81" s="66"/>
      <c r="AS81" s="66"/>
      <c r="AT81" s="66">
        <v>3.2</v>
      </c>
      <c r="AU81" s="66"/>
      <c r="AV81" s="66">
        <v>9.7</v>
      </c>
      <c r="AW81" s="66"/>
      <c r="AX81" s="66">
        <v>4.2</v>
      </c>
      <c r="AY81" s="66"/>
      <c r="AZ81" s="66">
        <v>3.1</v>
      </c>
      <c r="BA81" s="66">
        <v>2.6</v>
      </c>
      <c r="BB81" s="66"/>
      <c r="BC81" s="67">
        <v>2.2</v>
      </c>
      <c r="BD81" s="67"/>
      <c r="BE81" s="67">
        <v>2.2</v>
      </c>
      <c r="BF81" s="67"/>
      <c r="BG81" s="67">
        <v>1.8</v>
      </c>
      <c r="BH81" s="67"/>
      <c r="BI81" s="67"/>
      <c r="BJ81" s="67">
        <v>4.2</v>
      </c>
      <c r="BK81" s="67">
        <v>2.5316455696202533</v>
      </c>
      <c r="BL81" s="67"/>
      <c r="BM81" s="67">
        <v>2.7954256670902162</v>
      </c>
      <c r="BN81" s="67"/>
      <c r="BO81" s="67">
        <v>1.3</v>
      </c>
      <c r="BP81" s="67"/>
      <c r="BQ81" s="6"/>
      <c r="BR81" s="6"/>
      <c r="BS81" s="6"/>
      <c r="BT81" s="6"/>
      <c r="BU81" s="6"/>
      <c r="BV81" s="6"/>
      <c r="BW81" s="6"/>
      <c r="BX81" s="6"/>
      <c r="BY81" s="6"/>
      <c r="BZ81" s="6"/>
      <c r="DA81" s="58"/>
      <c r="DB81" s="72" t="s">
        <v>176</v>
      </c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>
        <v>0.8112932013629726</v>
      </c>
      <c r="DP81" s="60">
        <v>7.461095715199318</v>
      </c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</row>
    <row r="82" ht="14.25" customHeight="1">
      <c r="A82" s="12"/>
      <c r="B82" s="37" t="s">
        <v>54</v>
      </c>
      <c r="C82" s="38" t="s">
        <v>243</v>
      </c>
      <c r="D82" s="39">
        <v>5.219713522699685</v>
      </c>
      <c r="E82" s="39">
        <v>1.335275552318524</v>
      </c>
      <c r="F82" s="39">
        <v>1.4566642388929352</v>
      </c>
      <c r="G82" s="39">
        <v>1.2138868657441126</v>
      </c>
      <c r="H82" s="39">
        <v>10.43942704539937</v>
      </c>
      <c r="I82" s="49">
        <v>4.734158776402039</v>
      </c>
      <c r="J82" s="39">
        <v>7.161932507890265</v>
      </c>
      <c r="K82" s="39">
        <v>1.335275552318524</v>
      </c>
      <c r="L82" s="39">
        <v>0.6069434328720563</v>
      </c>
      <c r="M82" s="39">
        <v>1.6994416120417577</v>
      </c>
      <c r="N82" s="39">
        <v>0.6069434328720563</v>
      </c>
      <c r="O82" s="39">
        <v>1.4566642388929352</v>
      </c>
      <c r="P82" s="39">
        <v>2.670551104637048</v>
      </c>
      <c r="Q82" s="39">
        <v>15.41636319495023</v>
      </c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M82" s="64">
        <v>18.0</v>
      </c>
      <c r="AN82" s="65" t="s">
        <v>244</v>
      </c>
      <c r="AO82" s="66">
        <v>0.4</v>
      </c>
      <c r="AP82" s="66"/>
      <c r="AQ82" s="66">
        <v>0.5</v>
      </c>
      <c r="AR82" s="66"/>
      <c r="AS82" s="66">
        <v>0.9</v>
      </c>
      <c r="AT82" s="66"/>
      <c r="AU82" s="66">
        <v>0.8</v>
      </c>
      <c r="AV82" s="66"/>
      <c r="AW82" s="66">
        <v>0.4</v>
      </c>
      <c r="AX82" s="66"/>
      <c r="AY82" s="66">
        <v>0.2</v>
      </c>
      <c r="AZ82" s="66"/>
      <c r="BA82" s="66">
        <v>1.2</v>
      </c>
      <c r="BB82" s="66"/>
      <c r="BC82" s="67">
        <v>1.2</v>
      </c>
      <c r="BD82" s="67"/>
      <c r="BE82" s="67"/>
      <c r="BF82" s="67"/>
      <c r="BG82" s="67">
        <v>1.8</v>
      </c>
      <c r="BH82" s="67"/>
      <c r="BI82" s="67">
        <v>0.2</v>
      </c>
      <c r="BJ82" s="67"/>
      <c r="BK82" s="67">
        <v>0.46296296296296297</v>
      </c>
      <c r="BL82" s="67"/>
      <c r="BM82" s="67">
        <v>0.38105606967882416</v>
      </c>
      <c r="BN82" s="67"/>
      <c r="BO82" s="67">
        <v>0.1</v>
      </c>
      <c r="BP82" s="67"/>
      <c r="BQ82" s="6"/>
      <c r="BR82" s="6"/>
      <c r="BS82" s="6"/>
      <c r="BT82" s="6"/>
      <c r="BU82" s="6"/>
      <c r="BV82" s="6"/>
      <c r="BW82" s="6"/>
      <c r="BX82" s="6"/>
      <c r="BY82" s="6"/>
      <c r="BZ82" s="6"/>
      <c r="DA82" s="58"/>
      <c r="DB82" s="72" t="s">
        <v>179</v>
      </c>
      <c r="DC82" s="60"/>
      <c r="DD82" s="60"/>
      <c r="DE82" s="60"/>
      <c r="DF82" s="60"/>
      <c r="DG82" s="60"/>
      <c r="DH82" s="60"/>
      <c r="DI82" s="60"/>
      <c r="DJ82" s="60"/>
      <c r="DK82" s="60"/>
      <c r="DL82" s="60">
        <v>11.36657194523379</v>
      </c>
      <c r="DM82" s="60">
        <v>5.3702087668658125</v>
      </c>
      <c r="DN82" s="60">
        <v>2.683483161143164</v>
      </c>
      <c r="DO82" s="60">
        <v>14.083562470659245</v>
      </c>
      <c r="DP82" s="60">
        <v>100.53735482752643</v>
      </c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</row>
    <row r="83" ht="14.25" customHeight="1">
      <c r="A83" s="12"/>
      <c r="B83" s="37" t="s">
        <v>54</v>
      </c>
      <c r="C83" s="38" t="s">
        <v>245</v>
      </c>
      <c r="D83" s="39">
        <v>5.418777241135587</v>
      </c>
      <c r="E83" s="39">
        <v>3.2983861467781836</v>
      </c>
      <c r="F83" s="39">
        <v>4.358581693956885</v>
      </c>
      <c r="G83" s="39">
        <v>13.075745081870656</v>
      </c>
      <c r="H83" s="39">
        <v>14.842737660501825</v>
      </c>
      <c r="I83" s="49">
        <v>10.837554482271173</v>
      </c>
      <c r="J83" s="39">
        <v>8.71716338791377</v>
      </c>
      <c r="K83" s="39">
        <v>6.832371304040523</v>
      </c>
      <c r="L83" s="39">
        <v>6.714571798798445</v>
      </c>
      <c r="M83" s="39">
        <v>7.656967840735069</v>
      </c>
      <c r="N83" s="39">
        <v>11.190952997997409</v>
      </c>
      <c r="O83" s="39">
        <v>14.253740134291437</v>
      </c>
      <c r="P83" s="39">
        <v>10.955353987513252</v>
      </c>
      <c r="Q83" s="39">
        <v>10.601955471787019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M83" s="64">
        <v>19.0</v>
      </c>
      <c r="AN83" s="65" t="s">
        <v>195</v>
      </c>
      <c r="AO83" s="66">
        <v>2.7</v>
      </c>
      <c r="AP83" s="66"/>
      <c r="AQ83" s="66"/>
      <c r="AR83" s="66">
        <v>4.1</v>
      </c>
      <c r="AS83" s="66"/>
      <c r="AT83" s="66">
        <v>3.2</v>
      </c>
      <c r="AU83" s="66"/>
      <c r="AV83" s="66">
        <v>4.3</v>
      </c>
      <c r="AW83" s="66">
        <v>2.1</v>
      </c>
      <c r="AX83" s="66"/>
      <c r="AY83" s="66"/>
      <c r="AZ83" s="66">
        <v>5.1</v>
      </c>
      <c r="BA83" s="66"/>
      <c r="BB83" s="66">
        <v>4.7</v>
      </c>
      <c r="BC83" s="67"/>
      <c r="BD83" s="67">
        <v>4.0</v>
      </c>
      <c r="BE83" s="67"/>
      <c r="BF83" s="67">
        <v>6.5</v>
      </c>
      <c r="BG83" s="67"/>
      <c r="BH83" s="67">
        <v>4.7</v>
      </c>
      <c r="BI83" s="67">
        <v>0.4</v>
      </c>
      <c r="BJ83" s="67"/>
      <c r="BK83" s="67">
        <v>0.34572169403630076</v>
      </c>
      <c r="BL83" s="67"/>
      <c r="BM83" s="67">
        <v>1.2060301507537687</v>
      </c>
      <c r="BN83" s="67"/>
      <c r="BO83" s="67">
        <v>0.7</v>
      </c>
      <c r="BP83" s="67"/>
      <c r="BQ83" s="6"/>
      <c r="BR83" s="6"/>
      <c r="BS83" s="6"/>
      <c r="BT83" s="6"/>
      <c r="BU83" s="6"/>
      <c r="BV83" s="6"/>
      <c r="BW83" s="6"/>
      <c r="BX83" s="6"/>
      <c r="BY83" s="6"/>
      <c r="BZ83" s="6"/>
      <c r="DA83" s="58"/>
      <c r="DB83" s="72" t="s">
        <v>246</v>
      </c>
      <c r="DC83" s="60"/>
      <c r="DD83" s="60"/>
      <c r="DE83" s="60"/>
      <c r="DF83" s="60">
        <v>13.039226339237205</v>
      </c>
      <c r="DG83" s="60">
        <v>3.103020273065784</v>
      </c>
      <c r="DH83" s="60">
        <v>12.856224555388902</v>
      </c>
      <c r="DI83" s="60">
        <v>1.0640561821664185</v>
      </c>
      <c r="DJ83" s="60"/>
      <c r="DK83" s="60">
        <v>50.699655242344356</v>
      </c>
      <c r="DL83" s="60">
        <v>7.059298104074224</v>
      </c>
      <c r="DM83" s="60">
        <v>2.075765438505449</v>
      </c>
      <c r="DN83" s="60">
        <v>1.0319917440660475</v>
      </c>
      <c r="DO83" s="60">
        <v>10.263779123473263</v>
      </c>
      <c r="DP83" s="60">
        <v>4.804997197084969</v>
      </c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</row>
    <row r="84" ht="14.25" customHeight="1">
      <c r="A84" s="12"/>
      <c r="B84" s="37" t="s">
        <v>54</v>
      </c>
      <c r="C84" s="38" t="s">
        <v>247</v>
      </c>
      <c r="D84" s="39">
        <v>20.223686226444002</v>
      </c>
      <c r="E84" s="39">
        <v>3.2174046269342726</v>
      </c>
      <c r="F84" s="39">
        <v>5.209131300750728</v>
      </c>
      <c r="G84" s="39">
        <v>4.289872835912364</v>
      </c>
      <c r="H84" s="39">
        <v>9.652213880802819</v>
      </c>
      <c r="I84" s="49">
        <v>11.797150298759002</v>
      </c>
      <c r="J84" s="39">
        <v>17.159491343649456</v>
      </c>
      <c r="K84" s="39">
        <v>11.33752106633982</v>
      </c>
      <c r="L84" s="39">
        <v>38.91527501149073</v>
      </c>
      <c r="M84" s="39">
        <v>230.2742454420101</v>
      </c>
      <c r="N84" s="39">
        <v>145.2428374444615</v>
      </c>
      <c r="O84" s="39">
        <v>84.26535927685</v>
      </c>
      <c r="P84" s="39">
        <v>71.3957407691129</v>
      </c>
      <c r="Q84" s="39">
        <v>109.08533782748583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M84" s="64">
        <v>20.0</v>
      </c>
      <c r="AN84" s="65" t="s">
        <v>201</v>
      </c>
      <c r="AO84" s="66">
        <v>2.2</v>
      </c>
      <c r="AP84" s="66"/>
      <c r="AQ84" s="66"/>
      <c r="AR84" s="66">
        <v>3.7</v>
      </c>
      <c r="AS84" s="66">
        <v>1.2</v>
      </c>
      <c r="AT84" s="66"/>
      <c r="AU84" s="66">
        <v>1.3</v>
      </c>
      <c r="AV84" s="66"/>
      <c r="AW84" s="67">
        <v>1.0</v>
      </c>
      <c r="AX84" s="66"/>
      <c r="AY84" s="66">
        <v>2.1</v>
      </c>
      <c r="AZ84" s="66"/>
      <c r="BA84" s="66">
        <v>2.6</v>
      </c>
      <c r="BB84" s="66"/>
      <c r="BC84" s="67">
        <v>1.2</v>
      </c>
      <c r="BD84" s="67"/>
      <c r="BE84" s="67">
        <v>1.1</v>
      </c>
      <c r="BF84" s="67"/>
      <c r="BG84" s="67">
        <v>0.6</v>
      </c>
      <c r="BH84" s="67"/>
      <c r="BI84" s="67">
        <v>2.2</v>
      </c>
      <c r="BJ84" s="67"/>
      <c r="BK84" s="67">
        <v>1.4906832298136645</v>
      </c>
      <c r="BL84" s="67"/>
      <c r="BM84" s="67">
        <v>1.4359156177982626</v>
      </c>
      <c r="BN84" s="67"/>
      <c r="BO84" s="67">
        <v>1.5</v>
      </c>
      <c r="BP84" s="67"/>
      <c r="BQ84" s="6"/>
      <c r="BR84" s="6"/>
      <c r="BS84" s="6"/>
      <c r="BT84" s="6"/>
      <c r="BU84" s="6"/>
      <c r="BV84" s="6"/>
      <c r="BW84" s="6"/>
      <c r="BX84" s="6"/>
      <c r="BY84" s="6"/>
      <c r="BZ84" s="6"/>
      <c r="DA84" s="58"/>
      <c r="DB84" s="72" t="s">
        <v>248</v>
      </c>
      <c r="DC84" s="60"/>
      <c r="DD84" s="60"/>
      <c r="DE84" s="60"/>
      <c r="DF84" s="60">
        <v>2.74228048044754</v>
      </c>
      <c r="DG84" s="60"/>
      <c r="DH84" s="60">
        <v>3.4874986586543617</v>
      </c>
      <c r="DI84" s="60">
        <v>0.2654139129973193</v>
      </c>
      <c r="DJ84" s="60">
        <v>0.4726791453961051</v>
      </c>
      <c r="DK84" s="60">
        <v>35.54362921639244</v>
      </c>
      <c r="DL84" s="60">
        <v>24.622455679579776</v>
      </c>
      <c r="DM84" s="60">
        <v>17.07571934653516</v>
      </c>
      <c r="DN84" s="60">
        <v>12.873586429725362</v>
      </c>
      <c r="DO84" s="60">
        <v>75.26881720430109</v>
      </c>
      <c r="DP84" s="60">
        <v>104.85675426666083</v>
      </c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</row>
    <row r="85" ht="14.25" customHeight="1">
      <c r="A85" s="12"/>
      <c r="B85" s="37" t="s">
        <v>54</v>
      </c>
      <c r="C85" s="38" t="s">
        <v>249</v>
      </c>
      <c r="D85" s="39">
        <v>13.583197082128034</v>
      </c>
      <c r="E85" s="39">
        <v>11.067790215067287</v>
      </c>
      <c r="F85" s="39">
        <v>3.5215696138850463</v>
      </c>
      <c r="G85" s="39">
        <v>28.675638284492518</v>
      </c>
      <c r="H85" s="39">
        <v>52.1946924915105</v>
      </c>
      <c r="I85" s="49">
        <v>41.50421330650233</v>
      </c>
      <c r="J85" s="39">
        <v>55.71626210539555</v>
      </c>
      <c r="K85" s="39">
        <v>45.52886429379952</v>
      </c>
      <c r="L85" s="39">
        <v>51.56584077474532</v>
      </c>
      <c r="M85" s="39">
        <v>59.489372405986664</v>
      </c>
      <c r="N85" s="39">
        <v>44.64847189032826</v>
      </c>
      <c r="O85" s="39">
        <v>76.84567978870582</v>
      </c>
      <c r="P85" s="39">
        <v>121.8714627090932</v>
      </c>
      <c r="Q85" s="39">
        <v>89.67425481071562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M85" s="64">
        <v>21.0</v>
      </c>
      <c r="AN85" s="65" t="s">
        <v>204</v>
      </c>
      <c r="AO85" s="66"/>
      <c r="AP85" s="66">
        <v>5.7</v>
      </c>
      <c r="AQ85" s="66"/>
      <c r="AR85" s="66">
        <v>7.4</v>
      </c>
      <c r="AS85" s="66"/>
      <c r="AT85" s="66">
        <v>4.7</v>
      </c>
      <c r="AU85" s="66"/>
      <c r="AV85" s="66">
        <v>16.9</v>
      </c>
      <c r="AW85" s="66"/>
      <c r="AX85" s="67">
        <v>6.0</v>
      </c>
      <c r="AY85" s="66"/>
      <c r="AZ85" s="67">
        <v>3.0</v>
      </c>
      <c r="BA85" s="66"/>
      <c r="BB85" s="66">
        <v>3.4</v>
      </c>
      <c r="BC85" s="67">
        <v>0.3</v>
      </c>
      <c r="BD85" s="67"/>
      <c r="BE85" s="67">
        <v>0.1</v>
      </c>
      <c r="BF85" s="67"/>
      <c r="BG85" s="67">
        <v>0.4</v>
      </c>
      <c r="BH85" s="67"/>
      <c r="BI85" s="67">
        <v>0.2</v>
      </c>
      <c r="BJ85" s="67"/>
      <c r="BK85" s="67">
        <v>0.19810386302532898</v>
      </c>
      <c r="BL85" s="67"/>
      <c r="BM85" s="67">
        <v>0.4922515952597994</v>
      </c>
      <c r="BN85" s="67"/>
      <c r="BO85" s="67">
        <v>0.3</v>
      </c>
      <c r="BP85" s="67"/>
      <c r="BQ85" s="6"/>
      <c r="BR85" s="6"/>
      <c r="BS85" s="6"/>
      <c r="BT85" s="6"/>
      <c r="BU85" s="6"/>
      <c r="BV85" s="6"/>
      <c r="BW85" s="6"/>
      <c r="BX85" s="6"/>
      <c r="BY85" s="6"/>
      <c r="BZ85" s="6"/>
      <c r="DA85" s="58"/>
      <c r="DB85" s="72" t="s">
        <v>250</v>
      </c>
      <c r="DC85" s="60"/>
      <c r="DD85" s="60"/>
      <c r="DE85" s="60"/>
      <c r="DF85" s="60"/>
      <c r="DG85" s="60"/>
      <c r="DH85" s="60"/>
      <c r="DI85" s="60"/>
      <c r="DJ85" s="60"/>
      <c r="DK85" s="60"/>
      <c r="DL85" s="60">
        <v>10.0</v>
      </c>
      <c r="DM85" s="60"/>
      <c r="DN85" s="60"/>
      <c r="DO85" s="60"/>
      <c r="DP85" s="60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</row>
    <row r="86" ht="14.25" customHeight="1">
      <c r="A86" s="12"/>
      <c r="B86" s="37" t="s">
        <v>54</v>
      </c>
      <c r="C86" s="38" t="s">
        <v>251</v>
      </c>
      <c r="D86" s="39">
        <v>5.4715159317669775</v>
      </c>
      <c r="E86" s="39">
        <v>3.5403926617315737</v>
      </c>
      <c r="F86" s="39">
        <v>17.701963308657866</v>
      </c>
      <c r="G86" s="39">
        <v>23.495333118764083</v>
      </c>
      <c r="H86" s="39">
        <v>12.552301255230125</v>
      </c>
      <c r="I86" s="49">
        <v>1.6092693916961698</v>
      </c>
      <c r="J86" s="39">
        <v>2.574831026713872</v>
      </c>
      <c r="K86" s="39">
        <v>10.299324106855488</v>
      </c>
      <c r="L86" s="39">
        <v>7.724493080141615</v>
      </c>
      <c r="M86" s="39">
        <v>14.805278403604763</v>
      </c>
      <c r="N86" s="39">
        <v>14.483424525265528</v>
      </c>
      <c r="O86" s="39">
        <v>4.184100418410042</v>
      </c>
      <c r="P86" s="39">
        <v>7.0807853234631475</v>
      </c>
      <c r="Q86" s="39">
        <v>6.437077566784679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M86" s="64">
        <v>22.0</v>
      </c>
      <c r="AN86" s="65" t="s">
        <v>252</v>
      </c>
      <c r="AO86" s="66"/>
      <c r="AP86" s="66"/>
      <c r="AQ86" s="67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7"/>
      <c r="BD86" s="67"/>
      <c r="BE86" s="67"/>
      <c r="BF86" s="67">
        <v>5.3</v>
      </c>
      <c r="BG86" s="67"/>
      <c r="BH86" s="67"/>
      <c r="BI86" s="67"/>
      <c r="BJ86" s="67">
        <v>3.3</v>
      </c>
      <c r="BK86" s="67">
        <v>2.0181634712411705</v>
      </c>
      <c r="BL86" s="67"/>
      <c r="BM86" s="67"/>
      <c r="BN86" s="67">
        <v>5.4</v>
      </c>
      <c r="BO86" s="67"/>
      <c r="BP86" s="67">
        <v>3.2</v>
      </c>
      <c r="BQ86" s="6"/>
      <c r="BR86" s="6"/>
      <c r="BS86" s="6"/>
      <c r="BT86" s="6"/>
      <c r="BU86" s="6"/>
      <c r="BV86" s="6"/>
      <c r="BW86" s="6"/>
      <c r="BX86" s="6"/>
      <c r="BY86" s="6"/>
      <c r="BZ86" s="6"/>
      <c r="DA86" s="58"/>
      <c r="DB86" s="72" t="s">
        <v>185</v>
      </c>
      <c r="DC86" s="60"/>
      <c r="DD86" s="60"/>
      <c r="DE86" s="60"/>
      <c r="DF86" s="60"/>
      <c r="DG86" s="60"/>
      <c r="DH86" s="60"/>
      <c r="DI86" s="60"/>
      <c r="DJ86" s="60"/>
      <c r="DK86" s="60"/>
      <c r="DL86" s="60">
        <v>32.651658360543045</v>
      </c>
      <c r="DM86" s="60"/>
      <c r="DN86" s="60"/>
      <c r="DO86" s="60"/>
      <c r="DP86" s="60">
        <v>33.37183930175844</v>
      </c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</row>
    <row r="87" ht="14.25" customHeight="1">
      <c r="A87" s="12"/>
      <c r="B87" s="37" t="s">
        <v>54</v>
      </c>
      <c r="C87" s="38" t="s">
        <v>253</v>
      </c>
      <c r="D87" s="39">
        <v>28.165708250205373</v>
      </c>
      <c r="E87" s="39">
        <v>19.01185306888863</v>
      </c>
      <c r="F87" s="39">
        <v>19.95071001056214</v>
      </c>
      <c r="G87" s="39">
        <v>15.96056800844971</v>
      </c>
      <c r="H87" s="39">
        <v>55.62727379415561</v>
      </c>
      <c r="I87" s="49">
        <v>97.05433634549935</v>
      </c>
      <c r="J87" s="39">
        <v>39.6667057857059</v>
      </c>
      <c r="K87" s="39">
        <v>28.283065367914563</v>
      </c>
      <c r="L87" s="39">
        <v>137.65989907287877</v>
      </c>
      <c r="M87" s="39">
        <v>179.67374721276846</v>
      </c>
      <c r="N87" s="39">
        <v>80.97641121934045</v>
      </c>
      <c r="O87" s="39">
        <v>165.0041074991198</v>
      </c>
      <c r="P87" s="39">
        <v>125.80683018425069</v>
      </c>
      <c r="Q87" s="39">
        <v>206.19645581504517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M87" s="64">
        <v>23.0</v>
      </c>
      <c r="AN87" s="65" t="s">
        <v>254</v>
      </c>
      <c r="AO87" s="67">
        <v>1.7</v>
      </c>
      <c r="AP87" s="66"/>
      <c r="AQ87" s="66">
        <v>1.6</v>
      </c>
      <c r="AR87" s="66"/>
      <c r="AS87" s="66">
        <v>1.6</v>
      </c>
      <c r="AT87" s="66"/>
      <c r="AU87" s="66">
        <v>1.5</v>
      </c>
      <c r="AV87" s="66"/>
      <c r="AW87" s="66">
        <v>1.8</v>
      </c>
      <c r="AX87" s="66"/>
      <c r="AY87" s="66">
        <v>1.2</v>
      </c>
      <c r="AZ87" s="66"/>
      <c r="BA87" s="66">
        <v>1.0</v>
      </c>
      <c r="BB87" s="66"/>
      <c r="BC87" s="67">
        <v>0.4</v>
      </c>
      <c r="BD87" s="67"/>
      <c r="BE87" s="67">
        <v>0.2</v>
      </c>
      <c r="BF87" s="67"/>
      <c r="BG87" s="67">
        <v>0.1</v>
      </c>
      <c r="BH87" s="67"/>
      <c r="BI87" s="67">
        <v>0.3</v>
      </c>
      <c r="BJ87" s="67"/>
      <c r="BK87" s="67">
        <v>0.2824098977945132</v>
      </c>
      <c r="BL87" s="67"/>
      <c r="BM87" s="67">
        <v>0.18151815181518152</v>
      </c>
      <c r="BN87" s="67"/>
      <c r="BO87" s="67">
        <v>0.2</v>
      </c>
      <c r="BP87" s="67"/>
      <c r="BQ87" s="6"/>
      <c r="BR87" s="6"/>
      <c r="BS87" s="6"/>
      <c r="BT87" s="6"/>
      <c r="BU87" s="6"/>
      <c r="BV87" s="6"/>
      <c r="BW87" s="6"/>
      <c r="BX87" s="6"/>
      <c r="BY87" s="6"/>
      <c r="BZ87" s="6"/>
      <c r="DA87" s="58"/>
      <c r="DB87" s="72" t="s">
        <v>255</v>
      </c>
      <c r="DC87" s="60"/>
      <c r="DD87" s="60"/>
      <c r="DE87" s="60">
        <v>14.043957587248086</v>
      </c>
      <c r="DF87" s="60"/>
      <c r="DG87" s="60"/>
      <c r="DH87" s="60">
        <v>4.957156008781248</v>
      </c>
      <c r="DI87" s="60">
        <v>2.8111603064164736</v>
      </c>
      <c r="DJ87" s="60">
        <v>4.770667211885777</v>
      </c>
      <c r="DK87" s="60">
        <v>97.54115017272912</v>
      </c>
      <c r="DL87" s="60">
        <v>167.631614379965</v>
      </c>
      <c r="DM87" s="60">
        <v>63.51157549682443</v>
      </c>
      <c r="DN87" s="60">
        <v>41.38118173800964</v>
      </c>
      <c r="DO87" s="60">
        <v>26.963262554769127</v>
      </c>
      <c r="DP87" s="60">
        <v>13.299701903233203</v>
      </c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</row>
    <row r="88" ht="14.25" customHeight="1">
      <c r="A88" s="12"/>
      <c r="B88" s="37" t="s">
        <v>54</v>
      </c>
      <c r="C88" s="38" t="s">
        <v>256</v>
      </c>
      <c r="D88" s="39">
        <v>19.641626464507237</v>
      </c>
      <c r="E88" s="39">
        <v>33.769813921433496</v>
      </c>
      <c r="F88" s="39">
        <v>40.31702274293591</v>
      </c>
      <c r="G88" s="39">
        <v>48.587181254307374</v>
      </c>
      <c r="H88" s="39">
        <v>41.00620261888353</v>
      </c>
      <c r="I88" s="49">
        <v>15.161957270847692</v>
      </c>
      <c r="J88" s="39">
        <v>4.135079255685734</v>
      </c>
      <c r="K88" s="39">
        <v>12.060647829083392</v>
      </c>
      <c r="L88" s="39">
        <v>37.215713301171604</v>
      </c>
      <c r="M88" s="39">
        <v>19.641626464507237</v>
      </c>
      <c r="N88" s="39">
        <v>24.810475534114403</v>
      </c>
      <c r="O88" s="39">
        <v>13.094417643004823</v>
      </c>
      <c r="P88" s="39">
        <v>21.01998621640248</v>
      </c>
      <c r="Q88" s="39">
        <v>32.73604410751206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M88" s="64">
        <v>24.0</v>
      </c>
      <c r="AN88" s="65" t="s">
        <v>257</v>
      </c>
      <c r="AO88" s="66">
        <v>0.1</v>
      </c>
      <c r="AP88" s="66"/>
      <c r="AQ88" s="67">
        <v>0.0</v>
      </c>
      <c r="AR88" s="66"/>
      <c r="AS88" s="67">
        <v>0.0</v>
      </c>
      <c r="AT88" s="66"/>
      <c r="AU88" s="67">
        <v>0.0</v>
      </c>
      <c r="AV88" s="66"/>
      <c r="AW88" s="67">
        <v>0.0</v>
      </c>
      <c r="AX88" s="66"/>
      <c r="AY88" s="66">
        <v>0.0</v>
      </c>
      <c r="AZ88" s="66"/>
      <c r="BA88" s="66"/>
      <c r="BB88" s="66"/>
      <c r="BC88" s="67">
        <v>0.2</v>
      </c>
      <c r="BD88" s="67"/>
      <c r="BE88" s="67">
        <v>0.0</v>
      </c>
      <c r="BF88" s="67"/>
      <c r="BG88" s="67"/>
      <c r="BH88" s="67"/>
      <c r="BI88" s="67"/>
      <c r="BJ88" s="67"/>
      <c r="BK88" s="67">
        <v>0.0</v>
      </c>
      <c r="BL88" s="67"/>
      <c r="BM88" s="67"/>
      <c r="BN88" s="67"/>
      <c r="BO88" s="67"/>
      <c r="BP88" s="67"/>
      <c r="BQ88" s="6"/>
      <c r="BR88" s="6"/>
      <c r="BS88" s="6"/>
      <c r="BT88" s="6"/>
      <c r="BU88" s="6"/>
      <c r="BV88" s="6"/>
      <c r="BW88" s="6"/>
      <c r="BX88" s="6"/>
      <c r="BY88" s="6"/>
      <c r="BZ88" s="6"/>
      <c r="DA88" s="58"/>
      <c r="DB88" s="72" t="s">
        <v>258</v>
      </c>
      <c r="DC88" s="60"/>
      <c r="DD88" s="60">
        <v>1.2880511785668285</v>
      </c>
      <c r="DE88" s="60"/>
      <c r="DF88" s="60">
        <v>5.961759570753311</v>
      </c>
      <c r="DG88" s="60"/>
      <c r="DH88" s="60">
        <v>19.86559026163405</v>
      </c>
      <c r="DI88" s="60">
        <v>8.424599831508003</v>
      </c>
      <c r="DJ88" s="60">
        <v>4.532406707961928</v>
      </c>
      <c r="DK88" s="60">
        <v>81.8072650855599</v>
      </c>
      <c r="DL88" s="60">
        <v>80.19694878585548</v>
      </c>
      <c r="DM88" s="60">
        <v>66.20310613315569</v>
      </c>
      <c r="DN88" s="60">
        <v>51.092464899892</v>
      </c>
      <c r="DO88" s="60">
        <v>114.4041450777202</v>
      </c>
      <c r="DP88" s="60">
        <v>88.90535284311909</v>
      </c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</row>
    <row r="89" ht="14.25" customHeight="1">
      <c r="A89" s="12"/>
      <c r="B89" s="37" t="s">
        <v>59</v>
      </c>
      <c r="C89" s="38" t="s">
        <v>259</v>
      </c>
      <c r="D89" s="39">
        <v>0.0</v>
      </c>
      <c r="E89" s="39">
        <v>0.0</v>
      </c>
      <c r="F89" s="39">
        <v>0.0</v>
      </c>
      <c r="G89" s="39">
        <v>0.0</v>
      </c>
      <c r="H89" s="39">
        <v>0.0</v>
      </c>
      <c r="I89" s="49">
        <v>0.0</v>
      </c>
      <c r="J89" s="39">
        <v>0.0</v>
      </c>
      <c r="K89" s="39">
        <v>0.0</v>
      </c>
      <c r="L89" s="39">
        <v>0.0</v>
      </c>
      <c r="M89" s="39">
        <v>0.0</v>
      </c>
      <c r="N89" s="39">
        <v>0.0</v>
      </c>
      <c r="O89" s="39">
        <v>0.0</v>
      </c>
      <c r="P89" s="39">
        <v>0.0</v>
      </c>
      <c r="Q89" s="39">
        <v>0.0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M89" s="64">
        <v>25.0</v>
      </c>
      <c r="AN89" s="65" t="s">
        <v>260</v>
      </c>
      <c r="AO89" s="66">
        <v>2.5</v>
      </c>
      <c r="AP89" s="66"/>
      <c r="AQ89" s="66">
        <v>2.2</v>
      </c>
      <c r="AR89" s="66"/>
      <c r="AS89" s="66">
        <v>0.7</v>
      </c>
      <c r="AT89" s="66"/>
      <c r="AU89" s="66">
        <v>1.2</v>
      </c>
      <c r="AV89" s="66"/>
      <c r="AW89" s="66">
        <v>2.4</v>
      </c>
      <c r="AX89" s="66"/>
      <c r="AY89" s="66">
        <v>0.7</v>
      </c>
      <c r="AZ89" s="66"/>
      <c r="BA89" s="66">
        <v>0.7</v>
      </c>
      <c r="BB89" s="66"/>
      <c r="BC89" s="67">
        <v>1.4</v>
      </c>
      <c r="BD89" s="67"/>
      <c r="BE89" s="67">
        <v>0.4</v>
      </c>
      <c r="BF89" s="67"/>
      <c r="BG89" s="67">
        <v>0.2</v>
      </c>
      <c r="BH89" s="67"/>
      <c r="BI89" s="67">
        <v>0.3</v>
      </c>
      <c r="BJ89" s="67"/>
      <c r="BK89" s="67">
        <v>0.21464345337467208</v>
      </c>
      <c r="BL89" s="67"/>
      <c r="BM89" s="67">
        <v>0.2562586240883107</v>
      </c>
      <c r="BN89" s="67"/>
      <c r="BO89" s="67">
        <v>0.3</v>
      </c>
      <c r="BP89" s="67"/>
      <c r="BQ89" s="6"/>
      <c r="BR89" s="6"/>
      <c r="BS89" s="6"/>
      <c r="BT89" s="6"/>
      <c r="BU89" s="6"/>
      <c r="BV89" s="6"/>
      <c r="BW89" s="6"/>
      <c r="BX89" s="6"/>
      <c r="BY89" s="6"/>
      <c r="BZ89" s="6"/>
      <c r="DA89" s="58"/>
      <c r="DB89" s="72" t="s">
        <v>261</v>
      </c>
      <c r="DC89" s="60">
        <v>6.141158838014968</v>
      </c>
      <c r="DD89" s="60">
        <v>16.005121638924454</v>
      </c>
      <c r="DE89" s="60">
        <v>31.319910514541387</v>
      </c>
      <c r="DF89" s="60">
        <v>32.79382206706865</v>
      </c>
      <c r="DG89" s="60">
        <v>8.883738895326381</v>
      </c>
      <c r="DH89" s="60">
        <v>15.74142092559555</v>
      </c>
      <c r="DI89" s="60">
        <v>1.045696957021855</v>
      </c>
      <c r="DJ89" s="60">
        <v>1.073998496402105</v>
      </c>
      <c r="DK89" s="60">
        <v>82.1245733788396</v>
      </c>
      <c r="DL89" s="60">
        <v>49.71966571458797</v>
      </c>
      <c r="DM89" s="60">
        <v>29.949395848394094</v>
      </c>
      <c r="DN89" s="60">
        <v>46.353522867737944</v>
      </c>
      <c r="DO89" s="60">
        <v>52.409824272942146</v>
      </c>
      <c r="DP89" s="60">
        <v>69.20415224913495</v>
      </c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</row>
    <row r="90" ht="14.25" customHeight="1">
      <c r="A90" s="12"/>
      <c r="B90" s="37" t="s">
        <v>59</v>
      </c>
      <c r="C90" s="38" t="s">
        <v>262</v>
      </c>
      <c r="D90" s="39">
        <v>0.0</v>
      </c>
      <c r="E90" s="39">
        <v>0.0</v>
      </c>
      <c r="F90" s="39">
        <v>0.0</v>
      </c>
      <c r="G90" s="39">
        <v>0.0</v>
      </c>
      <c r="H90" s="39">
        <v>0.0</v>
      </c>
      <c r="I90" s="49">
        <v>0.0</v>
      </c>
      <c r="J90" s="39">
        <v>0.0</v>
      </c>
      <c r="K90" s="39">
        <v>0.0</v>
      </c>
      <c r="L90" s="39">
        <v>0.0</v>
      </c>
      <c r="M90" s="39">
        <v>0.0</v>
      </c>
      <c r="N90" s="39">
        <v>0.0</v>
      </c>
      <c r="O90" s="39">
        <v>0.0</v>
      </c>
      <c r="P90" s="39">
        <v>0.0</v>
      </c>
      <c r="Q90" s="39">
        <v>0.0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M90" s="64">
        <v>26.0</v>
      </c>
      <c r="AN90" s="65" t="s">
        <v>263</v>
      </c>
      <c r="AO90" s="66"/>
      <c r="AP90" s="66">
        <v>8.3</v>
      </c>
      <c r="AQ90" s="66">
        <v>1.8</v>
      </c>
      <c r="AR90" s="66"/>
      <c r="AS90" s="66"/>
      <c r="AT90" s="66">
        <v>4.8</v>
      </c>
      <c r="AU90" s="66"/>
      <c r="AV90" s="66">
        <v>6.1</v>
      </c>
      <c r="AW90" s="66"/>
      <c r="AX90" s="66">
        <v>6.5</v>
      </c>
      <c r="AY90" s="66"/>
      <c r="AZ90" s="66">
        <v>5.9</v>
      </c>
      <c r="BA90" s="66"/>
      <c r="BB90" s="66">
        <v>4.7</v>
      </c>
      <c r="BC90" s="67">
        <v>1.9</v>
      </c>
      <c r="BD90" s="67"/>
      <c r="BE90" s="67">
        <v>1.8</v>
      </c>
      <c r="BF90" s="67"/>
      <c r="BG90" s="67"/>
      <c r="BH90" s="67">
        <v>3.2</v>
      </c>
      <c r="BI90" s="67">
        <v>2.8</v>
      </c>
      <c r="BJ90" s="67"/>
      <c r="BK90" s="67">
        <v>1.2060828526481384</v>
      </c>
      <c r="BL90" s="67"/>
      <c r="BM90" s="67">
        <v>0.6504621704895585</v>
      </c>
      <c r="BN90" s="67"/>
      <c r="BO90" s="67">
        <v>2.0</v>
      </c>
      <c r="BP90" s="67"/>
      <c r="BQ90" s="6"/>
      <c r="BR90" s="6"/>
      <c r="BS90" s="6"/>
      <c r="BT90" s="6"/>
      <c r="BU90" s="6"/>
      <c r="BV90" s="6"/>
      <c r="BW90" s="6"/>
      <c r="BX90" s="6"/>
      <c r="BY90" s="6"/>
      <c r="BZ90" s="6"/>
      <c r="DA90" s="58"/>
      <c r="DB90" s="72" t="s">
        <v>203</v>
      </c>
      <c r="DC90" s="60"/>
      <c r="DD90" s="60"/>
      <c r="DE90" s="60"/>
      <c r="DF90" s="60"/>
      <c r="DG90" s="60"/>
      <c r="DH90" s="60"/>
      <c r="DI90" s="60"/>
      <c r="DJ90" s="60"/>
      <c r="DK90" s="60"/>
      <c r="DL90" s="60"/>
      <c r="DM90" s="60">
        <v>1.647627416520211</v>
      </c>
      <c r="DN90" s="60">
        <v>5.542315579449094</v>
      </c>
      <c r="DO90" s="60"/>
      <c r="DP90" s="60">
        <v>4.996668887408394</v>
      </c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</row>
    <row r="91" ht="14.25" customHeight="1">
      <c r="A91" s="12"/>
      <c r="B91" s="37" t="s">
        <v>59</v>
      </c>
      <c r="C91" s="38" t="s">
        <v>264</v>
      </c>
      <c r="D91" s="39">
        <v>0.0</v>
      </c>
      <c r="E91" s="39">
        <v>0.0</v>
      </c>
      <c r="F91" s="39">
        <v>0.0</v>
      </c>
      <c r="G91" s="39">
        <v>0.0</v>
      </c>
      <c r="H91" s="39">
        <v>0.0</v>
      </c>
      <c r="I91" s="49">
        <v>0.0</v>
      </c>
      <c r="J91" s="39">
        <v>0.0</v>
      </c>
      <c r="K91" s="39">
        <v>0.0</v>
      </c>
      <c r="L91" s="39">
        <v>0.0</v>
      </c>
      <c r="M91" s="39">
        <v>0.0</v>
      </c>
      <c r="N91" s="39">
        <v>0.0</v>
      </c>
      <c r="O91" s="39">
        <v>0.0</v>
      </c>
      <c r="P91" s="39">
        <v>0.0</v>
      </c>
      <c r="Q91" s="39">
        <v>0.0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M91" s="64">
        <v>27.0</v>
      </c>
      <c r="AN91" s="65" t="s">
        <v>212</v>
      </c>
      <c r="AO91" s="66">
        <v>2.5</v>
      </c>
      <c r="AP91" s="66"/>
      <c r="AQ91" s="66">
        <v>1.3</v>
      </c>
      <c r="AR91" s="66"/>
      <c r="AS91" s="66"/>
      <c r="AT91" s="66">
        <v>5.4</v>
      </c>
      <c r="AU91" s="66"/>
      <c r="AV91" s="66">
        <v>3.8</v>
      </c>
      <c r="AW91" s="66">
        <v>0.9</v>
      </c>
      <c r="AX91" s="66"/>
      <c r="AY91" s="66">
        <v>0.7</v>
      </c>
      <c r="AZ91" s="66"/>
      <c r="BA91" s="66"/>
      <c r="BB91" s="66">
        <v>5.4</v>
      </c>
      <c r="BC91" s="67"/>
      <c r="BD91" s="67">
        <v>3.4</v>
      </c>
      <c r="BE91" s="67">
        <v>0.6</v>
      </c>
      <c r="BF91" s="67"/>
      <c r="BG91" s="67">
        <v>1.9</v>
      </c>
      <c r="BH91" s="67"/>
      <c r="BI91" s="67">
        <v>2.3</v>
      </c>
      <c r="BJ91" s="67"/>
      <c r="BK91" s="67">
        <v>1.3888888888888888</v>
      </c>
      <c r="BL91" s="67"/>
      <c r="BM91" s="67">
        <v>1.9131714495952907</v>
      </c>
      <c r="BN91" s="67"/>
      <c r="BO91" s="67">
        <v>2.1</v>
      </c>
      <c r="BP91" s="67"/>
      <c r="BQ91" s="6"/>
      <c r="BR91" s="6"/>
      <c r="BS91" s="6"/>
      <c r="BT91" s="6"/>
      <c r="BU91" s="6"/>
      <c r="BV91" s="6"/>
      <c r="BW91" s="6"/>
      <c r="BX91" s="6"/>
      <c r="BY91" s="6"/>
      <c r="BZ91" s="6"/>
      <c r="DA91" s="58"/>
      <c r="DB91" s="72" t="s">
        <v>206</v>
      </c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>
        <v>18.5459940652819</v>
      </c>
      <c r="DN91" s="60"/>
      <c r="DO91" s="60">
        <v>38.03214329530119</v>
      </c>
      <c r="DP91" s="60">
        <v>2.060793405461103</v>
      </c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</row>
    <row r="92" ht="14.25" customHeight="1">
      <c r="A92" s="12"/>
      <c r="B92" s="37" t="s">
        <v>59</v>
      </c>
      <c r="C92" s="38" t="s">
        <v>265</v>
      </c>
      <c r="D92" s="39">
        <v>0.0324454105966711</v>
      </c>
      <c r="E92" s="39">
        <v>0.0</v>
      </c>
      <c r="F92" s="39">
        <v>0.0</v>
      </c>
      <c r="G92" s="39">
        <v>0.0</v>
      </c>
      <c r="H92" s="39">
        <v>0.0</v>
      </c>
      <c r="I92" s="49">
        <v>0.0</v>
      </c>
      <c r="J92" s="39">
        <v>0.0</v>
      </c>
      <c r="K92" s="39">
        <v>0.0</v>
      </c>
      <c r="L92" s="39">
        <v>0.0</v>
      </c>
      <c r="M92" s="39">
        <v>0.0</v>
      </c>
      <c r="N92" s="39">
        <v>0.0</v>
      </c>
      <c r="O92" s="39">
        <v>0.0</v>
      </c>
      <c r="P92" s="39">
        <v>0.0</v>
      </c>
      <c r="Q92" s="39">
        <v>0.0</v>
      </c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M92" s="64">
        <v>28.0</v>
      </c>
      <c r="AN92" s="65" t="s">
        <v>214</v>
      </c>
      <c r="AO92" s="66"/>
      <c r="AP92" s="66">
        <v>3.3</v>
      </c>
      <c r="AQ92" s="66">
        <v>2.7</v>
      </c>
      <c r="AR92" s="66"/>
      <c r="AS92" s="66"/>
      <c r="AT92" s="66">
        <v>5.1</v>
      </c>
      <c r="AU92" s="66"/>
      <c r="AV92" s="66">
        <v>3.7</v>
      </c>
      <c r="AW92" s="66"/>
      <c r="AX92" s="66">
        <v>6.2</v>
      </c>
      <c r="AY92" s="66">
        <v>1.0</v>
      </c>
      <c r="AZ92" s="66"/>
      <c r="BA92" s="66">
        <v>1.8</v>
      </c>
      <c r="BB92" s="66"/>
      <c r="BC92" s="67">
        <v>1.6</v>
      </c>
      <c r="BD92" s="67"/>
      <c r="BE92" s="67">
        <v>1.6</v>
      </c>
      <c r="BF92" s="67"/>
      <c r="BG92" s="67"/>
      <c r="BH92" s="67">
        <v>7.8</v>
      </c>
      <c r="BI92" s="67"/>
      <c r="BJ92" s="67">
        <v>3.3</v>
      </c>
      <c r="BK92" s="67"/>
      <c r="BL92" s="67">
        <v>3.9897510980966326</v>
      </c>
      <c r="BM92" s="67">
        <v>2.0590868397493285</v>
      </c>
      <c r="BN92" s="67"/>
      <c r="BO92" s="67"/>
      <c r="BP92" s="67">
        <v>3.6</v>
      </c>
      <c r="BQ92" s="6"/>
      <c r="BR92" s="6"/>
      <c r="BS92" s="6"/>
      <c r="BT92" s="6"/>
      <c r="BU92" s="6"/>
      <c r="BV92" s="6"/>
      <c r="BW92" s="6"/>
      <c r="BX92" s="6"/>
      <c r="BY92" s="6"/>
      <c r="BZ92" s="6"/>
      <c r="DA92" s="58"/>
      <c r="DB92" s="72" t="s">
        <v>266</v>
      </c>
      <c r="DC92" s="60"/>
      <c r="DD92" s="60"/>
      <c r="DE92" s="60">
        <v>33.30211260276824</v>
      </c>
      <c r="DF92" s="60">
        <v>18.587360594795538</v>
      </c>
      <c r="DG92" s="60">
        <v>96.6926711350401</v>
      </c>
      <c r="DH92" s="60">
        <v>5.542008423852804</v>
      </c>
      <c r="DI92" s="60">
        <v>20.0915280723295</v>
      </c>
      <c r="DJ92" s="60">
        <v>1.0055304172951232</v>
      </c>
      <c r="DK92" s="60">
        <v>42.9828068772491</v>
      </c>
      <c r="DL92" s="60">
        <v>1.9874788830368677</v>
      </c>
      <c r="DM92" s="60">
        <v>71.36279926335175</v>
      </c>
      <c r="DN92" s="60">
        <v>49.90135778113032</v>
      </c>
      <c r="DO92" s="60">
        <v>81.92883895131085</v>
      </c>
      <c r="DP92" s="60">
        <v>32.667607097780085</v>
      </c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</row>
    <row r="93" ht="14.25" customHeight="1">
      <c r="A93" s="12"/>
      <c r="B93" s="37" t="s">
        <v>59</v>
      </c>
      <c r="C93" s="38" t="s">
        <v>267</v>
      </c>
      <c r="D93" s="39">
        <v>3.220323821450935</v>
      </c>
      <c r="E93" s="39">
        <v>0.2683603184542446</v>
      </c>
      <c r="F93" s="39">
        <v>0.2683603184542446</v>
      </c>
      <c r="G93" s="39">
        <v>0.0</v>
      </c>
      <c r="H93" s="39">
        <v>0.0</v>
      </c>
      <c r="I93" s="49">
        <v>0.0</v>
      </c>
      <c r="J93" s="39">
        <v>0.0</v>
      </c>
      <c r="K93" s="39">
        <v>0.0</v>
      </c>
      <c r="L93" s="39">
        <v>0.0</v>
      </c>
      <c r="M93" s="39">
        <v>0.0</v>
      </c>
      <c r="N93" s="39">
        <v>0.0</v>
      </c>
      <c r="O93" s="39">
        <v>0.0</v>
      </c>
      <c r="P93" s="39">
        <v>0.0</v>
      </c>
      <c r="Q93" s="39">
        <v>0.0</v>
      </c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M93" s="64">
        <v>29.0</v>
      </c>
      <c r="AN93" s="65" t="s">
        <v>268</v>
      </c>
      <c r="AO93" s="67">
        <v>0.0</v>
      </c>
      <c r="AP93" s="66"/>
      <c r="AQ93" s="67">
        <v>0.0</v>
      </c>
      <c r="AR93" s="66"/>
      <c r="AS93" s="66"/>
      <c r="AT93" s="66">
        <v>13.1</v>
      </c>
      <c r="AU93" s="66"/>
      <c r="AV93" s="66">
        <v>4.5</v>
      </c>
      <c r="AW93" s="66"/>
      <c r="AX93" s="66">
        <v>3.1</v>
      </c>
      <c r="AY93" s="66">
        <v>0.9</v>
      </c>
      <c r="AZ93" s="66"/>
      <c r="BA93" s="66">
        <v>2.5</v>
      </c>
      <c r="BB93" s="66"/>
      <c r="BC93" s="67">
        <v>0.9</v>
      </c>
      <c r="BD93" s="67"/>
      <c r="BE93" s="67">
        <v>0.4</v>
      </c>
      <c r="BF93" s="67"/>
      <c r="BG93" s="67">
        <v>0.9</v>
      </c>
      <c r="BH93" s="67"/>
      <c r="BI93" s="67">
        <v>0.5</v>
      </c>
      <c r="BJ93" s="67"/>
      <c r="BK93" s="67">
        <v>2.2222222222222223</v>
      </c>
      <c r="BL93" s="67"/>
      <c r="BM93" s="67">
        <v>0.63913470993117</v>
      </c>
      <c r="BN93" s="67"/>
      <c r="BO93" s="67">
        <v>0.8</v>
      </c>
      <c r="BP93" s="67"/>
      <c r="BQ93" s="6"/>
      <c r="BR93" s="6"/>
      <c r="BS93" s="6"/>
      <c r="BT93" s="6"/>
      <c r="BU93" s="6"/>
      <c r="BV93" s="6"/>
      <c r="BW93" s="6"/>
      <c r="BX93" s="6"/>
      <c r="BY93" s="6"/>
      <c r="BZ93" s="6"/>
      <c r="DA93" s="96"/>
      <c r="DB93" s="72" t="s">
        <v>269</v>
      </c>
      <c r="DC93" s="60"/>
      <c r="DD93" s="60"/>
      <c r="DE93" s="60">
        <v>10.771641206423816</v>
      </c>
      <c r="DF93" s="60">
        <v>0.0</v>
      </c>
      <c r="DG93" s="60"/>
      <c r="DH93" s="60">
        <v>14.858841010401187</v>
      </c>
      <c r="DI93" s="60">
        <v>12.706480304955528</v>
      </c>
      <c r="DJ93" s="60">
        <v>1.9288263091908573</v>
      </c>
      <c r="DK93" s="60">
        <v>78.74771919715741</v>
      </c>
      <c r="DL93" s="60">
        <v>0.9570293808019906</v>
      </c>
      <c r="DM93" s="60">
        <v>57.98502053636144</v>
      </c>
      <c r="DN93" s="60">
        <v>70.88731361525299</v>
      </c>
      <c r="DO93" s="60">
        <v>188.0257298367145</v>
      </c>
      <c r="DP93" s="60">
        <v>81.15183246073299</v>
      </c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</row>
    <row r="94" ht="14.25" customHeight="1">
      <c r="A94" s="12"/>
      <c r="B94" s="37" t="s">
        <v>64</v>
      </c>
      <c r="C94" s="38" t="s">
        <v>270</v>
      </c>
      <c r="D94" s="39">
        <v>0.14590020426028597</v>
      </c>
      <c r="E94" s="39">
        <v>0.0</v>
      </c>
      <c r="F94" s="39">
        <v>0.0</v>
      </c>
      <c r="G94" s="39">
        <v>0.14590020426028597</v>
      </c>
      <c r="H94" s="39">
        <v>0.07295010213014298</v>
      </c>
      <c r="I94" s="49">
        <v>0.0</v>
      </c>
      <c r="J94" s="39">
        <v>0.0</v>
      </c>
      <c r="K94" s="39">
        <v>0.0</v>
      </c>
      <c r="L94" s="39">
        <v>0.0</v>
      </c>
      <c r="M94" s="39">
        <v>0.0</v>
      </c>
      <c r="N94" s="39">
        <v>0.0</v>
      </c>
      <c r="O94" s="39">
        <v>0.0</v>
      </c>
      <c r="P94" s="39">
        <v>0.0</v>
      </c>
      <c r="Q94" s="39">
        <v>0.0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M94" s="64">
        <v>30.0</v>
      </c>
      <c r="AN94" s="65" t="s">
        <v>271</v>
      </c>
      <c r="AO94" s="66">
        <v>0.4</v>
      </c>
      <c r="AP94" s="66"/>
      <c r="AQ94" s="66">
        <v>0.4</v>
      </c>
      <c r="AR94" s="66"/>
      <c r="AS94" s="66">
        <v>0.1</v>
      </c>
      <c r="AT94" s="66"/>
      <c r="AU94" s="66">
        <v>0.1</v>
      </c>
      <c r="AV94" s="66"/>
      <c r="AW94" s="66">
        <v>0.4</v>
      </c>
      <c r="AX94" s="66"/>
      <c r="AY94" s="66">
        <v>0.0</v>
      </c>
      <c r="AZ94" s="66"/>
      <c r="BA94" s="67">
        <v>0.0</v>
      </c>
      <c r="BB94" s="66"/>
      <c r="BC94" s="67">
        <v>0.1</v>
      </c>
      <c r="BD94" s="67"/>
      <c r="BE94" s="67">
        <v>0.0</v>
      </c>
      <c r="BF94" s="67"/>
      <c r="BG94" s="67">
        <v>0.0</v>
      </c>
      <c r="BH94" s="67"/>
      <c r="BI94" s="67">
        <v>0.0</v>
      </c>
      <c r="BJ94" s="67"/>
      <c r="BK94" s="67">
        <v>0.0</v>
      </c>
      <c r="BL94" s="67"/>
      <c r="BM94" s="67">
        <v>0.0</v>
      </c>
      <c r="BN94" s="67"/>
      <c r="BO94" s="67">
        <v>0.0</v>
      </c>
      <c r="BP94" s="67"/>
      <c r="BQ94" s="6"/>
      <c r="BR94" s="6"/>
      <c r="BS94" s="6"/>
      <c r="BT94" s="6"/>
      <c r="BU94" s="6"/>
      <c r="BV94" s="6"/>
      <c r="BW94" s="6"/>
      <c r="BX94" s="6"/>
      <c r="BY94" s="6"/>
      <c r="BZ94" s="6"/>
      <c r="DA94" s="96"/>
      <c r="DB94" s="72" t="s">
        <v>272</v>
      </c>
      <c r="DC94" s="60"/>
      <c r="DD94" s="60"/>
      <c r="DE94" s="60"/>
      <c r="DF94" s="60"/>
      <c r="DG94" s="60"/>
      <c r="DH94" s="60"/>
      <c r="DI94" s="60"/>
      <c r="DJ94" s="60"/>
      <c r="DK94" s="60"/>
      <c r="DL94" s="60"/>
      <c r="DM94" s="60">
        <v>35.903840149859505</v>
      </c>
      <c r="DN94" s="60"/>
      <c r="DO94" s="60"/>
      <c r="DP94" s="60">
        <v>3.956217855729922</v>
      </c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</row>
    <row r="95" ht="14.25" customHeight="1">
      <c r="A95" s="12"/>
      <c r="B95" s="37" t="s">
        <v>64</v>
      </c>
      <c r="C95" s="38" t="s">
        <v>273</v>
      </c>
      <c r="D95" s="39">
        <v>0.0</v>
      </c>
      <c r="E95" s="39">
        <v>0.0</v>
      </c>
      <c r="F95" s="39">
        <v>0.0</v>
      </c>
      <c r="G95" s="39">
        <v>0.0</v>
      </c>
      <c r="H95" s="39">
        <v>0.0</v>
      </c>
      <c r="I95" s="49">
        <v>0.0</v>
      </c>
      <c r="J95" s="39">
        <v>0.0</v>
      </c>
      <c r="K95" s="39">
        <v>0.0</v>
      </c>
      <c r="L95" s="39">
        <v>0.0</v>
      </c>
      <c r="M95" s="39">
        <v>0.0</v>
      </c>
      <c r="N95" s="39">
        <v>0.0</v>
      </c>
      <c r="O95" s="39">
        <v>0.0</v>
      </c>
      <c r="P95" s="39">
        <v>0.0</v>
      </c>
      <c r="Q95" s="39">
        <v>0.0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M95" s="64">
        <v>31.0</v>
      </c>
      <c r="AN95" s="65" t="s">
        <v>217</v>
      </c>
      <c r="AO95" s="66">
        <v>0.9</v>
      </c>
      <c r="AP95" s="66"/>
      <c r="AQ95" s="66">
        <v>1.6</v>
      </c>
      <c r="AR95" s="66"/>
      <c r="AS95" s="67">
        <v>2.0</v>
      </c>
      <c r="AT95" s="66"/>
      <c r="AU95" s="66">
        <v>1.4</v>
      </c>
      <c r="AV95" s="66"/>
      <c r="AW95" s="67">
        <v>2.0</v>
      </c>
      <c r="AX95" s="66"/>
      <c r="AY95" s="66">
        <v>1.3</v>
      </c>
      <c r="AZ95" s="66"/>
      <c r="BA95" s="66">
        <v>0.5</v>
      </c>
      <c r="BB95" s="66"/>
      <c r="BC95" s="67">
        <v>0.5</v>
      </c>
      <c r="BD95" s="67"/>
      <c r="BE95" s="67">
        <v>0.2</v>
      </c>
      <c r="BF95" s="67"/>
      <c r="BG95" s="67">
        <v>0.2</v>
      </c>
      <c r="BH95" s="67"/>
      <c r="BI95" s="67">
        <v>0.2</v>
      </c>
      <c r="BJ95" s="67"/>
      <c r="BK95" s="67">
        <v>0.2</v>
      </c>
      <c r="BL95" s="67"/>
      <c r="BM95" s="67">
        <v>0.044326241134751775</v>
      </c>
      <c r="BN95" s="67"/>
      <c r="BO95" s="67">
        <v>0.0</v>
      </c>
      <c r="BP95" s="67"/>
      <c r="BQ95" s="6"/>
      <c r="BR95" s="6"/>
      <c r="BS95" s="6"/>
      <c r="BT95" s="6"/>
      <c r="BU95" s="6"/>
      <c r="BV95" s="6"/>
      <c r="BW95" s="6"/>
      <c r="BX95" s="6"/>
      <c r="BY95" s="6"/>
      <c r="BZ95" s="6"/>
      <c r="DA95" s="47" t="s">
        <v>274</v>
      </c>
      <c r="DB95" s="48" t="s">
        <v>47</v>
      </c>
      <c r="DC95" s="36">
        <v>12.51379446002644</v>
      </c>
      <c r="DD95" s="36">
        <v>10.633995836266418</v>
      </c>
      <c r="DE95" s="36">
        <v>5.476237042831997</v>
      </c>
      <c r="DF95" s="36">
        <v>16.073059360730593</v>
      </c>
      <c r="DG95" s="36">
        <v>36.65159581583242</v>
      </c>
      <c r="DH95" s="36">
        <v>55.8095908078321</v>
      </c>
      <c r="DI95" s="36">
        <v>4.5388615351219075</v>
      </c>
      <c r="DJ95" s="36">
        <v>4.374686569712231</v>
      </c>
      <c r="DK95" s="36">
        <v>69.39498832375494</v>
      </c>
      <c r="DL95" s="36">
        <v>56.92326349937847</v>
      </c>
      <c r="DM95" s="36">
        <v>39.644131971598696</v>
      </c>
      <c r="DN95" s="36">
        <v>13.90692248373681</v>
      </c>
      <c r="DO95" s="36">
        <v>13.261284485536523</v>
      </c>
      <c r="DP95" s="36">
        <v>41.58397126925621</v>
      </c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</row>
    <row r="96" ht="14.25" customHeight="1">
      <c r="A96" s="12"/>
      <c r="B96" s="37" t="s">
        <v>64</v>
      </c>
      <c r="C96" s="38" t="s">
        <v>275</v>
      </c>
      <c r="D96" s="39">
        <v>0.08408778765030693</v>
      </c>
      <c r="E96" s="39">
        <v>0.028029262550102307</v>
      </c>
      <c r="F96" s="39">
        <v>0.028029262550102307</v>
      </c>
      <c r="G96" s="39">
        <v>0.0</v>
      </c>
      <c r="H96" s="39">
        <v>0.0</v>
      </c>
      <c r="I96" s="49">
        <v>0.028029262550102307</v>
      </c>
      <c r="J96" s="39">
        <v>0.0</v>
      </c>
      <c r="K96" s="39">
        <v>0.0</v>
      </c>
      <c r="L96" s="39">
        <v>0.0</v>
      </c>
      <c r="M96" s="39">
        <v>0.0</v>
      </c>
      <c r="N96" s="39">
        <v>0.0</v>
      </c>
      <c r="O96" s="39">
        <v>0.0</v>
      </c>
      <c r="P96" s="39">
        <v>0.0</v>
      </c>
      <c r="Q96" s="39">
        <v>0.0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M96" s="64">
        <v>32.0</v>
      </c>
      <c r="AN96" s="65" t="s">
        <v>276</v>
      </c>
      <c r="AO96" s="66">
        <v>0.3</v>
      </c>
      <c r="AP96" s="66"/>
      <c r="AQ96" s="66">
        <v>0.2</v>
      </c>
      <c r="AR96" s="66"/>
      <c r="AS96" s="66">
        <v>0.7</v>
      </c>
      <c r="AT96" s="66"/>
      <c r="AU96" s="66">
        <v>1.1</v>
      </c>
      <c r="AV96" s="66"/>
      <c r="AW96" s="66">
        <v>0.6</v>
      </c>
      <c r="AX96" s="66"/>
      <c r="AY96" s="66">
        <v>0.4</v>
      </c>
      <c r="AZ96" s="66"/>
      <c r="BA96" s="67">
        <v>1.0</v>
      </c>
      <c r="BB96" s="66"/>
      <c r="BC96" s="67">
        <v>0.8</v>
      </c>
      <c r="BD96" s="67"/>
      <c r="BE96" s="67">
        <v>0.5</v>
      </c>
      <c r="BF96" s="67"/>
      <c r="BG96" s="67">
        <v>0.5</v>
      </c>
      <c r="BH96" s="67"/>
      <c r="BI96" s="67">
        <v>0.2</v>
      </c>
      <c r="BJ96" s="67"/>
      <c r="BK96" s="67">
        <v>0.1433349259436216</v>
      </c>
      <c r="BL96" s="67"/>
      <c r="BM96" s="67">
        <v>0.9070294784580499</v>
      </c>
      <c r="BN96" s="67"/>
      <c r="BO96" s="67">
        <v>0.4</v>
      </c>
      <c r="BP96" s="67"/>
      <c r="BQ96" s="6"/>
      <c r="BR96" s="6"/>
      <c r="BS96" s="6"/>
      <c r="BT96" s="6"/>
      <c r="BU96" s="6"/>
      <c r="BV96" s="6"/>
      <c r="BW96" s="6"/>
      <c r="BX96" s="6"/>
      <c r="BY96" s="6"/>
      <c r="BZ96" s="6"/>
      <c r="DA96" s="58"/>
      <c r="DB96" s="72" t="s">
        <v>277</v>
      </c>
      <c r="DC96" s="60"/>
      <c r="DD96" s="60"/>
      <c r="DE96" s="60"/>
      <c r="DF96" s="60"/>
      <c r="DG96" s="60"/>
      <c r="DH96" s="60">
        <v>11.135857461024498</v>
      </c>
      <c r="DI96" s="60"/>
      <c r="DJ96" s="60">
        <v>4.8911714355588165</v>
      </c>
      <c r="DK96" s="60">
        <v>12.22792858889704</v>
      </c>
      <c r="DL96" s="60">
        <v>7.331378299120234</v>
      </c>
      <c r="DM96" s="60">
        <v>7.678525723061171</v>
      </c>
      <c r="DN96" s="60">
        <v>7.151370679380214</v>
      </c>
      <c r="DO96" s="60">
        <v>17.78568252556692</v>
      </c>
      <c r="DP96" s="60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</row>
    <row r="97" ht="14.25" customHeight="1">
      <c r="A97" s="12"/>
      <c r="B97" s="37" t="s">
        <v>64</v>
      </c>
      <c r="C97" s="38" t="s">
        <v>278</v>
      </c>
      <c r="D97" s="39">
        <v>0.0</v>
      </c>
      <c r="E97" s="39">
        <v>0.0</v>
      </c>
      <c r="F97" s="39">
        <v>0.0</v>
      </c>
      <c r="G97" s="39">
        <v>0.0</v>
      </c>
      <c r="H97" s="39">
        <v>0.0</v>
      </c>
      <c r="I97" s="49">
        <v>0.0</v>
      </c>
      <c r="J97" s="39">
        <v>0.0</v>
      </c>
      <c r="K97" s="39">
        <v>0.0</v>
      </c>
      <c r="L97" s="39">
        <v>0.0</v>
      </c>
      <c r="M97" s="39">
        <v>0.0</v>
      </c>
      <c r="N97" s="39">
        <v>0.0</v>
      </c>
      <c r="O97" s="39">
        <v>0.0</v>
      </c>
      <c r="P97" s="39">
        <v>0.0</v>
      </c>
      <c r="Q97" s="39">
        <v>0.0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M97" s="64">
        <v>33.0</v>
      </c>
      <c r="AN97" s="65" t="s">
        <v>221</v>
      </c>
      <c r="AO97" s="66">
        <v>0.3</v>
      </c>
      <c r="AP97" s="66"/>
      <c r="AQ97" s="66">
        <v>0.4</v>
      </c>
      <c r="AR97" s="66"/>
      <c r="AS97" s="66">
        <v>0.2</v>
      </c>
      <c r="AT97" s="66"/>
      <c r="AU97" s="66">
        <v>0.3</v>
      </c>
      <c r="AV97" s="66"/>
      <c r="AW97" s="66">
        <v>0.1</v>
      </c>
      <c r="AX97" s="66"/>
      <c r="AY97" s="66">
        <v>0.2</v>
      </c>
      <c r="AZ97" s="66"/>
      <c r="BA97" s="66">
        <v>0.2</v>
      </c>
      <c r="BB97" s="66"/>
      <c r="BC97" s="67">
        <v>0.3</v>
      </c>
      <c r="BD97" s="67"/>
      <c r="BE97" s="67"/>
      <c r="BF97" s="67"/>
      <c r="BG97" s="67">
        <v>1.5</v>
      </c>
      <c r="BH97" s="67"/>
      <c r="BI97" s="67">
        <v>0.4</v>
      </c>
      <c r="BJ97" s="67"/>
      <c r="BK97" s="67">
        <v>0.4</v>
      </c>
      <c r="BL97" s="67"/>
      <c r="BM97" s="67">
        <v>0.11198208286674133</v>
      </c>
      <c r="BN97" s="67"/>
      <c r="BO97" s="67">
        <v>0.0</v>
      </c>
      <c r="BP97" s="67"/>
      <c r="BQ97" s="6"/>
      <c r="BR97" s="6"/>
      <c r="BS97" s="6"/>
      <c r="BT97" s="6"/>
      <c r="BU97" s="6"/>
      <c r="BV97" s="6"/>
      <c r="BW97" s="6"/>
      <c r="BX97" s="6"/>
      <c r="BY97" s="6"/>
      <c r="BZ97" s="6"/>
      <c r="DA97" s="58"/>
      <c r="DB97" s="72" t="s">
        <v>279</v>
      </c>
      <c r="DC97" s="60"/>
      <c r="DD97" s="60"/>
      <c r="DE97" s="60"/>
      <c r="DF97" s="60"/>
      <c r="DG97" s="60"/>
      <c r="DH97" s="60"/>
      <c r="DI97" s="60"/>
      <c r="DJ97" s="60">
        <v>4.275331338178709</v>
      </c>
      <c r="DK97" s="60">
        <v>4.248088360237893</v>
      </c>
      <c r="DL97" s="60">
        <v>4.222972972972973</v>
      </c>
      <c r="DM97" s="60"/>
      <c r="DN97" s="60">
        <v>3.885003885003885</v>
      </c>
      <c r="DO97" s="60"/>
      <c r="DP97" s="60">
        <v>12.552301255230125</v>
      </c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</row>
    <row r="98" ht="14.25" customHeight="1">
      <c r="A98" s="12"/>
      <c r="B98" s="37" t="s">
        <v>64</v>
      </c>
      <c r="C98" s="38" t="s">
        <v>280</v>
      </c>
      <c r="D98" s="39">
        <v>0.0</v>
      </c>
      <c r="E98" s="39">
        <v>0.0</v>
      </c>
      <c r="F98" s="39">
        <v>0.0</v>
      </c>
      <c r="G98" s="39">
        <v>0.0</v>
      </c>
      <c r="H98" s="39">
        <v>0.0</v>
      </c>
      <c r="I98" s="39">
        <v>0.0</v>
      </c>
      <c r="J98" s="39">
        <v>0.0</v>
      </c>
      <c r="K98" s="39">
        <v>0.0</v>
      </c>
      <c r="L98" s="39">
        <v>0.0</v>
      </c>
      <c r="M98" s="39">
        <v>0.0</v>
      </c>
      <c r="N98" s="39">
        <v>0.0</v>
      </c>
      <c r="O98" s="39">
        <v>0.0</v>
      </c>
      <c r="P98" s="39">
        <v>0.0</v>
      </c>
      <c r="Q98" s="39">
        <v>0.0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M98" s="64">
        <v>34.0</v>
      </c>
      <c r="AN98" s="65" t="s">
        <v>219</v>
      </c>
      <c r="AO98" s="66"/>
      <c r="AP98" s="66"/>
      <c r="AQ98" s="67">
        <v>0.0</v>
      </c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7"/>
      <c r="BD98" s="67"/>
      <c r="BE98" s="67"/>
      <c r="BF98" s="67"/>
      <c r="BG98" s="67"/>
      <c r="BH98" s="67"/>
      <c r="BI98" s="67">
        <v>0.0</v>
      </c>
      <c r="BJ98" s="67"/>
      <c r="BK98" s="67"/>
      <c r="BL98" s="67"/>
      <c r="BM98" s="67"/>
      <c r="BN98" s="67"/>
      <c r="BO98" s="67"/>
      <c r="BP98" s="67"/>
      <c r="BQ98" s="6"/>
      <c r="BR98" s="6"/>
      <c r="BS98" s="6"/>
      <c r="BT98" s="6"/>
      <c r="BU98" s="6"/>
      <c r="BV98" s="6"/>
      <c r="BW98" s="6"/>
      <c r="BX98" s="6"/>
      <c r="BY98" s="6"/>
      <c r="BZ98" s="6"/>
      <c r="DA98" s="58"/>
      <c r="DB98" s="72" t="s">
        <v>281</v>
      </c>
      <c r="DC98" s="60">
        <v>12.704268774392311</v>
      </c>
      <c r="DD98" s="60">
        <v>10.633995836266418</v>
      </c>
      <c r="DE98" s="60">
        <v>5.476237042831997</v>
      </c>
      <c r="DF98" s="60">
        <v>18.004689593568557</v>
      </c>
      <c r="DG98" s="60">
        <v>42.869537111069526</v>
      </c>
      <c r="DH98" s="60">
        <v>60.28113762667538</v>
      </c>
      <c r="DI98" s="60">
        <v>5.0727946025465425</v>
      </c>
      <c r="DJ98" s="60">
        <v>4.81838924082026</v>
      </c>
      <c r="DK98" s="60">
        <v>101.2797467335605</v>
      </c>
      <c r="DL98" s="60">
        <v>86.69085354210426</v>
      </c>
      <c r="DM98" s="60">
        <v>52.91606104651163</v>
      </c>
      <c r="DN98" s="60">
        <v>19.163242021777418</v>
      </c>
      <c r="DO98" s="60">
        <v>16.983438443148753</v>
      </c>
      <c r="DP98" s="60">
        <v>66.37737653072482</v>
      </c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</row>
    <row r="99" ht="14.25" customHeight="1">
      <c r="A99" s="12"/>
      <c r="B99" s="37" t="s">
        <v>64</v>
      </c>
      <c r="C99" s="38" t="s">
        <v>282</v>
      </c>
      <c r="D99" s="39">
        <v>0.0</v>
      </c>
      <c r="E99" s="39">
        <v>0.0</v>
      </c>
      <c r="F99" s="39">
        <v>0.0</v>
      </c>
      <c r="G99" s="39">
        <v>0.0</v>
      </c>
      <c r="H99" s="39">
        <v>0.0</v>
      </c>
      <c r="I99" s="49">
        <v>0.0</v>
      </c>
      <c r="J99" s="39">
        <v>0.0</v>
      </c>
      <c r="K99" s="39">
        <v>0.0</v>
      </c>
      <c r="L99" s="39">
        <v>0.0</v>
      </c>
      <c r="M99" s="39">
        <v>0.0</v>
      </c>
      <c r="N99" s="39">
        <v>0.0</v>
      </c>
      <c r="O99" s="39">
        <v>0.0</v>
      </c>
      <c r="P99" s="39">
        <v>0.0</v>
      </c>
      <c r="Q99" s="39">
        <v>0.0</v>
      </c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M99" s="64">
        <v>35.0</v>
      </c>
      <c r="AN99" s="65" t="s">
        <v>283</v>
      </c>
      <c r="AO99" s="66">
        <v>0.7</v>
      </c>
      <c r="AP99" s="66"/>
      <c r="AQ99" s="66">
        <v>0.5</v>
      </c>
      <c r="AR99" s="66"/>
      <c r="AS99" s="67">
        <v>0.0</v>
      </c>
      <c r="AT99" s="66"/>
      <c r="AU99" s="66">
        <v>0.2</v>
      </c>
      <c r="AV99" s="66"/>
      <c r="AW99" s="66">
        <v>0.7</v>
      </c>
      <c r="AX99" s="66"/>
      <c r="AY99" s="66">
        <v>0.3</v>
      </c>
      <c r="AZ99" s="66"/>
      <c r="BA99" s="67">
        <v>0.0</v>
      </c>
      <c r="BB99" s="66"/>
      <c r="BC99" s="67">
        <v>0.1</v>
      </c>
      <c r="BD99" s="67"/>
      <c r="BE99" s="67">
        <v>0.2</v>
      </c>
      <c r="BF99" s="67"/>
      <c r="BG99" s="67">
        <v>0.0</v>
      </c>
      <c r="BH99" s="67"/>
      <c r="BI99" s="67">
        <v>0.1</v>
      </c>
      <c r="BJ99" s="67"/>
      <c r="BK99" s="67">
        <v>0.12091898428053205</v>
      </c>
      <c r="BL99" s="67"/>
      <c r="BM99" s="67">
        <v>0.0</v>
      </c>
      <c r="BN99" s="67"/>
      <c r="BO99" s="67">
        <v>0.1</v>
      </c>
      <c r="BP99" s="67"/>
      <c r="BQ99" s="6"/>
      <c r="BR99" s="6"/>
      <c r="BS99" s="6"/>
      <c r="BT99" s="6"/>
      <c r="BU99" s="6"/>
      <c r="BV99" s="6"/>
      <c r="BW99" s="6"/>
      <c r="BX99" s="6"/>
      <c r="BY99" s="6"/>
      <c r="BZ99" s="6"/>
      <c r="DA99" s="58"/>
      <c r="DB99" s="72" t="s">
        <v>284</v>
      </c>
      <c r="DC99" s="60"/>
      <c r="DD99" s="60"/>
      <c r="DE99" s="60"/>
      <c r="DF99" s="60"/>
      <c r="DG99" s="60"/>
      <c r="DH99" s="60"/>
      <c r="DI99" s="60">
        <v>3.0</v>
      </c>
      <c r="DJ99" s="60">
        <v>3.2754667540124465</v>
      </c>
      <c r="DK99" s="60">
        <v>32.64240248082259</v>
      </c>
      <c r="DL99" s="60">
        <v>29.27305252886648</v>
      </c>
      <c r="DM99" s="60">
        <v>35.72795712645145</v>
      </c>
      <c r="DN99" s="60">
        <v>2.4621445278837872</v>
      </c>
      <c r="DO99" s="60">
        <v>5.945303210463734</v>
      </c>
      <c r="DP99" s="60">
        <v>47.85291524996852</v>
      </c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</row>
    <row r="100" ht="14.25" customHeight="1">
      <c r="A100" s="12"/>
      <c r="B100" s="37" t="s">
        <v>64</v>
      </c>
      <c r="C100" s="38" t="s">
        <v>285</v>
      </c>
      <c r="D100" s="39">
        <v>0.0</v>
      </c>
      <c r="E100" s="39">
        <v>0.050622658702035035</v>
      </c>
      <c r="F100" s="39">
        <v>0.0</v>
      </c>
      <c r="G100" s="39">
        <v>0.0</v>
      </c>
      <c r="H100" s="39">
        <v>0.0</v>
      </c>
      <c r="I100" s="49">
        <v>0.0</v>
      </c>
      <c r="J100" s="39">
        <v>0.0</v>
      </c>
      <c r="K100" s="39">
        <v>0.0</v>
      </c>
      <c r="L100" s="39">
        <v>0.0</v>
      </c>
      <c r="M100" s="39">
        <v>0.0</v>
      </c>
      <c r="N100" s="39">
        <v>0.0</v>
      </c>
      <c r="O100" s="39">
        <v>0.0</v>
      </c>
      <c r="P100" s="39">
        <v>0.0</v>
      </c>
      <c r="Q100" s="39">
        <v>0.0</v>
      </c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M100" s="64">
        <v>36.0</v>
      </c>
      <c r="AN100" s="65" t="s">
        <v>286</v>
      </c>
      <c r="AO100" s="66">
        <v>0.3</v>
      </c>
      <c r="AP100" s="66"/>
      <c r="AQ100" s="66">
        <v>0.1</v>
      </c>
      <c r="AR100" s="66"/>
      <c r="AS100" s="67">
        <v>0.0</v>
      </c>
      <c r="AT100" s="66"/>
      <c r="AU100" s="66">
        <v>0.1</v>
      </c>
      <c r="AV100" s="66"/>
      <c r="AW100" s="66">
        <v>0.6</v>
      </c>
      <c r="AX100" s="66"/>
      <c r="AY100" s="66">
        <v>1.0</v>
      </c>
      <c r="AZ100" s="66"/>
      <c r="BA100" s="66">
        <v>1.8</v>
      </c>
      <c r="BB100" s="66"/>
      <c r="BC100" s="67">
        <v>0.1</v>
      </c>
      <c r="BD100" s="67"/>
      <c r="BE100" s="67">
        <v>0.7</v>
      </c>
      <c r="BF100" s="67"/>
      <c r="BG100" s="67"/>
      <c r="BH100" s="67"/>
      <c r="BI100" s="67">
        <v>1.1</v>
      </c>
      <c r="BJ100" s="67"/>
      <c r="BK100" s="67">
        <v>0.6734006734006734</v>
      </c>
      <c r="BL100" s="67"/>
      <c r="BM100" s="67">
        <v>0.1984126984126984</v>
      </c>
      <c r="BN100" s="67"/>
      <c r="BO100" s="67">
        <v>0.0</v>
      </c>
      <c r="BP100" s="67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DA100" s="58"/>
      <c r="DB100" s="72" t="s">
        <v>287</v>
      </c>
      <c r="DC100" s="60"/>
      <c r="DD100" s="60"/>
      <c r="DE100" s="60"/>
      <c r="DF100" s="60"/>
      <c r="DG100" s="60"/>
      <c r="DH100" s="60"/>
      <c r="DI100" s="60"/>
      <c r="DJ100" s="60"/>
      <c r="DK100" s="60"/>
      <c r="DL100" s="60"/>
      <c r="DM100" s="60"/>
      <c r="DN100" s="60"/>
      <c r="DO100" s="60">
        <v>7.490636704119851</v>
      </c>
      <c r="DP100" s="60">
        <v>3.8699690402476783</v>
      </c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</row>
    <row r="101" ht="14.25" customHeight="1">
      <c r="A101" s="12"/>
      <c r="B101" s="37" t="s">
        <v>64</v>
      </c>
      <c r="C101" s="38" t="s">
        <v>288</v>
      </c>
      <c r="D101" s="39">
        <v>0.0</v>
      </c>
      <c r="E101" s="39">
        <v>0.0</v>
      </c>
      <c r="F101" s="39">
        <v>0.0</v>
      </c>
      <c r="G101" s="39">
        <v>0.020866807169834946</v>
      </c>
      <c r="H101" s="39">
        <v>0.0</v>
      </c>
      <c r="I101" s="49">
        <v>0.020866807169834946</v>
      </c>
      <c r="J101" s="39">
        <v>0.0</v>
      </c>
      <c r="K101" s="39">
        <v>0.0</v>
      </c>
      <c r="L101" s="39">
        <v>0.0</v>
      </c>
      <c r="M101" s="39">
        <v>0.0</v>
      </c>
      <c r="N101" s="39">
        <v>0.020866807169834946</v>
      </c>
      <c r="O101" s="39">
        <v>0.0</v>
      </c>
      <c r="P101" s="39">
        <v>0.0</v>
      </c>
      <c r="Q101" s="39">
        <v>0.0</v>
      </c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M101" s="64">
        <v>37.0</v>
      </c>
      <c r="AN101" s="65" t="s">
        <v>289</v>
      </c>
      <c r="AO101" s="67">
        <v>1.0</v>
      </c>
      <c r="AP101" s="66"/>
      <c r="AQ101" s="66">
        <v>0.9</v>
      </c>
      <c r="AR101" s="66"/>
      <c r="AS101" s="66">
        <v>0.7</v>
      </c>
      <c r="AT101" s="66"/>
      <c r="AU101" s="66">
        <v>0.3</v>
      </c>
      <c r="AV101" s="66"/>
      <c r="AW101" s="66">
        <v>0.5</v>
      </c>
      <c r="AX101" s="66"/>
      <c r="AY101" s="66">
        <v>0.5</v>
      </c>
      <c r="AZ101" s="66"/>
      <c r="BA101" s="66">
        <v>0.5</v>
      </c>
      <c r="BB101" s="66"/>
      <c r="BC101" s="67">
        <v>0.5</v>
      </c>
      <c r="BD101" s="67"/>
      <c r="BE101" s="67">
        <v>0.5</v>
      </c>
      <c r="BF101" s="67"/>
      <c r="BG101" s="67">
        <v>0.4</v>
      </c>
      <c r="BH101" s="67"/>
      <c r="BI101" s="67">
        <v>0.5</v>
      </c>
      <c r="BJ101" s="67"/>
      <c r="BK101" s="67">
        <v>0.15376729882111737</v>
      </c>
      <c r="BL101" s="67"/>
      <c r="BM101" s="67">
        <v>0.471976401179941</v>
      </c>
      <c r="BN101" s="67"/>
      <c r="BO101" s="67">
        <v>1.2</v>
      </c>
      <c r="BP101" s="67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DA101" s="58"/>
      <c r="DB101" s="72" t="s">
        <v>290</v>
      </c>
      <c r="DC101" s="60"/>
      <c r="DD101" s="60"/>
      <c r="DE101" s="60"/>
      <c r="DF101" s="60">
        <v>4.911591355599214</v>
      </c>
      <c r="DG101" s="60"/>
      <c r="DH101" s="60"/>
      <c r="DI101" s="60"/>
      <c r="DJ101" s="60"/>
      <c r="DK101" s="60">
        <v>35.94249201277955</v>
      </c>
      <c r="DL101" s="60">
        <v>19.952114924181963</v>
      </c>
      <c r="DM101" s="60"/>
      <c r="DN101" s="60">
        <v>7.296607077708865</v>
      </c>
      <c r="DO101" s="60">
        <v>10.600706713780918</v>
      </c>
      <c r="DP101" s="60">
        <v>10.507880910683014</v>
      </c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</row>
    <row r="102" ht="14.25" customHeight="1">
      <c r="A102" s="12"/>
      <c r="B102" s="37" t="s">
        <v>64</v>
      </c>
      <c r="C102" s="38" t="s">
        <v>291</v>
      </c>
      <c r="D102" s="39">
        <v>0.0</v>
      </c>
      <c r="E102" s="39">
        <v>0.0</v>
      </c>
      <c r="F102" s="39">
        <v>0.0</v>
      </c>
      <c r="G102" s="39">
        <v>0.0</v>
      </c>
      <c r="H102" s="39">
        <v>0.0</v>
      </c>
      <c r="I102" s="49">
        <v>0.18642803877703204</v>
      </c>
      <c r="J102" s="39">
        <v>0.0</v>
      </c>
      <c r="K102" s="39">
        <v>0.0</v>
      </c>
      <c r="L102" s="39">
        <v>0.0</v>
      </c>
      <c r="M102" s="39">
        <v>0.0</v>
      </c>
      <c r="N102" s="39">
        <v>0.0</v>
      </c>
      <c r="O102" s="39">
        <v>0.0</v>
      </c>
      <c r="P102" s="39">
        <v>0.0</v>
      </c>
      <c r="Q102" s="39">
        <v>0.0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M102" s="64">
        <v>38.0</v>
      </c>
      <c r="AN102" s="65" t="s">
        <v>292</v>
      </c>
      <c r="AO102" s="66"/>
      <c r="AP102" s="66"/>
      <c r="AQ102" s="67">
        <v>0.0</v>
      </c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7"/>
      <c r="BD102" s="67"/>
      <c r="BE102" s="67"/>
      <c r="BF102" s="67"/>
      <c r="BG102" s="67"/>
      <c r="BH102" s="67"/>
      <c r="BI102" s="67">
        <v>0.0</v>
      </c>
      <c r="BJ102" s="67"/>
      <c r="BK102" s="67"/>
      <c r="BL102" s="67"/>
      <c r="BM102" s="67"/>
      <c r="BN102" s="67"/>
      <c r="BO102" s="67"/>
      <c r="BP102" s="67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DA102" s="58"/>
      <c r="DB102" s="72" t="s">
        <v>293</v>
      </c>
      <c r="DC102" s="60"/>
      <c r="DD102" s="60"/>
      <c r="DE102" s="60"/>
      <c r="DF102" s="60"/>
      <c r="DG102" s="60"/>
      <c r="DH102" s="60"/>
      <c r="DI102" s="60"/>
      <c r="DJ102" s="60"/>
      <c r="DK102" s="60">
        <v>4.166666666666667</v>
      </c>
      <c r="DL102" s="60"/>
      <c r="DM102" s="60"/>
      <c r="DN102" s="60"/>
      <c r="DO102" s="60">
        <v>25.853154084798344</v>
      </c>
      <c r="DP102" s="60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</row>
    <row r="103" ht="14.25" customHeight="1">
      <c r="A103" s="12"/>
      <c r="B103" s="37" t="s">
        <v>64</v>
      </c>
      <c r="C103" s="38" t="s">
        <v>294</v>
      </c>
      <c r="D103" s="39">
        <v>0.0</v>
      </c>
      <c r="E103" s="39">
        <v>0.0</v>
      </c>
      <c r="F103" s="39">
        <v>0.0</v>
      </c>
      <c r="G103" s="39">
        <v>0.0</v>
      </c>
      <c r="H103" s="39">
        <v>0.0</v>
      </c>
      <c r="I103" s="49">
        <v>0.0</v>
      </c>
      <c r="J103" s="39">
        <v>0.0</v>
      </c>
      <c r="K103" s="39">
        <v>0.0</v>
      </c>
      <c r="L103" s="39">
        <v>0.0</v>
      </c>
      <c r="M103" s="39">
        <v>0.0</v>
      </c>
      <c r="N103" s="39">
        <v>0.0</v>
      </c>
      <c r="O103" s="39">
        <v>0.0</v>
      </c>
      <c r="P103" s="39">
        <v>0.0</v>
      </c>
      <c r="Q103" s="39">
        <v>0.0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M103" s="64">
        <v>39.0</v>
      </c>
      <c r="AN103" s="65" t="s">
        <v>295</v>
      </c>
      <c r="AO103" s="66"/>
      <c r="AP103" s="66">
        <v>9.5</v>
      </c>
      <c r="AQ103" s="66">
        <v>1.4</v>
      </c>
      <c r="AR103" s="66"/>
      <c r="AS103" s="66"/>
      <c r="AT103" s="66">
        <v>4.7</v>
      </c>
      <c r="AU103" s="66"/>
      <c r="AV103" s="66">
        <v>7.7</v>
      </c>
      <c r="AW103" s="66"/>
      <c r="AX103" s="66">
        <v>3.1</v>
      </c>
      <c r="AY103" s="66"/>
      <c r="AZ103" s="66">
        <v>3.2</v>
      </c>
      <c r="BA103" s="66">
        <v>2.4</v>
      </c>
      <c r="BB103" s="66"/>
      <c r="BC103" s="67">
        <v>1.0</v>
      </c>
      <c r="BD103" s="67"/>
      <c r="BE103" s="67">
        <v>1.2</v>
      </c>
      <c r="BF103" s="67"/>
      <c r="BG103" s="67">
        <v>2.4</v>
      </c>
      <c r="BH103" s="67"/>
      <c r="BI103" s="67">
        <v>2.0</v>
      </c>
      <c r="BJ103" s="67"/>
      <c r="BK103" s="67">
        <v>2.7803521779425395</v>
      </c>
      <c r="BL103" s="67"/>
      <c r="BM103" s="67">
        <v>0.9919177075679648</v>
      </c>
      <c r="BN103" s="67"/>
      <c r="BO103" s="67">
        <v>1.2</v>
      </c>
      <c r="BP103" s="67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DA103" s="58"/>
      <c r="DB103" s="72" t="s">
        <v>296</v>
      </c>
      <c r="DC103" s="60">
        <v>10.687151874966416</v>
      </c>
      <c r="DD103" s="60"/>
      <c r="DE103" s="60"/>
      <c r="DF103" s="60"/>
      <c r="DG103" s="60">
        <v>19.573727707699</v>
      </c>
      <c r="DH103" s="60">
        <v>19.60463976474432</v>
      </c>
      <c r="DI103" s="60">
        <v>4.650441791970237</v>
      </c>
      <c r="DJ103" s="60"/>
      <c r="DK103" s="60">
        <v>36.76470588235294</v>
      </c>
      <c r="DL103" s="60">
        <v>34.64940275371569</v>
      </c>
      <c r="DM103" s="60">
        <v>11.441647597254004</v>
      </c>
      <c r="DN103" s="60">
        <v>15.770957175785513</v>
      </c>
      <c r="DO103" s="60">
        <v>13.909818013214327</v>
      </c>
      <c r="DP103" s="60">
        <v>17.837235228539576</v>
      </c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</row>
    <row r="104" ht="14.25" customHeight="1">
      <c r="A104" s="12"/>
      <c r="B104" s="37" t="s">
        <v>64</v>
      </c>
      <c r="C104" s="38" t="s">
        <v>297</v>
      </c>
      <c r="D104" s="39">
        <v>0.0</v>
      </c>
      <c r="E104" s="39">
        <v>0.0</v>
      </c>
      <c r="F104" s="39">
        <v>0.0</v>
      </c>
      <c r="G104" s="39">
        <v>0.0</v>
      </c>
      <c r="H104" s="39">
        <v>0.0</v>
      </c>
      <c r="I104" s="49">
        <v>0.0</v>
      </c>
      <c r="J104" s="39">
        <v>0.0</v>
      </c>
      <c r="K104" s="39">
        <v>0.0</v>
      </c>
      <c r="L104" s="39">
        <v>0.0</v>
      </c>
      <c r="M104" s="39">
        <v>0.0</v>
      </c>
      <c r="N104" s="39">
        <v>0.0</v>
      </c>
      <c r="O104" s="39">
        <v>0.0</v>
      </c>
      <c r="P104" s="39">
        <v>0.0</v>
      </c>
      <c r="Q104" s="39">
        <v>0.0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M104" s="64">
        <v>40.0</v>
      </c>
      <c r="AN104" s="65" t="s">
        <v>298</v>
      </c>
      <c r="AO104" s="67">
        <v>1.0</v>
      </c>
      <c r="AP104" s="66"/>
      <c r="AQ104" s="66">
        <v>1.2</v>
      </c>
      <c r="AR104" s="66"/>
      <c r="AS104" s="66">
        <v>0.6</v>
      </c>
      <c r="AT104" s="66"/>
      <c r="AU104" s="66">
        <v>0.4</v>
      </c>
      <c r="AV104" s="66"/>
      <c r="AW104" s="66">
        <v>0.8</v>
      </c>
      <c r="AX104" s="66"/>
      <c r="AY104" s="66">
        <v>1.1</v>
      </c>
      <c r="AZ104" s="66"/>
      <c r="BA104" s="66">
        <v>1.5</v>
      </c>
      <c r="BB104" s="66"/>
      <c r="BC104" s="67">
        <v>0.9</v>
      </c>
      <c r="BD104" s="67"/>
      <c r="BE104" s="67">
        <v>0.9</v>
      </c>
      <c r="BF104" s="67"/>
      <c r="BG104" s="67">
        <v>1.6</v>
      </c>
      <c r="BH104" s="67"/>
      <c r="BI104" s="67">
        <v>1.1</v>
      </c>
      <c r="BJ104" s="67"/>
      <c r="BK104" s="67">
        <v>0.7652033830044301</v>
      </c>
      <c r="BL104" s="67"/>
      <c r="BM104" s="67">
        <v>0.7702182284980745</v>
      </c>
      <c r="BN104" s="67"/>
      <c r="BO104" s="67">
        <v>0.3</v>
      </c>
      <c r="BP104" s="67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DA104" s="58"/>
      <c r="DB104" s="72" t="s">
        <v>299</v>
      </c>
      <c r="DC104" s="60"/>
      <c r="DD104" s="60"/>
      <c r="DE104" s="60"/>
      <c r="DF104" s="60"/>
      <c r="DG104" s="60"/>
      <c r="DH104" s="60"/>
      <c r="DI104" s="60"/>
      <c r="DJ104" s="60"/>
      <c r="DK104" s="60"/>
      <c r="DL104" s="60"/>
      <c r="DM104" s="60"/>
      <c r="DN104" s="60">
        <v>5.524861878453039</v>
      </c>
      <c r="DO104" s="60">
        <v>5.376344086021505</v>
      </c>
      <c r="DP104" s="60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</row>
    <row r="105" ht="14.25" customHeight="1">
      <c r="A105" s="12"/>
      <c r="B105" s="37" t="s">
        <v>64</v>
      </c>
      <c r="C105" s="38" t="s">
        <v>300</v>
      </c>
      <c r="D105" s="39">
        <v>0.2736666958577809</v>
      </c>
      <c r="E105" s="39">
        <v>0.010946667834311235</v>
      </c>
      <c r="F105" s="39">
        <v>0.02189333566862247</v>
      </c>
      <c r="G105" s="39">
        <v>0.010946667834311235</v>
      </c>
      <c r="H105" s="39">
        <v>0.0</v>
      </c>
      <c r="I105" s="49">
        <v>0.0</v>
      </c>
      <c r="J105" s="39">
        <v>0.0</v>
      </c>
      <c r="K105" s="39">
        <v>0.0</v>
      </c>
      <c r="L105" s="39">
        <v>0.0</v>
      </c>
      <c r="M105" s="39">
        <v>0.0</v>
      </c>
      <c r="N105" s="39">
        <v>0.010946667834311235</v>
      </c>
      <c r="O105" s="39">
        <v>0.0</v>
      </c>
      <c r="P105" s="39">
        <v>0.0</v>
      </c>
      <c r="Q105" s="39">
        <v>0.0</v>
      </c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M105" s="64">
        <v>41.0</v>
      </c>
      <c r="AN105" s="65" t="s">
        <v>224</v>
      </c>
      <c r="AO105" s="66">
        <v>0.7</v>
      </c>
      <c r="AP105" s="66"/>
      <c r="AQ105" s="66">
        <v>0.9</v>
      </c>
      <c r="AR105" s="66"/>
      <c r="AS105" s="66">
        <v>0.9</v>
      </c>
      <c r="AT105" s="66"/>
      <c r="AU105" s="66">
        <v>0.9</v>
      </c>
      <c r="AV105" s="66"/>
      <c r="AW105" s="66">
        <v>0.8</v>
      </c>
      <c r="AX105" s="66"/>
      <c r="AY105" s="66">
        <v>1.9</v>
      </c>
      <c r="AZ105" s="66"/>
      <c r="BA105" s="66">
        <v>0.9</v>
      </c>
      <c r="BB105" s="66"/>
      <c r="BC105" s="67">
        <v>0.6</v>
      </c>
      <c r="BD105" s="67"/>
      <c r="BE105" s="67">
        <v>0.4</v>
      </c>
      <c r="BF105" s="67"/>
      <c r="BG105" s="67">
        <v>0.3</v>
      </c>
      <c r="BH105" s="67"/>
      <c r="BI105" s="67">
        <v>0.6</v>
      </c>
      <c r="BJ105" s="67"/>
      <c r="BK105" s="67">
        <v>0.1</v>
      </c>
      <c r="BL105" s="67"/>
      <c r="BM105" s="67">
        <v>0.08282716731087797</v>
      </c>
      <c r="BN105" s="67"/>
      <c r="BO105" s="67">
        <v>0.0</v>
      </c>
      <c r="BP105" s="67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DA105" s="58"/>
      <c r="DB105" s="72" t="s">
        <v>301</v>
      </c>
      <c r="DC105" s="60"/>
      <c r="DD105" s="60"/>
      <c r="DE105" s="60"/>
      <c r="DF105" s="60">
        <v>2.369387513327805</v>
      </c>
      <c r="DG105" s="60">
        <v>5.900575306092344</v>
      </c>
      <c r="DH105" s="60"/>
      <c r="DI105" s="60">
        <v>1.0716964955524595</v>
      </c>
      <c r="DJ105" s="60"/>
      <c r="DK105" s="60">
        <v>5.590496156533892</v>
      </c>
      <c r="DL105" s="60">
        <v>2.759762660411204</v>
      </c>
      <c r="DM105" s="60">
        <v>1.9083969465648856</v>
      </c>
      <c r="DN105" s="60">
        <v>6.506180871828238</v>
      </c>
      <c r="DO105" s="60">
        <v>0.9063717937097797</v>
      </c>
      <c r="DP105" s="60">
        <v>11.084938340030483</v>
      </c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</row>
    <row r="106" ht="14.25" customHeight="1">
      <c r="A106" s="12"/>
      <c r="B106" s="37" t="s">
        <v>64</v>
      </c>
      <c r="C106" s="38" t="s">
        <v>302</v>
      </c>
      <c r="D106" s="39">
        <v>0.0</v>
      </c>
      <c r="E106" s="39">
        <v>0.0</v>
      </c>
      <c r="F106" s="39">
        <v>0.0</v>
      </c>
      <c r="G106" s="39">
        <v>0.0</v>
      </c>
      <c r="H106" s="39">
        <v>0.0</v>
      </c>
      <c r="I106" s="49">
        <v>0.0</v>
      </c>
      <c r="J106" s="39">
        <v>0.0</v>
      </c>
      <c r="K106" s="39">
        <v>0.0</v>
      </c>
      <c r="L106" s="39">
        <v>0.0</v>
      </c>
      <c r="M106" s="39">
        <v>0.0</v>
      </c>
      <c r="N106" s="39">
        <v>0.17461148943600488</v>
      </c>
      <c r="O106" s="39">
        <v>0.0</v>
      </c>
      <c r="P106" s="39">
        <v>0.0</v>
      </c>
      <c r="Q106" s="39">
        <v>0.0</v>
      </c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M106" s="102" t="s">
        <v>59</v>
      </c>
      <c r="AN106" s="102"/>
      <c r="AO106" s="99">
        <v>15.0</v>
      </c>
      <c r="AP106" s="99">
        <v>3.0</v>
      </c>
      <c r="AQ106" s="99">
        <v>17.0</v>
      </c>
      <c r="AR106" s="99">
        <v>3.0</v>
      </c>
      <c r="AS106" s="99">
        <v>17.0</v>
      </c>
      <c r="AT106" s="99">
        <v>2.0</v>
      </c>
      <c r="AU106" s="99">
        <v>18.0</v>
      </c>
      <c r="AV106" s="99">
        <v>2.0</v>
      </c>
      <c r="AW106" s="99">
        <v>18.0</v>
      </c>
      <c r="AX106" s="99">
        <v>3.0</v>
      </c>
      <c r="AY106" s="99">
        <v>14.0</v>
      </c>
      <c r="AZ106" s="99">
        <v>3.0</v>
      </c>
      <c r="BA106" s="99">
        <v>16.0</v>
      </c>
      <c r="BB106" s="99">
        <v>0.0</v>
      </c>
      <c r="BC106" s="99">
        <v>20.0</v>
      </c>
      <c r="BD106" s="99"/>
      <c r="BE106" s="99">
        <v>18.0</v>
      </c>
      <c r="BF106" s="99"/>
      <c r="BG106" s="99">
        <f t="shared" ref="BG106:BP106" si="11">COUNT(BG107:BG127)</f>
        <v>14</v>
      </c>
      <c r="BH106" s="99">
        <f t="shared" si="11"/>
        <v>3</v>
      </c>
      <c r="BI106" s="99">
        <f t="shared" si="11"/>
        <v>14</v>
      </c>
      <c r="BJ106" s="99">
        <f t="shared" si="11"/>
        <v>7</v>
      </c>
      <c r="BK106" s="99">
        <f t="shared" si="11"/>
        <v>16</v>
      </c>
      <c r="BL106" s="99">
        <f t="shared" si="11"/>
        <v>3</v>
      </c>
      <c r="BM106" s="99">
        <f t="shared" si="11"/>
        <v>15</v>
      </c>
      <c r="BN106" s="99">
        <f t="shared" si="11"/>
        <v>5</v>
      </c>
      <c r="BO106" s="99">
        <f t="shared" si="11"/>
        <v>17</v>
      </c>
      <c r="BP106" s="99">
        <f t="shared" si="11"/>
        <v>4</v>
      </c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DA106" s="58"/>
      <c r="DB106" s="72" t="s">
        <v>303</v>
      </c>
      <c r="DC106" s="60"/>
      <c r="DD106" s="60"/>
      <c r="DE106" s="60"/>
      <c r="DF106" s="60"/>
      <c r="DG106" s="60"/>
      <c r="DH106" s="60"/>
      <c r="DI106" s="60"/>
      <c r="DJ106" s="60"/>
      <c r="DK106" s="60"/>
      <c r="DL106" s="60">
        <v>1.148105625717566</v>
      </c>
      <c r="DM106" s="60"/>
      <c r="DN106" s="60">
        <v>5.343022013250694</v>
      </c>
      <c r="DO106" s="60">
        <v>6.185567010309278</v>
      </c>
      <c r="DP106" s="60">
        <v>1.0866021949364337</v>
      </c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</row>
    <row r="107" ht="14.25" customHeight="1">
      <c r="A107" s="12"/>
      <c r="B107" s="37" t="s">
        <v>64</v>
      </c>
      <c r="C107" s="38" t="s">
        <v>304</v>
      </c>
      <c r="D107" s="39">
        <v>0.14851182416200018</v>
      </c>
      <c r="E107" s="39">
        <v>0.0</v>
      </c>
      <c r="F107" s="39">
        <v>0.0</v>
      </c>
      <c r="G107" s="39">
        <v>0.0</v>
      </c>
      <c r="H107" s="39">
        <v>0.0</v>
      </c>
      <c r="I107" s="49">
        <v>0.0</v>
      </c>
      <c r="J107" s="39">
        <v>0.0</v>
      </c>
      <c r="K107" s="39">
        <v>0.0</v>
      </c>
      <c r="L107" s="39">
        <v>0.0</v>
      </c>
      <c r="M107" s="39">
        <v>0.0</v>
      </c>
      <c r="N107" s="39">
        <v>0.0</v>
      </c>
      <c r="O107" s="39">
        <v>0.0</v>
      </c>
      <c r="P107" s="39">
        <v>0.0</v>
      </c>
      <c r="Q107" s="39">
        <v>0.0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M107" s="64">
        <v>1.0</v>
      </c>
      <c r="AN107" s="65" t="s">
        <v>305</v>
      </c>
      <c r="AO107" s="66">
        <v>0.8</v>
      </c>
      <c r="AP107" s="66"/>
      <c r="AQ107" s="66">
        <v>0.3</v>
      </c>
      <c r="AR107" s="66"/>
      <c r="AS107" s="66">
        <v>0.5</v>
      </c>
      <c r="AT107" s="66"/>
      <c r="AU107" s="66">
        <v>0.3</v>
      </c>
      <c r="AV107" s="66"/>
      <c r="AW107" s="66">
        <v>0.2</v>
      </c>
      <c r="AX107" s="66"/>
      <c r="AY107" s="66">
        <v>0.2</v>
      </c>
      <c r="AZ107" s="66"/>
      <c r="BA107" s="66">
        <v>0.2</v>
      </c>
      <c r="BB107" s="66"/>
      <c r="BC107" s="67">
        <v>0.5</v>
      </c>
      <c r="BD107" s="66"/>
      <c r="BE107" s="67">
        <v>0.3</v>
      </c>
      <c r="BF107" s="66"/>
      <c r="BG107" s="67">
        <v>0.7</v>
      </c>
      <c r="BH107" s="66"/>
      <c r="BI107" s="67">
        <v>0.9</v>
      </c>
      <c r="BJ107" s="66"/>
      <c r="BK107" s="67">
        <v>0.6206896551724138</v>
      </c>
      <c r="BL107" s="66"/>
      <c r="BM107" s="67">
        <v>0.22163120567375888</v>
      </c>
      <c r="BN107" s="66"/>
      <c r="BO107" s="67">
        <v>0.7551919446192574</v>
      </c>
      <c r="BP107" s="6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DA107" s="58"/>
      <c r="DB107" s="72" t="s">
        <v>306</v>
      </c>
      <c r="DC107" s="60"/>
      <c r="DD107" s="60"/>
      <c r="DE107" s="60"/>
      <c r="DF107" s="60"/>
      <c r="DG107" s="60"/>
      <c r="DH107" s="60"/>
      <c r="DI107" s="60"/>
      <c r="DJ107" s="60">
        <v>1.8825301204819278</v>
      </c>
      <c r="DK107" s="60">
        <v>3.6446469248291575</v>
      </c>
      <c r="DL107" s="60">
        <v>1.763979537837361</v>
      </c>
      <c r="DM107" s="60">
        <v>3.79794910748196</v>
      </c>
      <c r="DN107" s="60">
        <v>1.21758188238159</v>
      </c>
      <c r="DO107" s="60">
        <v>10.549759699917947</v>
      </c>
      <c r="DP107" s="60">
        <v>8.768511301636789</v>
      </c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</row>
    <row r="108" ht="14.25" customHeight="1">
      <c r="A108" s="12"/>
      <c r="B108" s="37" t="s">
        <v>64</v>
      </c>
      <c r="C108" s="38" t="s">
        <v>307</v>
      </c>
      <c r="D108" s="39">
        <v>0.0</v>
      </c>
      <c r="E108" s="39">
        <v>0.0</v>
      </c>
      <c r="F108" s="39">
        <v>0.0</v>
      </c>
      <c r="G108" s="39">
        <v>0.0</v>
      </c>
      <c r="H108" s="39">
        <v>0.0</v>
      </c>
      <c r="I108" s="39">
        <v>0.0</v>
      </c>
      <c r="J108" s="39">
        <v>0.0</v>
      </c>
      <c r="K108" s="39">
        <v>0.0</v>
      </c>
      <c r="L108" s="39">
        <v>0.0</v>
      </c>
      <c r="M108" s="39">
        <v>0.0</v>
      </c>
      <c r="N108" s="39">
        <v>0.0</v>
      </c>
      <c r="O108" s="39">
        <v>0.022419513944937675</v>
      </c>
      <c r="P108" s="39">
        <v>0.022419513944937675</v>
      </c>
      <c r="Q108" s="39">
        <v>0.0</v>
      </c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M108" s="64">
        <v>2.0</v>
      </c>
      <c r="AN108" s="65" t="s">
        <v>308</v>
      </c>
      <c r="AO108" s="66">
        <v>0.6</v>
      </c>
      <c r="AP108" s="66"/>
      <c r="AQ108" s="66">
        <v>0.5</v>
      </c>
      <c r="AR108" s="66"/>
      <c r="AS108" s="66">
        <v>0.0</v>
      </c>
      <c r="AT108" s="66"/>
      <c r="AU108" s="66">
        <v>0.6</v>
      </c>
      <c r="AV108" s="66"/>
      <c r="AW108" s="66">
        <v>0.9</v>
      </c>
      <c r="AX108" s="66"/>
      <c r="AY108" s="66">
        <v>0.2</v>
      </c>
      <c r="AZ108" s="66"/>
      <c r="BA108" s="66">
        <v>0.5</v>
      </c>
      <c r="BB108" s="66"/>
      <c r="BC108" s="67">
        <v>0.6</v>
      </c>
      <c r="BD108" s="66"/>
      <c r="BE108" s="67">
        <v>0.6</v>
      </c>
      <c r="BF108" s="66"/>
      <c r="BG108" s="67">
        <v>0.4</v>
      </c>
      <c r="BH108" s="66"/>
      <c r="BI108" s="67">
        <v>0.5</v>
      </c>
      <c r="BJ108" s="66"/>
      <c r="BK108" s="67">
        <v>0.5150214592274678</v>
      </c>
      <c r="BL108" s="66"/>
      <c r="BM108" s="67">
        <v>1.1363636363636365</v>
      </c>
      <c r="BN108" s="66"/>
      <c r="BO108" s="67">
        <v>1.1494252873563218</v>
      </c>
      <c r="BP108" s="6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DA108" s="58"/>
      <c r="DB108" s="72" t="s">
        <v>309</v>
      </c>
      <c r="DC108" s="60"/>
      <c r="DD108" s="60"/>
      <c r="DE108" s="60"/>
      <c r="DF108" s="60"/>
      <c r="DG108" s="60"/>
      <c r="DH108" s="60"/>
      <c r="DI108" s="60"/>
      <c r="DJ108" s="60"/>
      <c r="DK108" s="60"/>
      <c r="DL108" s="60"/>
      <c r="DM108" s="60">
        <v>3.2299741602067185</v>
      </c>
      <c r="DN108" s="60"/>
      <c r="DO108" s="60">
        <v>6.142506142506142</v>
      </c>
      <c r="DP108" s="60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</row>
    <row r="109" ht="14.25" customHeight="1">
      <c r="A109" s="12"/>
      <c r="B109" s="37" t="s">
        <v>64</v>
      </c>
      <c r="C109" s="38" t="s">
        <v>310</v>
      </c>
      <c r="D109" s="39">
        <v>4.123330666502555</v>
      </c>
      <c r="E109" s="39">
        <v>1.4154717213366976</v>
      </c>
      <c r="F109" s="39">
        <v>0.06154224875376947</v>
      </c>
      <c r="G109" s="39">
        <v>0.0</v>
      </c>
      <c r="H109" s="39">
        <v>0.18462674626130837</v>
      </c>
      <c r="I109" s="49">
        <v>0.0</v>
      </c>
      <c r="J109" s="39">
        <v>0.0</v>
      </c>
      <c r="K109" s="39">
        <v>0.0</v>
      </c>
      <c r="L109" s="39">
        <v>0.0</v>
      </c>
      <c r="M109" s="39">
        <v>0.0</v>
      </c>
      <c r="N109" s="39">
        <v>0.0</v>
      </c>
      <c r="O109" s="39">
        <v>0.0</v>
      </c>
      <c r="P109" s="39">
        <v>0.0</v>
      </c>
      <c r="Q109" s="39">
        <v>0.06154224875376947</v>
      </c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M109" s="64">
        <v>3.0</v>
      </c>
      <c r="AN109" s="65" t="s">
        <v>311</v>
      </c>
      <c r="AO109" s="66"/>
      <c r="AP109" s="67">
        <v>4.0</v>
      </c>
      <c r="AQ109" s="66">
        <v>2.9</v>
      </c>
      <c r="AR109" s="66"/>
      <c r="AS109" s="66">
        <v>1.9</v>
      </c>
      <c r="AT109" s="66"/>
      <c r="AU109" s="66">
        <v>1.8</v>
      </c>
      <c r="AV109" s="66"/>
      <c r="AW109" s="66">
        <v>1.5</v>
      </c>
      <c r="AX109" s="66"/>
      <c r="AY109" s="66"/>
      <c r="AZ109" s="66"/>
      <c r="BA109" s="67">
        <v>2.0</v>
      </c>
      <c r="BB109" s="66"/>
      <c r="BC109" s="67">
        <v>1.9</v>
      </c>
      <c r="BD109" s="66"/>
      <c r="BE109" s="67">
        <v>1.2</v>
      </c>
      <c r="BF109" s="66"/>
      <c r="BG109" s="67">
        <v>0.3</v>
      </c>
      <c r="BH109" s="66"/>
      <c r="BI109" s="67"/>
      <c r="BJ109" s="66">
        <v>4.2</v>
      </c>
      <c r="BK109" s="67"/>
      <c r="BL109" s="67">
        <v>5.753504672897196</v>
      </c>
      <c r="BM109" s="67"/>
      <c r="BN109" s="67">
        <v>3.564356435643564</v>
      </c>
      <c r="BO109" s="67"/>
      <c r="BP109" s="67">
        <v>3.8273253226524258</v>
      </c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DA109" s="47" t="s">
        <v>52</v>
      </c>
      <c r="DB109" s="48" t="s">
        <v>52</v>
      </c>
      <c r="DC109" s="36">
        <v>26.354503582249567</v>
      </c>
      <c r="DD109" s="36">
        <v>18.758617226712307</v>
      </c>
      <c r="DE109" s="36">
        <v>3.895735070372853</v>
      </c>
      <c r="DF109" s="36">
        <v>9.087278480338954</v>
      </c>
      <c r="DG109" s="36">
        <v>3.127343709867982</v>
      </c>
      <c r="DH109" s="36">
        <v>4.469226859380468</v>
      </c>
      <c r="DI109" s="36">
        <v>0.7</v>
      </c>
      <c r="DJ109" s="36">
        <v>0.4633972475069661</v>
      </c>
      <c r="DK109" s="36">
        <v>3.370206631854793</v>
      </c>
      <c r="DL109" s="36">
        <v>21.91043112449597</v>
      </c>
      <c r="DM109" s="36">
        <v>0.13117845220428462</v>
      </c>
      <c r="DN109" s="36">
        <v>2.6052563781339866</v>
      </c>
      <c r="DO109" s="36">
        <v>42.69875485568517</v>
      </c>
      <c r="DP109" s="36">
        <v>1.131964322364638</v>
      </c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</row>
    <row r="110" ht="14.25" customHeight="1">
      <c r="A110" s="12"/>
      <c r="B110" s="37" t="s">
        <v>64</v>
      </c>
      <c r="C110" s="38" t="s">
        <v>312</v>
      </c>
      <c r="D110" s="39">
        <v>0.0</v>
      </c>
      <c r="E110" s="39">
        <v>0.0</v>
      </c>
      <c r="F110" s="39">
        <v>0.0</v>
      </c>
      <c r="G110" s="39">
        <v>0.0</v>
      </c>
      <c r="H110" s="39">
        <v>0.0</v>
      </c>
      <c r="I110" s="49">
        <v>0.0</v>
      </c>
      <c r="J110" s="39">
        <v>0.0</v>
      </c>
      <c r="K110" s="39">
        <v>0.0</v>
      </c>
      <c r="L110" s="39">
        <v>0.0</v>
      </c>
      <c r="M110" s="39">
        <v>0.0</v>
      </c>
      <c r="N110" s="39">
        <v>0.0</v>
      </c>
      <c r="O110" s="39">
        <v>0.0</v>
      </c>
      <c r="P110" s="39">
        <v>0.0</v>
      </c>
      <c r="Q110" s="39">
        <v>0.0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M110" s="64">
        <v>4.0</v>
      </c>
      <c r="AN110" s="65" t="s">
        <v>313</v>
      </c>
      <c r="AO110" s="66">
        <v>0.5</v>
      </c>
      <c r="AP110" s="66"/>
      <c r="AQ110" s="66">
        <v>0.5</v>
      </c>
      <c r="AR110" s="66"/>
      <c r="AS110" s="66">
        <v>0.9</v>
      </c>
      <c r="AT110" s="66"/>
      <c r="AU110" s="67">
        <v>1.0</v>
      </c>
      <c r="AV110" s="66"/>
      <c r="AW110" s="66">
        <v>2.7</v>
      </c>
      <c r="AX110" s="66"/>
      <c r="AY110" s="66"/>
      <c r="AZ110" s="66">
        <v>3.2</v>
      </c>
      <c r="BA110" s="66">
        <v>0.6</v>
      </c>
      <c r="BB110" s="66"/>
      <c r="BC110" s="67">
        <v>1.1</v>
      </c>
      <c r="BD110" s="66"/>
      <c r="BE110" s="67">
        <v>0.6</v>
      </c>
      <c r="BF110" s="66"/>
      <c r="BG110" s="67">
        <v>0.8</v>
      </c>
      <c r="BH110" s="66"/>
      <c r="BI110" s="67">
        <v>0.9</v>
      </c>
      <c r="BJ110" s="66"/>
      <c r="BK110" s="67">
        <v>0.5982512655315232</v>
      </c>
      <c r="BL110" s="66"/>
      <c r="BM110" s="67">
        <v>0.3778932451582428</v>
      </c>
      <c r="BN110" s="66"/>
      <c r="BO110" s="67">
        <v>0.8767881864328565</v>
      </c>
      <c r="BP110" s="6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DA110" s="58"/>
      <c r="DB110" s="72" t="s">
        <v>314</v>
      </c>
      <c r="DC110" s="60"/>
      <c r="DD110" s="60">
        <v>7.189318726463539</v>
      </c>
      <c r="DE110" s="60">
        <v>0.0</v>
      </c>
      <c r="DF110" s="60"/>
      <c r="DG110" s="60"/>
      <c r="DH110" s="60"/>
      <c r="DI110" s="60"/>
      <c r="DJ110" s="60"/>
      <c r="DK110" s="60"/>
      <c r="DL110" s="60"/>
      <c r="DM110" s="60"/>
      <c r="DN110" s="60">
        <v>0.5595501217021515</v>
      </c>
      <c r="DO110" s="60">
        <v>12.65787953000743</v>
      </c>
      <c r="DP110" s="60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</row>
    <row r="111" ht="14.25" customHeight="1">
      <c r="A111" s="12"/>
      <c r="B111" s="37" t="s">
        <v>64</v>
      </c>
      <c r="C111" s="38" t="s">
        <v>315</v>
      </c>
      <c r="D111" s="39">
        <v>3.915426781519186</v>
      </c>
      <c r="E111" s="39">
        <v>0.0</v>
      </c>
      <c r="F111" s="39">
        <v>0.0</v>
      </c>
      <c r="G111" s="39">
        <v>0.0</v>
      </c>
      <c r="H111" s="39">
        <v>0.0</v>
      </c>
      <c r="I111" s="49">
        <v>0.0</v>
      </c>
      <c r="J111" s="39">
        <v>0.0</v>
      </c>
      <c r="K111" s="39">
        <v>0.0</v>
      </c>
      <c r="L111" s="39">
        <v>0.0</v>
      </c>
      <c r="M111" s="39">
        <v>0.39154267815191857</v>
      </c>
      <c r="N111" s="39">
        <v>0.0</v>
      </c>
      <c r="O111" s="39">
        <v>0.0</v>
      </c>
      <c r="P111" s="39">
        <v>0.0</v>
      </c>
      <c r="Q111" s="39">
        <v>0.0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M111" s="64">
        <v>5.0</v>
      </c>
      <c r="AN111" s="65" t="s">
        <v>316</v>
      </c>
      <c r="AO111" s="66"/>
      <c r="AP111" s="66"/>
      <c r="AQ111" s="66">
        <v>0.6</v>
      </c>
      <c r="AR111" s="66"/>
      <c r="AS111" s="66"/>
      <c r="AT111" s="66"/>
      <c r="AU111" s="66">
        <v>0.1</v>
      </c>
      <c r="AV111" s="66"/>
      <c r="AW111" s="66"/>
      <c r="AX111" s="67">
        <v>0.0</v>
      </c>
      <c r="AY111" s="66">
        <v>0.9</v>
      </c>
      <c r="AZ111" s="66"/>
      <c r="BA111" s="66"/>
      <c r="BB111" s="66"/>
      <c r="BC111" s="67">
        <v>0.0</v>
      </c>
      <c r="BD111" s="66"/>
      <c r="BE111" s="67"/>
      <c r="BF111" s="66"/>
      <c r="BG111" s="67"/>
      <c r="BH111" s="66"/>
      <c r="BI111" s="67">
        <v>0.0</v>
      </c>
      <c r="BJ111" s="66"/>
      <c r="BK111" s="67">
        <v>0.36968576709796674</v>
      </c>
      <c r="BL111" s="66"/>
      <c r="BM111" s="67">
        <v>0.0</v>
      </c>
      <c r="BN111" s="66"/>
      <c r="BO111" s="67">
        <v>1.6574585635359116</v>
      </c>
      <c r="BP111" s="6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DA111" s="58"/>
      <c r="DB111" s="72" t="s">
        <v>317</v>
      </c>
      <c r="DC111" s="60">
        <v>0.0</v>
      </c>
      <c r="DD111" s="60">
        <v>19.157088122605362</v>
      </c>
      <c r="DE111" s="60">
        <v>9.157509157509157</v>
      </c>
      <c r="DF111" s="60">
        <v>20.648358455502787</v>
      </c>
      <c r="DG111" s="60"/>
      <c r="DH111" s="60"/>
      <c r="DI111" s="60">
        <v>9.9147332936744</v>
      </c>
      <c r="DJ111" s="60"/>
      <c r="DK111" s="60"/>
      <c r="DL111" s="60">
        <v>3.2499187520311996</v>
      </c>
      <c r="DM111" s="60"/>
      <c r="DN111" s="60"/>
      <c r="DO111" s="60"/>
      <c r="DP111" s="60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</row>
    <row r="112" ht="14.25" customHeight="1">
      <c r="A112" s="12"/>
      <c r="B112" s="37" t="s">
        <v>64</v>
      </c>
      <c r="C112" s="38" t="s">
        <v>318</v>
      </c>
      <c r="D112" s="39">
        <v>16.520392359318535</v>
      </c>
      <c r="E112" s="39">
        <v>11.74496644295302</v>
      </c>
      <c r="F112" s="39">
        <v>2.7103768714506966</v>
      </c>
      <c r="G112" s="39">
        <v>0.2581311306143521</v>
      </c>
      <c r="H112" s="39">
        <v>0.0</v>
      </c>
      <c r="I112" s="49">
        <v>0.12906556530717606</v>
      </c>
      <c r="J112" s="39">
        <v>0.0</v>
      </c>
      <c r="K112" s="39">
        <v>0.0</v>
      </c>
      <c r="L112" s="39">
        <v>0.0</v>
      </c>
      <c r="M112" s="39">
        <v>0.0</v>
      </c>
      <c r="N112" s="39">
        <v>0.0</v>
      </c>
      <c r="O112" s="39">
        <v>0.0</v>
      </c>
      <c r="P112" s="39">
        <v>0.0</v>
      </c>
      <c r="Q112" s="39">
        <v>0.0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M112" s="64">
        <v>6.0</v>
      </c>
      <c r="AN112" s="65" t="s">
        <v>319</v>
      </c>
      <c r="AO112" s="66"/>
      <c r="AP112" s="66">
        <v>7.5</v>
      </c>
      <c r="AQ112" s="66"/>
      <c r="AR112" s="66">
        <v>9.6</v>
      </c>
      <c r="AS112" s="66"/>
      <c r="AT112" s="67">
        <v>4.0</v>
      </c>
      <c r="AU112" s="66"/>
      <c r="AV112" s="66">
        <v>4.7</v>
      </c>
      <c r="AW112" s="66"/>
      <c r="AX112" s="66">
        <v>3.5</v>
      </c>
      <c r="AY112" s="66">
        <v>0.6</v>
      </c>
      <c r="AZ112" s="66"/>
      <c r="BA112" s="66">
        <v>1.5</v>
      </c>
      <c r="BB112" s="66"/>
      <c r="BC112" s="67">
        <v>2.0</v>
      </c>
      <c r="BD112" s="66"/>
      <c r="BE112" s="67">
        <v>1.6</v>
      </c>
      <c r="BF112" s="66"/>
      <c r="BG112" s="67">
        <v>1.0</v>
      </c>
      <c r="BH112" s="66"/>
      <c r="BI112" s="67"/>
      <c r="BJ112" s="66">
        <v>6.1</v>
      </c>
      <c r="BK112" s="67">
        <v>2.410231185440236</v>
      </c>
      <c r="BL112" s="66"/>
      <c r="BM112" s="67">
        <v>2.426753477360166</v>
      </c>
      <c r="BN112" s="66"/>
      <c r="BO112" s="67">
        <v>2.7143738433066007</v>
      </c>
      <c r="BP112" s="6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DA112" s="58"/>
      <c r="DB112" s="72" t="s">
        <v>320</v>
      </c>
      <c r="DC112" s="60"/>
      <c r="DD112" s="60">
        <v>26.99367576739164</v>
      </c>
      <c r="DE112" s="60">
        <v>1.4616677629174888</v>
      </c>
      <c r="DF112" s="60">
        <v>0.7457677679170706</v>
      </c>
      <c r="DG112" s="60">
        <v>2.202319776831596</v>
      </c>
      <c r="DH112" s="60">
        <v>7.231180851833104</v>
      </c>
      <c r="DI112" s="60"/>
      <c r="DJ112" s="60"/>
      <c r="DK112" s="60"/>
      <c r="DL112" s="60">
        <v>0.9458351724572798</v>
      </c>
      <c r="DM112" s="60"/>
      <c r="DN112" s="60">
        <v>1.3396744591064371</v>
      </c>
      <c r="DO112" s="60">
        <v>41.75503711558855</v>
      </c>
      <c r="DP112" s="60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</row>
    <row r="113" ht="14.25" customHeight="1">
      <c r="A113" s="12"/>
      <c r="B113" s="37" t="s">
        <v>64</v>
      </c>
      <c r="C113" s="38" t="s">
        <v>321</v>
      </c>
      <c r="D113" s="39">
        <v>0.05437245129134572</v>
      </c>
      <c r="E113" s="39">
        <v>0.05437245129134572</v>
      </c>
      <c r="F113" s="39">
        <v>0.05437245129134572</v>
      </c>
      <c r="G113" s="39">
        <v>0.0</v>
      </c>
      <c r="H113" s="39">
        <v>0.0</v>
      </c>
      <c r="I113" s="49">
        <v>0.0</v>
      </c>
      <c r="J113" s="39">
        <v>0.0</v>
      </c>
      <c r="K113" s="39">
        <v>0.0</v>
      </c>
      <c r="L113" s="39">
        <v>0.01812415043044857</v>
      </c>
      <c r="M113" s="39">
        <v>0.0</v>
      </c>
      <c r="N113" s="39">
        <v>0.0</v>
      </c>
      <c r="O113" s="39">
        <v>0.0</v>
      </c>
      <c r="P113" s="39">
        <v>0.0</v>
      </c>
      <c r="Q113" s="39">
        <v>0.0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M113" s="64">
        <v>7.0</v>
      </c>
      <c r="AN113" s="65" t="s">
        <v>322</v>
      </c>
      <c r="AO113" s="66"/>
      <c r="AP113" s="66"/>
      <c r="AQ113" s="66">
        <v>2.6</v>
      </c>
      <c r="AR113" s="66"/>
      <c r="AS113" s="66"/>
      <c r="AT113" s="66">
        <v>4.2</v>
      </c>
      <c r="AU113" s="66">
        <v>2.6</v>
      </c>
      <c r="AV113" s="66"/>
      <c r="AW113" s="66">
        <v>2.9</v>
      </c>
      <c r="AX113" s="66"/>
      <c r="AY113" s="66"/>
      <c r="AZ113" s="66"/>
      <c r="BA113" s="66">
        <v>1.3</v>
      </c>
      <c r="BB113" s="66"/>
      <c r="BC113" s="67">
        <v>0.6</v>
      </c>
      <c r="BD113" s="66"/>
      <c r="BE113" s="67">
        <v>0.0</v>
      </c>
      <c r="BF113" s="66"/>
      <c r="BG113" s="67"/>
      <c r="BH113" s="66">
        <v>6.6</v>
      </c>
      <c r="BI113" s="67"/>
      <c r="BJ113" s="66">
        <v>24.2</v>
      </c>
      <c r="BK113" s="67"/>
      <c r="BL113" s="66"/>
      <c r="BM113" s="67"/>
      <c r="BN113" s="67">
        <v>3.6211699164345403</v>
      </c>
      <c r="BO113" s="67">
        <v>7.751937984496124</v>
      </c>
      <c r="BP113" s="67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DA113" s="58"/>
      <c r="DB113" s="72" t="s">
        <v>323</v>
      </c>
      <c r="DC113" s="60"/>
      <c r="DD113" s="60"/>
      <c r="DE113" s="60">
        <v>1.404741000877963</v>
      </c>
      <c r="DF113" s="60">
        <v>5.044136191677175</v>
      </c>
      <c r="DG113" s="60"/>
      <c r="DH113" s="60">
        <v>3.535532097580686</v>
      </c>
      <c r="DI113" s="60"/>
      <c r="DJ113" s="60"/>
      <c r="DK113" s="60">
        <v>0.3179043743641912</v>
      </c>
      <c r="DL113" s="60">
        <v>7.513618433410557</v>
      </c>
      <c r="DM113" s="60"/>
      <c r="DN113" s="60">
        <v>0.6701739101296786</v>
      </c>
      <c r="DO113" s="60">
        <v>14.653966562312663</v>
      </c>
      <c r="DP113" s="60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</row>
    <row r="114" ht="14.25" customHeight="1">
      <c r="A114" s="12"/>
      <c r="B114" s="37" t="s">
        <v>64</v>
      </c>
      <c r="C114" s="38" t="s">
        <v>324</v>
      </c>
      <c r="D114" s="39">
        <v>0.0</v>
      </c>
      <c r="E114" s="39">
        <v>0.0</v>
      </c>
      <c r="F114" s="39">
        <v>0.0</v>
      </c>
      <c r="G114" s="39">
        <v>0.0</v>
      </c>
      <c r="H114" s="39">
        <v>0.0</v>
      </c>
      <c r="I114" s="49">
        <v>0.0</v>
      </c>
      <c r="J114" s="39">
        <v>0.0</v>
      </c>
      <c r="K114" s="39">
        <v>0.0</v>
      </c>
      <c r="L114" s="39">
        <v>0.0</v>
      </c>
      <c r="M114" s="39">
        <v>0.0</v>
      </c>
      <c r="N114" s="39">
        <v>0.0</v>
      </c>
      <c r="O114" s="39">
        <v>0.0</v>
      </c>
      <c r="P114" s="39">
        <v>0.0</v>
      </c>
      <c r="Q114" s="39">
        <v>0.13053126223730585</v>
      </c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M114" s="64">
        <v>8.0</v>
      </c>
      <c r="AN114" s="65" t="s">
        <v>325</v>
      </c>
      <c r="AO114" s="66">
        <v>1.2</v>
      </c>
      <c r="AP114" s="66"/>
      <c r="AQ114" s="66">
        <v>0.6</v>
      </c>
      <c r="AR114" s="66"/>
      <c r="AS114" s="66">
        <v>0.4</v>
      </c>
      <c r="AT114" s="66"/>
      <c r="AU114" s="66">
        <v>1.1</v>
      </c>
      <c r="AV114" s="66"/>
      <c r="AW114" s="66">
        <v>1.1</v>
      </c>
      <c r="AX114" s="66"/>
      <c r="AY114" s="66">
        <v>0.9</v>
      </c>
      <c r="AZ114" s="66"/>
      <c r="BA114" s="66">
        <v>1.1</v>
      </c>
      <c r="BB114" s="66"/>
      <c r="BC114" s="67">
        <v>0.9</v>
      </c>
      <c r="BD114" s="66"/>
      <c r="BE114" s="67">
        <v>0.7</v>
      </c>
      <c r="BF114" s="66"/>
      <c r="BG114" s="67">
        <v>0.6</v>
      </c>
      <c r="BH114" s="66"/>
      <c r="BI114" s="67">
        <v>1.2</v>
      </c>
      <c r="BJ114" s="66"/>
      <c r="BK114" s="67">
        <v>1.6548463356973995</v>
      </c>
      <c r="BL114" s="66"/>
      <c r="BM114" s="67">
        <v>1.2744651797906235</v>
      </c>
      <c r="BN114" s="66"/>
      <c r="BO114" s="67">
        <v>1.2595057034220531</v>
      </c>
      <c r="BP114" s="6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DA114" s="58"/>
      <c r="DB114" s="72" t="s">
        <v>326</v>
      </c>
      <c r="DC114" s="60">
        <v>23.185638376444338</v>
      </c>
      <c r="DD114" s="60">
        <v>21.233705147157643</v>
      </c>
      <c r="DE114" s="60">
        <v>9.459685048133103</v>
      </c>
      <c r="DF114" s="60">
        <v>5.723949525172369</v>
      </c>
      <c r="DG114" s="60">
        <v>1.651482205279238</v>
      </c>
      <c r="DH114" s="60"/>
      <c r="DI114" s="60">
        <v>1.5820281601012498</v>
      </c>
      <c r="DJ114" s="60">
        <v>0.27342575123725155</v>
      </c>
      <c r="DK114" s="60">
        <v>0.8208158909956497</v>
      </c>
      <c r="DL114" s="60">
        <v>75.0993558996848</v>
      </c>
      <c r="DM114" s="60"/>
      <c r="DN114" s="60">
        <v>1.1733508553727736</v>
      </c>
      <c r="DO114" s="60">
        <v>86.43323497293153</v>
      </c>
      <c r="DP114" s="60">
        <v>1.224889759921607</v>
      </c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</row>
    <row r="115" ht="14.25" customHeight="1">
      <c r="A115" s="12"/>
      <c r="B115" s="37" t="s">
        <v>64</v>
      </c>
      <c r="C115" s="38" t="s">
        <v>327</v>
      </c>
      <c r="D115" s="39">
        <v>0.04944947646414452</v>
      </c>
      <c r="E115" s="39">
        <v>0.015924407674893996</v>
      </c>
      <c r="F115" s="39">
        <v>0.017600661114356524</v>
      </c>
      <c r="G115" s="39">
        <v>0.020953167993281577</v>
      </c>
      <c r="H115" s="39">
        <v>0.02514380159193789</v>
      </c>
      <c r="I115" s="49">
        <v>0.02514380159193789</v>
      </c>
      <c r="J115" s="39">
        <v>0.008381267197312631</v>
      </c>
      <c r="K115" s="39">
        <v>0.012571900795968946</v>
      </c>
      <c r="L115" s="39">
        <v>0.020953167993281577</v>
      </c>
      <c r="M115" s="39">
        <v>0.007543140477581368</v>
      </c>
      <c r="N115" s="39">
        <v>0.009219393917043893</v>
      </c>
      <c r="O115" s="39">
        <v>0.01927691455381905</v>
      </c>
      <c r="P115" s="39">
        <v>0.013410027515700208</v>
      </c>
      <c r="Q115" s="39">
        <v>0.01089564735650642</v>
      </c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M115" s="64">
        <v>9.0</v>
      </c>
      <c r="AN115" s="65" t="s">
        <v>328</v>
      </c>
      <c r="AO115" s="66">
        <v>0.4</v>
      </c>
      <c r="AP115" s="66"/>
      <c r="AQ115" s="66"/>
      <c r="AR115" s="66"/>
      <c r="AS115" s="66">
        <v>0.6</v>
      </c>
      <c r="AT115" s="66"/>
      <c r="AU115" s="66"/>
      <c r="AV115" s="66"/>
      <c r="AW115" s="67">
        <v>0.0</v>
      </c>
      <c r="AX115" s="66"/>
      <c r="AY115" s="66"/>
      <c r="AZ115" s="66"/>
      <c r="BA115" s="66"/>
      <c r="BB115" s="66"/>
      <c r="BC115" s="67"/>
      <c r="BD115" s="66"/>
      <c r="BE115" s="67"/>
      <c r="BF115" s="66"/>
      <c r="BG115" s="67"/>
      <c r="BH115" s="66"/>
      <c r="BI115" s="67">
        <v>0.0</v>
      </c>
      <c r="BJ115" s="66"/>
      <c r="BK115" s="67"/>
      <c r="BL115" s="66"/>
      <c r="BM115" s="67">
        <v>0.0</v>
      </c>
      <c r="BN115" s="66"/>
      <c r="BO115" s="67">
        <v>1.0833333333333335</v>
      </c>
      <c r="BP115" s="6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DA115" s="58"/>
      <c r="DB115" s="72" t="s">
        <v>329</v>
      </c>
      <c r="DC115" s="60"/>
      <c r="DD115" s="60"/>
      <c r="DE115" s="60"/>
      <c r="DF115" s="60">
        <v>1.5547263681592038</v>
      </c>
      <c r="DG115" s="60"/>
      <c r="DH115" s="60"/>
      <c r="DI115" s="60"/>
      <c r="DJ115" s="60"/>
      <c r="DK115" s="60"/>
      <c r="DL115" s="60"/>
      <c r="DM115" s="60"/>
      <c r="DN115" s="60"/>
      <c r="DO115" s="60">
        <v>1.4021312394840157</v>
      </c>
      <c r="DP115" s="60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</row>
    <row r="116" ht="14.25" customHeight="1">
      <c r="A116" s="12"/>
      <c r="B116" s="37" t="s">
        <v>64</v>
      </c>
      <c r="C116" s="38" t="s">
        <v>330</v>
      </c>
      <c r="D116" s="39">
        <v>0.0</v>
      </c>
      <c r="E116" s="39">
        <v>0.0</v>
      </c>
      <c r="F116" s="39">
        <v>0.0</v>
      </c>
      <c r="G116" s="39">
        <v>0.0</v>
      </c>
      <c r="H116" s="39">
        <v>0.0</v>
      </c>
      <c r="I116" s="49">
        <v>0.0</v>
      </c>
      <c r="J116" s="39">
        <v>0.0</v>
      </c>
      <c r="K116" s="39">
        <v>0.0</v>
      </c>
      <c r="L116" s="39">
        <v>0.0</v>
      </c>
      <c r="M116" s="39">
        <v>0.0</v>
      </c>
      <c r="N116" s="39">
        <v>0.0</v>
      </c>
      <c r="O116" s="39">
        <v>0.0</v>
      </c>
      <c r="P116" s="39">
        <v>0.0</v>
      </c>
      <c r="Q116" s="39">
        <v>0.0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M116" s="64">
        <v>10.0</v>
      </c>
      <c r="AN116" s="65" t="s">
        <v>331</v>
      </c>
      <c r="AO116" s="66"/>
      <c r="AP116" s="66">
        <v>7.5</v>
      </c>
      <c r="AQ116" s="66">
        <v>0.5</v>
      </c>
      <c r="AR116" s="66"/>
      <c r="AS116" s="67">
        <v>1.0</v>
      </c>
      <c r="AT116" s="66"/>
      <c r="AU116" s="66">
        <v>2.6</v>
      </c>
      <c r="AV116" s="66"/>
      <c r="AW116" s="66">
        <v>0.5</v>
      </c>
      <c r="AX116" s="66"/>
      <c r="AY116" s="66">
        <v>1.5</v>
      </c>
      <c r="AZ116" s="66"/>
      <c r="BA116" s="67">
        <v>0.0</v>
      </c>
      <c r="BB116" s="66"/>
      <c r="BC116" s="67">
        <v>1.0</v>
      </c>
      <c r="BD116" s="66"/>
      <c r="BE116" s="67"/>
      <c r="BF116" s="66"/>
      <c r="BG116" s="67">
        <v>0.2</v>
      </c>
      <c r="BH116" s="66"/>
      <c r="BI116" s="67">
        <v>0.2</v>
      </c>
      <c r="BJ116" s="66"/>
      <c r="BK116" s="67">
        <v>1.2320328542094456</v>
      </c>
      <c r="BL116" s="66"/>
      <c r="BM116" s="67">
        <v>0.6944444444444444</v>
      </c>
      <c r="BN116" s="66"/>
      <c r="BO116" s="67">
        <v>0.34965034965034963</v>
      </c>
      <c r="BP116" s="6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DA116" s="58"/>
      <c r="DB116" s="72" t="s">
        <v>332</v>
      </c>
      <c r="DC116" s="60"/>
      <c r="DD116" s="60"/>
      <c r="DE116" s="60"/>
      <c r="DF116" s="60">
        <v>0.28645907932051906</v>
      </c>
      <c r="DG116" s="60">
        <v>0.27404017428955085</v>
      </c>
      <c r="DH116" s="60">
        <v>0.844689717310508</v>
      </c>
      <c r="DI116" s="60"/>
      <c r="DJ116" s="60"/>
      <c r="DK116" s="60"/>
      <c r="DL116" s="60">
        <v>1.9764798893171263</v>
      </c>
      <c r="DM116" s="60"/>
      <c r="DN116" s="60"/>
      <c r="DO116" s="60">
        <v>6.225133299049991</v>
      </c>
      <c r="DP116" s="60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</row>
    <row r="117" ht="14.25" customHeight="1">
      <c r="A117" s="12"/>
      <c r="B117" s="37" t="s">
        <v>64</v>
      </c>
      <c r="C117" s="38" t="s">
        <v>333</v>
      </c>
      <c r="D117" s="39">
        <v>0.0</v>
      </c>
      <c r="E117" s="39">
        <v>0.0</v>
      </c>
      <c r="F117" s="39">
        <v>0.0</v>
      </c>
      <c r="G117" s="39">
        <v>0.0</v>
      </c>
      <c r="H117" s="39">
        <v>0.0</v>
      </c>
      <c r="I117" s="49">
        <v>0.0</v>
      </c>
      <c r="J117" s="39">
        <v>0.0</v>
      </c>
      <c r="K117" s="39">
        <v>0.0</v>
      </c>
      <c r="L117" s="39">
        <v>0.0</v>
      </c>
      <c r="M117" s="39">
        <v>0.010169215750081353</v>
      </c>
      <c r="N117" s="39">
        <v>0.0</v>
      </c>
      <c r="O117" s="39">
        <v>0.020338431500162707</v>
      </c>
      <c r="P117" s="39">
        <v>0.0</v>
      </c>
      <c r="Q117" s="39">
        <v>0.0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M117" s="64">
        <v>11.0</v>
      </c>
      <c r="AN117" s="65" t="s">
        <v>334</v>
      </c>
      <c r="AO117" s="66">
        <v>0.3</v>
      </c>
      <c r="AP117" s="66"/>
      <c r="AQ117" s="66"/>
      <c r="AR117" s="66">
        <v>4.2</v>
      </c>
      <c r="AS117" s="66">
        <v>0.8</v>
      </c>
      <c r="AT117" s="66"/>
      <c r="AU117" s="66">
        <v>0.4</v>
      </c>
      <c r="AV117" s="66"/>
      <c r="AW117" s="66">
        <v>1.9</v>
      </c>
      <c r="AX117" s="66"/>
      <c r="AY117" s="66"/>
      <c r="AZ117" s="66">
        <v>15.4</v>
      </c>
      <c r="BA117" s="66"/>
      <c r="BB117" s="66"/>
      <c r="BC117" s="67">
        <v>1.8</v>
      </c>
      <c r="BD117" s="66"/>
      <c r="BE117" s="67">
        <v>1.8</v>
      </c>
      <c r="BF117" s="66"/>
      <c r="BG117" s="67"/>
      <c r="BH117" s="66"/>
      <c r="BI117" s="67"/>
      <c r="BJ117" s="66">
        <v>11.5</v>
      </c>
      <c r="BK117" s="67">
        <v>0.8797653958944283</v>
      </c>
      <c r="BL117" s="66"/>
      <c r="BM117" s="67">
        <v>0.0</v>
      </c>
      <c r="BN117" s="66"/>
      <c r="BO117" s="67"/>
      <c r="BP117" s="67">
        <v>4.385026737967915</v>
      </c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DA117" s="58"/>
      <c r="DB117" s="72" t="s">
        <v>335</v>
      </c>
      <c r="DC117" s="60"/>
      <c r="DD117" s="60"/>
      <c r="DE117" s="60"/>
      <c r="DF117" s="60"/>
      <c r="DG117" s="60"/>
      <c r="DH117" s="60">
        <v>1.5410695022345509</v>
      </c>
      <c r="DI117" s="60"/>
      <c r="DJ117" s="60"/>
      <c r="DK117" s="60"/>
      <c r="DL117" s="60">
        <v>14.677103718199607</v>
      </c>
      <c r="DM117" s="60"/>
      <c r="DN117" s="60"/>
      <c r="DO117" s="60">
        <v>22.821280844387392</v>
      </c>
      <c r="DP117" s="60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</row>
    <row r="118" ht="14.25" customHeight="1">
      <c r="A118" s="12"/>
      <c r="B118" s="37" t="s">
        <v>68</v>
      </c>
      <c r="C118" s="38" t="s">
        <v>336</v>
      </c>
      <c r="D118" s="39">
        <v>0.5275433140826299</v>
      </c>
      <c r="E118" s="39">
        <v>0.30541981341625946</v>
      </c>
      <c r="F118" s="39">
        <v>0.36095068858285206</v>
      </c>
      <c r="G118" s="39">
        <v>0.2221235006663705</v>
      </c>
      <c r="H118" s="39">
        <v>0.2776543758329631</v>
      </c>
      <c r="I118" s="49">
        <v>0.2498889382496668</v>
      </c>
      <c r="J118" s="39">
        <v>0.0</v>
      </c>
      <c r="K118" s="39">
        <v>0.0</v>
      </c>
      <c r="L118" s="39">
        <v>0.02776543758329631</v>
      </c>
      <c r="M118" s="39">
        <v>0.0</v>
      </c>
      <c r="N118" s="39">
        <v>0.02776543758329631</v>
      </c>
      <c r="O118" s="39">
        <v>0.0</v>
      </c>
      <c r="P118" s="39">
        <v>0.0</v>
      </c>
      <c r="Q118" s="39">
        <v>0.0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M118" s="64">
        <v>12.0</v>
      </c>
      <c r="AN118" s="65" t="s">
        <v>337</v>
      </c>
      <c r="AO118" s="66">
        <v>2.9</v>
      </c>
      <c r="AP118" s="66"/>
      <c r="AQ118" s="66">
        <v>1.1</v>
      </c>
      <c r="AR118" s="66"/>
      <c r="AS118" s="66">
        <v>1.2</v>
      </c>
      <c r="AT118" s="66"/>
      <c r="AU118" s="66">
        <v>1.6</v>
      </c>
      <c r="AV118" s="66"/>
      <c r="AW118" s="66">
        <v>0.6</v>
      </c>
      <c r="AX118" s="66"/>
      <c r="AY118" s="66"/>
      <c r="AZ118" s="66">
        <v>3.3</v>
      </c>
      <c r="BA118" s="67">
        <v>1.0</v>
      </c>
      <c r="BB118" s="66"/>
      <c r="BC118" s="67">
        <v>1.7</v>
      </c>
      <c r="BD118" s="66"/>
      <c r="BE118" s="67">
        <v>0.8</v>
      </c>
      <c r="BF118" s="66"/>
      <c r="BG118" s="67"/>
      <c r="BH118" s="66">
        <v>3.2</v>
      </c>
      <c r="BI118" s="67">
        <v>1.7</v>
      </c>
      <c r="BJ118" s="66"/>
      <c r="BK118" s="67">
        <v>2.2669383596535915</v>
      </c>
      <c r="BL118" s="66"/>
      <c r="BM118" s="67">
        <v>1.359732824427481</v>
      </c>
      <c r="BN118" s="66"/>
      <c r="BO118" s="67">
        <v>1.3172966781214204</v>
      </c>
      <c r="BP118" s="6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DA118" s="58"/>
      <c r="DB118" s="72" t="s">
        <v>338</v>
      </c>
      <c r="DC118" s="60"/>
      <c r="DD118" s="60"/>
      <c r="DE118" s="60"/>
      <c r="DF118" s="60"/>
      <c r="DG118" s="60"/>
      <c r="DH118" s="60"/>
      <c r="DI118" s="60"/>
      <c r="DJ118" s="60"/>
      <c r="DK118" s="60"/>
      <c r="DL118" s="60">
        <v>0.5710696133858717</v>
      </c>
      <c r="DM118" s="60"/>
      <c r="DN118" s="60">
        <v>1.0009008107296566</v>
      </c>
      <c r="DO118" s="60">
        <v>21.773555027711797</v>
      </c>
      <c r="DP118" s="60">
        <v>1.167406023815083</v>
      </c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</row>
    <row r="119" ht="14.25" customHeight="1">
      <c r="A119" s="12"/>
      <c r="B119" s="37" t="s">
        <v>68</v>
      </c>
      <c r="C119" s="38" t="s">
        <v>339</v>
      </c>
      <c r="D119" s="39">
        <v>4.970487729108418</v>
      </c>
      <c r="E119" s="39">
        <v>0.31065548306927615</v>
      </c>
      <c r="F119" s="39">
        <v>0.06213109661385524</v>
      </c>
      <c r="G119" s="39">
        <v>0.0</v>
      </c>
      <c r="H119" s="39">
        <v>0.0</v>
      </c>
      <c r="I119" s="49">
        <v>0.12426219322771048</v>
      </c>
      <c r="J119" s="39">
        <v>0.0</v>
      </c>
      <c r="K119" s="39">
        <v>0.0</v>
      </c>
      <c r="L119" s="39">
        <v>0.0</v>
      </c>
      <c r="M119" s="39">
        <v>0.0</v>
      </c>
      <c r="N119" s="39">
        <v>0.0</v>
      </c>
      <c r="O119" s="39">
        <v>0.0</v>
      </c>
      <c r="P119" s="39">
        <v>0.0</v>
      </c>
      <c r="Q119" s="39">
        <v>0.0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M119" s="64">
        <v>13.0</v>
      </c>
      <c r="AN119" s="65" t="s">
        <v>340</v>
      </c>
      <c r="AO119" s="66">
        <v>1.3</v>
      </c>
      <c r="AP119" s="66"/>
      <c r="AQ119" s="66">
        <v>0.7</v>
      </c>
      <c r="AR119" s="66"/>
      <c r="AS119" s="66">
        <v>0.6</v>
      </c>
      <c r="AT119" s="66"/>
      <c r="AU119" s="66">
        <v>0.8</v>
      </c>
      <c r="AV119" s="66"/>
      <c r="AW119" s="66">
        <v>0.9</v>
      </c>
      <c r="AX119" s="66"/>
      <c r="AY119" s="66">
        <v>0.9</v>
      </c>
      <c r="AZ119" s="66"/>
      <c r="BA119" s="66">
        <v>1.6</v>
      </c>
      <c r="BB119" s="66"/>
      <c r="BC119" s="67">
        <v>1.4</v>
      </c>
      <c r="BD119" s="66"/>
      <c r="BE119" s="67">
        <v>0.6</v>
      </c>
      <c r="BF119" s="66"/>
      <c r="BG119" s="67">
        <v>0.6</v>
      </c>
      <c r="BH119" s="66"/>
      <c r="BI119" s="67">
        <v>2.3</v>
      </c>
      <c r="BJ119" s="66"/>
      <c r="BK119" s="67"/>
      <c r="BL119" s="67">
        <v>3.506787330316742</v>
      </c>
      <c r="BM119" s="67"/>
      <c r="BN119" s="67">
        <v>5.83989501312336</v>
      </c>
      <c r="BO119" s="67">
        <v>2.071465561885034</v>
      </c>
      <c r="BP119" s="67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DA119" s="58"/>
      <c r="DB119" s="72" t="s">
        <v>341</v>
      </c>
      <c r="DC119" s="60">
        <v>0.0</v>
      </c>
      <c r="DD119" s="60"/>
      <c r="DE119" s="60"/>
      <c r="DF119" s="60">
        <v>5.512172714745062</v>
      </c>
      <c r="DG119" s="60"/>
      <c r="DH119" s="60">
        <v>0.4358247984310307</v>
      </c>
      <c r="DI119" s="60"/>
      <c r="DJ119" s="60"/>
      <c r="DK119" s="60"/>
      <c r="DL119" s="60">
        <v>31.990029081844618</v>
      </c>
      <c r="DM119" s="60"/>
      <c r="DN119" s="60">
        <v>1.1347303124290793</v>
      </c>
      <c r="DO119" s="60">
        <v>44.057756386523515</v>
      </c>
      <c r="DP119" s="60">
        <v>1.328506426649839</v>
      </c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</row>
    <row r="120" ht="14.25" customHeight="1">
      <c r="A120" s="12"/>
      <c r="B120" s="37" t="s">
        <v>68</v>
      </c>
      <c r="C120" s="38" t="s">
        <v>342</v>
      </c>
      <c r="D120" s="39">
        <v>1.7350568231109569</v>
      </c>
      <c r="E120" s="39">
        <v>0.3903877851999653</v>
      </c>
      <c r="F120" s="39">
        <v>0.34701136462219134</v>
      </c>
      <c r="G120" s="39">
        <v>0.6506463086666088</v>
      </c>
      <c r="H120" s="39">
        <v>0.17350568231109567</v>
      </c>
      <c r="I120" s="49">
        <v>0.17350568231109567</v>
      </c>
      <c r="J120" s="39">
        <v>0.17350568231109567</v>
      </c>
      <c r="K120" s="39">
        <v>0.08675284115554784</v>
      </c>
      <c r="L120" s="39">
        <v>0.0</v>
      </c>
      <c r="M120" s="39">
        <v>0.0</v>
      </c>
      <c r="N120" s="39">
        <v>0.0</v>
      </c>
      <c r="O120" s="39">
        <v>0.04337642057777392</v>
      </c>
      <c r="P120" s="39">
        <v>0.0</v>
      </c>
      <c r="Q120" s="39">
        <v>0.0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M120" s="64">
        <v>14.0</v>
      </c>
      <c r="AN120" s="65" t="s">
        <v>343</v>
      </c>
      <c r="AO120" s="66">
        <v>1.3</v>
      </c>
      <c r="AP120" s="66"/>
      <c r="AQ120" s="66">
        <v>1.4</v>
      </c>
      <c r="AR120" s="66"/>
      <c r="AS120" s="67">
        <v>1.0</v>
      </c>
      <c r="AT120" s="66"/>
      <c r="AU120" s="66">
        <v>1.1</v>
      </c>
      <c r="AV120" s="66"/>
      <c r="AW120" s="66">
        <v>1.8</v>
      </c>
      <c r="AX120" s="66"/>
      <c r="AY120" s="66">
        <v>0.2</v>
      </c>
      <c r="AZ120" s="66"/>
      <c r="BA120" s="66">
        <v>1.4</v>
      </c>
      <c r="BB120" s="66"/>
      <c r="BC120" s="67">
        <v>0.9</v>
      </c>
      <c r="BD120" s="66"/>
      <c r="BE120" s="67">
        <v>1.1</v>
      </c>
      <c r="BF120" s="66"/>
      <c r="BG120" s="67">
        <v>2.5</v>
      </c>
      <c r="BH120" s="66"/>
      <c r="BI120" s="67"/>
      <c r="BJ120" s="66">
        <v>8.5</v>
      </c>
      <c r="BK120" s="67">
        <v>2.322430810915425</v>
      </c>
      <c r="BL120" s="66"/>
      <c r="BM120" s="67">
        <v>2.1038110018968785</v>
      </c>
      <c r="BN120" s="66"/>
      <c r="BO120" s="67">
        <v>2.7875793930839805</v>
      </c>
      <c r="BP120" s="6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DA120" s="58"/>
      <c r="DB120" s="72" t="s">
        <v>344</v>
      </c>
      <c r="DC120" s="60">
        <v>9.807074266507554</v>
      </c>
      <c r="DD120" s="60">
        <v>1.7201506087421878</v>
      </c>
      <c r="DE120" s="60">
        <v>4.701265253561719</v>
      </c>
      <c r="DF120" s="60">
        <v>5.762279767413435</v>
      </c>
      <c r="DG120" s="60"/>
      <c r="DH120" s="60">
        <v>1.439677512237259</v>
      </c>
      <c r="DI120" s="60"/>
      <c r="DJ120" s="60"/>
      <c r="DK120" s="60">
        <v>0.5541496573507952</v>
      </c>
      <c r="DL120" s="60">
        <v>18.893209429029636</v>
      </c>
      <c r="DM120" s="60"/>
      <c r="DN120" s="60">
        <v>1.2496407282906163</v>
      </c>
      <c r="DO120" s="60">
        <v>18.14947474698911</v>
      </c>
      <c r="DP120" s="60">
        <v>0.09408045760734579</v>
      </c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</row>
    <row r="121" ht="14.25" customHeight="1">
      <c r="A121" s="12"/>
      <c r="B121" s="37" t="s">
        <v>68</v>
      </c>
      <c r="C121" s="38" t="s">
        <v>345</v>
      </c>
      <c r="D121" s="39">
        <v>0.10154861640010154</v>
      </c>
      <c r="E121" s="39">
        <v>0.4061944656004062</v>
      </c>
      <c r="F121" s="39">
        <v>0.0</v>
      </c>
      <c r="G121" s="39">
        <v>0.0</v>
      </c>
      <c r="H121" s="39">
        <v>0.0</v>
      </c>
      <c r="I121" s="49">
        <v>0.0</v>
      </c>
      <c r="J121" s="39">
        <v>0.0</v>
      </c>
      <c r="K121" s="39">
        <v>0.0</v>
      </c>
      <c r="L121" s="39">
        <v>0.0</v>
      </c>
      <c r="M121" s="39">
        <v>0.0</v>
      </c>
      <c r="N121" s="39">
        <v>0.0</v>
      </c>
      <c r="O121" s="39">
        <v>0.0</v>
      </c>
      <c r="P121" s="39">
        <v>0.0</v>
      </c>
      <c r="Q121" s="39">
        <v>0.0</v>
      </c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M121" s="64">
        <v>15.0</v>
      </c>
      <c r="AN121" s="65" t="s">
        <v>346</v>
      </c>
      <c r="AO121" s="66">
        <v>2.8</v>
      </c>
      <c r="AP121" s="66"/>
      <c r="AQ121" s="66">
        <v>2.6</v>
      </c>
      <c r="AR121" s="66"/>
      <c r="AS121" s="66">
        <v>1.6</v>
      </c>
      <c r="AT121" s="66"/>
      <c r="AU121" s="66">
        <v>2.6</v>
      </c>
      <c r="AV121" s="66"/>
      <c r="AW121" s="66">
        <v>2.4</v>
      </c>
      <c r="AX121" s="66"/>
      <c r="AY121" s="66">
        <v>0.5</v>
      </c>
      <c r="AZ121" s="66"/>
      <c r="BA121" s="67"/>
      <c r="BB121" s="66"/>
      <c r="BC121" s="67">
        <v>1.8</v>
      </c>
      <c r="BD121" s="66"/>
      <c r="BE121" s="67">
        <v>0.9</v>
      </c>
      <c r="BF121" s="66"/>
      <c r="BG121" s="67"/>
      <c r="BH121" s="66">
        <v>25.5</v>
      </c>
      <c r="BI121" s="67"/>
      <c r="BJ121" s="66">
        <v>9.3</v>
      </c>
      <c r="BK121" s="67">
        <v>1.2612612612612613</v>
      </c>
      <c r="BL121" s="66"/>
      <c r="BM121" s="67">
        <v>1.3793103448275863</v>
      </c>
      <c r="BN121" s="66"/>
      <c r="BO121" s="67">
        <v>1.2711864406779663</v>
      </c>
      <c r="BP121" s="6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DA121" s="58"/>
      <c r="DB121" s="72" t="s">
        <v>347</v>
      </c>
      <c r="DC121" s="60"/>
      <c r="DD121" s="60">
        <v>2.1873222800647447</v>
      </c>
      <c r="DE121" s="60">
        <v>0.0</v>
      </c>
      <c r="DF121" s="60">
        <v>0.42322668020992044</v>
      </c>
      <c r="DG121" s="60"/>
      <c r="DH121" s="60"/>
      <c r="DI121" s="60">
        <v>0.40479274611398963</v>
      </c>
      <c r="DJ121" s="60"/>
      <c r="DK121" s="60"/>
      <c r="DL121" s="60"/>
      <c r="DM121" s="60"/>
      <c r="DN121" s="60"/>
      <c r="DO121" s="60">
        <v>1.130965844831486</v>
      </c>
      <c r="DP121" s="60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</row>
    <row r="122" ht="14.25" customHeight="1">
      <c r="A122" s="12"/>
      <c r="B122" s="37" t="s">
        <v>68</v>
      </c>
      <c r="C122" s="38" t="s">
        <v>348</v>
      </c>
      <c r="D122" s="39">
        <v>0.03999520057593089</v>
      </c>
      <c r="E122" s="39">
        <v>0.07999040115186178</v>
      </c>
      <c r="F122" s="39">
        <v>0.19997600287965445</v>
      </c>
      <c r="G122" s="39">
        <v>0.4799424069111707</v>
      </c>
      <c r="H122" s="39">
        <v>0.0</v>
      </c>
      <c r="I122" s="49">
        <v>0.0</v>
      </c>
      <c r="J122" s="39">
        <v>0.0</v>
      </c>
      <c r="K122" s="39">
        <v>0.0</v>
      </c>
      <c r="L122" s="39">
        <v>0.0</v>
      </c>
      <c r="M122" s="39">
        <v>0.0</v>
      </c>
      <c r="N122" s="39">
        <v>0.0</v>
      </c>
      <c r="O122" s="39">
        <v>0.0</v>
      </c>
      <c r="P122" s="39">
        <v>0.0</v>
      </c>
      <c r="Q122" s="39">
        <v>0.0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M122" s="64">
        <v>16.0</v>
      </c>
      <c r="AN122" s="65" t="s">
        <v>349</v>
      </c>
      <c r="AO122" s="66"/>
      <c r="AP122" s="66"/>
      <c r="AQ122" s="66">
        <v>1.1</v>
      </c>
      <c r="AR122" s="66"/>
      <c r="AS122" s="66"/>
      <c r="AT122" s="66"/>
      <c r="AU122" s="66">
        <v>0.5</v>
      </c>
      <c r="AV122" s="66"/>
      <c r="AW122" s="66"/>
      <c r="AX122" s="67">
        <v>3.0</v>
      </c>
      <c r="AY122" s="66"/>
      <c r="AZ122" s="66"/>
      <c r="BA122" s="66"/>
      <c r="BB122" s="66"/>
      <c r="BC122" s="67">
        <v>1.0</v>
      </c>
      <c r="BD122" s="66"/>
      <c r="BE122" s="67">
        <v>2.2</v>
      </c>
      <c r="BF122" s="66"/>
      <c r="BG122" s="67"/>
      <c r="BH122" s="66"/>
      <c r="BI122" s="67">
        <v>0.0</v>
      </c>
      <c r="BJ122" s="66"/>
      <c r="BK122" s="67">
        <v>1.1363636363636365</v>
      </c>
      <c r="BL122" s="66"/>
      <c r="BM122" s="67"/>
      <c r="BN122" s="66"/>
      <c r="BO122" s="67"/>
      <c r="BP122" s="67">
        <v>6.73758865248227</v>
      </c>
      <c r="BQ122" s="6"/>
      <c r="BR122" s="103"/>
      <c r="BS122" s="6"/>
      <c r="BT122" s="6"/>
      <c r="BU122" s="6"/>
      <c r="BV122" s="6"/>
      <c r="BW122" s="6"/>
      <c r="BX122" s="6"/>
      <c r="BY122" s="6"/>
      <c r="BZ122" s="6"/>
      <c r="DA122" s="58"/>
      <c r="DB122" s="72" t="s">
        <v>350</v>
      </c>
      <c r="DC122" s="60"/>
      <c r="DD122" s="60"/>
      <c r="DE122" s="60"/>
      <c r="DF122" s="60">
        <v>2.051282051282051</v>
      </c>
      <c r="DG122" s="60"/>
      <c r="DH122" s="60">
        <v>2.028397565922921</v>
      </c>
      <c r="DI122" s="60"/>
      <c r="DJ122" s="60"/>
      <c r="DK122" s="60"/>
      <c r="DL122" s="60">
        <v>3.732736095558044</v>
      </c>
      <c r="DM122" s="60"/>
      <c r="DN122" s="60"/>
      <c r="DO122" s="60">
        <v>13.930348258706468</v>
      </c>
      <c r="DP122" s="60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</row>
    <row r="123" ht="14.25" customHeight="1">
      <c r="A123" s="12"/>
      <c r="B123" s="37" t="s">
        <v>68</v>
      </c>
      <c r="C123" s="38" t="s">
        <v>68</v>
      </c>
      <c r="D123" s="39">
        <v>0.06577216521967903</v>
      </c>
      <c r="E123" s="39">
        <v>0.028188070808433868</v>
      </c>
      <c r="F123" s="39">
        <v>0.07047017702108467</v>
      </c>
      <c r="G123" s="39">
        <v>0.056376141616867735</v>
      </c>
      <c r="H123" s="39">
        <v>0.00939602360281129</v>
      </c>
      <c r="I123" s="49">
        <v>0.004698011801405645</v>
      </c>
      <c r="J123" s="39">
        <v>0.0</v>
      </c>
      <c r="K123" s="39">
        <v>0.0</v>
      </c>
      <c r="L123" s="39">
        <v>0.00939602360281129</v>
      </c>
      <c r="M123" s="39">
        <v>0.0</v>
      </c>
      <c r="N123" s="39">
        <v>0.0</v>
      </c>
      <c r="O123" s="39">
        <v>0.00939602360281129</v>
      </c>
      <c r="P123" s="39">
        <v>0.004698011801405645</v>
      </c>
      <c r="Q123" s="39">
        <v>0.0</v>
      </c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M123" s="64">
        <v>17.0</v>
      </c>
      <c r="AN123" s="65" t="s">
        <v>351</v>
      </c>
      <c r="AO123" s="66">
        <v>0.8</v>
      </c>
      <c r="AP123" s="66"/>
      <c r="AQ123" s="66">
        <v>1.4</v>
      </c>
      <c r="AR123" s="66"/>
      <c r="AS123" s="66">
        <v>0.9</v>
      </c>
      <c r="AT123" s="66"/>
      <c r="AU123" s="66">
        <v>0.9</v>
      </c>
      <c r="AV123" s="66"/>
      <c r="AW123" s="66">
        <v>0.6</v>
      </c>
      <c r="AX123" s="66"/>
      <c r="AY123" s="66">
        <v>0.6</v>
      </c>
      <c r="AZ123" s="66"/>
      <c r="BA123" s="66">
        <v>0.5</v>
      </c>
      <c r="BB123" s="66"/>
      <c r="BC123" s="67">
        <v>0.3</v>
      </c>
      <c r="BD123" s="66"/>
      <c r="BE123" s="67">
        <v>0.4</v>
      </c>
      <c r="BF123" s="66"/>
      <c r="BG123" s="67">
        <v>0.2</v>
      </c>
      <c r="BH123" s="66"/>
      <c r="BI123" s="67">
        <v>0.4</v>
      </c>
      <c r="BJ123" s="66"/>
      <c r="BK123" s="67">
        <v>0.2335357309668379</v>
      </c>
      <c r="BL123" s="66"/>
      <c r="BM123" s="67">
        <v>0.20695364238410596</v>
      </c>
      <c r="BN123" s="66"/>
      <c r="BO123" s="67">
        <v>0.24732069249793898</v>
      </c>
      <c r="BP123" s="6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DA123" s="58"/>
      <c r="DB123" s="72" t="s">
        <v>352</v>
      </c>
      <c r="DC123" s="60">
        <v>0.0</v>
      </c>
      <c r="DD123" s="60">
        <v>0.0</v>
      </c>
      <c r="DE123" s="60"/>
      <c r="DF123" s="60">
        <v>0.7234319612240468</v>
      </c>
      <c r="DG123" s="60"/>
      <c r="DH123" s="60"/>
      <c r="DI123" s="60"/>
      <c r="DJ123" s="60"/>
      <c r="DK123" s="60"/>
      <c r="DL123" s="60"/>
      <c r="DM123" s="60"/>
      <c r="DN123" s="60"/>
      <c r="DO123" s="60">
        <v>52.10533727643993</v>
      </c>
      <c r="DP123" s="60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</row>
    <row r="124" ht="14.25" customHeight="1">
      <c r="A124" s="12"/>
      <c r="B124" s="37" t="s">
        <v>68</v>
      </c>
      <c r="C124" s="38" t="s">
        <v>353</v>
      </c>
      <c r="D124" s="39">
        <v>0.0</v>
      </c>
      <c r="E124" s="39">
        <v>0.0</v>
      </c>
      <c r="F124" s="39">
        <v>0.0</v>
      </c>
      <c r="G124" s="39">
        <v>0.0</v>
      </c>
      <c r="H124" s="39">
        <v>0.0</v>
      </c>
      <c r="I124" s="49">
        <v>0.0</v>
      </c>
      <c r="J124" s="39">
        <v>0.0</v>
      </c>
      <c r="K124" s="39">
        <v>0.0</v>
      </c>
      <c r="L124" s="39">
        <v>0.0</v>
      </c>
      <c r="M124" s="39">
        <v>0.0</v>
      </c>
      <c r="N124" s="39">
        <v>0.0</v>
      </c>
      <c r="O124" s="39">
        <v>0.0</v>
      </c>
      <c r="P124" s="39">
        <v>0.0</v>
      </c>
      <c r="Q124" s="39">
        <v>0.19353590090961875</v>
      </c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M124" s="64">
        <v>18.0</v>
      </c>
      <c r="AN124" s="65" t="s">
        <v>354</v>
      </c>
      <c r="AO124" s="66">
        <v>1.9</v>
      </c>
      <c r="AP124" s="66"/>
      <c r="AQ124" s="66"/>
      <c r="AR124" s="66">
        <v>5.4</v>
      </c>
      <c r="AS124" s="66">
        <v>2.5</v>
      </c>
      <c r="AT124" s="66"/>
      <c r="AU124" s="66"/>
      <c r="AV124" s="66">
        <v>3.2</v>
      </c>
      <c r="AW124" s="66">
        <v>0.7</v>
      </c>
      <c r="AX124" s="66"/>
      <c r="AY124" s="66">
        <v>1.1</v>
      </c>
      <c r="AZ124" s="66"/>
      <c r="BA124" s="66">
        <v>1.4</v>
      </c>
      <c r="BB124" s="66"/>
      <c r="BC124" s="67">
        <v>1.6</v>
      </c>
      <c r="BD124" s="66"/>
      <c r="BE124" s="67">
        <v>1.7</v>
      </c>
      <c r="BF124" s="66"/>
      <c r="BG124" s="67">
        <v>2.6</v>
      </c>
      <c r="BH124" s="66"/>
      <c r="BI124" s="67"/>
      <c r="BJ124" s="66">
        <v>4.6</v>
      </c>
      <c r="BK124" s="67"/>
      <c r="BL124" s="67">
        <v>5.349576271186441</v>
      </c>
      <c r="BM124" s="67"/>
      <c r="BN124" s="67">
        <v>7.6802507836990594</v>
      </c>
      <c r="BO124" s="67"/>
      <c r="BP124" s="67">
        <v>6.4655172413793105</v>
      </c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DA124" s="58"/>
      <c r="DB124" s="72" t="s">
        <v>355</v>
      </c>
      <c r="DC124" s="60">
        <v>16.70598920605124</v>
      </c>
      <c r="DD124" s="60">
        <v>19.752024093558102</v>
      </c>
      <c r="DE124" s="60"/>
      <c r="DF124" s="60">
        <v>17.080660694492398</v>
      </c>
      <c r="DG124" s="60">
        <v>3.9038239730281257</v>
      </c>
      <c r="DH124" s="60">
        <v>2.2008159948534765</v>
      </c>
      <c r="DI124" s="60">
        <v>0.490709238419262</v>
      </c>
      <c r="DJ124" s="60">
        <v>0.6604365485585972</v>
      </c>
      <c r="DK124" s="60">
        <v>0.6458175242585208</v>
      </c>
      <c r="DL124" s="60">
        <v>41.391513159973464</v>
      </c>
      <c r="DM124" s="60">
        <v>0.1435090841250251</v>
      </c>
      <c r="DN124" s="60">
        <v>3.3387123699293304</v>
      </c>
      <c r="DO124" s="60">
        <v>120.2315570728811</v>
      </c>
      <c r="DP124" s="60">
        <v>0.17999208034846464</v>
      </c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</row>
    <row r="125" ht="14.25" customHeight="1">
      <c r="A125" s="12"/>
      <c r="B125" s="37" t="s">
        <v>68</v>
      </c>
      <c r="C125" s="38" t="s">
        <v>356</v>
      </c>
      <c r="D125" s="39">
        <v>1.7678113043057102</v>
      </c>
      <c r="E125" s="39">
        <v>3.293456676514748</v>
      </c>
      <c r="F125" s="39">
        <v>0.5085484574030126</v>
      </c>
      <c r="G125" s="39">
        <v>0.14529955925800359</v>
      </c>
      <c r="H125" s="39">
        <v>0.04843318641933453</v>
      </c>
      <c r="I125" s="49">
        <v>0.38746549135467623</v>
      </c>
      <c r="J125" s="39">
        <v>0.04843318641933453</v>
      </c>
      <c r="K125" s="39">
        <v>0.0</v>
      </c>
      <c r="L125" s="39">
        <v>0.024216593209667264</v>
      </c>
      <c r="M125" s="39">
        <v>0.0</v>
      </c>
      <c r="N125" s="39">
        <v>0.0</v>
      </c>
      <c r="O125" s="39">
        <v>0.0</v>
      </c>
      <c r="P125" s="39">
        <v>0.0</v>
      </c>
      <c r="Q125" s="39">
        <v>0.0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M125" s="64">
        <v>19.0</v>
      </c>
      <c r="AN125" s="65" t="s">
        <v>357</v>
      </c>
      <c r="AO125" s="66">
        <v>0.2</v>
      </c>
      <c r="AP125" s="66"/>
      <c r="AQ125" s="66">
        <v>0.5</v>
      </c>
      <c r="AR125" s="66"/>
      <c r="AS125" s="66">
        <v>0.2</v>
      </c>
      <c r="AT125" s="66"/>
      <c r="AU125" s="66">
        <v>0.6</v>
      </c>
      <c r="AV125" s="66"/>
      <c r="AW125" s="66">
        <v>0.8</v>
      </c>
      <c r="AX125" s="66"/>
      <c r="AY125" s="66">
        <v>1.9</v>
      </c>
      <c r="AZ125" s="66"/>
      <c r="BA125" s="66">
        <v>0.8</v>
      </c>
      <c r="BB125" s="66"/>
      <c r="BC125" s="67">
        <v>0.4</v>
      </c>
      <c r="BD125" s="66"/>
      <c r="BE125" s="67">
        <v>0.3</v>
      </c>
      <c r="BF125" s="66"/>
      <c r="BG125" s="67">
        <v>0.6</v>
      </c>
      <c r="BH125" s="66"/>
      <c r="BI125" s="67">
        <v>0.4</v>
      </c>
      <c r="BJ125" s="66"/>
      <c r="BK125" s="67">
        <v>0.5961251862891207</v>
      </c>
      <c r="BL125" s="66"/>
      <c r="BM125" s="67"/>
      <c r="BN125" s="67">
        <v>0.4551820728291317</v>
      </c>
      <c r="BO125" s="67">
        <v>0.6291591046581971</v>
      </c>
      <c r="BP125" s="67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DA125" s="58"/>
      <c r="DB125" s="72" t="s">
        <v>358</v>
      </c>
      <c r="DC125" s="60"/>
      <c r="DD125" s="60">
        <v>0.6967670011148271</v>
      </c>
      <c r="DE125" s="60"/>
      <c r="DF125" s="60"/>
      <c r="DG125" s="60"/>
      <c r="DH125" s="60"/>
      <c r="DI125" s="60"/>
      <c r="DJ125" s="60"/>
      <c r="DK125" s="60"/>
      <c r="DL125" s="60">
        <v>3.5339256865912763</v>
      </c>
      <c r="DM125" s="60"/>
      <c r="DN125" s="60">
        <v>0.678334011667345</v>
      </c>
      <c r="DO125" s="60">
        <v>28.51517414624211</v>
      </c>
      <c r="DP125" s="60">
        <v>3.4188034188034186</v>
      </c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</row>
    <row r="126" ht="14.25" customHeight="1">
      <c r="A126" s="12"/>
      <c r="B126" s="37" t="s">
        <v>68</v>
      </c>
      <c r="C126" s="38" t="s">
        <v>359</v>
      </c>
      <c r="D126" s="39">
        <v>1.3900126553391008</v>
      </c>
      <c r="E126" s="39">
        <v>0.37343623576274354</v>
      </c>
      <c r="F126" s="39">
        <v>0.3526897782203689</v>
      </c>
      <c r="G126" s="39">
        <v>0.15559843156780978</v>
      </c>
      <c r="H126" s="39">
        <v>0.3215700919068069</v>
      </c>
      <c r="I126" s="49">
        <v>0.9958299620339828</v>
      </c>
      <c r="J126" s="39">
        <v>1.0788157922034813</v>
      </c>
      <c r="K126" s="39">
        <v>0.3526897782203689</v>
      </c>
      <c r="L126" s="104">
        <v>0.58090081118649</v>
      </c>
      <c r="M126" s="104">
        <v>0.010373228771187319</v>
      </c>
      <c r="N126" s="104">
        <v>0.0</v>
      </c>
      <c r="O126" s="39">
        <v>0.010373228771187319</v>
      </c>
      <c r="P126" s="39">
        <v>0.0</v>
      </c>
      <c r="Q126" s="39">
        <v>0.0</v>
      </c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M126" s="64">
        <v>20.0</v>
      </c>
      <c r="AN126" s="65" t="s">
        <v>360</v>
      </c>
      <c r="AO126" s="66">
        <v>0.5</v>
      </c>
      <c r="AP126" s="66"/>
      <c r="AQ126" s="66">
        <v>0.1</v>
      </c>
      <c r="AR126" s="66"/>
      <c r="AS126" s="67">
        <v>0.0</v>
      </c>
      <c r="AT126" s="66"/>
      <c r="AU126" s="66">
        <v>0.1</v>
      </c>
      <c r="AV126" s="66"/>
      <c r="AW126" s="66">
        <v>0.3</v>
      </c>
      <c r="AX126" s="66"/>
      <c r="AY126" s="66">
        <v>0.1</v>
      </c>
      <c r="AZ126" s="66"/>
      <c r="BA126" s="66">
        <v>0.2</v>
      </c>
      <c r="BB126" s="66"/>
      <c r="BC126" s="67">
        <v>0.1</v>
      </c>
      <c r="BD126" s="66"/>
      <c r="BE126" s="67">
        <v>0.3</v>
      </c>
      <c r="BF126" s="66"/>
      <c r="BG126" s="67">
        <v>0.0</v>
      </c>
      <c r="BH126" s="66"/>
      <c r="BI126" s="67">
        <v>0.7</v>
      </c>
      <c r="BJ126" s="66"/>
      <c r="BK126" s="67">
        <v>0.0</v>
      </c>
      <c r="BL126" s="66"/>
      <c r="BM126" s="67">
        <v>1.0319917440660475</v>
      </c>
      <c r="BN126" s="66"/>
      <c r="BO126" s="67">
        <v>0.667779632721202</v>
      </c>
      <c r="BP126" s="6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DA126" s="58"/>
      <c r="DB126" s="72" t="s">
        <v>361</v>
      </c>
      <c r="DC126" s="60"/>
      <c r="DD126" s="60">
        <v>0.6516356053694774</v>
      </c>
      <c r="DE126" s="60"/>
      <c r="DF126" s="60"/>
      <c r="DG126" s="60"/>
      <c r="DH126" s="60"/>
      <c r="DI126" s="60"/>
      <c r="DJ126" s="60">
        <v>0.6969612489545581</v>
      </c>
      <c r="DK126" s="60"/>
      <c r="DL126" s="60">
        <v>4.265908282971916</v>
      </c>
      <c r="DM126" s="60"/>
      <c r="DN126" s="60"/>
      <c r="DO126" s="60">
        <v>59.22499858988099</v>
      </c>
      <c r="DP126" s="60">
        <v>6.856572960169545</v>
      </c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</row>
    <row r="127" ht="14.25" customHeight="1">
      <c r="A127" s="12"/>
      <c r="B127" s="105" t="s">
        <v>76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M127" s="64">
        <v>21.0</v>
      </c>
      <c r="AN127" s="65" t="s">
        <v>362</v>
      </c>
      <c r="AO127" s="66">
        <v>1.8</v>
      </c>
      <c r="AP127" s="66"/>
      <c r="AQ127" s="66">
        <v>1.9</v>
      </c>
      <c r="AR127" s="66"/>
      <c r="AS127" s="66">
        <v>1.8</v>
      </c>
      <c r="AT127" s="66"/>
      <c r="AU127" s="66">
        <v>1.6</v>
      </c>
      <c r="AV127" s="66"/>
      <c r="AW127" s="66">
        <v>1.5</v>
      </c>
      <c r="AX127" s="66"/>
      <c r="AY127" s="66">
        <v>2.2</v>
      </c>
      <c r="AZ127" s="66"/>
      <c r="BA127" s="66">
        <v>1.6</v>
      </c>
      <c r="BB127" s="66"/>
      <c r="BC127" s="67">
        <v>0.9</v>
      </c>
      <c r="BD127" s="66"/>
      <c r="BE127" s="67">
        <v>0.6</v>
      </c>
      <c r="BF127" s="66"/>
      <c r="BG127" s="67">
        <v>0.8</v>
      </c>
      <c r="BH127" s="66"/>
      <c r="BI127" s="67">
        <v>1.1</v>
      </c>
      <c r="BJ127" s="66"/>
      <c r="BK127" s="67">
        <v>1.1931962427011933</v>
      </c>
      <c r="BL127" s="66"/>
      <c r="BM127" s="67">
        <v>0.8841532532305599</v>
      </c>
      <c r="BN127" s="66"/>
      <c r="BO127" s="67">
        <v>0.6873797085510036</v>
      </c>
      <c r="BP127" s="6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DA127" s="58"/>
      <c r="DB127" s="72" t="s">
        <v>363</v>
      </c>
      <c r="DC127" s="60"/>
      <c r="DD127" s="60"/>
      <c r="DE127" s="60"/>
      <c r="DF127" s="60"/>
      <c r="DG127" s="60"/>
      <c r="DH127" s="60"/>
      <c r="DI127" s="60"/>
      <c r="DJ127" s="60"/>
      <c r="DK127" s="60"/>
      <c r="DL127" s="60">
        <v>0.5497072808729352</v>
      </c>
      <c r="DM127" s="60"/>
      <c r="DN127" s="60"/>
      <c r="DO127" s="60"/>
      <c r="DP127" s="60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M128" s="102" t="s">
        <v>68</v>
      </c>
      <c r="AN128" s="102"/>
      <c r="AO128" s="99">
        <v>5.0</v>
      </c>
      <c r="AP128" s="99">
        <v>5.0</v>
      </c>
      <c r="AQ128" s="99">
        <v>5.0</v>
      </c>
      <c r="AR128" s="99">
        <v>5.0</v>
      </c>
      <c r="AS128" s="99">
        <v>6.0</v>
      </c>
      <c r="AT128" s="99">
        <v>4.0</v>
      </c>
      <c r="AU128" s="99">
        <v>5.0</v>
      </c>
      <c r="AV128" s="99">
        <v>5.0</v>
      </c>
      <c r="AW128" s="99">
        <v>6.0</v>
      </c>
      <c r="AX128" s="99">
        <v>4.0</v>
      </c>
      <c r="AY128" s="99">
        <v>6.0</v>
      </c>
      <c r="AZ128" s="99">
        <v>4.0</v>
      </c>
      <c r="BA128" s="99">
        <v>8.0</v>
      </c>
      <c r="BB128" s="99">
        <v>2.0</v>
      </c>
      <c r="BC128" s="99">
        <v>8.0</v>
      </c>
      <c r="BD128" s="99">
        <v>2.0</v>
      </c>
      <c r="BE128" s="99">
        <v>8.0</v>
      </c>
      <c r="BF128" s="99">
        <v>2.0</v>
      </c>
      <c r="BG128" s="99">
        <f t="shared" ref="BG128:BP128" si="12">COUNT(BG129:BG138)</f>
        <v>6</v>
      </c>
      <c r="BH128" s="99">
        <f t="shared" si="12"/>
        <v>3</v>
      </c>
      <c r="BI128" s="99">
        <f t="shared" si="12"/>
        <v>8</v>
      </c>
      <c r="BJ128" s="99">
        <f t="shared" si="12"/>
        <v>2</v>
      </c>
      <c r="BK128" s="99">
        <f t="shared" si="12"/>
        <v>8</v>
      </c>
      <c r="BL128" s="99">
        <f t="shared" si="12"/>
        <v>2</v>
      </c>
      <c r="BM128" s="99">
        <f t="shared" si="12"/>
        <v>7</v>
      </c>
      <c r="BN128" s="99">
        <f t="shared" si="12"/>
        <v>3</v>
      </c>
      <c r="BO128" s="99">
        <f t="shared" si="12"/>
        <v>8</v>
      </c>
      <c r="BP128" s="99">
        <f t="shared" si="12"/>
        <v>2</v>
      </c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DA128" s="58"/>
      <c r="DB128" s="72" t="s">
        <v>364</v>
      </c>
      <c r="DC128" s="60">
        <v>14.835254477240104</v>
      </c>
      <c r="DD128" s="60">
        <v>7.730917902267351</v>
      </c>
      <c r="DE128" s="60">
        <v>3.6217668185796636</v>
      </c>
      <c r="DF128" s="60">
        <v>15.093438154908625</v>
      </c>
      <c r="DG128" s="60">
        <v>0.5098399102681758</v>
      </c>
      <c r="DH128" s="60">
        <v>3.688637970429419</v>
      </c>
      <c r="DI128" s="60">
        <v>0.398529426416523</v>
      </c>
      <c r="DJ128" s="60">
        <v>0.5957069386620422</v>
      </c>
      <c r="DK128" s="60">
        <v>1.4639055780902133</v>
      </c>
      <c r="DL128" s="60">
        <v>18.45444059976932</v>
      </c>
      <c r="DM128" s="60"/>
      <c r="DN128" s="60">
        <v>7.9602512290278</v>
      </c>
      <c r="DO128" s="60">
        <v>97.17691663962565</v>
      </c>
      <c r="DP128" s="60">
        <v>0.6774058067225752</v>
      </c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M129" s="64">
        <v>1.0</v>
      </c>
      <c r="AN129" s="106" t="s">
        <v>365</v>
      </c>
      <c r="AO129" s="66"/>
      <c r="AP129" s="66">
        <v>25.3</v>
      </c>
      <c r="AQ129" s="66"/>
      <c r="AR129" s="66">
        <v>7.7</v>
      </c>
      <c r="AS129" s="66"/>
      <c r="AT129" s="66">
        <v>11.5</v>
      </c>
      <c r="AU129" s="66"/>
      <c r="AV129" s="66">
        <v>10.7</v>
      </c>
      <c r="AW129" s="66"/>
      <c r="AX129" s="66">
        <v>4.8</v>
      </c>
      <c r="AY129" s="66"/>
      <c r="AZ129" s="66">
        <v>5.2</v>
      </c>
      <c r="BA129" s="66">
        <v>1.9</v>
      </c>
      <c r="BB129" s="66"/>
      <c r="BC129" s="67">
        <v>2.0</v>
      </c>
      <c r="BD129" s="67"/>
      <c r="BE129" s="67">
        <v>1.6</v>
      </c>
      <c r="BF129" s="67"/>
      <c r="BG129" s="67">
        <v>0.0</v>
      </c>
      <c r="BH129" s="67"/>
      <c r="BI129" s="67">
        <v>1.8</v>
      </c>
      <c r="BJ129" s="67"/>
      <c r="BK129" s="67">
        <v>1.1240164855751216</v>
      </c>
      <c r="BL129" s="67"/>
      <c r="BM129" s="67"/>
      <c r="BN129" s="67">
        <v>3.1871016122984623</v>
      </c>
      <c r="BO129" s="67">
        <v>1.5</v>
      </c>
      <c r="BP129" s="67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DA129" s="58"/>
      <c r="DB129" s="72" t="s">
        <v>366</v>
      </c>
      <c r="DC129" s="60"/>
      <c r="DD129" s="60"/>
      <c r="DE129" s="60">
        <v>0.0</v>
      </c>
      <c r="DF129" s="60">
        <v>3.4441191665231616</v>
      </c>
      <c r="DG129" s="60"/>
      <c r="DH129" s="60"/>
      <c r="DI129" s="60"/>
      <c r="DJ129" s="60"/>
      <c r="DK129" s="60"/>
      <c r="DL129" s="60">
        <v>7.062146892655367</v>
      </c>
      <c r="DM129" s="60"/>
      <c r="DN129" s="60"/>
      <c r="DO129" s="60">
        <v>15.04664459825459</v>
      </c>
      <c r="DP129" s="60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M130" s="64">
        <v>2.0</v>
      </c>
      <c r="AN130" s="106" t="s">
        <v>367</v>
      </c>
      <c r="AO130" s="66">
        <v>1.5</v>
      </c>
      <c r="AP130" s="66"/>
      <c r="AQ130" s="66"/>
      <c r="AR130" s="66">
        <v>4.3</v>
      </c>
      <c r="AS130" s="67">
        <v>1.0</v>
      </c>
      <c r="AT130" s="66"/>
      <c r="AU130" s="66">
        <v>0.8</v>
      </c>
      <c r="AV130" s="66"/>
      <c r="AW130" s="66">
        <v>0.8</v>
      </c>
      <c r="AX130" s="66"/>
      <c r="AY130" s="66">
        <v>0.5</v>
      </c>
      <c r="AZ130" s="66"/>
      <c r="BA130" s="66">
        <v>0.8</v>
      </c>
      <c r="BB130" s="66"/>
      <c r="BC130" s="67">
        <v>0.8</v>
      </c>
      <c r="BD130" s="67"/>
      <c r="BE130" s="67">
        <v>0.5</v>
      </c>
      <c r="BF130" s="67"/>
      <c r="BG130" s="67">
        <v>1.7</v>
      </c>
      <c r="BH130" s="67"/>
      <c r="BI130" s="67">
        <v>1.0</v>
      </c>
      <c r="BJ130" s="67"/>
      <c r="BK130" s="67">
        <v>0.9279086366880799</v>
      </c>
      <c r="BL130" s="67"/>
      <c r="BM130" s="67">
        <v>1.0094212651413188</v>
      </c>
      <c r="BN130" s="67"/>
      <c r="BO130" s="67">
        <v>1.6</v>
      </c>
      <c r="BP130" s="67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DA130" s="58"/>
      <c r="DB130" s="72" t="s">
        <v>368</v>
      </c>
      <c r="DC130" s="60">
        <v>0.0</v>
      </c>
      <c r="DD130" s="60">
        <v>0.0</v>
      </c>
      <c r="DE130" s="60"/>
      <c r="DF130" s="60">
        <v>2.6311173478337135</v>
      </c>
      <c r="DG130" s="60">
        <v>1.7229496898690557</v>
      </c>
      <c r="DH130" s="60"/>
      <c r="DI130" s="60"/>
      <c r="DJ130" s="60">
        <v>0.795924864692773</v>
      </c>
      <c r="DK130" s="60">
        <v>0.7760360080707746</v>
      </c>
      <c r="DL130" s="60">
        <v>14.397211487459272</v>
      </c>
      <c r="DM130" s="60"/>
      <c r="DN130" s="60"/>
      <c r="DO130" s="60">
        <v>256.37135922330094</v>
      </c>
      <c r="DP130" s="60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</row>
    <row r="131" ht="14.25" customHeight="1">
      <c r="A131" s="12"/>
      <c r="B131" s="12"/>
      <c r="C131" s="40" t="s">
        <v>7</v>
      </c>
      <c r="D131" s="41" t="s">
        <v>10</v>
      </c>
      <c r="E131" s="41" t="s">
        <v>11</v>
      </c>
      <c r="F131" s="41" t="s">
        <v>12</v>
      </c>
      <c r="G131" s="41" t="s">
        <v>13</v>
      </c>
      <c r="H131" s="41" t="s">
        <v>14</v>
      </c>
      <c r="I131" s="41" t="s">
        <v>15</v>
      </c>
      <c r="J131" s="41" t="s">
        <v>16</v>
      </c>
      <c r="K131" s="41" t="s">
        <v>17</v>
      </c>
      <c r="L131" s="41" t="s">
        <v>18</v>
      </c>
      <c r="M131" s="41" t="s">
        <v>19</v>
      </c>
      <c r="N131" s="41" t="s">
        <v>20</v>
      </c>
      <c r="O131" s="41">
        <v>2023.0</v>
      </c>
      <c r="P131" s="41" t="s">
        <v>22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M131" s="64">
        <v>3.0</v>
      </c>
      <c r="AN131" s="106" t="s">
        <v>369</v>
      </c>
      <c r="AO131" s="66"/>
      <c r="AP131" s="66">
        <v>3.1</v>
      </c>
      <c r="AQ131" s="66"/>
      <c r="AR131" s="66">
        <v>3.6</v>
      </c>
      <c r="AS131" s="66"/>
      <c r="AT131" s="67">
        <v>7.0</v>
      </c>
      <c r="AU131" s="66"/>
      <c r="AV131" s="66">
        <v>7.1</v>
      </c>
      <c r="AW131" s="66"/>
      <c r="AX131" s="66">
        <v>5.5</v>
      </c>
      <c r="AY131" s="66"/>
      <c r="AZ131" s="66">
        <v>6.4</v>
      </c>
      <c r="BA131" s="66"/>
      <c r="BB131" s="66">
        <v>5.5</v>
      </c>
      <c r="BC131" s="67">
        <v>2.3</v>
      </c>
      <c r="BD131" s="67"/>
      <c r="BE131" s="67"/>
      <c r="BF131" s="67">
        <v>3.5</v>
      </c>
      <c r="BG131" s="67"/>
      <c r="BH131" s="67">
        <v>18.5</v>
      </c>
      <c r="BI131" s="67"/>
      <c r="BJ131" s="67">
        <v>10.4</v>
      </c>
      <c r="BK131" s="67"/>
      <c r="BL131" s="67">
        <v>6.411837237977805</v>
      </c>
      <c r="BM131" s="67"/>
      <c r="BN131" s="67">
        <v>9.627329192546584</v>
      </c>
      <c r="BO131" s="67"/>
      <c r="BP131" s="67">
        <v>7.5</v>
      </c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DA131" s="58"/>
      <c r="DB131" s="72" t="s">
        <v>370</v>
      </c>
      <c r="DC131" s="60"/>
      <c r="DD131" s="60"/>
      <c r="DE131" s="60"/>
      <c r="DF131" s="60">
        <v>3.185727938834024</v>
      </c>
      <c r="DG131" s="60">
        <v>1.55902872510426</v>
      </c>
      <c r="DH131" s="60">
        <v>1.5372790161414298</v>
      </c>
      <c r="DI131" s="60"/>
      <c r="DJ131" s="60"/>
      <c r="DK131" s="60"/>
      <c r="DL131" s="60">
        <v>2.9345952092733207</v>
      </c>
      <c r="DM131" s="60"/>
      <c r="DN131" s="60"/>
      <c r="DO131" s="60">
        <v>2.4262590551454024</v>
      </c>
      <c r="DP131" s="60">
        <v>0.43992785183229954</v>
      </c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</row>
    <row r="132" ht="14.25" customHeight="1">
      <c r="A132" s="12"/>
      <c r="B132" s="12"/>
      <c r="C132" s="50" t="s">
        <v>27</v>
      </c>
      <c r="D132" s="51">
        <v>14.898</v>
      </c>
      <c r="E132" s="51">
        <v>15.946</v>
      </c>
      <c r="F132" s="51">
        <v>15.877</v>
      </c>
      <c r="G132" s="51">
        <v>12.405</v>
      </c>
      <c r="H132" s="51">
        <v>9.135</v>
      </c>
      <c r="I132" s="51">
        <v>7.875</v>
      </c>
      <c r="J132" s="51">
        <v>11.381</v>
      </c>
      <c r="K132" s="51">
        <v>14.766</v>
      </c>
      <c r="L132" s="52">
        <v>18.057045805337356</v>
      </c>
      <c r="M132" s="52">
        <v>17.19062892684802</v>
      </c>
      <c r="N132" s="52">
        <v>16.484872131787174</v>
      </c>
      <c r="O132" s="52">
        <v>17.537769464256</v>
      </c>
      <c r="P132" s="52">
        <v>25.1576477068642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M132" s="64">
        <v>4.0</v>
      </c>
      <c r="AN132" s="106" t="s">
        <v>371</v>
      </c>
      <c r="AO132" s="67">
        <v>1.0</v>
      </c>
      <c r="AP132" s="66"/>
      <c r="AQ132" s="66">
        <v>0.8</v>
      </c>
      <c r="AR132" s="66"/>
      <c r="AS132" s="66">
        <v>0.5</v>
      </c>
      <c r="AT132" s="66"/>
      <c r="AU132" s="66">
        <v>0.1</v>
      </c>
      <c r="AV132" s="66"/>
      <c r="AW132" s="67">
        <v>0.0</v>
      </c>
      <c r="AX132" s="66"/>
      <c r="AY132" s="66">
        <v>0.3</v>
      </c>
      <c r="AZ132" s="66"/>
      <c r="BA132" s="66">
        <v>0.3</v>
      </c>
      <c r="BB132" s="66"/>
      <c r="BC132" s="67">
        <v>0.4</v>
      </c>
      <c r="BD132" s="67"/>
      <c r="BE132" s="67">
        <v>0.2</v>
      </c>
      <c r="BF132" s="67"/>
      <c r="BG132" s="67">
        <v>0.0</v>
      </c>
      <c r="BH132" s="67"/>
      <c r="BI132" s="67">
        <v>0.4</v>
      </c>
      <c r="BJ132" s="67"/>
      <c r="BK132" s="67">
        <v>0.0823045267489712</v>
      </c>
      <c r="BL132" s="67"/>
      <c r="BM132" s="67">
        <v>0.18433179723502305</v>
      </c>
      <c r="BN132" s="67"/>
      <c r="BO132" s="67">
        <v>0.1</v>
      </c>
      <c r="BP132" s="67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DA132" s="58"/>
      <c r="DB132" s="72" t="s">
        <v>372</v>
      </c>
      <c r="DC132" s="60">
        <v>7.310540589187617</v>
      </c>
      <c r="DD132" s="60">
        <v>9.947032054310794</v>
      </c>
      <c r="DE132" s="60">
        <v>1.9565642731363724</v>
      </c>
      <c r="DF132" s="60">
        <v>4.437647096114682</v>
      </c>
      <c r="DG132" s="60">
        <v>1.8631930267975763</v>
      </c>
      <c r="DH132" s="60">
        <v>2.0509859925252956</v>
      </c>
      <c r="DI132" s="60">
        <v>0.3722426128453481</v>
      </c>
      <c r="DJ132" s="60"/>
      <c r="DK132" s="60">
        <v>1.7197676070555334</v>
      </c>
      <c r="DL132" s="60">
        <v>24.497723109518798</v>
      </c>
      <c r="DM132" s="60">
        <v>0.20744018807910386</v>
      </c>
      <c r="DN132" s="60">
        <v>4.079468037367928</v>
      </c>
      <c r="DO132" s="60">
        <v>46.828380674596275</v>
      </c>
      <c r="DP132" s="60">
        <v>2.5089380919525808</v>
      </c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</row>
    <row r="133" ht="14.25" customHeight="1">
      <c r="A133" s="12"/>
      <c r="B133" s="12"/>
      <c r="C133" s="61" t="s">
        <v>34</v>
      </c>
      <c r="D133" s="62">
        <v>0.388</v>
      </c>
      <c r="E133" s="62">
        <v>0.212</v>
      </c>
      <c r="F133" s="62">
        <v>0.402</v>
      </c>
      <c r="G133" s="62">
        <v>0.187</v>
      </c>
      <c r="H133" s="62">
        <v>0.059</v>
      </c>
      <c r="I133" s="62">
        <v>0.005</v>
      </c>
      <c r="J133" s="62">
        <v>0.0</v>
      </c>
      <c r="K133" s="62">
        <v>0.003</v>
      </c>
      <c r="L133" s="63">
        <v>0.0026776701056876392</v>
      </c>
      <c r="M133" s="63">
        <v>0.0026776701056876392</v>
      </c>
      <c r="N133" s="63">
        <v>0.0026776701056876392</v>
      </c>
      <c r="O133" s="63">
        <v>0.0053553402113752785</v>
      </c>
      <c r="P133" s="63">
        <v>0.008033010317062918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M133" s="64">
        <v>5.0</v>
      </c>
      <c r="AN133" s="106" t="s">
        <v>373</v>
      </c>
      <c r="AO133" s="66">
        <v>2.4</v>
      </c>
      <c r="AP133" s="66"/>
      <c r="AQ133" s="66">
        <v>0.8</v>
      </c>
      <c r="AR133" s="66"/>
      <c r="AS133" s="66">
        <v>1.2</v>
      </c>
      <c r="AT133" s="66"/>
      <c r="AU133" s="66">
        <v>0.8</v>
      </c>
      <c r="AV133" s="66"/>
      <c r="AW133" s="66">
        <v>1.6</v>
      </c>
      <c r="AX133" s="66"/>
      <c r="AY133" s="66">
        <v>0.7</v>
      </c>
      <c r="AZ133" s="66"/>
      <c r="BA133" s="67">
        <v>1.0</v>
      </c>
      <c r="BB133" s="66"/>
      <c r="BC133" s="67">
        <v>0.8</v>
      </c>
      <c r="BD133" s="67"/>
      <c r="BE133" s="67">
        <v>0.2</v>
      </c>
      <c r="BF133" s="67"/>
      <c r="BG133" s="67">
        <v>1.9</v>
      </c>
      <c r="BH133" s="67"/>
      <c r="BI133" s="67">
        <v>0.8</v>
      </c>
      <c r="BJ133" s="67"/>
      <c r="BK133" s="67">
        <v>0.9313154831199069</v>
      </c>
      <c r="BL133" s="67"/>
      <c r="BM133" s="67">
        <v>0.7880547490667772</v>
      </c>
      <c r="BN133" s="67"/>
      <c r="BO133" s="67">
        <v>0.8</v>
      </c>
      <c r="BP133" s="67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DA133" s="58"/>
      <c r="DB133" s="72" t="s">
        <v>374</v>
      </c>
      <c r="DC133" s="60"/>
      <c r="DD133" s="60"/>
      <c r="DE133" s="60"/>
      <c r="DF133" s="60"/>
      <c r="DG133" s="60">
        <v>5.3</v>
      </c>
      <c r="DH133" s="60"/>
      <c r="DI133" s="60"/>
      <c r="DJ133" s="60"/>
      <c r="DK133" s="60"/>
      <c r="DL133" s="60">
        <v>22.58770381873368</v>
      </c>
      <c r="DM133" s="60"/>
      <c r="DN133" s="60"/>
      <c r="DO133" s="60">
        <v>4.255922825932756</v>
      </c>
      <c r="DP133" s="60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</row>
    <row r="134" ht="14.25" customHeight="1">
      <c r="A134" s="12"/>
      <c r="B134" s="12"/>
      <c r="C134" s="50" t="s">
        <v>44</v>
      </c>
      <c r="D134" s="51">
        <v>0.061</v>
      </c>
      <c r="E134" s="51">
        <v>0.019</v>
      </c>
      <c r="F134" s="51">
        <v>0.029</v>
      </c>
      <c r="G134" s="51">
        <v>0.019</v>
      </c>
      <c r="H134" s="51">
        <v>0.016</v>
      </c>
      <c r="I134" s="51">
        <v>0.007</v>
      </c>
      <c r="J134" s="51">
        <v>0.006</v>
      </c>
      <c r="K134" s="51">
        <v>0.029</v>
      </c>
      <c r="L134" s="52">
        <v>0.017130694349868737</v>
      </c>
      <c r="M134" s="52">
        <v>0.017130694349868737</v>
      </c>
      <c r="N134" s="52">
        <v>0.0</v>
      </c>
      <c r="O134" s="52">
        <v>0.007137789312445307</v>
      </c>
      <c r="P134" s="52">
        <v>0.012848020762401552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M134" s="64">
        <v>6.0</v>
      </c>
      <c r="AN134" s="106" t="s">
        <v>57</v>
      </c>
      <c r="AO134" s="66"/>
      <c r="AP134" s="66">
        <v>3.6</v>
      </c>
      <c r="AQ134" s="67">
        <v>2.355808</v>
      </c>
      <c r="AR134" s="66"/>
      <c r="AS134" s="66">
        <v>2.6</v>
      </c>
      <c r="AT134" s="66"/>
      <c r="AU134" s="66"/>
      <c r="AV134" s="66">
        <v>4.2</v>
      </c>
      <c r="AW134" s="66">
        <v>1.3</v>
      </c>
      <c r="AX134" s="66"/>
      <c r="AY134" s="66">
        <v>1.2</v>
      </c>
      <c r="AZ134" s="66"/>
      <c r="BA134" s="66">
        <v>1.1</v>
      </c>
      <c r="BB134" s="66"/>
      <c r="BC134" s="67">
        <v>1.8</v>
      </c>
      <c r="BD134" s="67"/>
      <c r="BE134" s="67">
        <v>0.7</v>
      </c>
      <c r="BF134" s="67"/>
      <c r="BG134" s="67"/>
      <c r="BH134" s="67">
        <v>7.3</v>
      </c>
      <c r="BI134" s="67">
        <v>1.4</v>
      </c>
      <c r="BJ134" s="67"/>
      <c r="BK134" s="67">
        <v>0.870285951098218</v>
      </c>
      <c r="BL134" s="67"/>
      <c r="BM134" s="67">
        <v>0.8821170809943866</v>
      </c>
      <c r="BN134" s="67"/>
      <c r="BO134" s="67">
        <v>1.3</v>
      </c>
      <c r="BP134" s="67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DA134" s="58"/>
      <c r="DB134" s="72" t="s">
        <v>375</v>
      </c>
      <c r="DC134" s="60">
        <v>0.0</v>
      </c>
      <c r="DD134" s="60"/>
      <c r="DE134" s="60"/>
      <c r="DF134" s="60"/>
      <c r="DG134" s="60"/>
      <c r="DH134" s="60"/>
      <c r="DI134" s="60"/>
      <c r="DJ134" s="60">
        <v>0.43743575162398024</v>
      </c>
      <c r="DK134" s="60"/>
      <c r="DL134" s="60">
        <v>5.6874433888736755</v>
      </c>
      <c r="DM134" s="60"/>
      <c r="DN134" s="60">
        <v>0.225998915205207</v>
      </c>
      <c r="DO134" s="60">
        <v>16.142050040355123</v>
      </c>
      <c r="DP134" s="60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</row>
    <row r="135" ht="14.25" customHeight="1">
      <c r="A135" s="12"/>
      <c r="B135" s="12"/>
      <c r="C135" s="61" t="s">
        <v>49</v>
      </c>
      <c r="D135" s="62">
        <v>0.518</v>
      </c>
      <c r="E135" s="62">
        <v>0.224</v>
      </c>
      <c r="F135" s="62">
        <v>0.01</v>
      </c>
      <c r="G135" s="62">
        <v>0.014</v>
      </c>
      <c r="H135" s="62">
        <v>0.041</v>
      </c>
      <c r="I135" s="62">
        <v>0.104</v>
      </c>
      <c r="J135" s="62">
        <v>0.025</v>
      </c>
      <c r="K135" s="62">
        <v>0.632</v>
      </c>
      <c r="L135" s="63">
        <v>0.6167602029515894</v>
      </c>
      <c r="M135" s="63">
        <v>0.4929538270368137</v>
      </c>
      <c r="N135" s="63">
        <v>0.9949943605627852</v>
      </c>
      <c r="O135" s="63">
        <v>0.9143498404715091</v>
      </c>
      <c r="P135" s="63">
        <v>2.071769079527991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M135" s="64">
        <v>7.0</v>
      </c>
      <c r="AN135" s="106" t="s">
        <v>376</v>
      </c>
      <c r="AO135" s="66">
        <v>0.8</v>
      </c>
      <c r="AP135" s="66"/>
      <c r="AQ135" s="66">
        <v>0.5</v>
      </c>
      <c r="AR135" s="66"/>
      <c r="AS135" s="66">
        <v>0.3</v>
      </c>
      <c r="AT135" s="66"/>
      <c r="AU135" s="66">
        <v>0.5</v>
      </c>
      <c r="AV135" s="66"/>
      <c r="AW135" s="66">
        <v>0.3</v>
      </c>
      <c r="AX135" s="66"/>
      <c r="AY135" s="66">
        <v>0.3</v>
      </c>
      <c r="AZ135" s="66"/>
      <c r="BA135" s="66">
        <v>0.2</v>
      </c>
      <c r="BB135" s="66"/>
      <c r="BC135" s="67">
        <v>0.5</v>
      </c>
      <c r="BD135" s="67"/>
      <c r="BE135" s="67">
        <v>0.4</v>
      </c>
      <c r="BF135" s="67"/>
      <c r="BG135" s="67">
        <v>0.3</v>
      </c>
      <c r="BH135" s="67"/>
      <c r="BI135" s="67">
        <v>0.2</v>
      </c>
      <c r="BJ135" s="67"/>
      <c r="BK135" s="67">
        <v>0.3973509933774834</v>
      </c>
      <c r="BL135" s="67"/>
      <c r="BM135" s="67">
        <v>0.23786869647954328</v>
      </c>
      <c r="BN135" s="67"/>
      <c r="BO135" s="67">
        <v>0.4</v>
      </c>
      <c r="BP135" s="67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DA135" s="58"/>
      <c r="DB135" s="72" t="s">
        <v>377</v>
      </c>
      <c r="DC135" s="60"/>
      <c r="DD135" s="60"/>
      <c r="DE135" s="60"/>
      <c r="DF135" s="60"/>
      <c r="DG135" s="60"/>
      <c r="DH135" s="60"/>
      <c r="DI135" s="60"/>
      <c r="DJ135" s="60"/>
      <c r="DK135" s="60"/>
      <c r="DL135" s="60">
        <v>0.9471490812653911</v>
      </c>
      <c r="DM135" s="60"/>
      <c r="DN135" s="60">
        <v>1.0112245929821013</v>
      </c>
      <c r="DO135" s="60">
        <v>33.1225534477567</v>
      </c>
      <c r="DP135" s="60">
        <v>1.0362694300518134</v>
      </c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</row>
    <row r="136" ht="14.25" customHeight="1">
      <c r="A136" s="12"/>
      <c r="B136" s="12"/>
      <c r="C136" s="50" t="s">
        <v>54</v>
      </c>
      <c r="D136" s="51">
        <v>11.648</v>
      </c>
      <c r="E136" s="51">
        <v>13.092</v>
      </c>
      <c r="F136" s="51">
        <v>15.492</v>
      </c>
      <c r="G136" s="51">
        <v>23.452</v>
      </c>
      <c r="H136" s="51">
        <v>20.857</v>
      </c>
      <c r="I136" s="51">
        <v>15.833</v>
      </c>
      <c r="J136" s="51">
        <v>12.78</v>
      </c>
      <c r="K136" s="51">
        <v>34.593</v>
      </c>
      <c r="L136" s="52">
        <v>51.93791643497517</v>
      </c>
      <c r="M136" s="52">
        <v>34.19278683406987</v>
      </c>
      <c r="N136" s="52">
        <v>35.870721023930074</v>
      </c>
      <c r="O136" s="52">
        <v>32.7099612709376</v>
      </c>
      <c r="P136" s="52">
        <v>49.703922658940364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M136" s="64">
        <v>8.0</v>
      </c>
      <c r="AN136" s="106" t="s">
        <v>378</v>
      </c>
      <c r="AO136" s="66"/>
      <c r="AP136" s="66">
        <v>4.5</v>
      </c>
      <c r="AQ136" s="66"/>
      <c r="AR136" s="66">
        <v>7.4</v>
      </c>
      <c r="AS136" s="66"/>
      <c r="AT136" s="66">
        <v>3.9</v>
      </c>
      <c r="AU136" s="66"/>
      <c r="AV136" s="66">
        <v>5.7</v>
      </c>
      <c r="AW136" s="66"/>
      <c r="AX136" s="66">
        <v>6.5</v>
      </c>
      <c r="AY136" s="66"/>
      <c r="AZ136" s="66">
        <v>4.4</v>
      </c>
      <c r="BA136" s="66"/>
      <c r="BB136" s="66">
        <v>3.2</v>
      </c>
      <c r="BC136" s="67"/>
      <c r="BD136" s="67">
        <v>4.2</v>
      </c>
      <c r="BE136" s="67">
        <v>0.2</v>
      </c>
      <c r="BF136" s="67"/>
      <c r="BG136" s="67">
        <v>0.0</v>
      </c>
      <c r="BH136" s="67"/>
      <c r="BI136" s="67"/>
      <c r="BJ136" s="67">
        <v>3.0</v>
      </c>
      <c r="BK136" s="67">
        <v>2.268835616438356</v>
      </c>
      <c r="BL136" s="67"/>
      <c r="BM136" s="67">
        <v>2.7111574556830034</v>
      </c>
      <c r="BN136" s="67"/>
      <c r="BO136" s="67">
        <v>2.2</v>
      </c>
      <c r="BP136" s="67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DA136" s="58"/>
      <c r="DB136" s="72" t="s">
        <v>379</v>
      </c>
      <c r="DC136" s="60"/>
      <c r="DD136" s="60"/>
      <c r="DE136" s="60"/>
      <c r="DF136" s="60"/>
      <c r="DG136" s="60">
        <v>7.2</v>
      </c>
      <c r="DH136" s="60"/>
      <c r="DI136" s="60"/>
      <c r="DJ136" s="60"/>
      <c r="DK136" s="60"/>
      <c r="DL136" s="60">
        <v>11.145656127177803</v>
      </c>
      <c r="DM136" s="60"/>
      <c r="DN136" s="60">
        <v>0.6898454746136865</v>
      </c>
      <c r="DO136" s="60">
        <v>80.23590728295159</v>
      </c>
      <c r="DP136" s="60">
        <v>0.4344803614876608</v>
      </c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</row>
    <row r="137" ht="14.25" customHeight="1">
      <c r="A137" s="12"/>
      <c r="B137" s="12"/>
      <c r="C137" s="61" t="s">
        <v>59</v>
      </c>
      <c r="D137" s="62">
        <v>0.276</v>
      </c>
      <c r="E137" s="62">
        <v>0.276</v>
      </c>
      <c r="F137" s="62">
        <v>0.0</v>
      </c>
      <c r="G137" s="62">
        <v>0.092</v>
      </c>
      <c r="H137" s="62">
        <v>0.0</v>
      </c>
      <c r="I137" s="62">
        <v>0.0</v>
      </c>
      <c r="J137" s="62">
        <v>0.0</v>
      </c>
      <c r="K137" s="62">
        <v>0.0</v>
      </c>
      <c r="L137" s="63">
        <v>0.0</v>
      </c>
      <c r="M137" s="63">
        <v>0.0</v>
      </c>
      <c r="N137" s="63">
        <v>0.0</v>
      </c>
      <c r="O137" s="63">
        <v>0.010582097677464717</v>
      </c>
      <c r="P137" s="63">
        <v>0.009406309046635305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M137" s="64">
        <v>9.0</v>
      </c>
      <c r="AN137" s="106" t="s">
        <v>380</v>
      </c>
      <c r="AO137" s="66"/>
      <c r="AP137" s="66">
        <v>23.5</v>
      </c>
      <c r="AQ137" s="66"/>
      <c r="AR137" s="66">
        <v>29.5</v>
      </c>
      <c r="AS137" s="66"/>
      <c r="AT137" s="66">
        <v>16.1</v>
      </c>
      <c r="AU137" s="66"/>
      <c r="AV137" s="66">
        <v>19.9</v>
      </c>
      <c r="AW137" s="66"/>
      <c r="AX137" s="67">
        <v>6.0</v>
      </c>
      <c r="AY137" s="66"/>
      <c r="AZ137" s="66">
        <v>17.3</v>
      </c>
      <c r="BA137" s="66">
        <v>2.8</v>
      </c>
      <c r="BB137" s="66"/>
      <c r="BC137" s="67"/>
      <c r="BD137" s="67">
        <v>10.0</v>
      </c>
      <c r="BE137" s="67"/>
      <c r="BF137" s="67">
        <v>7.4</v>
      </c>
      <c r="BG137" s="67"/>
      <c r="BH137" s="67">
        <v>9.0</v>
      </c>
      <c r="BI137" s="67">
        <v>1.5</v>
      </c>
      <c r="BJ137" s="67"/>
      <c r="BK137" s="67"/>
      <c r="BL137" s="67">
        <v>20.892857142857142</v>
      </c>
      <c r="BM137" s="67"/>
      <c r="BN137" s="67">
        <v>15.29745042492918</v>
      </c>
      <c r="BO137" s="67"/>
      <c r="BP137" s="67">
        <v>7.6</v>
      </c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DA137" s="58"/>
      <c r="DB137" s="72" t="s">
        <v>381</v>
      </c>
      <c r="DC137" s="60">
        <v>3.5647228201182544</v>
      </c>
      <c r="DD137" s="60">
        <v>0.0</v>
      </c>
      <c r="DE137" s="60">
        <v>0.5251825009190694</v>
      </c>
      <c r="DF137" s="60">
        <v>18.588183226377517</v>
      </c>
      <c r="DG137" s="60"/>
      <c r="DH137" s="60">
        <v>5.039150321730366</v>
      </c>
      <c r="DI137" s="60"/>
      <c r="DJ137" s="60"/>
      <c r="DK137" s="60">
        <v>0.507562683991473</v>
      </c>
      <c r="DL137" s="60">
        <v>5.573853559665569</v>
      </c>
      <c r="DM137" s="60">
        <v>0.2815236057543425</v>
      </c>
      <c r="DN137" s="60">
        <v>0.2645992644140449</v>
      </c>
      <c r="DO137" s="60">
        <v>6.718757776340018</v>
      </c>
      <c r="DP137" s="60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</row>
    <row r="138" ht="14.25" customHeight="1">
      <c r="A138" s="12"/>
      <c r="B138" s="12"/>
      <c r="C138" s="50" t="s">
        <v>64</v>
      </c>
      <c r="D138" s="51">
        <v>0.099</v>
      </c>
      <c r="E138" s="51">
        <v>0.031</v>
      </c>
      <c r="F138" s="51">
        <v>0.019</v>
      </c>
      <c r="G138" s="51">
        <v>0.02</v>
      </c>
      <c r="H138" s="51">
        <v>0.02</v>
      </c>
      <c r="I138" s="51">
        <v>0.006</v>
      </c>
      <c r="J138" s="51">
        <v>0.009</v>
      </c>
      <c r="K138" s="51">
        <v>0.016</v>
      </c>
      <c r="L138" s="52">
        <v>0.007054731784976479</v>
      </c>
      <c r="M138" s="52">
        <v>0.008230520415805891</v>
      </c>
      <c r="N138" s="52">
        <v>0.015285252200782369</v>
      </c>
      <c r="O138" s="52">
        <v>0.0023152060417616863</v>
      </c>
      <c r="P138" s="52">
        <v>0.00694561812528506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M138" s="64">
        <v>10.0</v>
      </c>
      <c r="AN138" s="106" t="s">
        <v>382</v>
      </c>
      <c r="AO138" s="66">
        <v>1.2</v>
      </c>
      <c r="AP138" s="66"/>
      <c r="AQ138" s="66">
        <v>0.5</v>
      </c>
      <c r="AR138" s="66"/>
      <c r="AS138" s="66">
        <v>0.1</v>
      </c>
      <c r="AT138" s="66"/>
      <c r="AU138" s="66">
        <v>0.3</v>
      </c>
      <c r="AV138" s="66"/>
      <c r="AW138" s="67">
        <v>0.0</v>
      </c>
      <c r="AX138" s="66"/>
      <c r="AY138" s="66">
        <v>0.2</v>
      </c>
      <c r="AZ138" s="66"/>
      <c r="BA138" s="66">
        <v>0.6</v>
      </c>
      <c r="BB138" s="66"/>
      <c r="BC138" s="67">
        <v>0.3</v>
      </c>
      <c r="BD138" s="67"/>
      <c r="BE138" s="67">
        <v>0.0</v>
      </c>
      <c r="BF138" s="67"/>
      <c r="BG138" s="67"/>
      <c r="BH138" s="67"/>
      <c r="BI138" s="67">
        <v>0.9</v>
      </c>
      <c r="BJ138" s="67"/>
      <c r="BK138" s="67">
        <v>1.4218009478672986</v>
      </c>
      <c r="BL138" s="67"/>
      <c r="BM138" s="67">
        <v>0.26619343389529726</v>
      </c>
      <c r="BN138" s="67"/>
      <c r="BO138" s="67">
        <v>0.0</v>
      </c>
      <c r="BP138" s="67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DA138" s="58"/>
      <c r="DB138" s="72" t="s">
        <v>383</v>
      </c>
      <c r="DC138" s="60"/>
      <c r="DD138" s="60">
        <v>0.0</v>
      </c>
      <c r="DE138" s="60">
        <v>3.3630401883302503</v>
      </c>
      <c r="DF138" s="60"/>
      <c r="DG138" s="60"/>
      <c r="DH138" s="60"/>
      <c r="DI138" s="60"/>
      <c r="DJ138" s="60"/>
      <c r="DK138" s="60"/>
      <c r="DL138" s="60">
        <v>7.474586406218856</v>
      </c>
      <c r="DM138" s="60"/>
      <c r="DN138" s="60"/>
      <c r="DO138" s="60"/>
      <c r="DP138" s="60">
        <v>0.5609783462358353</v>
      </c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</row>
    <row r="139" ht="14.25" customHeight="1">
      <c r="A139" s="12"/>
      <c r="B139" s="12"/>
      <c r="C139" s="61" t="s">
        <v>68</v>
      </c>
      <c r="D139" s="62">
        <v>0.493</v>
      </c>
      <c r="E139" s="62">
        <v>0.225</v>
      </c>
      <c r="F139" s="62">
        <v>0.157</v>
      </c>
      <c r="G139" s="62">
        <v>0.113</v>
      </c>
      <c r="H139" s="62">
        <v>0.296</v>
      </c>
      <c r="I139" s="62">
        <v>0.255</v>
      </c>
      <c r="J139" s="62">
        <v>0.083</v>
      </c>
      <c r="K139" s="62">
        <v>0.139</v>
      </c>
      <c r="L139" s="63">
        <v>0.0023152060417616863</v>
      </c>
      <c r="M139" s="63">
        <v>0.0023152060417616863</v>
      </c>
      <c r="N139" s="63">
        <v>0.009260824167046745</v>
      </c>
      <c r="O139" s="63">
        <v>2.2688887689234734</v>
      </c>
      <c r="P139" s="63">
        <v>3.463597412713225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M139" s="107" t="s">
        <v>64</v>
      </c>
      <c r="AN139" s="102"/>
      <c r="AO139" s="99">
        <v>3.0</v>
      </c>
      <c r="AP139" s="99">
        <v>10.0</v>
      </c>
      <c r="AQ139" s="99">
        <v>2.0</v>
      </c>
      <c r="AR139" s="99">
        <v>9.0</v>
      </c>
      <c r="AS139" s="99">
        <v>4.0</v>
      </c>
      <c r="AT139" s="99">
        <v>6.0</v>
      </c>
      <c r="AU139" s="99">
        <v>9.0</v>
      </c>
      <c r="AV139" s="99">
        <v>2.0</v>
      </c>
      <c r="AW139" s="99">
        <v>6.0</v>
      </c>
      <c r="AX139" s="99">
        <v>3.0</v>
      </c>
      <c r="AY139" s="99">
        <v>4.0</v>
      </c>
      <c r="AZ139" s="99">
        <v>7.0</v>
      </c>
      <c r="BA139" s="99">
        <v>9.0</v>
      </c>
      <c r="BB139" s="99">
        <v>9.0</v>
      </c>
      <c r="BC139" s="99">
        <v>5.0</v>
      </c>
      <c r="BD139" s="99">
        <v>3.0</v>
      </c>
      <c r="BE139" s="99">
        <v>13.0</v>
      </c>
      <c r="BF139" s="99">
        <v>2.0</v>
      </c>
      <c r="BG139" s="99">
        <f t="shared" ref="BG139:BJ139" si="13">COUNT(BG140:BG169)</f>
        <v>2</v>
      </c>
      <c r="BH139" s="99">
        <f t="shared" si="13"/>
        <v>0</v>
      </c>
      <c r="BI139" s="99">
        <f t="shared" si="13"/>
        <v>0</v>
      </c>
      <c r="BJ139" s="99">
        <f t="shared" si="13"/>
        <v>3</v>
      </c>
      <c r="BK139" s="99">
        <f t="shared" ref="BK139:BP139" si="14">COUNT(BK140:BK170)</f>
        <v>5</v>
      </c>
      <c r="BL139" s="99">
        <f t="shared" si="14"/>
        <v>5</v>
      </c>
      <c r="BM139" s="99">
        <f t="shared" si="14"/>
        <v>6</v>
      </c>
      <c r="BN139" s="99">
        <f t="shared" si="14"/>
        <v>5</v>
      </c>
      <c r="BO139" s="99">
        <f t="shared" si="14"/>
        <v>6</v>
      </c>
      <c r="BP139" s="99">
        <f t="shared" si="14"/>
        <v>4</v>
      </c>
      <c r="BQ139" s="56"/>
      <c r="BR139" s="56"/>
      <c r="BS139" s="56"/>
      <c r="BT139" s="56"/>
      <c r="BU139" s="56"/>
      <c r="BV139" s="56"/>
      <c r="BW139" s="56"/>
      <c r="BX139" s="56"/>
      <c r="BY139" s="56"/>
      <c r="BZ139" s="56"/>
      <c r="DA139" s="58"/>
      <c r="DB139" s="72" t="s">
        <v>384</v>
      </c>
      <c r="DC139" s="60"/>
      <c r="DD139" s="60">
        <v>0.0</v>
      </c>
      <c r="DE139" s="60">
        <v>0.0</v>
      </c>
      <c r="DF139" s="60">
        <v>10.421601136901943</v>
      </c>
      <c r="DG139" s="60"/>
      <c r="DH139" s="60"/>
      <c r="DI139" s="60">
        <v>0.4556016219417741</v>
      </c>
      <c r="DJ139" s="60"/>
      <c r="DK139" s="60"/>
      <c r="DL139" s="60">
        <v>0.40968495227170304</v>
      </c>
      <c r="DM139" s="60"/>
      <c r="DN139" s="60"/>
      <c r="DO139" s="60"/>
      <c r="DP139" s="60">
        <v>0.575440211761998</v>
      </c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</row>
    <row r="140" ht="14.25" customHeight="1">
      <c r="A140" s="12"/>
      <c r="B140" s="12"/>
      <c r="C140" s="81" t="s">
        <v>72</v>
      </c>
      <c r="D140" s="82">
        <v>2.0158089442652614</v>
      </c>
      <c r="E140" s="82">
        <v>1.613904816545272</v>
      </c>
      <c r="F140" s="82">
        <v>1.6268740870677687</v>
      </c>
      <c r="G140" s="82">
        <v>1.5182839237099148</v>
      </c>
      <c r="H140" s="82">
        <v>1.2206501561258372</v>
      </c>
      <c r="I140" s="82">
        <v>1.008305828588009</v>
      </c>
      <c r="J140" s="82">
        <v>1.1769063453804667</v>
      </c>
      <c r="K140" s="82">
        <v>2.056838377610203</v>
      </c>
      <c r="L140" s="83">
        <v>2.6789237264011483</v>
      </c>
      <c r="M140" s="83">
        <v>2.1891689005685597</v>
      </c>
      <c r="N140" s="83">
        <v>2.27072143215917</v>
      </c>
      <c r="O140" s="83">
        <v>2.26</v>
      </c>
      <c r="P140" s="83">
        <v>3.4553214125953597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M140" s="64">
        <v>1.0</v>
      </c>
      <c r="AN140" s="65" t="s">
        <v>385</v>
      </c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7">
        <v>2.0</v>
      </c>
      <c r="BB140" s="66"/>
      <c r="BC140" s="67"/>
      <c r="BD140" s="66"/>
      <c r="BE140" s="67"/>
      <c r="BF140" s="66"/>
      <c r="BG140" s="67"/>
      <c r="BH140" s="66"/>
      <c r="BI140" s="67"/>
      <c r="BJ140" s="66"/>
      <c r="BK140" s="67"/>
      <c r="BL140" s="67">
        <v>6.3247863247863245</v>
      </c>
      <c r="BM140" s="67"/>
      <c r="BN140" s="67">
        <v>4.456824512534819</v>
      </c>
      <c r="BO140" s="67"/>
      <c r="BP140" s="67">
        <v>6.4</v>
      </c>
      <c r="BQ140" s="6"/>
      <c r="BR140" s="103"/>
      <c r="BS140" s="6"/>
      <c r="BT140" s="6"/>
      <c r="BU140" s="6"/>
      <c r="BV140" s="6"/>
      <c r="BW140" s="6"/>
      <c r="BX140" s="6"/>
      <c r="BY140" s="6"/>
      <c r="BZ140" s="6"/>
      <c r="DA140" s="58"/>
      <c r="DB140" s="72" t="s">
        <v>386</v>
      </c>
      <c r="DC140" s="60"/>
      <c r="DD140" s="60"/>
      <c r="DE140" s="60"/>
      <c r="DF140" s="60"/>
      <c r="DG140" s="60"/>
      <c r="DH140" s="60">
        <v>4.452359750667854</v>
      </c>
      <c r="DI140" s="60"/>
      <c r="DJ140" s="60"/>
      <c r="DK140" s="60"/>
      <c r="DL140" s="60">
        <v>2.4437927663734116</v>
      </c>
      <c r="DM140" s="60"/>
      <c r="DN140" s="60"/>
      <c r="DO140" s="60">
        <v>98.22263797942001</v>
      </c>
      <c r="DP140" s="60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</row>
    <row r="141" ht="14.25" customHeight="1">
      <c r="A141" s="12"/>
      <c r="B141" s="12"/>
      <c r="C141" s="84" t="s">
        <v>76</v>
      </c>
      <c r="D141" s="84"/>
      <c r="E141" s="84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M141" s="64">
        <v>2.0</v>
      </c>
      <c r="AN141" s="65" t="s">
        <v>387</v>
      </c>
      <c r="AO141" s="66"/>
      <c r="AP141" s="66">
        <v>14.7</v>
      </c>
      <c r="AQ141" s="66"/>
      <c r="AR141" s="66">
        <v>8.4</v>
      </c>
      <c r="AS141" s="66"/>
      <c r="AT141" s="66"/>
      <c r="AU141" s="66"/>
      <c r="AV141" s="66"/>
      <c r="AW141" s="66"/>
      <c r="AX141" s="66"/>
      <c r="AY141" s="66"/>
      <c r="AZ141" s="66"/>
      <c r="BA141" s="66">
        <v>1.7</v>
      </c>
      <c r="BB141" s="66"/>
      <c r="BC141" s="66"/>
      <c r="BD141" s="66"/>
      <c r="BE141" s="66">
        <v>1.7</v>
      </c>
      <c r="BF141" s="66"/>
      <c r="BG141" s="66"/>
      <c r="BH141" s="66"/>
      <c r="BI141" s="66"/>
      <c r="BJ141" s="66"/>
      <c r="BK141" s="66"/>
      <c r="BL141" s="67">
        <v>8.602150537634408</v>
      </c>
      <c r="BM141" s="66"/>
      <c r="BN141" s="67"/>
      <c r="BO141" s="66"/>
      <c r="BP141" s="67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DA141" s="58"/>
      <c r="DB141" s="72" t="s">
        <v>388</v>
      </c>
      <c r="DC141" s="60"/>
      <c r="DD141" s="60">
        <v>0.0</v>
      </c>
      <c r="DE141" s="60">
        <v>0.6023733510029516</v>
      </c>
      <c r="DF141" s="60">
        <v>0.5978000956480153</v>
      </c>
      <c r="DG141" s="60"/>
      <c r="DH141" s="60">
        <v>0.5750431282346176</v>
      </c>
      <c r="DI141" s="60">
        <v>1.1292417141889222</v>
      </c>
      <c r="DJ141" s="60">
        <v>0.6064649160046092</v>
      </c>
      <c r="DK141" s="60">
        <v>3.6560843336786304</v>
      </c>
      <c r="DL141" s="60">
        <v>12.263919548687761</v>
      </c>
      <c r="DM141" s="60"/>
      <c r="DN141" s="60">
        <v>0.5201831044527674</v>
      </c>
      <c r="DO141" s="60">
        <v>43.58303850689638</v>
      </c>
      <c r="DP141" s="60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M142" s="64">
        <v>3.0</v>
      </c>
      <c r="AN142" s="65" t="s">
        <v>389</v>
      </c>
      <c r="AO142" s="66"/>
      <c r="AP142" s="66">
        <v>5.1</v>
      </c>
      <c r="AQ142" s="66"/>
      <c r="AR142" s="66">
        <v>3.3</v>
      </c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DA142" s="58"/>
      <c r="DB142" s="72" t="s">
        <v>390</v>
      </c>
      <c r="DC142" s="60"/>
      <c r="DD142" s="60"/>
      <c r="DE142" s="60"/>
      <c r="DF142" s="60"/>
      <c r="DG142" s="60"/>
      <c r="DH142" s="60">
        <v>2.74914089347079</v>
      </c>
      <c r="DI142" s="60"/>
      <c r="DJ142" s="60"/>
      <c r="DK142" s="60"/>
      <c r="DL142" s="60">
        <v>18.753729434830788</v>
      </c>
      <c r="DM142" s="60"/>
      <c r="DN142" s="60">
        <v>1.3679890560875512</v>
      </c>
      <c r="DO142" s="60">
        <v>27.397260273972602</v>
      </c>
      <c r="DP142" s="60">
        <v>1.650982334489021</v>
      </c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</row>
    <row r="143" ht="14.25" customHeight="1">
      <c r="A143" s="12"/>
      <c r="B143" s="12"/>
      <c r="C143" s="12"/>
      <c r="D143" s="12"/>
      <c r="E143" s="12"/>
      <c r="F143" s="86">
        <f>AVERAGE(N140:P140)</f>
        <v>2.662014282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M143" s="64">
        <v>4.0</v>
      </c>
      <c r="AN143" s="65" t="s">
        <v>391</v>
      </c>
      <c r="AO143" s="66"/>
      <c r="AP143" s="67">
        <v>7.0</v>
      </c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>
        <v>5.8</v>
      </c>
      <c r="BC143" s="66"/>
      <c r="BD143" s="66">
        <v>5.1</v>
      </c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DA143" s="58"/>
      <c r="DB143" s="72" t="s">
        <v>392</v>
      </c>
      <c r="DC143" s="60"/>
      <c r="DD143" s="60"/>
      <c r="DE143" s="60"/>
      <c r="DF143" s="60"/>
      <c r="DG143" s="60"/>
      <c r="DH143" s="60">
        <v>0.9676795045480937</v>
      </c>
      <c r="DI143" s="60"/>
      <c r="DJ143" s="60"/>
      <c r="DK143" s="60"/>
      <c r="DL143" s="60">
        <v>5.967095729264342</v>
      </c>
      <c r="DM143" s="60"/>
      <c r="DN143" s="60"/>
      <c r="DO143" s="60">
        <v>32.76233267808668</v>
      </c>
      <c r="DP143" s="60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M144" s="64">
        <v>5.0</v>
      </c>
      <c r="AN144" s="65" t="s">
        <v>393</v>
      </c>
      <c r="AO144" s="66"/>
      <c r="AP144" s="66">
        <v>13.0</v>
      </c>
      <c r="AQ144" s="66"/>
      <c r="AR144" s="66">
        <v>5.7</v>
      </c>
      <c r="AS144" s="66"/>
      <c r="AT144" s="66"/>
      <c r="AU144" s="66"/>
      <c r="AV144" s="66"/>
      <c r="AW144" s="66"/>
      <c r="AX144" s="66">
        <v>12.1</v>
      </c>
      <c r="AY144" s="66"/>
      <c r="AZ144" s="66">
        <v>4.6</v>
      </c>
      <c r="BA144" s="66"/>
      <c r="BB144" s="66"/>
      <c r="BC144" s="66"/>
      <c r="BD144" s="66"/>
      <c r="BE144" s="66"/>
      <c r="BF144" s="66"/>
      <c r="BG144" s="66"/>
      <c r="BH144" s="66"/>
      <c r="BI144" s="66"/>
      <c r="BJ144" s="66">
        <v>14.0</v>
      </c>
      <c r="BK144" s="66"/>
      <c r="BL144" s="66"/>
      <c r="BM144" s="66"/>
      <c r="BN144" s="66"/>
      <c r="BO144" s="66"/>
      <c r="BP144" s="6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DA144" s="15"/>
      <c r="DB144" s="72" t="s">
        <v>394</v>
      </c>
      <c r="DC144" s="72"/>
      <c r="DD144" s="72"/>
      <c r="DE144" s="77"/>
      <c r="DF144" s="77"/>
      <c r="DG144" s="77"/>
      <c r="DH144" s="77"/>
      <c r="DI144" s="77"/>
      <c r="DJ144" s="77"/>
      <c r="DK144" s="77"/>
      <c r="DL144" s="77">
        <v>2.8876696505919726</v>
      </c>
      <c r="DM144" s="77"/>
      <c r="DN144" s="77"/>
      <c r="DO144" s="77"/>
      <c r="DP144" s="77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M145" s="64">
        <v>6.0</v>
      </c>
      <c r="AN145" s="65" t="s">
        <v>338</v>
      </c>
      <c r="AO145" s="66"/>
      <c r="AP145" s="66">
        <v>3.5</v>
      </c>
      <c r="AQ145" s="66"/>
      <c r="AR145" s="66">
        <v>9.8</v>
      </c>
      <c r="AS145" s="66"/>
      <c r="AT145" s="67">
        <v>7.0</v>
      </c>
      <c r="AU145" s="66">
        <v>2.6</v>
      </c>
      <c r="AV145" s="66"/>
      <c r="AW145" s="66">
        <v>1.1</v>
      </c>
      <c r="AX145" s="66"/>
      <c r="AY145" s="66"/>
      <c r="AZ145" s="66">
        <v>6.3</v>
      </c>
      <c r="BA145" s="66"/>
      <c r="BB145" s="66">
        <v>27.6</v>
      </c>
      <c r="BC145" s="66"/>
      <c r="BD145" s="66">
        <v>9.3</v>
      </c>
      <c r="BE145" s="66">
        <v>2.3</v>
      </c>
      <c r="BF145" s="66"/>
      <c r="BG145" s="66"/>
      <c r="BH145" s="66"/>
      <c r="BI145" s="66"/>
      <c r="BJ145" s="66"/>
      <c r="BK145" s="66"/>
      <c r="BL145" s="66"/>
      <c r="BM145" s="67">
        <v>1.405152224824356</v>
      </c>
      <c r="BN145" s="66"/>
      <c r="BO145" s="67"/>
      <c r="BP145" s="6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DA145" s="58"/>
      <c r="DB145" s="72" t="s">
        <v>395</v>
      </c>
      <c r="DC145" s="60">
        <v>0.0</v>
      </c>
      <c r="DD145" s="60"/>
      <c r="DE145" s="60"/>
      <c r="DF145" s="60">
        <v>0.43798177995795373</v>
      </c>
      <c r="DG145" s="60"/>
      <c r="DH145" s="60"/>
      <c r="DI145" s="60">
        <v>1.2713480527185659</v>
      </c>
      <c r="DJ145" s="60"/>
      <c r="DK145" s="60"/>
      <c r="DL145" s="60">
        <v>16.081933217656267</v>
      </c>
      <c r="DM145" s="60"/>
      <c r="DN145" s="60">
        <v>5.691519635742743</v>
      </c>
      <c r="DO145" s="60">
        <v>31.50751333010179</v>
      </c>
      <c r="DP145" s="60">
        <v>1.052742393936204</v>
      </c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M146" s="64">
        <v>7.0</v>
      </c>
      <c r="AN146" s="65" t="s">
        <v>396</v>
      </c>
      <c r="AO146" s="66"/>
      <c r="AP146" s="66"/>
      <c r="AQ146" s="66"/>
      <c r="AR146" s="66"/>
      <c r="AS146" s="66"/>
      <c r="AT146" s="66"/>
      <c r="AU146" s="67">
        <v>0.0</v>
      </c>
      <c r="AV146" s="66"/>
      <c r="AW146" s="66"/>
      <c r="AX146" s="66"/>
      <c r="AY146" s="66"/>
      <c r="AZ146" s="66"/>
      <c r="BA146" s="66"/>
      <c r="BB146" s="66"/>
      <c r="BC146" s="66"/>
      <c r="BD146" s="66"/>
      <c r="BE146" s="66">
        <v>1.8</v>
      </c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DA146" s="58"/>
      <c r="DB146" s="72" t="s">
        <v>397</v>
      </c>
      <c r="DC146" s="60"/>
      <c r="DD146" s="60">
        <v>13.184144331685316</v>
      </c>
      <c r="DE146" s="60">
        <v>6.746440365017931</v>
      </c>
      <c r="DF146" s="60">
        <v>0.0</v>
      </c>
      <c r="DG146" s="60">
        <v>0.5126802925695536</v>
      </c>
      <c r="DH146" s="60">
        <v>0.9632519385445263</v>
      </c>
      <c r="DI146" s="60">
        <v>0.31546238899667184</v>
      </c>
      <c r="DJ146" s="60"/>
      <c r="DK146" s="60">
        <v>4.972012381914706</v>
      </c>
      <c r="DL146" s="60">
        <v>4.273098471180325</v>
      </c>
      <c r="DM146" s="60"/>
      <c r="DN146" s="60">
        <v>0.14582573824279985</v>
      </c>
      <c r="DO146" s="60">
        <v>1.8698309960445882</v>
      </c>
      <c r="DP146" s="60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M147" s="64">
        <v>8.0</v>
      </c>
      <c r="AN147" s="65" t="s">
        <v>350</v>
      </c>
      <c r="AO147" s="66"/>
      <c r="AP147" s="66">
        <v>9.5</v>
      </c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>
        <v>7.2</v>
      </c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7">
        <v>54.85232067510548</v>
      </c>
      <c r="BO147" s="66"/>
      <c r="BP147" s="67">
        <v>23.3</v>
      </c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DA147" s="58"/>
      <c r="DB147" s="72" t="s">
        <v>398</v>
      </c>
      <c r="DC147" s="60">
        <v>0.0</v>
      </c>
      <c r="DD147" s="60"/>
      <c r="DE147" s="60">
        <v>3.422079255355554</v>
      </c>
      <c r="DF147" s="60"/>
      <c r="DG147" s="60"/>
      <c r="DH147" s="60"/>
      <c r="DI147" s="60"/>
      <c r="DJ147" s="60"/>
      <c r="DK147" s="60"/>
      <c r="DL147" s="60"/>
      <c r="DM147" s="60"/>
      <c r="DN147" s="60">
        <v>2.840909090909091</v>
      </c>
      <c r="DO147" s="60">
        <v>0.5622399640166422</v>
      </c>
      <c r="DP147" s="60">
        <v>0.6712760958582266</v>
      </c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M148" s="64">
        <v>9.0</v>
      </c>
      <c r="AN148" s="65" t="s">
        <v>399</v>
      </c>
      <c r="AO148" s="66"/>
      <c r="AP148" s="66"/>
      <c r="AQ148" s="66"/>
      <c r="AR148" s="66">
        <v>9.6</v>
      </c>
      <c r="AS148" s="66">
        <v>2.2</v>
      </c>
      <c r="AT148" s="66"/>
      <c r="AU148" s="66"/>
      <c r="AV148" s="66">
        <v>3.5</v>
      </c>
      <c r="AW148" s="66"/>
      <c r="AX148" s="66">
        <v>4.4</v>
      </c>
      <c r="AY148" s="66"/>
      <c r="AZ148" s="66">
        <v>5.4</v>
      </c>
      <c r="BA148" s="66"/>
      <c r="BB148" s="66">
        <v>10.4</v>
      </c>
      <c r="BC148" s="66"/>
      <c r="BD148" s="66">
        <v>19.8</v>
      </c>
      <c r="BE148" s="66"/>
      <c r="BF148" s="66">
        <v>8.3</v>
      </c>
      <c r="BG148" s="66"/>
      <c r="BH148" s="66"/>
      <c r="BI148" s="66"/>
      <c r="BJ148" s="66">
        <v>8.8</v>
      </c>
      <c r="BK148" s="66"/>
      <c r="BL148" s="67">
        <v>3.125</v>
      </c>
      <c r="BM148" s="66"/>
      <c r="BN148" s="67">
        <v>11.796246648793565</v>
      </c>
      <c r="BO148" s="66"/>
      <c r="BP148" s="67">
        <v>12.0</v>
      </c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DA148" s="58"/>
      <c r="DB148" s="72" t="s">
        <v>400</v>
      </c>
      <c r="DC148" s="60"/>
      <c r="DD148" s="60">
        <v>2.531462462028063</v>
      </c>
      <c r="DE148" s="60">
        <v>0.3152386356471849</v>
      </c>
      <c r="DF148" s="60">
        <v>0.0</v>
      </c>
      <c r="DG148" s="60">
        <v>1.4238929232521715</v>
      </c>
      <c r="DH148" s="60"/>
      <c r="DI148" s="60"/>
      <c r="DJ148" s="60"/>
      <c r="DK148" s="60"/>
      <c r="DL148" s="60">
        <v>4.693891235834506</v>
      </c>
      <c r="DM148" s="60"/>
      <c r="DN148" s="60">
        <v>0.30802402587401817</v>
      </c>
      <c r="DO148" s="60">
        <v>24.640282298542875</v>
      </c>
      <c r="DP148" s="60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M149" s="64">
        <v>10.0</v>
      </c>
      <c r="AN149" s="65" t="s">
        <v>401</v>
      </c>
      <c r="AO149" s="66"/>
      <c r="AP149" s="66">
        <v>14.6</v>
      </c>
      <c r="AQ149" s="66"/>
      <c r="AR149" s="66">
        <v>10.9</v>
      </c>
      <c r="AS149" s="66"/>
      <c r="AT149" s="66">
        <v>7.4</v>
      </c>
      <c r="AU149" s="66"/>
      <c r="AV149" s="66"/>
      <c r="AW149" s="66"/>
      <c r="AX149" s="66"/>
      <c r="AY149" s="66"/>
      <c r="AZ149" s="66"/>
      <c r="BA149" s="66"/>
      <c r="BB149" s="66"/>
      <c r="BC149" s="67">
        <v>0.0</v>
      </c>
      <c r="BD149" s="66"/>
      <c r="BE149" s="67"/>
      <c r="BF149" s="66">
        <v>8.1</v>
      </c>
      <c r="BG149" s="67"/>
      <c r="BH149" s="66"/>
      <c r="BI149" s="67"/>
      <c r="BJ149" s="66">
        <v>8.2</v>
      </c>
      <c r="BK149" s="67">
        <v>0.6788866259334692</v>
      </c>
      <c r="BL149" s="66"/>
      <c r="BM149" s="67"/>
      <c r="BN149" s="66"/>
      <c r="BO149" s="67"/>
      <c r="BP149" s="6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DA149" s="58"/>
      <c r="DB149" s="72" t="s">
        <v>402</v>
      </c>
      <c r="DC149" s="60"/>
      <c r="DD149" s="60">
        <v>45.346577413085726</v>
      </c>
      <c r="DE149" s="60">
        <v>4.073734596191058</v>
      </c>
      <c r="DF149" s="60">
        <v>17.92681640830961</v>
      </c>
      <c r="DG149" s="60">
        <v>5.96836765144733</v>
      </c>
      <c r="DH149" s="60">
        <v>6.195147134744451</v>
      </c>
      <c r="DI149" s="60"/>
      <c r="DJ149" s="60"/>
      <c r="DK149" s="60"/>
      <c r="DL149" s="60">
        <v>15.899738121960343</v>
      </c>
      <c r="DM149" s="60"/>
      <c r="DN149" s="60">
        <v>0.9850275807722617</v>
      </c>
      <c r="DO149" s="60">
        <v>31.344891762170633</v>
      </c>
      <c r="DP149" s="60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M150" s="64">
        <v>11.0</v>
      </c>
      <c r="AN150" s="65" t="s">
        <v>403</v>
      </c>
      <c r="AO150" s="66"/>
      <c r="AP150" s="66"/>
      <c r="AQ150" s="66"/>
      <c r="AR150" s="66"/>
      <c r="AS150" s="67">
        <v>0.0</v>
      </c>
      <c r="AT150" s="66"/>
      <c r="AU150" s="66"/>
      <c r="AV150" s="66">
        <v>3.7</v>
      </c>
      <c r="AW150" s="66"/>
      <c r="AX150" s="66"/>
      <c r="AY150" s="66"/>
      <c r="AZ150" s="66"/>
      <c r="BA150" s="66"/>
      <c r="BB150" s="66">
        <v>19.6</v>
      </c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7">
        <v>3.614457831325301</v>
      </c>
      <c r="BO150" s="66"/>
      <c r="BP150" s="67">
        <v>12.0</v>
      </c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DA150" s="58"/>
      <c r="DB150" s="72" t="s">
        <v>404</v>
      </c>
      <c r="DC150" s="60">
        <v>8.675499325842281</v>
      </c>
      <c r="DD150" s="60">
        <v>0.0</v>
      </c>
      <c r="DE150" s="60">
        <v>0.0</v>
      </c>
      <c r="DF150" s="60"/>
      <c r="DG150" s="60"/>
      <c r="DH150" s="60"/>
      <c r="DI150" s="60"/>
      <c r="DJ150" s="60"/>
      <c r="DK150" s="60">
        <v>18.351170465410355</v>
      </c>
      <c r="DL150" s="60">
        <v>18.61124651039128</v>
      </c>
      <c r="DM150" s="60"/>
      <c r="DN150" s="60">
        <v>9.975333720255367</v>
      </c>
      <c r="DO150" s="60">
        <v>50.70005773672055</v>
      </c>
      <c r="DP150" s="60">
        <v>5.825025204435981</v>
      </c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M151" s="64">
        <v>12.0</v>
      </c>
      <c r="AN151" s="65" t="s">
        <v>366</v>
      </c>
      <c r="AO151" s="66"/>
      <c r="AP151" s="66">
        <v>3.5</v>
      </c>
      <c r="AQ151" s="66"/>
      <c r="AR151" s="66"/>
      <c r="AS151" s="66"/>
      <c r="AT151" s="66"/>
      <c r="AU151" s="66">
        <v>2.8</v>
      </c>
      <c r="AV151" s="66"/>
      <c r="AW151" s="66"/>
      <c r="AX151" s="66"/>
      <c r="AY151" s="66"/>
      <c r="AZ151" s="66"/>
      <c r="BA151" s="66"/>
      <c r="BB151" s="66"/>
      <c r="BC151" s="67">
        <v>0.0</v>
      </c>
      <c r="BD151" s="66"/>
      <c r="BE151" s="67"/>
      <c r="BF151" s="66"/>
      <c r="BG151" s="67"/>
      <c r="BH151" s="66"/>
      <c r="BI151" s="67"/>
      <c r="BJ151" s="66"/>
      <c r="BK151" s="67"/>
      <c r="BL151" s="66"/>
      <c r="BM151" s="67"/>
      <c r="BN151" s="66"/>
      <c r="BO151" s="67"/>
      <c r="BP151" s="6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DA151" s="58"/>
      <c r="DB151" s="72" t="s">
        <v>405</v>
      </c>
      <c r="DC151" s="60"/>
      <c r="DD151" s="60"/>
      <c r="DE151" s="60">
        <v>3.8817364300963964</v>
      </c>
      <c r="DF151" s="60">
        <v>0.0</v>
      </c>
      <c r="DG151" s="60">
        <v>2.550207204335352</v>
      </c>
      <c r="DH151" s="60"/>
      <c r="DI151" s="60"/>
      <c r="DJ151" s="60">
        <v>0.6288912647003333</v>
      </c>
      <c r="DK151" s="60"/>
      <c r="DL151" s="60"/>
      <c r="DM151" s="60"/>
      <c r="DN151" s="60"/>
      <c r="DO151" s="60"/>
      <c r="DP151" s="60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M152" s="64">
        <v>13.0</v>
      </c>
      <c r="AN152" s="65" t="s">
        <v>406</v>
      </c>
      <c r="AO152" s="66"/>
      <c r="AP152" s="66"/>
      <c r="AQ152" s="66"/>
      <c r="AR152" s="66"/>
      <c r="AS152" s="66"/>
      <c r="AT152" s="66"/>
      <c r="AU152" s="67">
        <v>0.0</v>
      </c>
      <c r="AV152" s="66"/>
      <c r="AW152" s="66"/>
      <c r="AX152" s="66"/>
      <c r="AY152" s="66"/>
      <c r="AZ152" s="66">
        <v>4.3</v>
      </c>
      <c r="BA152" s="67">
        <v>0.0</v>
      </c>
      <c r="BB152" s="66"/>
      <c r="BC152" s="67"/>
      <c r="BD152" s="66"/>
      <c r="BE152" s="67">
        <v>0.0</v>
      </c>
      <c r="BF152" s="66"/>
      <c r="BG152" s="67"/>
      <c r="BH152" s="66"/>
      <c r="BI152" s="67"/>
      <c r="BJ152" s="66"/>
      <c r="BK152" s="67">
        <v>0.8928571428571429</v>
      </c>
      <c r="BL152" s="66"/>
      <c r="BM152" s="67">
        <v>2.750809061488673</v>
      </c>
      <c r="BN152" s="66"/>
      <c r="BO152" s="67">
        <v>0.5</v>
      </c>
      <c r="BP152" s="6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DA152" s="58"/>
      <c r="DB152" s="72" t="s">
        <v>407</v>
      </c>
      <c r="DC152" s="60"/>
      <c r="DD152" s="60"/>
      <c r="DE152" s="60">
        <v>2.479338842975207</v>
      </c>
      <c r="DF152" s="60"/>
      <c r="DG152" s="60"/>
      <c r="DH152" s="60">
        <v>5.634709812444659</v>
      </c>
      <c r="DI152" s="60"/>
      <c r="DJ152" s="60"/>
      <c r="DK152" s="60"/>
      <c r="DL152" s="60">
        <v>5.569700827498409</v>
      </c>
      <c r="DM152" s="60"/>
      <c r="DN152" s="60"/>
      <c r="DO152" s="60">
        <v>2.2829312837683586</v>
      </c>
      <c r="DP152" s="60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M153" s="64">
        <v>14.0</v>
      </c>
      <c r="AN153" s="65" t="s">
        <v>408</v>
      </c>
      <c r="AO153" s="66"/>
      <c r="AP153" s="66"/>
      <c r="AQ153" s="66"/>
      <c r="AR153" s="66"/>
      <c r="AS153" s="66"/>
      <c r="AT153" s="66">
        <v>9.1</v>
      </c>
      <c r="AU153" s="66">
        <v>2.9</v>
      </c>
      <c r="AV153" s="66"/>
      <c r="AW153" s="66">
        <v>2.5</v>
      </c>
      <c r="AX153" s="66"/>
      <c r="AY153" s="66">
        <v>2.1</v>
      </c>
      <c r="AZ153" s="66"/>
      <c r="BA153" s="66"/>
      <c r="BB153" s="66">
        <v>21.1</v>
      </c>
      <c r="BC153" s="66"/>
      <c r="BD153" s="66"/>
      <c r="BE153" s="66">
        <v>2.1</v>
      </c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DA153" s="58"/>
      <c r="DB153" s="77" t="s">
        <v>409</v>
      </c>
      <c r="DC153" s="77"/>
      <c r="DD153" s="77"/>
      <c r="DE153" s="73">
        <v>0.9691800736576855</v>
      </c>
      <c r="DF153" s="60"/>
      <c r="DG153" s="60"/>
      <c r="DH153" s="60">
        <v>2.265133926043377</v>
      </c>
      <c r="DI153" s="60"/>
      <c r="DJ153" s="60"/>
      <c r="DK153" s="60">
        <v>0.42351346772827375</v>
      </c>
      <c r="DL153" s="60">
        <v>6.230012044689953</v>
      </c>
      <c r="DM153" s="60"/>
      <c r="DN153" s="60">
        <v>0.5733616191732125</v>
      </c>
      <c r="DO153" s="60">
        <v>16.700259141952202</v>
      </c>
      <c r="DP153" s="60">
        <v>0.6597176408497163</v>
      </c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M154" s="64">
        <v>15.0</v>
      </c>
      <c r="AN154" s="65" t="s">
        <v>410</v>
      </c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DA154" s="58"/>
      <c r="DB154" s="77" t="s">
        <v>411</v>
      </c>
      <c r="DC154" s="77"/>
      <c r="DD154" s="77"/>
      <c r="DE154" s="73"/>
      <c r="DF154" s="60"/>
      <c r="DG154" s="60"/>
      <c r="DH154" s="60">
        <v>3.1740993493096332</v>
      </c>
      <c r="DI154" s="60"/>
      <c r="DJ154" s="60"/>
      <c r="DK154" s="60"/>
      <c r="DL154" s="60">
        <v>9.40354648038689</v>
      </c>
      <c r="DM154" s="60">
        <v>1.5415446277169724</v>
      </c>
      <c r="DN154" s="60">
        <v>1.5356265356265355</v>
      </c>
      <c r="DO154" s="60">
        <v>15.30690341343946</v>
      </c>
      <c r="DP154" s="60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M155" s="64">
        <v>16.0</v>
      </c>
      <c r="AN155" s="65" t="s">
        <v>412</v>
      </c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>
        <v>0.5</v>
      </c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DA155" s="58"/>
      <c r="DB155" s="72" t="s">
        <v>413</v>
      </c>
      <c r="DC155" s="60">
        <v>4.909088494882213</v>
      </c>
      <c r="DD155" s="60"/>
      <c r="DE155" s="60">
        <v>0.0</v>
      </c>
      <c r="DF155" s="60">
        <v>13.9</v>
      </c>
      <c r="DG155" s="60">
        <v>3.5566093657379962</v>
      </c>
      <c r="DH155" s="60"/>
      <c r="DI155" s="60"/>
      <c r="DJ155" s="60"/>
      <c r="DK155" s="60"/>
      <c r="DL155" s="60"/>
      <c r="DM155" s="60"/>
      <c r="DN155" s="60"/>
      <c r="DO155" s="60">
        <v>3.0214523114110183</v>
      </c>
      <c r="DP155" s="60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M156" s="64">
        <v>17.0</v>
      </c>
      <c r="AN156" s="65" t="s">
        <v>414</v>
      </c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>
        <v>13.2</v>
      </c>
      <c r="BA156" s="66"/>
      <c r="BB156" s="66">
        <v>5.6</v>
      </c>
      <c r="BC156" s="67">
        <v>0.0</v>
      </c>
      <c r="BD156" s="66"/>
      <c r="BE156" s="67">
        <v>1.3</v>
      </c>
      <c r="BF156" s="66"/>
      <c r="BG156" s="67"/>
      <c r="BH156" s="66"/>
      <c r="BI156" s="67"/>
      <c r="BJ156" s="66"/>
      <c r="BK156" s="67"/>
      <c r="BL156" s="67">
        <v>27.272727272727273</v>
      </c>
      <c r="BM156" s="67"/>
      <c r="BN156" s="67"/>
      <c r="BO156" s="67">
        <v>2.2</v>
      </c>
      <c r="BP156" s="67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DA156" s="58"/>
      <c r="DB156" s="72" t="s">
        <v>415</v>
      </c>
      <c r="DC156" s="60">
        <v>33.50553895133681</v>
      </c>
      <c r="DD156" s="60">
        <v>20.708700663123206</v>
      </c>
      <c r="DE156" s="60">
        <v>4.590045900459005</v>
      </c>
      <c r="DF156" s="60">
        <v>10.747699923719974</v>
      </c>
      <c r="DG156" s="60">
        <v>3.9709482698807603</v>
      </c>
      <c r="DH156" s="60">
        <v>5.664681749500996</v>
      </c>
      <c r="DI156" s="60">
        <v>0.6743527376395794</v>
      </c>
      <c r="DJ156" s="60">
        <v>0.4803202134756504</v>
      </c>
      <c r="DK156" s="60">
        <v>3.699347953281515</v>
      </c>
      <c r="DL156" s="60">
        <v>28.545126668999593</v>
      </c>
      <c r="DM156" s="60">
        <v>0.12850215214333557</v>
      </c>
      <c r="DN156" s="60">
        <v>2.2538638792307233</v>
      </c>
      <c r="DO156" s="60">
        <v>44.69775752923796</v>
      </c>
      <c r="DP156" s="60">
        <v>0.8277985972237004</v>
      </c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M157" s="64">
        <v>18.0</v>
      </c>
      <c r="AN157" s="65" t="s">
        <v>416</v>
      </c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>
        <v>0.8</v>
      </c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DA157" s="58"/>
      <c r="DB157" s="72" t="s">
        <v>417</v>
      </c>
      <c r="DC157" s="60">
        <v>1.353103383197385</v>
      </c>
      <c r="DD157" s="60">
        <v>0.0</v>
      </c>
      <c r="DE157" s="60">
        <v>11.564593070881319</v>
      </c>
      <c r="DF157" s="60"/>
      <c r="DG157" s="60">
        <v>0.9221689413500553</v>
      </c>
      <c r="DH157" s="60"/>
      <c r="DI157" s="60"/>
      <c r="DJ157" s="60">
        <v>0.43466921672607145</v>
      </c>
      <c r="DK157" s="60">
        <v>1.7077960891469557</v>
      </c>
      <c r="DL157" s="60">
        <v>3.3565494671477722</v>
      </c>
      <c r="DM157" s="60"/>
      <c r="DN157" s="60">
        <v>1.563966218329684</v>
      </c>
      <c r="DO157" s="60">
        <v>2.0845275939340246</v>
      </c>
      <c r="DP157" s="60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M158" s="64">
        <v>19.0</v>
      </c>
      <c r="AN158" s="65" t="s">
        <v>418</v>
      </c>
      <c r="AO158" s="66">
        <v>1.2</v>
      </c>
      <c r="AP158" s="66"/>
      <c r="AQ158" s="67">
        <v>0.0</v>
      </c>
      <c r="AR158" s="66"/>
      <c r="AS158" s="66"/>
      <c r="AT158" s="66"/>
      <c r="AU158" s="66">
        <v>2.3</v>
      </c>
      <c r="AV158" s="66"/>
      <c r="AW158" s="67">
        <v>0.0</v>
      </c>
      <c r="AX158" s="66"/>
      <c r="AY158" s="66"/>
      <c r="AZ158" s="66"/>
      <c r="BA158" s="67">
        <v>0.0</v>
      </c>
      <c r="BB158" s="66"/>
      <c r="BC158" s="67">
        <v>0.0</v>
      </c>
      <c r="BD158" s="66"/>
      <c r="BE158" s="67">
        <v>0.0</v>
      </c>
      <c r="BF158" s="66"/>
      <c r="BG158" s="67">
        <v>0.0</v>
      </c>
      <c r="BH158" s="66"/>
      <c r="BI158" s="67"/>
      <c r="BJ158" s="66"/>
      <c r="BK158" s="67"/>
      <c r="BL158" s="66"/>
      <c r="BM158" s="67"/>
      <c r="BN158" s="66"/>
      <c r="BO158" s="67"/>
      <c r="BP158" s="6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DA158" s="58"/>
      <c r="DB158" s="72" t="s">
        <v>419</v>
      </c>
      <c r="DC158" s="60"/>
      <c r="DD158" s="60"/>
      <c r="DE158" s="60"/>
      <c r="DF158" s="60"/>
      <c r="DG158" s="60">
        <v>4.833836858006042</v>
      </c>
      <c r="DH158" s="60"/>
      <c r="DI158" s="60"/>
      <c r="DJ158" s="60"/>
      <c r="DK158" s="60"/>
      <c r="DL158" s="60"/>
      <c r="DM158" s="60"/>
      <c r="DN158" s="60"/>
      <c r="DO158" s="60">
        <v>1.223391240518718</v>
      </c>
      <c r="DP158" s="60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M159" s="64">
        <v>20.0</v>
      </c>
      <c r="AN159" s="65" t="s">
        <v>420</v>
      </c>
      <c r="AO159" s="66"/>
      <c r="AP159" s="66"/>
      <c r="AQ159" s="66"/>
      <c r="AR159" s="66"/>
      <c r="AS159" s="66"/>
      <c r="AT159" s="66">
        <v>12.2</v>
      </c>
      <c r="AU159" s="66">
        <v>2.3</v>
      </c>
      <c r="AV159" s="66"/>
      <c r="AW159" s="66">
        <v>2.8</v>
      </c>
      <c r="AX159" s="66"/>
      <c r="AY159" s="66"/>
      <c r="AZ159" s="67">
        <v>4.0</v>
      </c>
      <c r="BA159" s="66"/>
      <c r="BB159" s="66">
        <v>7.9</v>
      </c>
      <c r="BC159" s="66"/>
      <c r="BD159" s="66"/>
      <c r="BE159" s="66">
        <v>0.3</v>
      </c>
      <c r="BF159" s="66"/>
      <c r="BG159" s="66"/>
      <c r="BH159" s="66"/>
      <c r="BI159" s="66"/>
      <c r="BJ159" s="66"/>
      <c r="BK159" s="66"/>
      <c r="BL159" s="67">
        <v>4.117647058823529</v>
      </c>
      <c r="BM159" s="66"/>
      <c r="BN159" s="67">
        <v>3.233830845771144</v>
      </c>
      <c r="BO159" s="66">
        <v>1.9</v>
      </c>
      <c r="BP159" s="67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DA159" s="58"/>
      <c r="DB159" s="72" t="s">
        <v>421</v>
      </c>
      <c r="DC159" s="60">
        <v>1.78539449500621</v>
      </c>
      <c r="DD159" s="60"/>
      <c r="DE159" s="60"/>
      <c r="DF159" s="60"/>
      <c r="DG159" s="60">
        <v>1.6283992835043153</v>
      </c>
      <c r="DH159" s="60"/>
      <c r="DI159" s="60"/>
      <c r="DJ159" s="60"/>
      <c r="DK159" s="60">
        <v>1.6220600162206003</v>
      </c>
      <c r="DL159" s="60">
        <v>24.72082516409513</v>
      </c>
      <c r="DM159" s="60"/>
      <c r="DN159" s="60">
        <v>0.5402485143165856</v>
      </c>
      <c r="DO159" s="60">
        <v>37.654653039268425</v>
      </c>
      <c r="DP159" s="60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M160" s="64">
        <v>21.0</v>
      </c>
      <c r="AN160" s="65" t="s">
        <v>422</v>
      </c>
      <c r="AO160" s="67">
        <v>1.0</v>
      </c>
      <c r="AP160" s="66"/>
      <c r="AQ160" s="67">
        <v>1.0</v>
      </c>
      <c r="AR160" s="66"/>
      <c r="AS160" s="66"/>
      <c r="AT160" s="66"/>
      <c r="AU160" s="66"/>
      <c r="AV160" s="66"/>
      <c r="AW160" s="66"/>
      <c r="AX160" s="66"/>
      <c r="AY160" s="66"/>
      <c r="AZ160" s="66"/>
      <c r="BA160" s="66">
        <v>1.7</v>
      </c>
      <c r="BB160" s="66"/>
      <c r="BC160" s="66"/>
      <c r="BD160" s="66"/>
      <c r="BE160" s="67">
        <v>0.0</v>
      </c>
      <c r="BF160" s="66"/>
      <c r="BG160" s="67"/>
      <c r="BH160" s="66"/>
      <c r="BI160" s="67"/>
      <c r="BJ160" s="66"/>
      <c r="BK160" s="67">
        <v>0.0</v>
      </c>
      <c r="BL160" s="66"/>
      <c r="BM160" s="67">
        <v>0.0</v>
      </c>
      <c r="BN160" s="66"/>
      <c r="BO160" s="67">
        <v>0.3</v>
      </c>
      <c r="BP160" s="6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DA160" s="58"/>
      <c r="DB160" s="72" t="s">
        <v>423</v>
      </c>
      <c r="DC160" s="60">
        <v>6.628368067444044</v>
      </c>
      <c r="DD160" s="60">
        <v>59.63612879789306</v>
      </c>
      <c r="DE160" s="60">
        <v>1.1104427890621384</v>
      </c>
      <c r="DF160" s="60">
        <v>7.914707388612133</v>
      </c>
      <c r="DG160" s="60">
        <v>0.22879630265174916</v>
      </c>
      <c r="DH160" s="60">
        <v>0.6892511286487231</v>
      </c>
      <c r="DI160" s="60"/>
      <c r="DJ160" s="60">
        <v>0.17033743846560034</v>
      </c>
      <c r="DK160" s="60">
        <v>0.46317024594340056</v>
      </c>
      <c r="DL160" s="60">
        <v>14.88942617365085</v>
      </c>
      <c r="DM160" s="60"/>
      <c r="DN160" s="60">
        <v>0.6935149417794206</v>
      </c>
      <c r="DO160" s="60">
        <v>25.13994569771729</v>
      </c>
      <c r="DP160" s="60">
        <v>1.6577919537409733</v>
      </c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M161" s="64">
        <v>22.0</v>
      </c>
      <c r="AN161" s="65" t="s">
        <v>424</v>
      </c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DA161" s="58"/>
      <c r="DB161" s="72" t="s">
        <v>425</v>
      </c>
      <c r="DC161" s="60">
        <v>11.236980103839166</v>
      </c>
      <c r="DD161" s="60">
        <v>29.078607267751252</v>
      </c>
      <c r="DE161" s="60">
        <v>1.4483045784528485</v>
      </c>
      <c r="DF161" s="60">
        <v>0.0</v>
      </c>
      <c r="DG161" s="60">
        <v>0.16423327694657494</v>
      </c>
      <c r="DH161" s="60">
        <v>1.067786656226086</v>
      </c>
      <c r="DI161" s="60">
        <v>0.526066600031564</v>
      </c>
      <c r="DJ161" s="60">
        <v>0.28453954388311115</v>
      </c>
      <c r="DK161" s="60">
        <v>6.109233087606403</v>
      </c>
      <c r="DL161" s="60">
        <v>19.05329738697636</v>
      </c>
      <c r="DM161" s="60">
        <v>0.16641427168793996</v>
      </c>
      <c r="DN161" s="60">
        <v>13.161358252171624</v>
      </c>
      <c r="DO161" s="60">
        <v>35.152245024167165</v>
      </c>
      <c r="DP161" s="60">
        <v>4.33403255725257</v>
      </c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M162" s="64">
        <v>23.0</v>
      </c>
      <c r="AN162" s="65" t="s">
        <v>426</v>
      </c>
      <c r="AO162" s="66"/>
      <c r="AP162" s="66">
        <v>6.6</v>
      </c>
      <c r="AQ162" s="66"/>
      <c r="AR162" s="67">
        <v>4.0</v>
      </c>
      <c r="AS162" s="66"/>
      <c r="AT162" s="66">
        <v>3.2</v>
      </c>
      <c r="AU162" s="66"/>
      <c r="AV162" s="66"/>
      <c r="AW162" s="66">
        <v>3.2</v>
      </c>
      <c r="AX162" s="66"/>
      <c r="AY162" s="66">
        <v>2.6</v>
      </c>
      <c r="AZ162" s="66"/>
      <c r="BA162" s="66">
        <v>2.5</v>
      </c>
      <c r="BB162" s="66"/>
      <c r="BC162" s="66"/>
      <c r="BD162" s="66"/>
      <c r="BE162" s="67">
        <v>0.0</v>
      </c>
      <c r="BF162" s="66"/>
      <c r="BG162" s="67"/>
      <c r="BH162" s="66"/>
      <c r="BI162" s="67"/>
      <c r="BJ162" s="66"/>
      <c r="BK162" s="67"/>
      <c r="BL162" s="66"/>
      <c r="BM162" s="67"/>
      <c r="BN162" s="66"/>
      <c r="BO162" s="67"/>
      <c r="BP162" s="6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DA162" s="47" t="s">
        <v>427</v>
      </c>
      <c r="DB162" s="48" t="s">
        <v>57</v>
      </c>
      <c r="DC162" s="36">
        <v>2.4569936689327845</v>
      </c>
      <c r="DD162" s="36">
        <v>10.347017726196663</v>
      </c>
      <c r="DE162" s="36">
        <v>12.072668738575814</v>
      </c>
      <c r="DF162" s="36">
        <v>7.371534678871688</v>
      </c>
      <c r="DG162" s="36">
        <v>19.454984477406</v>
      </c>
      <c r="DH162" s="36">
        <v>29.618075975691873</v>
      </c>
      <c r="DI162" s="36">
        <v>2.048996096453355</v>
      </c>
      <c r="DJ162" s="36">
        <v>2.1094640820980617</v>
      </c>
      <c r="DK162" s="36">
        <v>29.871939941466326</v>
      </c>
      <c r="DL162" s="36">
        <v>31.619561355911834</v>
      </c>
      <c r="DM162" s="36">
        <v>0.3</v>
      </c>
      <c r="DN162" s="36">
        <v>4.116517034539538</v>
      </c>
      <c r="DO162" s="36">
        <v>46.54950331460788</v>
      </c>
      <c r="DP162" s="36">
        <v>13.517125217033502</v>
      </c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M163" s="64">
        <v>24.0</v>
      </c>
      <c r="AN163" s="65" t="s">
        <v>428</v>
      </c>
      <c r="AO163" s="66"/>
      <c r="AP163" s="66"/>
      <c r="AQ163" s="66"/>
      <c r="AR163" s="66"/>
      <c r="AS163" s="66">
        <v>0.8</v>
      </c>
      <c r="AT163" s="66"/>
      <c r="AU163" s="66"/>
      <c r="AV163" s="66"/>
      <c r="AW163" s="66"/>
      <c r="AX163" s="66"/>
      <c r="AY163" s="66">
        <v>2.2</v>
      </c>
      <c r="AZ163" s="66"/>
      <c r="BA163" s="66">
        <v>0.8</v>
      </c>
      <c r="BB163" s="66"/>
      <c r="BC163" s="66"/>
      <c r="BD163" s="66"/>
      <c r="BE163" s="66">
        <v>0.7</v>
      </c>
      <c r="BF163" s="66"/>
      <c r="BG163" s="66"/>
      <c r="BH163" s="66"/>
      <c r="BI163" s="66"/>
      <c r="BJ163" s="66"/>
      <c r="BK163" s="67">
        <v>0.4672897196261682</v>
      </c>
      <c r="BL163" s="66"/>
      <c r="BM163" s="67">
        <v>0.4149377593360996</v>
      </c>
      <c r="BN163" s="66"/>
      <c r="BO163" s="67">
        <v>0.5</v>
      </c>
      <c r="BP163" s="6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DA163" s="108"/>
      <c r="DB163" s="72" t="s">
        <v>429</v>
      </c>
      <c r="DC163" s="60">
        <v>1.4754560636488157</v>
      </c>
      <c r="DD163" s="60">
        <v>1.9460120652748047</v>
      </c>
      <c r="DE163" s="60">
        <v>16.698603887215988</v>
      </c>
      <c r="DF163" s="60">
        <v>2.658725938530256</v>
      </c>
      <c r="DG163" s="60"/>
      <c r="DH163" s="60">
        <v>36.94738183208052</v>
      </c>
      <c r="DI163" s="60">
        <v>2.4964425693386922</v>
      </c>
      <c r="DJ163" s="60"/>
      <c r="DK163" s="60">
        <v>359.14167398669844</v>
      </c>
      <c r="DL163" s="60">
        <v>113.35511335511335</v>
      </c>
      <c r="DM163" s="60">
        <v>1.1555617185513878</v>
      </c>
      <c r="DN163" s="60">
        <v>9.532023058417685</v>
      </c>
      <c r="DO163" s="60">
        <v>117.94345848568626</v>
      </c>
      <c r="DP163" s="60">
        <v>26.239619119755456</v>
      </c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M164" s="64">
        <v>25.0</v>
      </c>
      <c r="AN164" s="65" t="s">
        <v>394</v>
      </c>
      <c r="AO164" s="66"/>
      <c r="AP164" s="66"/>
      <c r="AQ164" s="66"/>
      <c r="AR164" s="66">
        <v>7.7</v>
      </c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DA164" s="108"/>
      <c r="DB164" s="72" t="s">
        <v>430</v>
      </c>
      <c r="DC164" s="60">
        <v>1.2987740019592149</v>
      </c>
      <c r="DD164" s="60">
        <v>5.465600874496141</v>
      </c>
      <c r="DE164" s="60">
        <v>14.1321044546851</v>
      </c>
      <c r="DF164" s="60">
        <v>7.304601899196494</v>
      </c>
      <c r="DG164" s="60"/>
      <c r="DH164" s="60">
        <v>1.9403660824008795</v>
      </c>
      <c r="DI164" s="60">
        <v>5.7496965437935215</v>
      </c>
      <c r="DJ164" s="60"/>
      <c r="DK164" s="60">
        <v>0.5829544129649061</v>
      </c>
      <c r="DL164" s="60">
        <v>53.24382198043868</v>
      </c>
      <c r="DM164" s="60"/>
      <c r="DN164" s="60">
        <v>5.443987418340189</v>
      </c>
      <c r="DO164" s="60">
        <v>81.4761562425114</v>
      </c>
      <c r="DP164" s="60">
        <v>2.5559105431309903</v>
      </c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M165" s="64">
        <v>26.0</v>
      </c>
      <c r="AN165" s="65" t="s">
        <v>431</v>
      </c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DA165" s="108"/>
      <c r="DB165" s="72" t="s">
        <v>432</v>
      </c>
      <c r="DC165" s="60"/>
      <c r="DD165" s="60">
        <v>8.14111261872456</v>
      </c>
      <c r="DE165" s="60"/>
      <c r="DF165" s="60"/>
      <c r="DG165" s="60"/>
      <c r="DH165" s="60">
        <v>0.8720296490080663</v>
      </c>
      <c r="DI165" s="60">
        <v>0.4326007959854646</v>
      </c>
      <c r="DJ165" s="60">
        <v>0.41916418661189586</v>
      </c>
      <c r="DK165" s="60">
        <v>2.0848970060878993</v>
      </c>
      <c r="DL165" s="60">
        <v>9.125980005807442</v>
      </c>
      <c r="DM165" s="60"/>
      <c r="DN165" s="60"/>
      <c r="DO165" s="60">
        <v>29.58949781204418</v>
      </c>
      <c r="DP165" s="60">
        <v>4.3173750359781256</v>
      </c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M166" s="64">
        <v>27.0</v>
      </c>
      <c r="AN166" s="65" t="s">
        <v>433</v>
      </c>
      <c r="AO166" s="66"/>
      <c r="AP166" s="66">
        <v>35.3</v>
      </c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DA166" s="108"/>
      <c r="DB166" s="72" t="s">
        <v>371</v>
      </c>
      <c r="DC166" s="60"/>
      <c r="DD166" s="60"/>
      <c r="DE166" s="60"/>
      <c r="DF166" s="60"/>
      <c r="DG166" s="60"/>
      <c r="DH166" s="60"/>
      <c r="DI166" s="60"/>
      <c r="DJ166" s="60"/>
      <c r="DK166" s="60"/>
      <c r="DL166" s="60">
        <v>0.5381552039608223</v>
      </c>
      <c r="DM166" s="60"/>
      <c r="DN166" s="60"/>
      <c r="DO166" s="60">
        <v>5.195344970906069</v>
      </c>
      <c r="DP166" s="60">
        <v>2.8116740707417196</v>
      </c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M167" s="64">
        <v>28.0</v>
      </c>
      <c r="AN167" s="65" t="s">
        <v>434</v>
      </c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7">
        <v>0.8658008658008658</v>
      </c>
      <c r="BL167" s="66"/>
      <c r="BM167" s="67"/>
      <c r="BN167" s="66"/>
      <c r="BO167" s="67"/>
      <c r="BP167" s="6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DA167" s="108"/>
      <c r="DB167" s="72" t="s">
        <v>435</v>
      </c>
      <c r="DC167" s="60"/>
      <c r="DD167" s="60"/>
      <c r="DE167" s="60"/>
      <c r="DF167" s="60"/>
      <c r="DG167" s="60"/>
      <c r="DH167" s="60"/>
      <c r="DI167" s="60"/>
      <c r="DJ167" s="60"/>
      <c r="DK167" s="60"/>
      <c r="DL167" s="60">
        <v>1.938285005427198</v>
      </c>
      <c r="DM167" s="60"/>
      <c r="DN167" s="60"/>
      <c r="DO167" s="60">
        <v>3.0418250950570345</v>
      </c>
      <c r="DP167" s="60">
        <v>3.2946758039008963</v>
      </c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M168" s="64">
        <v>29.0</v>
      </c>
      <c r="AN168" s="65" t="s">
        <v>436</v>
      </c>
      <c r="AO168" s="66"/>
      <c r="AP168" s="66"/>
      <c r="AQ168" s="66"/>
      <c r="AR168" s="66"/>
      <c r="AS168" s="67">
        <v>0.0</v>
      </c>
      <c r="AT168" s="66"/>
      <c r="AU168" s="66">
        <v>0.8</v>
      </c>
      <c r="AV168" s="66"/>
      <c r="AW168" s="66"/>
      <c r="AX168" s="66">
        <v>3.2</v>
      </c>
      <c r="AY168" s="66"/>
      <c r="AZ168" s="66">
        <v>6.1</v>
      </c>
      <c r="BA168" s="66"/>
      <c r="BB168" s="66">
        <v>5.9</v>
      </c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7">
        <v>2.1505376344086025</v>
      </c>
      <c r="BN168" s="66"/>
      <c r="BO168" s="67"/>
      <c r="BP168" s="6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DA168" s="108"/>
      <c r="DB168" s="72" t="s">
        <v>437</v>
      </c>
      <c r="DC168" s="60">
        <v>0.0</v>
      </c>
      <c r="DD168" s="60">
        <v>0.0</v>
      </c>
      <c r="DE168" s="60">
        <v>0.0</v>
      </c>
      <c r="DF168" s="60">
        <v>0.0</v>
      </c>
      <c r="DG168" s="60"/>
      <c r="DH168" s="60">
        <v>0.33240536834669876</v>
      </c>
      <c r="DI168" s="60">
        <v>0.08129255156996242</v>
      </c>
      <c r="DJ168" s="60"/>
      <c r="DK168" s="60">
        <v>0.45943917791016436</v>
      </c>
      <c r="DL168" s="60">
        <v>14.009620436161216</v>
      </c>
      <c r="DM168" s="60">
        <v>0.22440140924085003</v>
      </c>
      <c r="DN168" s="60">
        <v>1.1368136945711647</v>
      </c>
      <c r="DO168" s="60">
        <v>12.158185912331566</v>
      </c>
      <c r="DP168" s="60">
        <v>22.808882490311454</v>
      </c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M169" s="64">
        <v>30.0</v>
      </c>
      <c r="AN169" s="65" t="s">
        <v>438</v>
      </c>
      <c r="AO169" s="66">
        <v>1.9</v>
      </c>
      <c r="AP169" s="66"/>
      <c r="AQ169" s="66"/>
      <c r="AR169" s="66">
        <v>9.7</v>
      </c>
      <c r="AS169" s="66"/>
      <c r="AT169" s="66">
        <v>3.8</v>
      </c>
      <c r="AU169" s="66">
        <v>1.8</v>
      </c>
      <c r="AV169" s="66"/>
      <c r="AW169" s="66">
        <v>1.4</v>
      </c>
      <c r="AX169" s="66"/>
      <c r="AY169" s="66">
        <v>1.3</v>
      </c>
      <c r="AZ169" s="66"/>
      <c r="BA169" s="66">
        <v>1.6</v>
      </c>
      <c r="BB169" s="66"/>
      <c r="BC169" s="67">
        <v>0.0</v>
      </c>
      <c r="BD169" s="66"/>
      <c r="BE169" s="67">
        <v>0.4</v>
      </c>
      <c r="BF169" s="66"/>
      <c r="BG169" s="67">
        <v>1.0</v>
      </c>
      <c r="BH169" s="66"/>
      <c r="BI169" s="67"/>
      <c r="BJ169" s="66"/>
      <c r="BK169" s="67"/>
      <c r="BL169" s="66"/>
      <c r="BM169" s="67">
        <v>1.5037593984962405</v>
      </c>
      <c r="BN169" s="66"/>
      <c r="BO169" s="67">
        <v>0.7</v>
      </c>
      <c r="BP169" s="6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DA169" s="108"/>
      <c r="DB169" s="72" t="s">
        <v>376</v>
      </c>
      <c r="DC169" s="60"/>
      <c r="DD169" s="60"/>
      <c r="DE169" s="60"/>
      <c r="DF169" s="60"/>
      <c r="DG169" s="60"/>
      <c r="DH169" s="60"/>
      <c r="DI169" s="60"/>
      <c r="DJ169" s="60"/>
      <c r="DK169" s="60"/>
      <c r="DL169" s="60">
        <v>1.2824623276691247</v>
      </c>
      <c r="DM169" s="60"/>
      <c r="DN169" s="60">
        <v>0.611284308331805</v>
      </c>
      <c r="DO169" s="60">
        <v>4.8233449897503915</v>
      </c>
      <c r="DP169" s="60">
        <v>3.1340102795537166</v>
      </c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M170" s="109">
        <v>31.0</v>
      </c>
      <c r="AN170" s="110" t="s">
        <v>439</v>
      </c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>
        <v>30.8</v>
      </c>
      <c r="BK170" s="66"/>
      <c r="BL170" s="66"/>
      <c r="BM170" s="66"/>
      <c r="BN170" s="66"/>
      <c r="BO170" s="66"/>
      <c r="BP170" s="6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DA170" s="58"/>
      <c r="DB170" s="72" t="s">
        <v>440</v>
      </c>
      <c r="DC170" s="60">
        <v>3.9028790909573914</v>
      </c>
      <c r="DD170" s="60">
        <v>8.973481002196142</v>
      </c>
      <c r="DE170" s="60">
        <v>30.658335088581527</v>
      </c>
      <c r="DF170" s="60">
        <v>32.060558833351884</v>
      </c>
      <c r="DG170" s="60">
        <v>20.440009670542207</v>
      </c>
      <c r="DH170" s="60">
        <v>100.34078000757289</v>
      </c>
      <c r="DI170" s="60">
        <v>7.571261945200434</v>
      </c>
      <c r="DJ170" s="60">
        <v>2.0235132236589166</v>
      </c>
      <c r="DK170" s="60">
        <v>0.1973515423023031</v>
      </c>
      <c r="DL170" s="60">
        <v>31.20425302411588</v>
      </c>
      <c r="DM170" s="60">
        <v>0.18411459292263505</v>
      </c>
      <c r="DN170" s="60"/>
      <c r="DO170" s="60">
        <v>63.91510672947275</v>
      </c>
      <c r="DP170" s="60">
        <v>0.6520321669202348</v>
      </c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M171" s="111" t="s">
        <v>78</v>
      </c>
      <c r="AN171" s="33"/>
      <c r="AO171" s="112">
        <f t="shared" ref="AO171:BP171" si="15">+AO139+AO128+AO106+AO64+AO38+AO8</f>
        <v>70</v>
      </c>
      <c r="AP171" s="112">
        <f t="shared" si="15"/>
        <v>46</v>
      </c>
      <c r="AQ171" s="112">
        <f t="shared" si="15"/>
        <v>76</v>
      </c>
      <c r="AR171" s="112">
        <f t="shared" si="15"/>
        <v>42</v>
      </c>
      <c r="AS171" s="112">
        <f t="shared" si="15"/>
        <v>77</v>
      </c>
      <c r="AT171" s="112">
        <f t="shared" si="15"/>
        <v>35</v>
      </c>
      <c r="AU171" s="112">
        <f t="shared" si="15"/>
        <v>81</v>
      </c>
      <c r="AV171" s="112">
        <f t="shared" si="15"/>
        <v>34</v>
      </c>
      <c r="AW171" s="112">
        <f t="shared" si="15"/>
        <v>83</v>
      </c>
      <c r="AX171" s="112">
        <f t="shared" si="15"/>
        <v>29</v>
      </c>
      <c r="AY171" s="112">
        <f t="shared" si="15"/>
        <v>81</v>
      </c>
      <c r="AZ171" s="112">
        <f t="shared" si="15"/>
        <v>34</v>
      </c>
      <c r="BA171" s="112">
        <f t="shared" si="15"/>
        <v>91</v>
      </c>
      <c r="BB171" s="112">
        <f t="shared" si="15"/>
        <v>30</v>
      </c>
      <c r="BC171" s="112">
        <f t="shared" si="15"/>
        <v>101</v>
      </c>
      <c r="BD171" s="112">
        <f t="shared" si="15"/>
        <v>13</v>
      </c>
      <c r="BE171" s="112">
        <f t="shared" si="15"/>
        <v>102</v>
      </c>
      <c r="BF171" s="112">
        <f t="shared" si="15"/>
        <v>12</v>
      </c>
      <c r="BG171" s="112">
        <f t="shared" si="15"/>
        <v>68</v>
      </c>
      <c r="BH171" s="112">
        <f t="shared" si="15"/>
        <v>18</v>
      </c>
      <c r="BI171" s="112">
        <f t="shared" si="15"/>
        <v>78</v>
      </c>
      <c r="BJ171" s="112">
        <f t="shared" si="15"/>
        <v>27</v>
      </c>
      <c r="BK171" s="112">
        <f t="shared" si="15"/>
        <v>87</v>
      </c>
      <c r="BL171" s="112">
        <f t="shared" si="15"/>
        <v>25</v>
      </c>
      <c r="BM171" s="112">
        <f t="shared" si="15"/>
        <v>85</v>
      </c>
      <c r="BN171" s="112">
        <f t="shared" si="15"/>
        <v>28</v>
      </c>
      <c r="BO171" s="112">
        <f t="shared" si="15"/>
        <v>85</v>
      </c>
      <c r="BP171" s="112">
        <f t="shared" si="15"/>
        <v>30</v>
      </c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DA171" s="96"/>
      <c r="DB171" s="72" t="s">
        <v>441</v>
      </c>
      <c r="DC171" s="60">
        <v>6.285549534804465</v>
      </c>
      <c r="DD171" s="60">
        <v>38.21707705252061</v>
      </c>
      <c r="DE171" s="60">
        <v>29.04112962810935</v>
      </c>
      <c r="DF171" s="60">
        <v>14.93112893178155</v>
      </c>
      <c r="DG171" s="60">
        <v>19.00433379252094</v>
      </c>
      <c r="DH171" s="60">
        <v>72.9757681786988</v>
      </c>
      <c r="DI171" s="60">
        <v>3.7298088233887707</v>
      </c>
      <c r="DJ171" s="60">
        <v>2.5459245622968156</v>
      </c>
      <c r="DK171" s="60">
        <v>3.0113752270674063</v>
      </c>
      <c r="DL171" s="60">
        <v>64.69153418238963</v>
      </c>
      <c r="DM171" s="60">
        <v>0.09209968870305218</v>
      </c>
      <c r="DN171" s="60">
        <v>9.682045286396727</v>
      </c>
      <c r="DO171" s="60">
        <v>117.44449478930675</v>
      </c>
      <c r="DP171" s="60">
        <v>2.5620791784949324</v>
      </c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M172" s="44" t="s">
        <v>76</v>
      </c>
      <c r="AN172" s="45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113"/>
      <c r="BR172" s="113"/>
      <c r="BS172" s="113"/>
      <c r="BT172" s="113"/>
      <c r="BU172" s="113"/>
      <c r="BV172" s="113"/>
      <c r="BW172" s="113"/>
      <c r="BX172" s="113"/>
      <c r="BY172" s="113"/>
      <c r="BZ172" s="113"/>
      <c r="DA172" s="47"/>
      <c r="DB172" s="48" t="s">
        <v>62</v>
      </c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>
        <v>31.719376807538016</v>
      </c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M173" s="6"/>
      <c r="AN173" s="114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13"/>
      <c r="BR173" s="113"/>
      <c r="BS173" s="113"/>
      <c r="BT173" s="113"/>
      <c r="BU173" s="113"/>
      <c r="BV173" s="113"/>
      <c r="BW173" s="113"/>
      <c r="BX173" s="113"/>
      <c r="BY173" s="113"/>
      <c r="BZ173" s="113"/>
      <c r="DA173" s="115"/>
      <c r="DB173" s="72" t="s">
        <v>354</v>
      </c>
      <c r="DC173" s="60"/>
      <c r="DD173" s="60"/>
      <c r="DE173" s="60"/>
      <c r="DF173" s="60"/>
      <c r="DG173" s="60"/>
      <c r="DH173" s="60"/>
      <c r="DI173" s="60"/>
      <c r="DJ173" s="60"/>
      <c r="DK173" s="60"/>
      <c r="DL173" s="60"/>
      <c r="DM173" s="60"/>
      <c r="DN173" s="60"/>
      <c r="DO173" s="60"/>
      <c r="DP173" s="60">
        <v>31.719376807538016</v>
      </c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M174" s="6"/>
      <c r="AN174" s="114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DA174" s="116"/>
      <c r="DB174" s="117" t="s">
        <v>442</v>
      </c>
      <c r="DC174" s="118">
        <v>14.33985830398527</v>
      </c>
      <c r="DD174" s="118">
        <v>13.607462614247952</v>
      </c>
      <c r="DE174" s="118">
        <v>7.957243535382724</v>
      </c>
      <c r="DF174" s="118">
        <v>7.224762378419266</v>
      </c>
      <c r="DG174" s="118">
        <v>7.196871728190254</v>
      </c>
      <c r="DH174" s="118">
        <v>7.094255682128386</v>
      </c>
      <c r="DI174" s="118">
        <v>2.0975452102018757</v>
      </c>
      <c r="DJ174" s="118">
        <v>3.925467149435345</v>
      </c>
      <c r="DK174" s="118">
        <v>17.41876749605395</v>
      </c>
      <c r="DL174" s="118">
        <v>22.871593275480464</v>
      </c>
      <c r="DM174" s="118">
        <v>4.6</v>
      </c>
      <c r="DN174" s="118">
        <v>7.053948456101447</v>
      </c>
      <c r="DO174" s="118">
        <v>32.63015779374126</v>
      </c>
      <c r="DP174" s="118">
        <v>20.468777968128485</v>
      </c>
      <c r="DQ174" s="116"/>
      <c r="DR174" s="116"/>
      <c r="DS174" s="116"/>
      <c r="DT174" s="116"/>
      <c r="DU174" s="116"/>
      <c r="DV174" s="116"/>
      <c r="DW174" s="116"/>
      <c r="DX174" s="116"/>
      <c r="DY174" s="116"/>
      <c r="DZ174" s="116"/>
      <c r="EA174" s="116"/>
      <c r="EB174" s="116"/>
      <c r="EC174" s="116"/>
      <c r="ED174" s="116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M175" s="6"/>
      <c r="AN175" s="114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M176" s="6"/>
      <c r="AN176" s="114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DA176" s="44" t="s">
        <v>443</v>
      </c>
      <c r="DB176" s="119"/>
      <c r="DC176" s="119"/>
      <c r="DD176" s="119"/>
      <c r="DE176" s="116"/>
      <c r="DF176" s="116"/>
      <c r="DG176" s="116"/>
      <c r="DH176" s="116"/>
      <c r="DI176" s="116"/>
      <c r="DJ176" s="116"/>
      <c r="DK176" s="116"/>
      <c r="DL176" s="116"/>
      <c r="DM176" s="116"/>
      <c r="DN176" s="116"/>
      <c r="DO176" s="116"/>
      <c r="DP176" s="116"/>
      <c r="DQ176" s="116"/>
      <c r="DR176" s="116"/>
      <c r="DS176" s="116"/>
      <c r="DT176" s="116"/>
      <c r="DU176" s="116"/>
      <c r="DV176" s="116"/>
      <c r="DW176" s="116"/>
      <c r="DX176" s="116"/>
      <c r="DY176" s="116"/>
      <c r="DZ176" s="116"/>
      <c r="EA176" s="116"/>
      <c r="EB176" s="116"/>
      <c r="EC176" s="116"/>
      <c r="ED176" s="116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M177" s="6"/>
      <c r="AN177" s="114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DA177" s="15"/>
      <c r="DB177" s="84"/>
      <c r="DC177" s="84"/>
      <c r="DD177" s="84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M178" s="6"/>
      <c r="AN178" s="114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DA178" s="15"/>
      <c r="DB178" s="84"/>
      <c r="DC178" s="84"/>
      <c r="DD178" s="84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M179" s="6"/>
      <c r="AN179" s="114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DA179" s="15"/>
      <c r="DB179" s="84"/>
      <c r="DC179" s="84"/>
      <c r="DD179" s="84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M180" s="6"/>
      <c r="AN180" s="114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DA180" s="15"/>
      <c r="DB180" s="84"/>
      <c r="DC180" s="84"/>
      <c r="DD180" s="84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M181" s="6"/>
      <c r="AN181" s="114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DA181" s="15"/>
      <c r="DB181" s="84"/>
      <c r="DC181" s="84"/>
      <c r="DD181" s="84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M182" s="6"/>
      <c r="AN182" s="114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DA182" s="15"/>
      <c r="DB182" s="84"/>
      <c r="DC182" s="84"/>
      <c r="DD182" s="84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M183" s="6"/>
      <c r="AN183" s="114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DA183" s="15"/>
      <c r="DB183" s="84"/>
      <c r="DC183" s="84"/>
      <c r="DD183" s="84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M184" s="6"/>
      <c r="AN184" s="114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DA184" s="15"/>
      <c r="DB184" s="84"/>
      <c r="DC184" s="84"/>
      <c r="DD184" s="84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M185" s="6"/>
      <c r="AN185" s="114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13"/>
      <c r="BR185" s="113"/>
      <c r="BS185" s="113"/>
      <c r="BT185" s="113"/>
      <c r="BU185" s="113"/>
      <c r="BV185" s="113"/>
      <c r="BW185" s="113"/>
      <c r="BX185" s="113"/>
      <c r="BY185" s="113"/>
      <c r="BZ185" s="113"/>
      <c r="DA185" s="15"/>
      <c r="DB185" s="84"/>
      <c r="DC185" s="84"/>
      <c r="DD185" s="84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M186" s="6"/>
      <c r="AN186" s="114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13"/>
      <c r="BR186" s="113"/>
      <c r="BS186" s="113"/>
      <c r="BT186" s="113"/>
      <c r="BU186" s="113"/>
      <c r="BV186" s="113"/>
      <c r="BW186" s="113"/>
      <c r="BX186" s="113"/>
      <c r="BY186" s="113"/>
      <c r="BZ186" s="113"/>
      <c r="DA186" s="15"/>
      <c r="DB186" s="84"/>
      <c r="DC186" s="84"/>
      <c r="DD186" s="84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M187" s="6"/>
      <c r="AN187" s="114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20"/>
      <c r="BR187" s="120"/>
      <c r="BS187" s="120"/>
      <c r="BT187" s="120"/>
      <c r="BU187" s="120"/>
      <c r="BV187" s="120"/>
      <c r="BW187" s="120"/>
      <c r="BX187" s="120"/>
      <c r="BY187" s="120"/>
      <c r="BZ187" s="120"/>
      <c r="DA187" s="15"/>
      <c r="DB187" s="84"/>
      <c r="DC187" s="84"/>
      <c r="DD187" s="84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M188" s="6"/>
      <c r="AN188" s="114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DA188" s="15"/>
      <c r="DB188" s="84"/>
      <c r="DC188" s="84"/>
      <c r="DD188" s="84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M189" s="6"/>
      <c r="AN189" s="114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DA189" s="15"/>
      <c r="DB189" s="84"/>
      <c r="DC189" s="84"/>
      <c r="DD189" s="84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M190" s="6"/>
      <c r="AN190" s="114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DA190" s="15"/>
      <c r="DB190" s="84"/>
      <c r="DC190" s="84"/>
      <c r="DD190" s="84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M191" s="6"/>
      <c r="AN191" s="114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DA191" s="15"/>
      <c r="DB191" s="84"/>
      <c r="DC191" s="84"/>
      <c r="DD191" s="84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M192" s="6"/>
      <c r="AN192" s="114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13"/>
      <c r="BR192" s="113"/>
      <c r="BS192" s="113"/>
      <c r="BT192" s="113"/>
      <c r="BU192" s="113"/>
      <c r="BV192" s="113"/>
      <c r="BW192" s="113"/>
      <c r="BX192" s="113"/>
      <c r="BY192" s="113"/>
      <c r="BZ192" s="113"/>
      <c r="DA192" s="15"/>
      <c r="DB192" s="84"/>
      <c r="DC192" s="84"/>
      <c r="DD192" s="84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M193" s="6"/>
      <c r="AN193" s="114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DA193" s="15"/>
      <c r="DB193" s="84"/>
      <c r="DC193" s="84"/>
      <c r="DD193" s="84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M194" s="6"/>
      <c r="AN194" s="114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DA194" s="15"/>
      <c r="DB194" s="84"/>
      <c r="DC194" s="84"/>
      <c r="DD194" s="84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M195" s="1"/>
      <c r="AN195" s="97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DA195" s="15"/>
      <c r="DB195" s="84"/>
      <c r="DC195" s="84"/>
      <c r="DD195" s="84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M196" s="1"/>
      <c r="AN196" s="97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DA196" s="15"/>
      <c r="DB196" s="84"/>
      <c r="DC196" s="84"/>
      <c r="DD196" s="84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M197" s="1"/>
      <c r="AN197" s="97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DA197" s="15"/>
      <c r="DB197" s="84"/>
      <c r="DC197" s="84"/>
      <c r="DD197" s="84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M198" s="1"/>
      <c r="AN198" s="97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DA198" s="15"/>
      <c r="DB198" s="84"/>
      <c r="DC198" s="84"/>
      <c r="DD198" s="84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M199" s="1"/>
      <c r="AN199" s="97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DA199" s="15"/>
      <c r="DB199" s="84"/>
      <c r="DC199" s="84"/>
      <c r="DD199" s="84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M200" s="1"/>
      <c r="AN200" s="97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DA200" s="15"/>
      <c r="DB200" s="84"/>
      <c r="DC200" s="84"/>
      <c r="DD200" s="84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M201" s="1"/>
      <c r="AN201" s="97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DA201" s="15"/>
      <c r="DB201" s="84"/>
      <c r="DC201" s="84"/>
      <c r="DD201" s="84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M202" s="1"/>
      <c r="AN202" s="97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DA202" s="15"/>
      <c r="DB202" s="84"/>
      <c r="DC202" s="84"/>
      <c r="DD202" s="84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M203" s="1"/>
      <c r="AN203" s="97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DA203" s="15"/>
      <c r="DB203" s="84"/>
      <c r="DC203" s="84"/>
      <c r="DD203" s="84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M204" s="1"/>
      <c r="AN204" s="97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DA204" s="15"/>
      <c r="DB204" s="84"/>
      <c r="DC204" s="84"/>
      <c r="DD204" s="84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M205" s="1"/>
      <c r="AN205" s="97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DA205" s="15"/>
      <c r="DB205" s="84"/>
      <c r="DC205" s="84"/>
      <c r="DD205" s="84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M206" s="1"/>
      <c r="AN206" s="97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DA206" s="15"/>
      <c r="DB206" s="84"/>
      <c r="DC206" s="84"/>
      <c r="DD206" s="84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M207" s="1"/>
      <c r="AN207" s="97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DA207" s="15"/>
      <c r="DB207" s="84"/>
      <c r="DC207" s="84"/>
      <c r="DD207" s="84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M208" s="1"/>
      <c r="AN208" s="97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DA208" s="15"/>
      <c r="DB208" s="84"/>
      <c r="DC208" s="84"/>
      <c r="DD208" s="84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M209" s="1"/>
      <c r="AN209" s="97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DA209" s="15"/>
      <c r="DB209" s="84"/>
      <c r="DC209" s="84"/>
      <c r="DD209" s="84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M210" s="1"/>
      <c r="AN210" s="97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DA210" s="15"/>
      <c r="DB210" s="84"/>
      <c r="DC210" s="84"/>
      <c r="DD210" s="84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M211" s="1"/>
      <c r="AN211" s="97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DA211" s="15"/>
      <c r="DB211" s="84"/>
      <c r="DC211" s="84"/>
      <c r="DD211" s="84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M212" s="1"/>
      <c r="AN212" s="97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DA212" s="15"/>
      <c r="DB212" s="84"/>
      <c r="DC212" s="84"/>
      <c r="DD212" s="84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</row>
  </sheetData>
  <mergeCells count="49">
    <mergeCell ref="CP9:CQ9"/>
    <mergeCell ref="CR9:CS9"/>
    <mergeCell ref="CT9:CU9"/>
    <mergeCell ref="CV9:CW9"/>
    <mergeCell ref="CB9:CC9"/>
    <mergeCell ref="CD9:CE9"/>
    <mergeCell ref="CF9:CG9"/>
    <mergeCell ref="CH9:CI9"/>
    <mergeCell ref="CJ9:CK9"/>
    <mergeCell ref="CL9:CM9"/>
    <mergeCell ref="CN9:CO9"/>
    <mergeCell ref="BT17:BU17"/>
    <mergeCell ref="BT18:BU18"/>
    <mergeCell ref="BU21:CJ21"/>
    <mergeCell ref="BK6:BL6"/>
    <mergeCell ref="BM6:BN6"/>
    <mergeCell ref="BT9:BT10"/>
    <mergeCell ref="BU9:BU10"/>
    <mergeCell ref="BV9:BW9"/>
    <mergeCell ref="BX9:BY9"/>
    <mergeCell ref="BZ9:CA9"/>
    <mergeCell ref="AM171:AN171"/>
    <mergeCell ref="DA2:DP2"/>
    <mergeCell ref="DA3:DP3"/>
    <mergeCell ref="DB4:DP4"/>
    <mergeCell ref="DA5:DP5"/>
    <mergeCell ref="B1:Q1"/>
    <mergeCell ref="AM1:BP1"/>
    <mergeCell ref="DA1:DP1"/>
    <mergeCell ref="B2:Q2"/>
    <mergeCell ref="AM2:BP2"/>
    <mergeCell ref="B3:Q3"/>
    <mergeCell ref="AM3:BP3"/>
    <mergeCell ref="AU6:AV6"/>
    <mergeCell ref="AW6:AX6"/>
    <mergeCell ref="AY6:AZ6"/>
    <mergeCell ref="BA6:BB6"/>
    <mergeCell ref="BC6:BD6"/>
    <mergeCell ref="BE6:BF6"/>
    <mergeCell ref="BG6:BH6"/>
    <mergeCell ref="BI6:BJ6"/>
    <mergeCell ref="B5:Q5"/>
    <mergeCell ref="AM5:BP5"/>
    <mergeCell ref="AM6:AM7"/>
    <mergeCell ref="AN6:AN7"/>
    <mergeCell ref="AO6:AP6"/>
    <mergeCell ref="AQ6:AR6"/>
    <mergeCell ref="AS6:AT6"/>
    <mergeCell ref="BO6:BP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7" width="35.14"/>
    <col customWidth="1" min="8" max="9" width="31.43"/>
    <col customWidth="1" min="10" max="13" width="28.57"/>
    <col customWidth="1" min="14" max="26" width="10.71"/>
  </cols>
  <sheetData>
    <row r="1" ht="46.5" customHeight="1">
      <c r="A1" s="121" t="s">
        <v>444</v>
      </c>
      <c r="B1" s="121" t="s">
        <v>445</v>
      </c>
      <c r="C1" s="121" t="s">
        <v>446</v>
      </c>
      <c r="D1" s="121" t="s">
        <v>447</v>
      </c>
      <c r="E1" s="121" t="s">
        <v>448</v>
      </c>
      <c r="F1" s="122" t="s">
        <v>449</v>
      </c>
      <c r="G1" s="122" t="s">
        <v>450</v>
      </c>
      <c r="H1" s="122" t="s">
        <v>451</v>
      </c>
      <c r="I1" s="122" t="s">
        <v>452</v>
      </c>
      <c r="J1" s="122" t="s">
        <v>453</v>
      </c>
      <c r="K1" s="122" t="s">
        <v>454</v>
      </c>
      <c r="L1" s="123" t="s">
        <v>455</v>
      </c>
      <c r="M1" s="123" t="s">
        <v>456</v>
      </c>
    </row>
    <row r="2" ht="14.25" customHeight="1">
      <c r="A2" s="124" t="s">
        <v>34</v>
      </c>
      <c r="B2" s="124" t="s">
        <v>457</v>
      </c>
      <c r="C2" s="124" t="s">
        <v>128</v>
      </c>
      <c r="D2" s="124" t="s">
        <v>128</v>
      </c>
      <c r="E2" s="125">
        <v>10101.0</v>
      </c>
      <c r="F2" s="126">
        <v>0.5167173252279635</v>
      </c>
      <c r="G2" s="126">
        <v>0.09481927368155499</v>
      </c>
      <c r="H2" s="124">
        <v>0.0</v>
      </c>
      <c r="I2" s="124">
        <v>0.10458919071751234</v>
      </c>
      <c r="J2" s="124">
        <v>8.870193906313347E-4</v>
      </c>
      <c r="K2" s="124">
        <v>4.668523108585973E-5</v>
      </c>
      <c r="L2" s="126">
        <v>0.1725347815395316</v>
      </c>
      <c r="M2" s="126">
        <v>0.06648504987671773</v>
      </c>
    </row>
    <row r="3" ht="14.25" customHeight="1">
      <c r="A3" s="124" t="s">
        <v>34</v>
      </c>
      <c r="B3" s="124" t="s">
        <v>457</v>
      </c>
      <c r="C3" s="124" t="s">
        <v>458</v>
      </c>
      <c r="D3" s="124" t="s">
        <v>458</v>
      </c>
      <c r="E3" s="125">
        <v>10102.0</v>
      </c>
      <c r="F3" s="126">
        <v>0.486322188449848</v>
      </c>
      <c r="G3" s="126">
        <v>0.4515571325034078</v>
      </c>
      <c r="H3" s="124">
        <v>0.0</v>
      </c>
      <c r="I3" s="124">
        <v>0.0</v>
      </c>
      <c r="J3" s="124">
        <v>0.0</v>
      </c>
      <c r="K3" s="124">
        <v>0.0</v>
      </c>
      <c r="L3" s="126">
        <v>0.16210739614994932</v>
      </c>
      <c r="M3" s="126">
        <v>0.1505190441678026</v>
      </c>
    </row>
    <row r="4" ht="14.25" customHeight="1">
      <c r="A4" s="124" t="s">
        <v>34</v>
      </c>
      <c r="B4" s="124" t="s">
        <v>457</v>
      </c>
      <c r="C4" s="124" t="s">
        <v>119</v>
      </c>
      <c r="D4" s="124" t="s">
        <v>119</v>
      </c>
      <c r="E4" s="125">
        <v>10103.0</v>
      </c>
      <c r="F4" s="126">
        <v>0.25227963525835867</v>
      </c>
      <c r="G4" s="126">
        <v>0.8805023598414868</v>
      </c>
      <c r="H4" s="124">
        <v>0.0</v>
      </c>
      <c r="I4" s="124">
        <v>0.0</v>
      </c>
      <c r="J4" s="124">
        <v>0.04598195793470771</v>
      </c>
      <c r="K4" s="124">
        <v>0.0</v>
      </c>
      <c r="L4" s="126">
        <v>0.09942053106435546</v>
      </c>
      <c r="M4" s="126">
        <v>0.29350078661382895</v>
      </c>
    </row>
    <row r="5" ht="14.25" customHeight="1">
      <c r="A5" s="124" t="s">
        <v>34</v>
      </c>
      <c r="B5" s="124" t="s">
        <v>86</v>
      </c>
      <c r="C5" s="124" t="s">
        <v>459</v>
      </c>
      <c r="D5" s="124" t="s">
        <v>459</v>
      </c>
      <c r="E5" s="125">
        <v>10201.0</v>
      </c>
      <c r="F5" s="126">
        <v>0.11246200607902734</v>
      </c>
      <c r="G5" s="126">
        <v>0.4857313878372811</v>
      </c>
      <c r="H5" s="124">
        <v>0.0</v>
      </c>
      <c r="I5" s="124">
        <v>0.01888094879832726</v>
      </c>
      <c r="J5" s="124">
        <v>0.05778435498416075</v>
      </c>
      <c r="K5" s="124">
        <v>0.0</v>
      </c>
      <c r="L5" s="126">
        <v>0.056748787021062695</v>
      </c>
      <c r="M5" s="126">
        <v>0.16820411221186946</v>
      </c>
    </row>
    <row r="6" ht="14.25" customHeight="1">
      <c r="A6" s="124" t="s">
        <v>34</v>
      </c>
      <c r="B6" s="124" t="s">
        <v>86</v>
      </c>
      <c r="C6" s="124" t="s">
        <v>134</v>
      </c>
      <c r="D6" s="124" t="s">
        <v>460</v>
      </c>
      <c r="E6" s="125">
        <v>10202.0</v>
      </c>
      <c r="F6" s="126">
        <v>0.1519756838905775</v>
      </c>
      <c r="G6" s="126">
        <v>0.022640697786305772</v>
      </c>
      <c r="H6" s="124">
        <v>0.0</v>
      </c>
      <c r="I6" s="124">
        <v>0.0</v>
      </c>
      <c r="J6" s="124">
        <v>0.0</v>
      </c>
      <c r="K6" s="124">
        <v>0.0</v>
      </c>
      <c r="L6" s="126">
        <v>0.05065856129685917</v>
      </c>
      <c r="M6" s="126">
        <v>0.007546899262101924</v>
      </c>
    </row>
    <row r="7" ht="14.25" customHeight="1">
      <c r="A7" s="124" t="s">
        <v>34</v>
      </c>
      <c r="B7" s="124" t="s">
        <v>461</v>
      </c>
      <c r="C7" s="124" t="s">
        <v>147</v>
      </c>
      <c r="D7" s="124" t="s">
        <v>462</v>
      </c>
      <c r="E7" s="125">
        <v>10301.0</v>
      </c>
      <c r="F7" s="126">
        <v>0.0911854103343465</v>
      </c>
      <c r="G7" s="126">
        <v>0.0274429654473675</v>
      </c>
      <c r="H7" s="124">
        <v>0.0</v>
      </c>
      <c r="I7" s="124">
        <v>0.0</v>
      </c>
      <c r="J7" s="124">
        <v>0.0</v>
      </c>
      <c r="K7" s="124">
        <v>0.0</v>
      </c>
      <c r="L7" s="126">
        <v>0.030395136778115502</v>
      </c>
      <c r="M7" s="126">
        <v>0.0091476551491225</v>
      </c>
    </row>
    <row r="8" ht="14.25" customHeight="1">
      <c r="A8" s="124" t="s">
        <v>34</v>
      </c>
      <c r="B8" s="124" t="s">
        <v>461</v>
      </c>
      <c r="C8" s="124" t="s">
        <v>122</v>
      </c>
      <c r="D8" s="124" t="s">
        <v>122</v>
      </c>
      <c r="E8" s="125">
        <v>10302.0</v>
      </c>
      <c r="F8" s="126">
        <v>0.23100303951367784</v>
      </c>
      <c r="G8" s="126">
        <v>0.7028826856413063</v>
      </c>
      <c r="H8" s="124">
        <v>0.0</v>
      </c>
      <c r="I8" s="124">
        <v>0.0</v>
      </c>
      <c r="J8" s="124">
        <v>9.806066686590103E-4</v>
      </c>
      <c r="K8" s="124">
        <v>0.0</v>
      </c>
      <c r="L8" s="126">
        <v>0.07732788206077895</v>
      </c>
      <c r="M8" s="126">
        <v>0.2342942285471021</v>
      </c>
    </row>
    <row r="9" ht="14.25" customHeight="1">
      <c r="A9" s="124" t="s">
        <v>34</v>
      </c>
      <c r="B9" s="124" t="s">
        <v>461</v>
      </c>
      <c r="C9" s="124" t="s">
        <v>463</v>
      </c>
      <c r="D9" s="124" t="s">
        <v>464</v>
      </c>
      <c r="E9" s="125">
        <v>10303.0</v>
      </c>
      <c r="F9" s="126">
        <v>0.22796352583586627</v>
      </c>
      <c r="G9" s="126">
        <v>1.0</v>
      </c>
      <c r="H9" s="124">
        <v>0.0</v>
      </c>
      <c r="I9" s="124">
        <v>0.0</v>
      </c>
      <c r="J9" s="124">
        <v>0.029967830451392997</v>
      </c>
      <c r="K9" s="124">
        <v>0.0</v>
      </c>
      <c r="L9" s="126">
        <v>0.08597711876241976</v>
      </c>
      <c r="M9" s="126">
        <v>0.3333333333333333</v>
      </c>
    </row>
    <row r="10" ht="14.25" customHeight="1">
      <c r="A10" s="124" t="s">
        <v>34</v>
      </c>
      <c r="B10" s="124" t="s">
        <v>461</v>
      </c>
      <c r="C10" s="124" t="s">
        <v>101</v>
      </c>
      <c r="D10" s="124" t="s">
        <v>101</v>
      </c>
      <c r="E10" s="125">
        <v>10304.0</v>
      </c>
      <c r="F10" s="126">
        <v>0.1945288753799392</v>
      </c>
      <c r="G10" s="126">
        <v>0.3908047770190773</v>
      </c>
      <c r="H10" s="124">
        <v>0.0</v>
      </c>
      <c r="I10" s="124">
        <v>0.0</v>
      </c>
      <c r="J10" s="124">
        <v>0.0</v>
      </c>
      <c r="K10" s="124">
        <v>0.0</v>
      </c>
      <c r="L10" s="126">
        <v>0.06484295845997974</v>
      </c>
      <c r="M10" s="126">
        <v>0.1302682590063591</v>
      </c>
    </row>
    <row r="11" ht="14.25" customHeight="1">
      <c r="A11" s="124" t="s">
        <v>34</v>
      </c>
      <c r="B11" s="124" t="s">
        <v>136</v>
      </c>
      <c r="C11" s="124" t="s">
        <v>116</v>
      </c>
      <c r="D11" s="124" t="s">
        <v>116</v>
      </c>
      <c r="E11" s="125">
        <v>10401.0</v>
      </c>
      <c r="F11" s="126">
        <v>0.3708206686930091</v>
      </c>
      <c r="G11" s="126">
        <v>0.06614471096389282</v>
      </c>
      <c r="H11" s="124">
        <v>0.0</v>
      </c>
      <c r="I11" s="124">
        <v>0.04352584706851924</v>
      </c>
      <c r="J11" s="124">
        <v>0.06062105653841395</v>
      </c>
      <c r="K11" s="124">
        <v>0.0</v>
      </c>
      <c r="L11" s="126">
        <v>0.14381390841047434</v>
      </c>
      <c r="M11" s="126">
        <v>0.036556852677470685</v>
      </c>
    </row>
    <row r="12" ht="14.25" customHeight="1">
      <c r="A12" s="124" t="s">
        <v>34</v>
      </c>
      <c r="B12" s="124" t="s">
        <v>136</v>
      </c>
      <c r="C12" s="124" t="s">
        <v>136</v>
      </c>
      <c r="D12" s="124" t="s">
        <v>465</v>
      </c>
      <c r="E12" s="125">
        <v>10402.0</v>
      </c>
      <c r="F12" s="126">
        <v>0.3860182370820669</v>
      </c>
      <c r="G12" s="126">
        <v>0.7242920857748671</v>
      </c>
      <c r="H12" s="124">
        <v>0.0</v>
      </c>
      <c r="I12" s="124">
        <v>0.06547116828568618</v>
      </c>
      <c r="J12" s="124">
        <v>0.001420481997564888</v>
      </c>
      <c r="K12" s="124">
        <v>0.0</v>
      </c>
      <c r="L12" s="126">
        <v>0.1291462396932106</v>
      </c>
      <c r="M12" s="126">
        <v>0.26325441802018446</v>
      </c>
    </row>
    <row r="13" ht="14.25" customHeight="1">
      <c r="A13" s="124" t="s">
        <v>34</v>
      </c>
      <c r="B13" s="124" t="s">
        <v>136</v>
      </c>
      <c r="C13" s="124" t="s">
        <v>126</v>
      </c>
      <c r="D13" s="124" t="s">
        <v>466</v>
      </c>
      <c r="E13" s="125">
        <v>10403.0</v>
      </c>
      <c r="F13" s="126">
        <v>0.0121580547112462</v>
      </c>
      <c r="G13" s="126">
        <v>0.012978282142662468</v>
      </c>
      <c r="H13" s="124">
        <v>0.0</v>
      </c>
      <c r="I13" s="124">
        <v>0.0</v>
      </c>
      <c r="J13" s="124">
        <v>0.0</v>
      </c>
      <c r="K13" s="124">
        <v>0.0</v>
      </c>
      <c r="L13" s="126">
        <v>0.004052684903748734</v>
      </c>
      <c r="M13" s="126">
        <v>0.004326094047554156</v>
      </c>
    </row>
    <row r="14" ht="14.25" customHeight="1">
      <c r="A14" s="124" t="s">
        <v>34</v>
      </c>
      <c r="B14" s="124" t="s">
        <v>136</v>
      </c>
      <c r="C14" s="124" t="s">
        <v>467</v>
      </c>
      <c r="D14" s="124" t="s">
        <v>468</v>
      </c>
      <c r="E14" s="125">
        <v>10404.0</v>
      </c>
      <c r="F14" s="126">
        <v>0.24620060790273554</v>
      </c>
      <c r="G14" s="126">
        <v>0.08034479189212079</v>
      </c>
      <c r="H14" s="124">
        <v>0.0</v>
      </c>
      <c r="I14" s="124">
        <v>0.0</v>
      </c>
      <c r="J14" s="124">
        <v>0.007397640806795764</v>
      </c>
      <c r="K14" s="124">
        <v>0.0</v>
      </c>
      <c r="L14" s="126">
        <v>0.08453274956984376</v>
      </c>
      <c r="M14" s="126">
        <v>0.0267815972973736</v>
      </c>
    </row>
    <row r="15" ht="14.25" customHeight="1">
      <c r="A15" s="124" t="s">
        <v>34</v>
      </c>
      <c r="B15" s="124" t="s">
        <v>136</v>
      </c>
      <c r="C15" s="124" t="s">
        <v>469</v>
      </c>
      <c r="D15" s="124" t="s">
        <v>469</v>
      </c>
      <c r="E15" s="125">
        <v>10405.0</v>
      </c>
      <c r="F15" s="126">
        <v>0.5440729483282674</v>
      </c>
      <c r="G15" s="126">
        <v>0.36277219402994876</v>
      </c>
      <c r="H15" s="124">
        <v>0.0</v>
      </c>
      <c r="I15" s="124">
        <v>0.026334836498163695</v>
      </c>
      <c r="J15" s="124">
        <v>0.0</v>
      </c>
      <c r="K15" s="124">
        <v>0.0</v>
      </c>
      <c r="L15" s="126">
        <v>0.1813576494427558</v>
      </c>
      <c r="M15" s="126">
        <v>0.12970234350937082</v>
      </c>
    </row>
    <row r="16" ht="14.25" customHeight="1">
      <c r="A16" s="124" t="s">
        <v>34</v>
      </c>
      <c r="B16" s="124" t="s">
        <v>470</v>
      </c>
      <c r="C16" s="124" t="s">
        <v>114</v>
      </c>
      <c r="D16" s="124" t="s">
        <v>114</v>
      </c>
      <c r="E16" s="125">
        <v>10501.0</v>
      </c>
      <c r="F16" s="126">
        <v>0.25531914893617014</v>
      </c>
      <c r="G16" s="126">
        <v>0.28539612071209153</v>
      </c>
      <c r="H16" s="124">
        <v>0.31956736625169607</v>
      </c>
      <c r="I16" s="124">
        <v>1.0</v>
      </c>
      <c r="J16" s="124">
        <v>0.031424644983967014</v>
      </c>
      <c r="K16" s="124">
        <v>9.97607777268794E-4</v>
      </c>
      <c r="L16" s="126">
        <v>0.20210372005727772</v>
      </c>
      <c r="M16" s="126">
        <v>0.4287979094964534</v>
      </c>
    </row>
    <row r="17" ht="14.25" customHeight="1">
      <c r="A17" s="124" t="s">
        <v>34</v>
      </c>
      <c r="B17" s="124" t="s">
        <v>470</v>
      </c>
      <c r="C17" s="124" t="s">
        <v>471</v>
      </c>
      <c r="D17" s="124" t="s">
        <v>471</v>
      </c>
      <c r="E17" s="125">
        <v>10502.0</v>
      </c>
      <c r="F17" s="126">
        <v>0.4376899696048633</v>
      </c>
      <c r="G17" s="126">
        <v>0.26227356179810285</v>
      </c>
      <c r="H17" s="124">
        <v>0.0</v>
      </c>
      <c r="I17" s="124">
        <v>1.0</v>
      </c>
      <c r="J17" s="124">
        <v>0.07355163036013514</v>
      </c>
      <c r="K17" s="124">
        <v>0.0</v>
      </c>
      <c r="L17" s="126">
        <v>0.17041386665499947</v>
      </c>
      <c r="M17" s="126">
        <v>0.420757853932701</v>
      </c>
    </row>
    <row r="18" ht="14.25" customHeight="1">
      <c r="A18" s="124" t="s">
        <v>34</v>
      </c>
      <c r="B18" s="124" t="s">
        <v>472</v>
      </c>
      <c r="C18" s="124" t="s">
        <v>131</v>
      </c>
      <c r="D18" s="124" t="s">
        <v>131</v>
      </c>
      <c r="E18" s="125">
        <v>10601.0</v>
      </c>
      <c r="F18" s="126">
        <v>0.48328267477203646</v>
      </c>
      <c r="G18" s="126">
        <v>0.679236951985211</v>
      </c>
      <c r="H18" s="124">
        <v>0.0</v>
      </c>
      <c r="I18" s="124">
        <v>0.0</v>
      </c>
      <c r="J18" s="124">
        <v>7.121492664862555E-4</v>
      </c>
      <c r="K18" s="124">
        <v>0.0</v>
      </c>
      <c r="L18" s="126">
        <v>0.1613316080128409</v>
      </c>
      <c r="M18" s="126">
        <v>0.22641231732840364</v>
      </c>
    </row>
    <row r="19" ht="14.25" customHeight="1">
      <c r="A19" s="124" t="s">
        <v>34</v>
      </c>
      <c r="B19" s="124" t="s">
        <v>472</v>
      </c>
      <c r="C19" s="124" t="s">
        <v>472</v>
      </c>
      <c r="D19" s="124" t="s">
        <v>472</v>
      </c>
      <c r="E19" s="125">
        <v>10602.0</v>
      </c>
      <c r="F19" s="126">
        <v>0.8085106382978724</v>
      </c>
      <c r="G19" s="126">
        <v>0.23815732658262143</v>
      </c>
      <c r="H19" s="124">
        <v>0.0</v>
      </c>
      <c r="I19" s="124">
        <v>0.0</v>
      </c>
      <c r="J19" s="124">
        <v>0.0</v>
      </c>
      <c r="K19" s="124">
        <v>0.0</v>
      </c>
      <c r="L19" s="126">
        <v>0.2695035460992908</v>
      </c>
      <c r="M19" s="126">
        <v>0.07938577552754048</v>
      </c>
    </row>
    <row r="20" ht="14.25" customHeight="1">
      <c r="A20" s="124" t="s">
        <v>34</v>
      </c>
      <c r="B20" s="124" t="s">
        <v>473</v>
      </c>
      <c r="C20" s="124" t="s">
        <v>89</v>
      </c>
      <c r="D20" s="124" t="s">
        <v>89</v>
      </c>
      <c r="E20" s="125">
        <v>10701.0</v>
      </c>
      <c r="F20" s="126">
        <v>0.22796352583586627</v>
      </c>
      <c r="G20" s="126">
        <v>0.2192507278460739</v>
      </c>
      <c r="H20" s="124">
        <v>0.0</v>
      </c>
      <c r="I20" s="124">
        <v>0.03026572971118487</v>
      </c>
      <c r="J20" s="124">
        <v>7.769022213061469E-4</v>
      </c>
      <c r="K20" s="124">
        <v>0.0</v>
      </c>
      <c r="L20" s="126">
        <v>0.0762468093523908</v>
      </c>
      <c r="M20" s="126">
        <v>0.08317215251908626</v>
      </c>
    </row>
    <row r="21" ht="14.25" customHeight="1">
      <c r="A21" s="124" t="s">
        <v>34</v>
      </c>
      <c r="B21" s="124" t="s">
        <v>473</v>
      </c>
      <c r="C21" s="124" t="s">
        <v>124</v>
      </c>
      <c r="D21" s="124" t="s">
        <v>124</v>
      </c>
      <c r="E21" s="125">
        <v>10702.0</v>
      </c>
      <c r="F21" s="126">
        <v>0.17629179331306993</v>
      </c>
      <c r="G21" s="126">
        <v>0.8835430262198284</v>
      </c>
      <c r="H21" s="124">
        <v>0.0</v>
      </c>
      <c r="I21" s="124">
        <v>0.0</v>
      </c>
      <c r="J21" s="124">
        <v>7.430291732460973E-4</v>
      </c>
      <c r="K21" s="124">
        <v>0.0</v>
      </c>
      <c r="L21" s="126">
        <v>0.05901160749543868</v>
      </c>
      <c r="M21" s="126">
        <v>0.29451434207327615</v>
      </c>
    </row>
    <row r="22" ht="14.25" customHeight="1">
      <c r="A22" s="124" t="s">
        <v>34</v>
      </c>
      <c r="B22" s="124" t="s">
        <v>473</v>
      </c>
      <c r="C22" s="124" t="s">
        <v>105</v>
      </c>
      <c r="D22" s="124" t="s">
        <v>105</v>
      </c>
      <c r="E22" s="125">
        <v>10703.0</v>
      </c>
      <c r="F22" s="126">
        <v>0.25531914893617025</v>
      </c>
      <c r="G22" s="126">
        <v>0.07556801961409931</v>
      </c>
      <c r="H22" s="124">
        <v>0.0</v>
      </c>
      <c r="I22" s="124">
        <v>0.0</v>
      </c>
      <c r="J22" s="124">
        <v>0.024142688214426486</v>
      </c>
      <c r="K22" s="124">
        <v>0.0</v>
      </c>
      <c r="L22" s="126">
        <v>0.09315394571686558</v>
      </c>
      <c r="M22" s="126">
        <v>0.02518933987136644</v>
      </c>
    </row>
    <row r="23" ht="14.25" customHeight="1">
      <c r="A23" s="124" t="s">
        <v>34</v>
      </c>
      <c r="B23" s="124" t="s">
        <v>473</v>
      </c>
      <c r="C23" s="124" t="s">
        <v>140</v>
      </c>
      <c r="D23" s="124" t="s">
        <v>140</v>
      </c>
      <c r="E23" s="125">
        <v>10704.0</v>
      </c>
      <c r="F23" s="126">
        <v>0.18844984802431614</v>
      </c>
      <c r="G23" s="126">
        <v>1.0</v>
      </c>
      <c r="H23" s="124">
        <v>0.0</v>
      </c>
      <c r="I23" s="124">
        <v>0.0</v>
      </c>
      <c r="J23" s="124">
        <v>0.003756370497721646</v>
      </c>
      <c r="K23" s="124">
        <v>0.0</v>
      </c>
      <c r="L23" s="126">
        <v>0.06406873950734593</v>
      </c>
      <c r="M23" s="126">
        <v>0.3333333333333333</v>
      </c>
    </row>
    <row r="24" ht="14.25" customHeight="1">
      <c r="A24" s="124" t="s">
        <v>34</v>
      </c>
      <c r="B24" s="124" t="s">
        <v>474</v>
      </c>
      <c r="C24" s="124" t="s">
        <v>142</v>
      </c>
      <c r="D24" s="124" t="s">
        <v>142</v>
      </c>
      <c r="E24" s="125">
        <v>10801.0</v>
      </c>
      <c r="F24" s="126">
        <v>0.23708206686930092</v>
      </c>
      <c r="G24" s="126">
        <v>0.08024396371003904</v>
      </c>
      <c r="H24" s="124">
        <v>0.0</v>
      </c>
      <c r="I24" s="124">
        <v>0.0</v>
      </c>
      <c r="J24" s="124">
        <v>0.026005310154601866</v>
      </c>
      <c r="K24" s="124">
        <v>0.0</v>
      </c>
      <c r="L24" s="126">
        <v>0.08769579234130093</v>
      </c>
      <c r="M24" s="126">
        <v>0.026747987903346346</v>
      </c>
    </row>
    <row r="25" ht="14.25" customHeight="1">
      <c r="A25" s="124" t="s">
        <v>34</v>
      </c>
      <c r="B25" s="124" t="s">
        <v>475</v>
      </c>
      <c r="C25" s="124" t="s">
        <v>476</v>
      </c>
      <c r="D25" s="124" t="s">
        <v>476</v>
      </c>
      <c r="E25" s="125">
        <v>10901.0</v>
      </c>
      <c r="F25" s="126">
        <v>0.1094224924012158</v>
      </c>
      <c r="G25" s="126">
        <v>0.1898410063763815</v>
      </c>
      <c r="H25" s="124">
        <v>0.0</v>
      </c>
      <c r="I25" s="124">
        <v>0.3592442376740752</v>
      </c>
      <c r="J25" s="124">
        <v>0.0</v>
      </c>
      <c r="K25" s="124">
        <v>0.0</v>
      </c>
      <c r="L25" s="126">
        <v>0.0364741641337386</v>
      </c>
      <c r="M25" s="126">
        <v>0.18302841468348555</v>
      </c>
    </row>
    <row r="26" ht="14.25" customHeight="1">
      <c r="A26" s="124" t="s">
        <v>34</v>
      </c>
      <c r="B26" s="124" t="s">
        <v>475</v>
      </c>
      <c r="C26" s="124" t="s">
        <v>93</v>
      </c>
      <c r="D26" s="124" t="s">
        <v>93</v>
      </c>
      <c r="E26" s="125">
        <v>10902.0</v>
      </c>
      <c r="F26" s="126">
        <v>0.3221884498480243</v>
      </c>
      <c r="G26" s="126">
        <v>0.4032953502902662</v>
      </c>
      <c r="H26" s="124">
        <v>0.0</v>
      </c>
      <c r="I26" s="124">
        <v>0.0</v>
      </c>
      <c r="J26" s="124">
        <v>0.012284955247663026</v>
      </c>
      <c r="K26" s="124">
        <v>0.0</v>
      </c>
      <c r="L26" s="126">
        <v>0.11149113503189578</v>
      </c>
      <c r="M26" s="126">
        <v>0.13443178343008874</v>
      </c>
    </row>
    <row r="27" ht="14.25" customHeight="1">
      <c r="A27" s="124" t="s">
        <v>34</v>
      </c>
      <c r="B27" s="124" t="s">
        <v>475</v>
      </c>
      <c r="C27" s="124" t="s">
        <v>477</v>
      </c>
      <c r="D27" s="124" t="s">
        <v>477</v>
      </c>
      <c r="E27" s="125">
        <v>10903.0</v>
      </c>
      <c r="F27" s="126">
        <v>0.3829787234042553</v>
      </c>
      <c r="G27" s="126">
        <v>0.6172607175209142</v>
      </c>
      <c r="H27" s="124">
        <v>0.0</v>
      </c>
      <c r="I27" s="124">
        <v>0.0</v>
      </c>
      <c r="J27" s="124">
        <v>0.0</v>
      </c>
      <c r="K27" s="124">
        <v>0.0</v>
      </c>
      <c r="L27" s="126">
        <v>0.1276595744680851</v>
      </c>
      <c r="M27" s="126">
        <v>0.20575357250697138</v>
      </c>
    </row>
    <row r="28" ht="14.25" customHeight="1">
      <c r="A28" s="124" t="s">
        <v>34</v>
      </c>
      <c r="B28" s="124" t="s">
        <v>478</v>
      </c>
      <c r="C28" s="124" t="s">
        <v>479</v>
      </c>
      <c r="D28" s="124" t="s">
        <v>479</v>
      </c>
      <c r="E28" s="125">
        <v>11001.0</v>
      </c>
      <c r="F28" s="126">
        <v>0.8753799392097265</v>
      </c>
      <c r="G28" s="126">
        <v>1.0</v>
      </c>
      <c r="H28" s="124">
        <v>0.0</v>
      </c>
      <c r="I28" s="124">
        <v>1.0</v>
      </c>
      <c r="J28" s="124">
        <v>0.009961121134348078</v>
      </c>
      <c r="K28" s="124">
        <v>0.0</v>
      </c>
      <c r="L28" s="126">
        <v>0.2951136867813582</v>
      </c>
      <c r="M28" s="126">
        <v>0.6666666666666666</v>
      </c>
    </row>
    <row r="29" ht="14.25" customHeight="1">
      <c r="A29" s="124" t="s">
        <v>34</v>
      </c>
      <c r="B29" s="124" t="s">
        <v>478</v>
      </c>
      <c r="C29" s="124" t="s">
        <v>480</v>
      </c>
      <c r="D29" s="124" t="s">
        <v>481</v>
      </c>
      <c r="E29" s="125">
        <v>11002.0</v>
      </c>
      <c r="F29" s="126">
        <v>0.9878419452887538</v>
      </c>
      <c r="G29" s="126">
        <v>1.0</v>
      </c>
      <c r="H29" s="124">
        <v>0.0</v>
      </c>
      <c r="I29" s="124">
        <v>1.0</v>
      </c>
      <c r="J29" s="124">
        <v>0.0</v>
      </c>
      <c r="K29" s="124">
        <v>0.0</v>
      </c>
      <c r="L29" s="126">
        <v>0.3292806484295846</v>
      </c>
      <c r="M29" s="126">
        <v>0.6666666666666666</v>
      </c>
    </row>
    <row r="30" ht="14.25" customHeight="1">
      <c r="A30" s="124" t="s">
        <v>34</v>
      </c>
      <c r="B30" s="124" t="s">
        <v>478</v>
      </c>
      <c r="C30" s="124" t="s">
        <v>482</v>
      </c>
      <c r="D30" s="124" t="s">
        <v>483</v>
      </c>
      <c r="E30" s="125">
        <v>11003.0</v>
      </c>
      <c r="F30" s="126">
        <v>1.0</v>
      </c>
      <c r="G30" s="126">
        <v>1.0</v>
      </c>
      <c r="H30" s="124">
        <v>0.9139061189602445</v>
      </c>
      <c r="I30" s="124">
        <v>1.0</v>
      </c>
      <c r="J30" s="124">
        <v>0.0032560447252075447</v>
      </c>
      <c r="K30" s="124">
        <v>0.0</v>
      </c>
      <c r="L30" s="126">
        <v>0.6390540545618174</v>
      </c>
      <c r="M30" s="126">
        <v>0.6666666666666666</v>
      </c>
    </row>
    <row r="31" ht="14.25" customHeight="1">
      <c r="A31" s="124" t="s">
        <v>49</v>
      </c>
      <c r="B31" s="124" t="s">
        <v>484</v>
      </c>
      <c r="C31" s="124" t="s">
        <v>485</v>
      </c>
      <c r="D31" s="124" t="s">
        <v>485</v>
      </c>
      <c r="E31" s="125">
        <v>20101.0</v>
      </c>
      <c r="F31" s="126">
        <v>0.0</v>
      </c>
      <c r="G31" s="126">
        <v>0.0</v>
      </c>
      <c r="H31" s="124">
        <v>0.0</v>
      </c>
      <c r="I31" s="124">
        <v>0.0</v>
      </c>
      <c r="J31" s="124">
        <v>0.0</v>
      </c>
      <c r="K31" s="124">
        <v>0.0</v>
      </c>
      <c r="L31" s="126">
        <v>0.0</v>
      </c>
      <c r="M31" s="126">
        <v>0.0</v>
      </c>
    </row>
    <row r="32" ht="14.25" customHeight="1">
      <c r="A32" s="124" t="s">
        <v>49</v>
      </c>
      <c r="B32" s="124" t="s">
        <v>484</v>
      </c>
      <c r="C32" s="124" t="s">
        <v>486</v>
      </c>
      <c r="D32" s="124" t="s">
        <v>486</v>
      </c>
      <c r="E32" s="125">
        <v>20102.0</v>
      </c>
      <c r="F32" s="126">
        <v>0.19148936170212766</v>
      </c>
      <c r="G32" s="126">
        <v>0.06438242608455375</v>
      </c>
      <c r="H32" s="124">
        <v>0.0</v>
      </c>
      <c r="I32" s="124">
        <v>0.0</v>
      </c>
      <c r="J32" s="124">
        <v>0.0</v>
      </c>
      <c r="K32" s="124">
        <v>0.0</v>
      </c>
      <c r="L32" s="126">
        <v>0.06382978723404255</v>
      </c>
      <c r="M32" s="126">
        <v>0.021460808694851247</v>
      </c>
    </row>
    <row r="33" ht="14.25" customHeight="1">
      <c r="A33" s="124" t="s">
        <v>49</v>
      </c>
      <c r="B33" s="124" t="s">
        <v>484</v>
      </c>
      <c r="C33" s="124" t="s">
        <v>487</v>
      </c>
      <c r="D33" s="124" t="s">
        <v>487</v>
      </c>
      <c r="E33" s="125">
        <v>20103.0</v>
      </c>
      <c r="F33" s="126">
        <v>0.08206686930091185</v>
      </c>
      <c r="G33" s="126">
        <v>0.0032352460647275677</v>
      </c>
      <c r="H33" s="124">
        <v>0.0</v>
      </c>
      <c r="I33" s="124">
        <v>0.0</v>
      </c>
      <c r="J33" s="124">
        <v>0.0</v>
      </c>
      <c r="K33" s="124">
        <v>0.0</v>
      </c>
      <c r="L33" s="126">
        <v>0.02735562310030395</v>
      </c>
      <c r="M33" s="126">
        <v>0.0010784153549091892</v>
      </c>
    </row>
    <row r="34" ht="14.25" customHeight="1">
      <c r="A34" s="124" t="s">
        <v>49</v>
      </c>
      <c r="B34" s="124" t="s">
        <v>484</v>
      </c>
      <c r="C34" s="124" t="s">
        <v>488</v>
      </c>
      <c r="D34" s="124" t="s">
        <v>488</v>
      </c>
      <c r="E34" s="125">
        <v>20104.0</v>
      </c>
      <c r="F34" s="126">
        <v>0.0</v>
      </c>
      <c r="G34" s="126">
        <v>0.0</v>
      </c>
      <c r="H34" s="124">
        <v>0.0</v>
      </c>
      <c r="I34" s="124">
        <v>0.0</v>
      </c>
      <c r="J34" s="124">
        <v>0.0</v>
      </c>
      <c r="K34" s="124">
        <v>0.0</v>
      </c>
      <c r="L34" s="126">
        <v>0.0</v>
      </c>
      <c r="M34" s="126">
        <v>0.0</v>
      </c>
    </row>
    <row r="35" ht="14.25" customHeight="1">
      <c r="A35" s="124" t="s">
        <v>49</v>
      </c>
      <c r="B35" s="124" t="s">
        <v>484</v>
      </c>
      <c r="C35" s="124" t="s">
        <v>211</v>
      </c>
      <c r="D35" s="124" t="s">
        <v>211</v>
      </c>
      <c r="E35" s="125">
        <v>20105.0</v>
      </c>
      <c r="F35" s="126">
        <v>0.0</v>
      </c>
      <c r="G35" s="126">
        <v>0.0</v>
      </c>
      <c r="H35" s="124">
        <v>0.0</v>
      </c>
      <c r="I35" s="124">
        <v>0.0</v>
      </c>
      <c r="J35" s="124">
        <v>0.0</v>
      </c>
      <c r="K35" s="124">
        <v>0.0</v>
      </c>
      <c r="L35" s="126">
        <v>0.0</v>
      </c>
      <c r="M35" s="126">
        <v>0.0</v>
      </c>
    </row>
    <row r="36" ht="14.25" customHeight="1">
      <c r="A36" s="124" t="s">
        <v>49</v>
      </c>
      <c r="B36" s="124" t="s">
        <v>489</v>
      </c>
      <c r="C36" s="124" t="s">
        <v>490</v>
      </c>
      <c r="D36" s="124" t="s">
        <v>490</v>
      </c>
      <c r="E36" s="125">
        <v>20201.0</v>
      </c>
      <c r="F36" s="126">
        <v>0.0</v>
      </c>
      <c r="G36" s="126">
        <v>0.0</v>
      </c>
      <c r="H36" s="124">
        <v>0.0</v>
      </c>
      <c r="I36" s="124">
        <v>0.0</v>
      </c>
      <c r="J36" s="124">
        <v>0.0</v>
      </c>
      <c r="K36" s="124">
        <v>0.0</v>
      </c>
      <c r="L36" s="126">
        <v>0.0</v>
      </c>
      <c r="M36" s="126">
        <v>0.0</v>
      </c>
    </row>
    <row r="37" ht="14.25" customHeight="1">
      <c r="A37" s="124" t="s">
        <v>49</v>
      </c>
      <c r="B37" s="124" t="s">
        <v>489</v>
      </c>
      <c r="C37" s="124" t="s">
        <v>491</v>
      </c>
      <c r="D37" s="124" t="s">
        <v>492</v>
      </c>
      <c r="E37" s="125">
        <v>20202.0</v>
      </c>
      <c r="F37" s="126">
        <v>0.0</v>
      </c>
      <c r="G37" s="126">
        <v>0.0</v>
      </c>
      <c r="H37" s="124">
        <v>0.0</v>
      </c>
      <c r="I37" s="124">
        <v>0.0</v>
      </c>
      <c r="J37" s="124">
        <v>0.0</v>
      </c>
      <c r="K37" s="124">
        <v>0.0</v>
      </c>
      <c r="L37" s="126">
        <v>0.0</v>
      </c>
      <c r="M37" s="126">
        <v>0.0</v>
      </c>
    </row>
    <row r="38" ht="14.25" customHeight="1">
      <c r="A38" s="124" t="s">
        <v>49</v>
      </c>
      <c r="B38" s="124" t="s">
        <v>489</v>
      </c>
      <c r="C38" s="124" t="s">
        <v>493</v>
      </c>
      <c r="D38" s="124" t="s">
        <v>493</v>
      </c>
      <c r="E38" s="125">
        <v>20203.0</v>
      </c>
      <c r="F38" s="126">
        <v>0.0</v>
      </c>
      <c r="G38" s="126">
        <v>0.0</v>
      </c>
      <c r="H38" s="124">
        <v>0.0</v>
      </c>
      <c r="I38" s="124">
        <v>0.0</v>
      </c>
      <c r="J38" s="124">
        <v>0.0</v>
      </c>
      <c r="K38" s="124">
        <v>0.0</v>
      </c>
      <c r="L38" s="126">
        <v>0.0</v>
      </c>
      <c r="M38" s="126">
        <v>0.0</v>
      </c>
    </row>
    <row r="39" ht="14.25" customHeight="1">
      <c r="A39" s="124" t="s">
        <v>49</v>
      </c>
      <c r="B39" s="124" t="s">
        <v>489</v>
      </c>
      <c r="C39" s="124" t="s">
        <v>494</v>
      </c>
      <c r="D39" s="124" t="s">
        <v>494</v>
      </c>
      <c r="E39" s="125">
        <v>20204.0</v>
      </c>
      <c r="F39" s="126">
        <v>0.0</v>
      </c>
      <c r="G39" s="126">
        <v>0.0</v>
      </c>
      <c r="H39" s="124">
        <v>0.0</v>
      </c>
      <c r="I39" s="124">
        <v>0.0</v>
      </c>
      <c r="J39" s="124">
        <v>0.0</v>
      </c>
      <c r="K39" s="124">
        <v>0.0</v>
      </c>
      <c r="L39" s="126">
        <v>0.0</v>
      </c>
      <c r="M39" s="126">
        <v>0.0</v>
      </c>
    </row>
    <row r="40" ht="14.25" customHeight="1">
      <c r="A40" s="124" t="s">
        <v>49</v>
      </c>
      <c r="B40" s="124" t="s">
        <v>489</v>
      </c>
      <c r="C40" s="124" t="s">
        <v>495</v>
      </c>
      <c r="D40" s="124" t="s">
        <v>495</v>
      </c>
      <c r="E40" s="125">
        <v>20205.0</v>
      </c>
      <c r="F40" s="126">
        <v>0.0</v>
      </c>
      <c r="G40" s="126">
        <v>0.0</v>
      </c>
      <c r="H40" s="124">
        <v>0.0</v>
      </c>
      <c r="I40" s="124">
        <v>0.0</v>
      </c>
      <c r="J40" s="124">
        <v>0.0</v>
      </c>
      <c r="K40" s="124">
        <v>0.0</v>
      </c>
      <c r="L40" s="126">
        <v>0.0</v>
      </c>
      <c r="M40" s="126">
        <v>0.0</v>
      </c>
    </row>
    <row r="41" ht="14.25" customHeight="1">
      <c r="A41" s="124" t="s">
        <v>49</v>
      </c>
      <c r="B41" s="124" t="s">
        <v>489</v>
      </c>
      <c r="C41" s="124" t="s">
        <v>496</v>
      </c>
      <c r="D41" s="124" t="s">
        <v>496</v>
      </c>
      <c r="E41" s="125">
        <v>20206.0</v>
      </c>
      <c r="F41" s="126">
        <v>0.0</v>
      </c>
      <c r="G41" s="126">
        <v>0.0</v>
      </c>
      <c r="H41" s="124">
        <v>0.0</v>
      </c>
      <c r="I41" s="124">
        <v>0.0</v>
      </c>
      <c r="J41" s="124">
        <v>0.0</v>
      </c>
      <c r="K41" s="124">
        <v>0.0</v>
      </c>
      <c r="L41" s="126">
        <v>0.0</v>
      </c>
      <c r="M41" s="126">
        <v>0.0</v>
      </c>
    </row>
    <row r="42" ht="14.25" customHeight="1">
      <c r="A42" s="124" t="s">
        <v>49</v>
      </c>
      <c r="B42" s="124" t="s">
        <v>497</v>
      </c>
      <c r="C42" s="124" t="s">
        <v>498</v>
      </c>
      <c r="D42" s="124" t="s">
        <v>499</v>
      </c>
      <c r="E42" s="125">
        <v>20301.0</v>
      </c>
      <c r="F42" s="126">
        <v>0.0</v>
      </c>
      <c r="G42" s="126">
        <v>0.0</v>
      </c>
      <c r="H42" s="124">
        <v>0.0</v>
      </c>
      <c r="I42" s="124">
        <v>0.0</v>
      </c>
      <c r="J42" s="124">
        <v>0.0</v>
      </c>
      <c r="K42" s="124">
        <v>0.0</v>
      </c>
      <c r="L42" s="126">
        <v>0.0</v>
      </c>
      <c r="M42" s="126">
        <v>0.0</v>
      </c>
    </row>
    <row r="43" ht="14.25" customHeight="1">
      <c r="A43" s="124" t="s">
        <v>49</v>
      </c>
      <c r="B43" s="124" t="s">
        <v>497</v>
      </c>
      <c r="C43" s="124" t="s">
        <v>500</v>
      </c>
      <c r="D43" s="124" t="s">
        <v>500</v>
      </c>
      <c r="E43" s="125">
        <v>20302.0</v>
      </c>
      <c r="F43" s="126">
        <v>0.0</v>
      </c>
      <c r="G43" s="126">
        <v>0.0</v>
      </c>
      <c r="H43" s="124">
        <v>0.0</v>
      </c>
      <c r="I43" s="124">
        <v>0.0</v>
      </c>
      <c r="J43" s="124">
        <v>0.0</v>
      </c>
      <c r="K43" s="124">
        <v>0.0</v>
      </c>
      <c r="L43" s="126">
        <v>0.0</v>
      </c>
      <c r="M43" s="126">
        <v>0.0</v>
      </c>
    </row>
    <row r="44" ht="14.25" customHeight="1">
      <c r="A44" s="124" t="s">
        <v>49</v>
      </c>
      <c r="B44" s="124" t="s">
        <v>497</v>
      </c>
      <c r="C44" s="124" t="s">
        <v>501</v>
      </c>
      <c r="D44" s="124" t="s">
        <v>501</v>
      </c>
      <c r="E44" s="125">
        <v>20303.0</v>
      </c>
      <c r="F44" s="126">
        <v>0.0</v>
      </c>
      <c r="G44" s="126">
        <v>0.0</v>
      </c>
      <c r="H44" s="124">
        <v>0.0</v>
      </c>
      <c r="I44" s="124">
        <v>0.0</v>
      </c>
      <c r="J44" s="124">
        <v>0.0</v>
      </c>
      <c r="K44" s="124">
        <v>0.0</v>
      </c>
      <c r="L44" s="126">
        <v>0.0</v>
      </c>
      <c r="M44" s="126">
        <v>0.0</v>
      </c>
    </row>
    <row r="45" ht="14.25" customHeight="1">
      <c r="A45" s="124" t="s">
        <v>49</v>
      </c>
      <c r="B45" s="124" t="s">
        <v>497</v>
      </c>
      <c r="C45" s="124" t="s">
        <v>502</v>
      </c>
      <c r="D45" s="124" t="s">
        <v>502</v>
      </c>
      <c r="E45" s="125">
        <v>20304.0</v>
      </c>
      <c r="F45" s="126">
        <v>0.0</v>
      </c>
      <c r="G45" s="126">
        <v>0.0</v>
      </c>
      <c r="H45" s="124">
        <v>0.0</v>
      </c>
      <c r="I45" s="124">
        <v>0.0</v>
      </c>
      <c r="J45" s="124">
        <v>0.0</v>
      </c>
      <c r="K45" s="124">
        <v>0.0</v>
      </c>
      <c r="L45" s="126">
        <v>0.0</v>
      </c>
      <c r="M45" s="126">
        <v>0.0</v>
      </c>
    </row>
    <row r="46" ht="14.25" customHeight="1">
      <c r="A46" s="124" t="s">
        <v>49</v>
      </c>
      <c r="B46" s="124" t="s">
        <v>497</v>
      </c>
      <c r="C46" s="124" t="s">
        <v>503</v>
      </c>
      <c r="D46" s="124" t="s">
        <v>503</v>
      </c>
      <c r="E46" s="125">
        <v>20305.0</v>
      </c>
      <c r="F46" s="126">
        <v>0.0</v>
      </c>
      <c r="G46" s="126">
        <v>0.0</v>
      </c>
      <c r="H46" s="124">
        <v>0.0</v>
      </c>
      <c r="I46" s="124">
        <v>0.0</v>
      </c>
      <c r="J46" s="124">
        <v>0.0</v>
      </c>
      <c r="K46" s="124">
        <v>0.0</v>
      </c>
      <c r="L46" s="126">
        <v>0.0</v>
      </c>
      <c r="M46" s="126">
        <v>0.0</v>
      </c>
    </row>
    <row r="47" ht="14.25" customHeight="1">
      <c r="A47" s="124" t="s">
        <v>49</v>
      </c>
      <c r="B47" s="124" t="s">
        <v>497</v>
      </c>
      <c r="C47" s="124" t="s">
        <v>504</v>
      </c>
      <c r="D47" s="124" t="s">
        <v>504</v>
      </c>
      <c r="E47" s="125">
        <v>20306.0</v>
      </c>
      <c r="F47" s="126">
        <v>0.0</v>
      </c>
      <c r="G47" s="126">
        <v>0.0</v>
      </c>
      <c r="H47" s="124">
        <v>0.0</v>
      </c>
      <c r="I47" s="124">
        <v>0.0</v>
      </c>
      <c r="J47" s="124">
        <v>0.0</v>
      </c>
      <c r="K47" s="124">
        <v>0.0</v>
      </c>
      <c r="L47" s="126">
        <v>0.0</v>
      </c>
      <c r="M47" s="126">
        <v>0.0</v>
      </c>
    </row>
    <row r="48" ht="14.25" customHeight="1">
      <c r="A48" s="124" t="s">
        <v>49</v>
      </c>
      <c r="B48" s="124" t="s">
        <v>497</v>
      </c>
      <c r="C48" s="124" t="s">
        <v>505</v>
      </c>
      <c r="D48" s="124" t="s">
        <v>505</v>
      </c>
      <c r="E48" s="125">
        <v>20307.0</v>
      </c>
      <c r="F48" s="126">
        <v>0.0</v>
      </c>
      <c r="G48" s="126">
        <v>0.0</v>
      </c>
      <c r="H48" s="124">
        <v>0.0</v>
      </c>
      <c r="I48" s="124">
        <v>0.0</v>
      </c>
      <c r="J48" s="124">
        <v>0.0</v>
      </c>
      <c r="K48" s="124">
        <v>0.0</v>
      </c>
      <c r="L48" s="126">
        <v>0.0</v>
      </c>
      <c r="M48" s="126">
        <v>0.0</v>
      </c>
    </row>
    <row r="49" ht="14.25" customHeight="1">
      <c r="A49" s="124" t="s">
        <v>49</v>
      </c>
      <c r="B49" s="124" t="s">
        <v>497</v>
      </c>
      <c r="C49" s="124" t="s">
        <v>506</v>
      </c>
      <c r="D49" s="124" t="s">
        <v>506</v>
      </c>
      <c r="E49" s="125">
        <v>20308.0</v>
      </c>
      <c r="F49" s="126">
        <v>0.0</v>
      </c>
      <c r="G49" s="126">
        <v>0.0</v>
      </c>
      <c r="H49" s="124">
        <v>0.0</v>
      </c>
      <c r="I49" s="124">
        <v>0.0</v>
      </c>
      <c r="J49" s="124">
        <v>0.0</v>
      </c>
      <c r="K49" s="124">
        <v>0.0</v>
      </c>
      <c r="L49" s="126">
        <v>0.0</v>
      </c>
      <c r="M49" s="126">
        <v>0.0</v>
      </c>
    </row>
    <row r="50" ht="14.25" customHeight="1">
      <c r="A50" s="124" t="s">
        <v>49</v>
      </c>
      <c r="B50" s="124" t="s">
        <v>507</v>
      </c>
      <c r="C50" s="124" t="s">
        <v>508</v>
      </c>
      <c r="D50" s="124" t="s">
        <v>508</v>
      </c>
      <c r="E50" s="125">
        <v>20401.0</v>
      </c>
      <c r="F50" s="126">
        <v>0.0</v>
      </c>
      <c r="G50" s="126">
        <v>0.0</v>
      </c>
      <c r="H50" s="124">
        <v>0.0</v>
      </c>
      <c r="I50" s="124">
        <v>0.0</v>
      </c>
      <c r="J50" s="124">
        <v>0.0</v>
      </c>
      <c r="K50" s="124">
        <v>0.0</v>
      </c>
      <c r="L50" s="126">
        <v>0.0</v>
      </c>
      <c r="M50" s="126">
        <v>0.0</v>
      </c>
    </row>
    <row r="51" ht="14.25" customHeight="1">
      <c r="A51" s="124" t="s">
        <v>49</v>
      </c>
      <c r="B51" s="124" t="s">
        <v>507</v>
      </c>
      <c r="C51" s="124" t="s">
        <v>509</v>
      </c>
      <c r="D51" s="124" t="s">
        <v>509</v>
      </c>
      <c r="E51" s="125">
        <v>20402.0</v>
      </c>
      <c r="F51" s="126">
        <v>0.0</v>
      </c>
      <c r="G51" s="126">
        <v>0.0</v>
      </c>
      <c r="H51" s="124">
        <v>0.0</v>
      </c>
      <c r="I51" s="124">
        <v>0.0</v>
      </c>
      <c r="J51" s="124">
        <v>0.0</v>
      </c>
      <c r="K51" s="124">
        <v>0.0</v>
      </c>
      <c r="L51" s="126">
        <v>0.0</v>
      </c>
      <c r="M51" s="126">
        <v>0.0</v>
      </c>
    </row>
    <row r="52" ht="14.25" customHeight="1">
      <c r="A52" s="124" t="s">
        <v>49</v>
      </c>
      <c r="B52" s="124" t="s">
        <v>507</v>
      </c>
      <c r="C52" s="124" t="s">
        <v>510</v>
      </c>
      <c r="D52" s="124" t="s">
        <v>511</v>
      </c>
      <c r="E52" s="125">
        <v>20403.0</v>
      </c>
      <c r="F52" s="126">
        <v>0.0</v>
      </c>
      <c r="G52" s="126">
        <v>0.0</v>
      </c>
      <c r="H52" s="124">
        <v>0.0</v>
      </c>
      <c r="I52" s="124">
        <v>0.0</v>
      </c>
      <c r="J52" s="124">
        <v>0.0</v>
      </c>
      <c r="K52" s="124">
        <v>0.0</v>
      </c>
      <c r="L52" s="126">
        <v>0.0</v>
      </c>
      <c r="M52" s="126">
        <v>0.0</v>
      </c>
    </row>
    <row r="53" ht="14.25" customHeight="1">
      <c r="A53" s="124" t="s">
        <v>49</v>
      </c>
      <c r="B53" s="124" t="s">
        <v>507</v>
      </c>
      <c r="C53" s="124" t="s">
        <v>512</v>
      </c>
      <c r="D53" s="124" t="s">
        <v>512</v>
      </c>
      <c r="E53" s="125">
        <v>20404.0</v>
      </c>
      <c r="F53" s="126">
        <v>0.0</v>
      </c>
      <c r="G53" s="126">
        <v>0.0</v>
      </c>
      <c r="H53" s="124">
        <v>0.0</v>
      </c>
      <c r="I53" s="124">
        <v>0.0</v>
      </c>
      <c r="J53" s="124">
        <v>0.0</v>
      </c>
      <c r="K53" s="124">
        <v>0.0</v>
      </c>
      <c r="L53" s="126">
        <v>0.0</v>
      </c>
      <c r="M53" s="126">
        <v>0.0</v>
      </c>
    </row>
    <row r="54" ht="14.25" customHeight="1">
      <c r="A54" s="124" t="s">
        <v>49</v>
      </c>
      <c r="B54" s="124" t="s">
        <v>507</v>
      </c>
      <c r="C54" s="124" t="s">
        <v>513</v>
      </c>
      <c r="D54" s="124" t="s">
        <v>513</v>
      </c>
      <c r="E54" s="125">
        <v>20405.0</v>
      </c>
      <c r="F54" s="126">
        <v>0.0</v>
      </c>
      <c r="G54" s="126">
        <v>0.0</v>
      </c>
      <c r="H54" s="124">
        <v>0.0</v>
      </c>
      <c r="I54" s="124">
        <v>0.0</v>
      </c>
      <c r="J54" s="124">
        <v>0.0</v>
      </c>
      <c r="K54" s="124">
        <v>0.0</v>
      </c>
      <c r="L54" s="126">
        <v>0.0</v>
      </c>
      <c r="M54" s="126">
        <v>0.0</v>
      </c>
    </row>
    <row r="55" ht="14.25" customHeight="1">
      <c r="A55" s="124" t="s">
        <v>49</v>
      </c>
      <c r="B55" s="124" t="s">
        <v>514</v>
      </c>
      <c r="C55" s="124" t="s">
        <v>515</v>
      </c>
      <c r="D55" s="124" t="s">
        <v>515</v>
      </c>
      <c r="E55" s="125">
        <v>20501.0</v>
      </c>
      <c r="F55" s="126">
        <v>0.0</v>
      </c>
      <c r="G55" s="126">
        <v>0.0</v>
      </c>
      <c r="H55" s="124">
        <v>0.0</v>
      </c>
      <c r="I55" s="124">
        <v>0.0</v>
      </c>
      <c r="J55" s="124">
        <v>0.0</v>
      </c>
      <c r="K55" s="124">
        <v>0.0</v>
      </c>
      <c r="L55" s="126">
        <v>0.0</v>
      </c>
      <c r="M55" s="126">
        <v>0.0</v>
      </c>
    </row>
    <row r="56" ht="14.25" customHeight="1">
      <c r="A56" s="124" t="s">
        <v>49</v>
      </c>
      <c r="B56" s="124" t="s">
        <v>514</v>
      </c>
      <c r="C56" s="124" t="s">
        <v>202</v>
      </c>
      <c r="D56" s="124" t="s">
        <v>202</v>
      </c>
      <c r="E56" s="125">
        <v>20502.0</v>
      </c>
      <c r="F56" s="126">
        <v>0.0</v>
      </c>
      <c r="G56" s="126">
        <v>0.0</v>
      </c>
      <c r="H56" s="124">
        <v>0.0</v>
      </c>
      <c r="I56" s="124">
        <v>0.0</v>
      </c>
      <c r="J56" s="124">
        <v>0.0</v>
      </c>
      <c r="K56" s="124">
        <v>0.0</v>
      </c>
      <c r="L56" s="126">
        <v>0.0</v>
      </c>
      <c r="M56" s="126">
        <v>0.0</v>
      </c>
    </row>
    <row r="57" ht="14.25" customHeight="1">
      <c r="A57" s="124" t="s">
        <v>49</v>
      </c>
      <c r="B57" s="124" t="s">
        <v>514</v>
      </c>
      <c r="C57" s="124" t="s">
        <v>516</v>
      </c>
      <c r="D57" s="124" t="s">
        <v>516</v>
      </c>
      <c r="E57" s="125">
        <v>20503.0</v>
      </c>
      <c r="F57" s="126">
        <v>0.0</v>
      </c>
      <c r="G57" s="126">
        <v>0.0</v>
      </c>
      <c r="H57" s="124">
        <v>0.0</v>
      </c>
      <c r="I57" s="124">
        <v>0.35249669230494424</v>
      </c>
      <c r="J57" s="124">
        <v>0.0</v>
      </c>
      <c r="K57" s="124">
        <v>0.0</v>
      </c>
      <c r="L57" s="126">
        <v>0.0</v>
      </c>
      <c r="M57" s="126">
        <v>0.11749889743498142</v>
      </c>
    </row>
    <row r="58" ht="14.25" customHeight="1">
      <c r="A58" s="124" t="s">
        <v>49</v>
      </c>
      <c r="B58" s="124" t="s">
        <v>517</v>
      </c>
      <c r="C58" s="124" t="s">
        <v>518</v>
      </c>
      <c r="D58" s="124" t="s">
        <v>518</v>
      </c>
      <c r="E58" s="125">
        <v>20601.0</v>
      </c>
      <c r="F58" s="126">
        <v>0.0</v>
      </c>
      <c r="G58" s="126">
        <v>0.0</v>
      </c>
      <c r="H58" s="124">
        <v>0.0</v>
      </c>
      <c r="I58" s="124">
        <v>0.15642291512122114</v>
      </c>
      <c r="J58" s="124">
        <v>0.0</v>
      </c>
      <c r="K58" s="124">
        <v>0.0</v>
      </c>
      <c r="L58" s="126">
        <v>0.0</v>
      </c>
      <c r="M58" s="126">
        <v>0.05214097170707371</v>
      </c>
    </row>
    <row r="59" ht="14.25" customHeight="1">
      <c r="A59" s="124" t="s">
        <v>49</v>
      </c>
      <c r="B59" s="124" t="s">
        <v>517</v>
      </c>
      <c r="C59" s="124" t="s">
        <v>215</v>
      </c>
      <c r="D59" s="124" t="s">
        <v>215</v>
      </c>
      <c r="E59" s="125">
        <v>20602.0</v>
      </c>
      <c r="F59" s="126">
        <v>0.0</v>
      </c>
      <c r="G59" s="126">
        <v>0.0</v>
      </c>
      <c r="H59" s="124">
        <v>1.0</v>
      </c>
      <c r="I59" s="124">
        <v>1.0</v>
      </c>
      <c r="J59" s="124">
        <v>0.0016541796731701058</v>
      </c>
      <c r="K59" s="124">
        <v>0.0016541796731701058</v>
      </c>
      <c r="L59" s="126">
        <v>0.3338847265577234</v>
      </c>
      <c r="M59" s="126">
        <v>0.3338847265577234</v>
      </c>
    </row>
    <row r="60" ht="14.25" customHeight="1">
      <c r="A60" s="124" t="s">
        <v>49</v>
      </c>
      <c r="B60" s="124" t="s">
        <v>517</v>
      </c>
      <c r="C60" s="124" t="s">
        <v>519</v>
      </c>
      <c r="D60" s="124" t="s">
        <v>519</v>
      </c>
      <c r="E60" s="125">
        <v>20603.0</v>
      </c>
      <c r="F60" s="126">
        <v>0.04559270516717325</v>
      </c>
      <c r="G60" s="126">
        <v>0.0</v>
      </c>
      <c r="H60" s="124">
        <v>0.0</v>
      </c>
      <c r="I60" s="124">
        <v>0.5950719496955339</v>
      </c>
      <c r="J60" s="124">
        <v>0.0</v>
      </c>
      <c r="K60" s="124">
        <v>0.0</v>
      </c>
      <c r="L60" s="126">
        <v>0.015197568389057751</v>
      </c>
      <c r="M60" s="126">
        <v>0.19835731656517797</v>
      </c>
    </row>
    <row r="61" ht="14.25" customHeight="1">
      <c r="A61" s="124" t="s">
        <v>49</v>
      </c>
      <c r="B61" s="124" t="s">
        <v>517</v>
      </c>
      <c r="C61" s="124" t="s">
        <v>520</v>
      </c>
      <c r="D61" s="124" t="s">
        <v>520</v>
      </c>
      <c r="E61" s="125">
        <v>20604.0</v>
      </c>
      <c r="F61" s="126">
        <v>0.0</v>
      </c>
      <c r="G61" s="126">
        <v>0.0</v>
      </c>
      <c r="H61" s="124">
        <v>0.0</v>
      </c>
      <c r="I61" s="124">
        <v>0.0</v>
      </c>
      <c r="J61" s="124">
        <v>0.0</v>
      </c>
      <c r="K61" s="124">
        <v>0.0</v>
      </c>
      <c r="L61" s="126">
        <v>0.0</v>
      </c>
      <c r="M61" s="126">
        <v>0.0</v>
      </c>
    </row>
    <row r="62" ht="14.25" customHeight="1">
      <c r="A62" s="124" t="s">
        <v>49</v>
      </c>
      <c r="B62" s="124" t="s">
        <v>517</v>
      </c>
      <c r="C62" s="124" t="s">
        <v>521</v>
      </c>
      <c r="D62" s="124" t="s">
        <v>521</v>
      </c>
      <c r="E62" s="125">
        <v>20605.0</v>
      </c>
      <c r="F62" s="126">
        <v>0.0</v>
      </c>
      <c r="G62" s="126">
        <v>0.0</v>
      </c>
      <c r="H62" s="124">
        <v>0.0</v>
      </c>
      <c r="I62" s="124">
        <v>0.0</v>
      </c>
      <c r="J62" s="124">
        <v>0.0</v>
      </c>
      <c r="K62" s="124">
        <v>0.0</v>
      </c>
      <c r="L62" s="126">
        <v>0.0</v>
      </c>
      <c r="M62" s="126">
        <v>0.0</v>
      </c>
    </row>
    <row r="63" ht="14.25" customHeight="1">
      <c r="A63" s="124" t="s">
        <v>49</v>
      </c>
      <c r="B63" s="124" t="s">
        <v>517</v>
      </c>
      <c r="C63" s="124" t="s">
        <v>230</v>
      </c>
      <c r="D63" s="124" t="s">
        <v>230</v>
      </c>
      <c r="E63" s="125">
        <v>20606.0</v>
      </c>
      <c r="F63" s="126">
        <v>0.0</v>
      </c>
      <c r="G63" s="126">
        <v>0.0</v>
      </c>
      <c r="H63" s="124">
        <v>0.15987607946926718</v>
      </c>
      <c r="I63" s="124">
        <v>1.0</v>
      </c>
      <c r="J63" s="124">
        <v>0.0012224145931355184</v>
      </c>
      <c r="K63" s="124">
        <v>0.0</v>
      </c>
      <c r="L63" s="126">
        <v>0.0536994980208009</v>
      </c>
      <c r="M63" s="126">
        <v>0.3333333333333333</v>
      </c>
    </row>
    <row r="64" ht="14.25" customHeight="1">
      <c r="A64" s="124" t="s">
        <v>49</v>
      </c>
      <c r="B64" s="124" t="s">
        <v>517</v>
      </c>
      <c r="C64" s="124" t="s">
        <v>223</v>
      </c>
      <c r="D64" s="124" t="s">
        <v>223</v>
      </c>
      <c r="E64" s="125">
        <v>20607.0</v>
      </c>
      <c r="F64" s="126">
        <v>0.0</v>
      </c>
      <c r="G64" s="126">
        <v>0.0</v>
      </c>
      <c r="H64" s="124">
        <v>0.20844482621115173</v>
      </c>
      <c r="I64" s="124">
        <v>1.0</v>
      </c>
      <c r="J64" s="124">
        <v>8.807088807807754E-4</v>
      </c>
      <c r="K64" s="124">
        <v>0.0</v>
      </c>
      <c r="L64" s="126">
        <v>0.0697751783639775</v>
      </c>
      <c r="M64" s="126">
        <v>0.3333333333333333</v>
      </c>
    </row>
    <row r="65" ht="14.25" customHeight="1">
      <c r="A65" s="124" t="s">
        <v>49</v>
      </c>
      <c r="B65" s="124" t="s">
        <v>517</v>
      </c>
      <c r="C65" s="124" t="s">
        <v>229</v>
      </c>
      <c r="D65" s="124" t="s">
        <v>229</v>
      </c>
      <c r="E65" s="125">
        <v>20608.0</v>
      </c>
      <c r="F65" s="126">
        <v>0.0</v>
      </c>
      <c r="G65" s="126">
        <v>0.0</v>
      </c>
      <c r="H65" s="124">
        <v>0.4942804071304839</v>
      </c>
      <c r="I65" s="124">
        <v>1.0</v>
      </c>
      <c r="J65" s="124">
        <v>0.01569464833844922</v>
      </c>
      <c r="K65" s="124">
        <v>0.0</v>
      </c>
      <c r="L65" s="126">
        <v>0.16999168515631102</v>
      </c>
      <c r="M65" s="126">
        <v>0.3333333333333333</v>
      </c>
    </row>
    <row r="66" ht="14.25" customHeight="1">
      <c r="A66" s="124" t="s">
        <v>49</v>
      </c>
      <c r="B66" s="124" t="s">
        <v>522</v>
      </c>
      <c r="C66" s="124" t="s">
        <v>199</v>
      </c>
      <c r="D66" s="124" t="s">
        <v>199</v>
      </c>
      <c r="E66" s="125">
        <v>20701.0</v>
      </c>
      <c r="F66" s="126">
        <v>0.0</v>
      </c>
      <c r="G66" s="126">
        <v>0.0</v>
      </c>
      <c r="H66" s="124">
        <v>0.0</v>
      </c>
      <c r="I66" s="124">
        <v>0.7699412340509003</v>
      </c>
      <c r="J66" s="124">
        <v>0.02774124255495121</v>
      </c>
      <c r="K66" s="124">
        <v>0.0</v>
      </c>
      <c r="L66" s="126">
        <v>0.009247080851650403</v>
      </c>
      <c r="M66" s="126">
        <v>0.2566470780169668</v>
      </c>
    </row>
    <row r="67" ht="14.25" customHeight="1">
      <c r="A67" s="124" t="s">
        <v>49</v>
      </c>
      <c r="B67" s="124" t="s">
        <v>522</v>
      </c>
      <c r="C67" s="124" t="s">
        <v>523</v>
      </c>
      <c r="D67" s="124" t="s">
        <v>523</v>
      </c>
      <c r="E67" s="125">
        <v>20702.0</v>
      </c>
      <c r="F67" s="126">
        <v>0.0</v>
      </c>
      <c r="G67" s="126">
        <v>0.0</v>
      </c>
      <c r="H67" s="124">
        <v>0.0</v>
      </c>
      <c r="I67" s="124">
        <v>0.0</v>
      </c>
      <c r="J67" s="124">
        <v>0.0</v>
      </c>
      <c r="K67" s="124">
        <v>0.0</v>
      </c>
      <c r="L67" s="126">
        <v>0.0</v>
      </c>
      <c r="M67" s="126">
        <v>0.0</v>
      </c>
    </row>
    <row r="68" ht="14.25" customHeight="1">
      <c r="A68" s="124" t="s">
        <v>49</v>
      </c>
      <c r="B68" s="124" t="s">
        <v>524</v>
      </c>
      <c r="C68" s="124" t="s">
        <v>525</v>
      </c>
      <c r="D68" s="124" t="s">
        <v>525</v>
      </c>
      <c r="E68" s="125">
        <v>20801.0</v>
      </c>
      <c r="F68" s="126">
        <v>0.0</v>
      </c>
      <c r="G68" s="126">
        <v>0.0</v>
      </c>
      <c r="H68" s="124">
        <v>0.0</v>
      </c>
      <c r="I68" s="124">
        <v>0.0</v>
      </c>
      <c r="J68" s="124">
        <v>0.0</v>
      </c>
      <c r="K68" s="124">
        <v>0.0</v>
      </c>
      <c r="L68" s="126">
        <v>0.0</v>
      </c>
      <c r="M68" s="126">
        <v>0.0</v>
      </c>
    </row>
    <row r="69" ht="14.25" customHeight="1">
      <c r="A69" s="124" t="s">
        <v>49</v>
      </c>
      <c r="B69" s="124" t="s">
        <v>524</v>
      </c>
      <c r="C69" s="124" t="s">
        <v>526</v>
      </c>
      <c r="D69" s="124" t="s">
        <v>527</v>
      </c>
      <c r="E69" s="125">
        <v>20802.0</v>
      </c>
      <c r="F69" s="126">
        <v>0.0</v>
      </c>
      <c r="G69" s="126">
        <v>0.0</v>
      </c>
      <c r="H69" s="124">
        <v>0.0</v>
      </c>
      <c r="I69" s="124">
        <v>0.0</v>
      </c>
      <c r="J69" s="124">
        <v>0.0</v>
      </c>
      <c r="K69" s="124">
        <v>0.0</v>
      </c>
      <c r="L69" s="126">
        <v>0.0</v>
      </c>
      <c r="M69" s="126">
        <v>0.0</v>
      </c>
    </row>
    <row r="70" ht="14.25" customHeight="1">
      <c r="A70" s="124" t="s">
        <v>49</v>
      </c>
      <c r="B70" s="124" t="s">
        <v>524</v>
      </c>
      <c r="C70" s="124" t="s">
        <v>528</v>
      </c>
      <c r="D70" s="124" t="s">
        <v>528</v>
      </c>
      <c r="E70" s="125">
        <v>20803.0</v>
      </c>
      <c r="F70" s="126">
        <v>0.0</v>
      </c>
      <c r="G70" s="126">
        <v>0.0</v>
      </c>
      <c r="H70" s="124">
        <v>0.0</v>
      </c>
      <c r="I70" s="124">
        <v>0.0</v>
      </c>
      <c r="J70" s="124">
        <v>0.0</v>
      </c>
      <c r="K70" s="124">
        <v>0.0</v>
      </c>
      <c r="L70" s="126">
        <v>0.0</v>
      </c>
      <c r="M70" s="126">
        <v>0.0</v>
      </c>
    </row>
    <row r="71" ht="14.25" customHeight="1">
      <c r="A71" s="124" t="s">
        <v>49</v>
      </c>
      <c r="B71" s="124" t="s">
        <v>524</v>
      </c>
      <c r="C71" s="124" t="s">
        <v>529</v>
      </c>
      <c r="D71" s="124" t="s">
        <v>529</v>
      </c>
      <c r="E71" s="125">
        <v>20804.0</v>
      </c>
      <c r="F71" s="126">
        <v>0.0</v>
      </c>
      <c r="G71" s="126">
        <v>0.0</v>
      </c>
      <c r="H71" s="124">
        <v>0.0</v>
      </c>
      <c r="I71" s="124">
        <v>0.0</v>
      </c>
      <c r="J71" s="124">
        <v>0.0</v>
      </c>
      <c r="K71" s="124">
        <v>0.0</v>
      </c>
      <c r="L71" s="126">
        <v>0.0</v>
      </c>
      <c r="M71" s="126">
        <v>0.0</v>
      </c>
    </row>
    <row r="72" ht="14.25" customHeight="1">
      <c r="A72" s="124" t="s">
        <v>49</v>
      </c>
      <c r="B72" s="124" t="s">
        <v>524</v>
      </c>
      <c r="C72" s="124" t="s">
        <v>530</v>
      </c>
      <c r="D72" s="124" t="s">
        <v>531</v>
      </c>
      <c r="E72" s="125">
        <v>20805.0</v>
      </c>
      <c r="F72" s="126">
        <v>0.0</v>
      </c>
      <c r="G72" s="126">
        <v>0.0</v>
      </c>
      <c r="H72" s="124">
        <v>0.0</v>
      </c>
      <c r="I72" s="124">
        <v>0.0</v>
      </c>
      <c r="J72" s="124">
        <v>0.0</v>
      </c>
      <c r="K72" s="124">
        <v>0.0</v>
      </c>
      <c r="L72" s="126">
        <v>0.0</v>
      </c>
      <c r="M72" s="126">
        <v>0.0</v>
      </c>
    </row>
    <row r="73" ht="14.25" customHeight="1">
      <c r="A73" s="124" t="s">
        <v>49</v>
      </c>
      <c r="B73" s="124" t="s">
        <v>524</v>
      </c>
      <c r="C73" s="124" t="s">
        <v>532</v>
      </c>
      <c r="D73" s="124" t="s">
        <v>533</v>
      </c>
      <c r="E73" s="125">
        <v>20806.0</v>
      </c>
      <c r="F73" s="126">
        <v>0.0</v>
      </c>
      <c r="G73" s="126">
        <v>0.0</v>
      </c>
      <c r="H73" s="124">
        <v>0.0</v>
      </c>
      <c r="I73" s="124">
        <v>0.0</v>
      </c>
      <c r="J73" s="124">
        <v>0.0</v>
      </c>
      <c r="K73" s="124">
        <v>0.0</v>
      </c>
      <c r="L73" s="126">
        <v>0.0</v>
      </c>
      <c r="M73" s="126">
        <v>0.0</v>
      </c>
    </row>
    <row r="74" ht="14.25" customHeight="1">
      <c r="A74" s="124" t="s">
        <v>49</v>
      </c>
      <c r="B74" s="124" t="s">
        <v>524</v>
      </c>
      <c r="C74" s="124" t="s">
        <v>534</v>
      </c>
      <c r="D74" s="124" t="s">
        <v>534</v>
      </c>
      <c r="E74" s="125">
        <v>20807.0</v>
      </c>
      <c r="F74" s="126">
        <v>0.0</v>
      </c>
      <c r="G74" s="126">
        <v>0.0</v>
      </c>
      <c r="H74" s="124">
        <v>0.0</v>
      </c>
      <c r="I74" s="124">
        <v>0.0</v>
      </c>
      <c r="J74" s="124">
        <v>0.0</v>
      </c>
      <c r="K74" s="124">
        <v>0.0</v>
      </c>
      <c r="L74" s="126">
        <v>0.0</v>
      </c>
      <c r="M74" s="126">
        <v>0.0</v>
      </c>
    </row>
    <row r="75" ht="14.25" customHeight="1">
      <c r="A75" s="124" t="s">
        <v>49</v>
      </c>
      <c r="B75" s="124" t="s">
        <v>535</v>
      </c>
      <c r="C75" s="124" t="s">
        <v>536</v>
      </c>
      <c r="D75" s="124" t="s">
        <v>536</v>
      </c>
      <c r="E75" s="125">
        <v>20901.0</v>
      </c>
      <c r="F75" s="126">
        <v>0.1458966565349544</v>
      </c>
      <c r="G75" s="126">
        <v>0.14351934518886125</v>
      </c>
      <c r="H75" s="124">
        <v>0.0</v>
      </c>
      <c r="I75" s="124">
        <v>0.0</v>
      </c>
      <c r="J75" s="124">
        <v>0.0</v>
      </c>
      <c r="K75" s="124">
        <v>0.0</v>
      </c>
      <c r="L75" s="126">
        <v>0.0486322188449848</v>
      </c>
      <c r="M75" s="126">
        <v>0.04783978172962042</v>
      </c>
    </row>
    <row r="76" ht="14.25" customHeight="1">
      <c r="A76" s="124" t="s">
        <v>49</v>
      </c>
      <c r="B76" s="124" t="s">
        <v>535</v>
      </c>
      <c r="C76" s="124" t="s">
        <v>537</v>
      </c>
      <c r="D76" s="124" t="s">
        <v>537</v>
      </c>
      <c r="E76" s="125">
        <v>20902.0</v>
      </c>
      <c r="F76" s="126">
        <v>0.08814589665653495</v>
      </c>
      <c r="G76" s="126">
        <v>0.15918661521005506</v>
      </c>
      <c r="H76" s="124">
        <v>0.0</v>
      </c>
      <c r="I76" s="124">
        <v>0.0</v>
      </c>
      <c r="J76" s="124">
        <v>0.0</v>
      </c>
      <c r="K76" s="124">
        <v>0.0</v>
      </c>
      <c r="L76" s="126">
        <v>0.029381965552178316</v>
      </c>
      <c r="M76" s="126">
        <v>0.05306220507001835</v>
      </c>
    </row>
    <row r="77" ht="14.25" customHeight="1">
      <c r="A77" s="124" t="s">
        <v>49</v>
      </c>
      <c r="B77" s="124" t="s">
        <v>535</v>
      </c>
      <c r="C77" s="124" t="s">
        <v>538</v>
      </c>
      <c r="D77" s="124" t="s">
        <v>538</v>
      </c>
      <c r="E77" s="125">
        <v>20903.0</v>
      </c>
      <c r="F77" s="126">
        <v>0.0</v>
      </c>
      <c r="G77" s="126">
        <v>0.0</v>
      </c>
      <c r="H77" s="124">
        <v>0.0</v>
      </c>
      <c r="I77" s="124">
        <v>0.0</v>
      </c>
      <c r="J77" s="124">
        <v>0.0</v>
      </c>
      <c r="K77" s="124">
        <v>0.0</v>
      </c>
      <c r="L77" s="126">
        <v>0.0</v>
      </c>
      <c r="M77" s="126">
        <v>0.0</v>
      </c>
    </row>
    <row r="78" ht="14.25" customHeight="1">
      <c r="A78" s="124" t="s">
        <v>49</v>
      </c>
      <c r="B78" s="124" t="s">
        <v>535</v>
      </c>
      <c r="C78" s="124" t="s">
        <v>539</v>
      </c>
      <c r="D78" s="124" t="s">
        <v>539</v>
      </c>
      <c r="E78" s="125">
        <v>20904.0</v>
      </c>
      <c r="F78" s="126">
        <v>0.0</v>
      </c>
      <c r="G78" s="126">
        <v>0.0</v>
      </c>
      <c r="H78" s="124">
        <v>0.0</v>
      </c>
      <c r="I78" s="124">
        <v>0.0</v>
      </c>
      <c r="J78" s="124">
        <v>0.0</v>
      </c>
      <c r="K78" s="124">
        <v>0.0</v>
      </c>
      <c r="L78" s="126">
        <v>0.0</v>
      </c>
      <c r="M78" s="126">
        <v>0.0</v>
      </c>
    </row>
    <row r="79" ht="14.25" customHeight="1">
      <c r="A79" s="124" t="s">
        <v>49</v>
      </c>
      <c r="B79" s="124" t="s">
        <v>535</v>
      </c>
      <c r="C79" s="124" t="s">
        <v>540</v>
      </c>
      <c r="D79" s="124" t="s">
        <v>540</v>
      </c>
      <c r="E79" s="125">
        <v>20905.0</v>
      </c>
      <c r="F79" s="126">
        <v>0.10638297872340426</v>
      </c>
      <c r="G79" s="126">
        <v>0.05332480136511491</v>
      </c>
      <c r="H79" s="124">
        <v>0.0</v>
      </c>
      <c r="I79" s="124">
        <v>0.0</v>
      </c>
      <c r="J79" s="124">
        <v>0.0</v>
      </c>
      <c r="K79" s="124">
        <v>0.0</v>
      </c>
      <c r="L79" s="126">
        <v>0.03546099290780142</v>
      </c>
      <c r="M79" s="126">
        <v>0.017774933788371635</v>
      </c>
    </row>
    <row r="80" ht="14.25" customHeight="1">
      <c r="A80" s="124" t="s">
        <v>49</v>
      </c>
      <c r="B80" s="124" t="s">
        <v>218</v>
      </c>
      <c r="C80" s="124" t="s">
        <v>218</v>
      </c>
      <c r="D80" s="124" t="s">
        <v>218</v>
      </c>
      <c r="E80" s="125">
        <v>21001.0</v>
      </c>
      <c r="F80" s="126">
        <v>0.02735562310030395</v>
      </c>
      <c r="G80" s="126">
        <v>0.10416495522878502</v>
      </c>
      <c r="H80" s="124">
        <v>0.0</v>
      </c>
      <c r="I80" s="124">
        <v>0.12278139259189888</v>
      </c>
      <c r="J80" s="124">
        <v>0.0</v>
      </c>
      <c r="K80" s="124">
        <v>0.0</v>
      </c>
      <c r="L80" s="126">
        <v>0.00911854103343465</v>
      </c>
      <c r="M80" s="126">
        <v>0.07564878260689463</v>
      </c>
    </row>
    <row r="81" ht="14.25" customHeight="1">
      <c r="A81" s="124" t="s">
        <v>49</v>
      </c>
      <c r="B81" s="124" t="s">
        <v>218</v>
      </c>
      <c r="C81" s="124" t="s">
        <v>541</v>
      </c>
      <c r="D81" s="124" t="s">
        <v>541</v>
      </c>
      <c r="E81" s="125">
        <v>21002.0</v>
      </c>
      <c r="F81" s="126">
        <v>0.0</v>
      </c>
      <c r="G81" s="126">
        <v>0.0</v>
      </c>
      <c r="H81" s="124">
        <v>0.0</v>
      </c>
      <c r="I81" s="124">
        <v>0.0</v>
      </c>
      <c r="J81" s="124">
        <v>0.0</v>
      </c>
      <c r="K81" s="124">
        <v>0.0</v>
      </c>
      <c r="L81" s="126">
        <v>0.0</v>
      </c>
      <c r="M81" s="126">
        <v>0.0</v>
      </c>
    </row>
    <row r="82" ht="14.25" customHeight="1">
      <c r="A82" s="124" t="s">
        <v>49</v>
      </c>
      <c r="B82" s="124" t="s">
        <v>218</v>
      </c>
      <c r="C82" s="124" t="s">
        <v>542</v>
      </c>
      <c r="D82" s="124" t="s">
        <v>542</v>
      </c>
      <c r="E82" s="125">
        <v>21003.0</v>
      </c>
      <c r="F82" s="126">
        <v>0.00303951367781155</v>
      </c>
      <c r="G82" s="126">
        <v>0.010590639992374739</v>
      </c>
      <c r="H82" s="124">
        <v>0.0</v>
      </c>
      <c r="I82" s="124">
        <v>1.0</v>
      </c>
      <c r="J82" s="124">
        <v>0.0</v>
      </c>
      <c r="K82" s="124">
        <v>0.0</v>
      </c>
      <c r="L82" s="126">
        <v>0.0010131712259371835</v>
      </c>
      <c r="M82" s="126">
        <v>0.33686354666412494</v>
      </c>
    </row>
    <row r="83" ht="14.25" customHeight="1">
      <c r="A83" s="124" t="s">
        <v>49</v>
      </c>
      <c r="B83" s="124" t="s">
        <v>218</v>
      </c>
      <c r="C83" s="124" t="s">
        <v>543</v>
      </c>
      <c r="D83" s="124" t="s">
        <v>543</v>
      </c>
      <c r="E83" s="125">
        <v>21004.0</v>
      </c>
      <c r="F83" s="126">
        <v>0.0</v>
      </c>
      <c r="G83" s="126">
        <v>0.031365194334863865</v>
      </c>
      <c r="H83" s="124">
        <v>0.0</v>
      </c>
      <c r="I83" s="124">
        <v>0.0</v>
      </c>
      <c r="J83" s="124">
        <v>0.0</v>
      </c>
      <c r="K83" s="124">
        <v>0.0</v>
      </c>
      <c r="L83" s="126">
        <v>0.0</v>
      </c>
      <c r="M83" s="126">
        <v>0.010455064778287955</v>
      </c>
    </row>
    <row r="84" ht="14.25" customHeight="1">
      <c r="A84" s="124" t="s">
        <v>49</v>
      </c>
      <c r="B84" s="124" t="s">
        <v>218</v>
      </c>
      <c r="C84" s="124" t="s">
        <v>544</v>
      </c>
      <c r="D84" s="124" t="s">
        <v>544</v>
      </c>
      <c r="E84" s="125">
        <v>21005.0</v>
      </c>
      <c r="F84" s="126">
        <v>0.0</v>
      </c>
      <c r="G84" s="126">
        <v>0.0</v>
      </c>
      <c r="H84" s="124">
        <v>0.0</v>
      </c>
      <c r="I84" s="124">
        <v>0.0</v>
      </c>
      <c r="J84" s="124">
        <v>0.0</v>
      </c>
      <c r="K84" s="124">
        <v>0.0</v>
      </c>
      <c r="L84" s="126">
        <v>0.0</v>
      </c>
      <c r="M84" s="126">
        <v>0.0</v>
      </c>
    </row>
    <row r="85" ht="14.25" customHeight="1">
      <c r="A85" s="124" t="s">
        <v>49</v>
      </c>
      <c r="B85" s="124" t="s">
        <v>218</v>
      </c>
      <c r="C85" s="124" t="s">
        <v>545</v>
      </c>
      <c r="D85" s="124" t="s">
        <v>545</v>
      </c>
      <c r="E85" s="125">
        <v>21006.0</v>
      </c>
      <c r="F85" s="126">
        <v>0.0060790273556231</v>
      </c>
      <c r="G85" s="126">
        <v>0.0</v>
      </c>
      <c r="H85" s="124">
        <v>0.0</v>
      </c>
      <c r="I85" s="124">
        <v>0.4953153126806463</v>
      </c>
      <c r="J85" s="124">
        <v>0.0</v>
      </c>
      <c r="K85" s="124">
        <v>0.0</v>
      </c>
      <c r="L85" s="126">
        <v>0.002026342451874367</v>
      </c>
      <c r="M85" s="126">
        <v>0.1651051042268821</v>
      </c>
    </row>
    <row r="86" ht="14.25" customHeight="1">
      <c r="A86" s="124" t="s">
        <v>49</v>
      </c>
      <c r="B86" s="124" t="s">
        <v>546</v>
      </c>
      <c r="C86" s="124" t="s">
        <v>547</v>
      </c>
      <c r="D86" s="124" t="s">
        <v>548</v>
      </c>
      <c r="E86" s="125">
        <v>21101.0</v>
      </c>
      <c r="F86" s="126">
        <v>0.07294832826747721</v>
      </c>
      <c r="G86" s="126">
        <v>0.10985087439194985</v>
      </c>
      <c r="H86" s="124">
        <v>0.0</v>
      </c>
      <c r="I86" s="124">
        <v>1.0</v>
      </c>
      <c r="J86" s="124">
        <v>0.0</v>
      </c>
      <c r="K86" s="124">
        <v>0.0</v>
      </c>
      <c r="L86" s="126">
        <v>0.024316109422492405</v>
      </c>
      <c r="M86" s="126">
        <v>0.3699502914639832</v>
      </c>
    </row>
    <row r="87" ht="14.25" customHeight="1">
      <c r="A87" s="124" t="s">
        <v>49</v>
      </c>
      <c r="B87" s="124" t="s">
        <v>546</v>
      </c>
      <c r="C87" s="124" t="s">
        <v>549</v>
      </c>
      <c r="D87" s="124" t="s">
        <v>550</v>
      </c>
      <c r="E87" s="125">
        <v>21102.0</v>
      </c>
      <c r="F87" s="126">
        <v>0.03951367781155015</v>
      </c>
      <c r="G87" s="126">
        <v>0.00850213616171063</v>
      </c>
      <c r="H87" s="124">
        <v>0.0</v>
      </c>
      <c r="I87" s="124">
        <v>1.0</v>
      </c>
      <c r="J87" s="124">
        <v>0.0</v>
      </c>
      <c r="K87" s="124">
        <v>0.0</v>
      </c>
      <c r="L87" s="126">
        <v>0.013171225937183383</v>
      </c>
      <c r="M87" s="126">
        <v>0.3361673787205702</v>
      </c>
    </row>
    <row r="88" ht="14.25" customHeight="1">
      <c r="A88" s="124" t="s">
        <v>49</v>
      </c>
      <c r="B88" s="124" t="s">
        <v>546</v>
      </c>
      <c r="C88" s="124" t="s">
        <v>551</v>
      </c>
      <c r="D88" s="124" t="s">
        <v>551</v>
      </c>
      <c r="E88" s="125">
        <v>21103.0</v>
      </c>
      <c r="F88" s="126">
        <v>0.01519756838905775</v>
      </c>
      <c r="G88" s="126">
        <v>0.04012559310642311</v>
      </c>
      <c r="H88" s="124">
        <v>0.0</v>
      </c>
      <c r="I88" s="124">
        <v>0.05871942707516178</v>
      </c>
      <c r="J88" s="124">
        <v>0.0</v>
      </c>
      <c r="K88" s="124">
        <v>0.0</v>
      </c>
      <c r="L88" s="126">
        <v>0.005065856129685916</v>
      </c>
      <c r="M88" s="126">
        <v>0.0329483400605283</v>
      </c>
    </row>
    <row r="89" ht="14.25" customHeight="1">
      <c r="A89" s="124" t="s">
        <v>49</v>
      </c>
      <c r="B89" s="124" t="s">
        <v>546</v>
      </c>
      <c r="C89" s="124" t="s">
        <v>225</v>
      </c>
      <c r="D89" s="124" t="s">
        <v>225</v>
      </c>
      <c r="E89" s="125">
        <v>21104.0</v>
      </c>
      <c r="F89" s="126">
        <v>0.0</v>
      </c>
      <c r="G89" s="126">
        <v>0.0</v>
      </c>
      <c r="H89" s="124">
        <v>0.01911765984762148</v>
      </c>
      <c r="I89" s="124">
        <v>1.0</v>
      </c>
      <c r="J89" s="124">
        <v>0.005446065428228469</v>
      </c>
      <c r="K89" s="124">
        <v>0.0029705811426700736</v>
      </c>
      <c r="L89" s="126">
        <v>0.008187908425283316</v>
      </c>
      <c r="M89" s="126">
        <v>0.3343235270475567</v>
      </c>
    </row>
    <row r="90" ht="14.25" customHeight="1">
      <c r="A90" s="124" t="s">
        <v>49</v>
      </c>
      <c r="B90" s="124" t="s">
        <v>546</v>
      </c>
      <c r="C90" s="124" t="s">
        <v>552</v>
      </c>
      <c r="D90" s="124" t="s">
        <v>552</v>
      </c>
      <c r="E90" s="125">
        <v>21105.0</v>
      </c>
      <c r="F90" s="126">
        <v>0.0</v>
      </c>
      <c r="G90" s="126">
        <v>0.12259869299253637</v>
      </c>
      <c r="H90" s="124">
        <v>0.0</v>
      </c>
      <c r="I90" s="124">
        <v>1.0</v>
      </c>
      <c r="J90" s="124">
        <v>0.0</v>
      </c>
      <c r="K90" s="124">
        <v>0.0</v>
      </c>
      <c r="L90" s="126">
        <v>0.0</v>
      </c>
      <c r="M90" s="126">
        <v>0.3741995643308455</v>
      </c>
    </row>
    <row r="91" ht="14.25" customHeight="1">
      <c r="A91" s="124" t="s">
        <v>49</v>
      </c>
      <c r="B91" s="124" t="s">
        <v>553</v>
      </c>
      <c r="C91" s="124" t="s">
        <v>554</v>
      </c>
      <c r="D91" s="124" t="s">
        <v>554</v>
      </c>
      <c r="E91" s="125">
        <v>21201.0</v>
      </c>
      <c r="F91" s="126">
        <v>0.0</v>
      </c>
      <c r="G91" s="126">
        <v>0.0</v>
      </c>
      <c r="H91" s="124">
        <v>0.0</v>
      </c>
      <c r="I91" s="124">
        <v>0.0</v>
      </c>
      <c r="J91" s="124">
        <v>0.0</v>
      </c>
      <c r="K91" s="124">
        <v>0.0</v>
      </c>
      <c r="L91" s="126">
        <v>0.0</v>
      </c>
      <c r="M91" s="126">
        <v>0.0</v>
      </c>
    </row>
    <row r="92" ht="14.25" customHeight="1">
      <c r="A92" s="124" t="s">
        <v>49</v>
      </c>
      <c r="B92" s="124" t="s">
        <v>553</v>
      </c>
      <c r="C92" s="124" t="s">
        <v>555</v>
      </c>
      <c r="D92" s="124" t="s">
        <v>555</v>
      </c>
      <c r="E92" s="125">
        <v>21202.0</v>
      </c>
      <c r="F92" s="126">
        <v>0.0</v>
      </c>
      <c r="G92" s="126">
        <v>0.0</v>
      </c>
      <c r="H92" s="124">
        <v>0.0</v>
      </c>
      <c r="I92" s="124">
        <v>0.0</v>
      </c>
      <c r="J92" s="124">
        <v>0.0</v>
      </c>
      <c r="K92" s="124">
        <v>0.0</v>
      </c>
      <c r="L92" s="126">
        <v>0.0</v>
      </c>
      <c r="M92" s="126">
        <v>0.0</v>
      </c>
    </row>
    <row r="93" ht="14.25" customHeight="1">
      <c r="A93" s="124" t="s">
        <v>49</v>
      </c>
      <c r="B93" s="124" t="s">
        <v>553</v>
      </c>
      <c r="C93" s="124" t="s">
        <v>556</v>
      </c>
      <c r="D93" s="124" t="s">
        <v>556</v>
      </c>
      <c r="E93" s="125">
        <v>21203.0</v>
      </c>
      <c r="F93" s="126">
        <v>0.0</v>
      </c>
      <c r="G93" s="126">
        <v>0.0</v>
      </c>
      <c r="H93" s="124">
        <v>0.0</v>
      </c>
      <c r="I93" s="124">
        <v>0.0</v>
      </c>
      <c r="J93" s="124">
        <v>0.0</v>
      </c>
      <c r="K93" s="124">
        <v>0.0</v>
      </c>
      <c r="L93" s="126">
        <v>0.0</v>
      </c>
      <c r="M93" s="126">
        <v>0.0</v>
      </c>
    </row>
    <row r="94" ht="14.25" customHeight="1">
      <c r="A94" s="124" t="s">
        <v>49</v>
      </c>
      <c r="B94" s="124" t="s">
        <v>553</v>
      </c>
      <c r="C94" s="124" t="s">
        <v>557</v>
      </c>
      <c r="D94" s="124" t="s">
        <v>557</v>
      </c>
      <c r="E94" s="125">
        <v>21204.0</v>
      </c>
      <c r="F94" s="126">
        <v>0.0</v>
      </c>
      <c r="G94" s="126">
        <v>0.0</v>
      </c>
      <c r="H94" s="124">
        <v>0.0</v>
      </c>
      <c r="I94" s="124">
        <v>0.0</v>
      </c>
      <c r="J94" s="124">
        <v>0.0</v>
      </c>
      <c r="K94" s="124">
        <v>0.0</v>
      </c>
      <c r="L94" s="126">
        <v>0.0</v>
      </c>
      <c r="M94" s="126">
        <v>0.0</v>
      </c>
    </row>
    <row r="95" ht="14.25" customHeight="1">
      <c r="A95" s="124" t="s">
        <v>49</v>
      </c>
      <c r="B95" s="124" t="s">
        <v>558</v>
      </c>
      <c r="C95" s="124" t="s">
        <v>559</v>
      </c>
      <c r="D95" s="124" t="s">
        <v>560</v>
      </c>
      <c r="E95" s="125">
        <v>21301.0</v>
      </c>
      <c r="F95" s="126">
        <v>0.0</v>
      </c>
      <c r="G95" s="126">
        <v>0.0</v>
      </c>
      <c r="H95" s="124">
        <v>0.0</v>
      </c>
      <c r="I95" s="124">
        <v>0.0</v>
      </c>
      <c r="J95" s="124">
        <v>0.0</v>
      </c>
      <c r="K95" s="124">
        <v>0.0</v>
      </c>
      <c r="L95" s="126">
        <v>0.0</v>
      </c>
      <c r="M95" s="126">
        <v>0.0</v>
      </c>
    </row>
    <row r="96" ht="14.25" customHeight="1">
      <c r="A96" s="124" t="s">
        <v>49</v>
      </c>
      <c r="B96" s="124" t="s">
        <v>558</v>
      </c>
      <c r="C96" s="124" t="s">
        <v>561</v>
      </c>
      <c r="D96" s="124" t="s">
        <v>561</v>
      </c>
      <c r="E96" s="125">
        <v>21302.0</v>
      </c>
      <c r="F96" s="126">
        <v>0.0</v>
      </c>
      <c r="G96" s="126">
        <v>0.0</v>
      </c>
      <c r="H96" s="124">
        <v>0.0</v>
      </c>
      <c r="I96" s="124">
        <v>0.0</v>
      </c>
      <c r="J96" s="124">
        <v>0.0</v>
      </c>
      <c r="K96" s="124">
        <v>0.0</v>
      </c>
      <c r="L96" s="126">
        <v>0.0</v>
      </c>
      <c r="M96" s="126">
        <v>0.0</v>
      </c>
    </row>
    <row r="97" ht="14.25" customHeight="1">
      <c r="A97" s="124" t="s">
        <v>49</v>
      </c>
      <c r="B97" s="124" t="s">
        <v>558</v>
      </c>
      <c r="C97" s="124" t="s">
        <v>562</v>
      </c>
      <c r="D97" s="124" t="s">
        <v>562</v>
      </c>
      <c r="E97" s="125">
        <v>21303.0</v>
      </c>
      <c r="F97" s="126">
        <v>0.0</v>
      </c>
      <c r="G97" s="126">
        <v>0.0</v>
      </c>
      <c r="H97" s="124">
        <v>0.0</v>
      </c>
      <c r="I97" s="124">
        <v>0.0</v>
      </c>
      <c r="J97" s="124">
        <v>0.0</v>
      </c>
      <c r="K97" s="124">
        <v>0.0</v>
      </c>
      <c r="L97" s="126">
        <v>0.0</v>
      </c>
      <c r="M97" s="126">
        <v>0.0</v>
      </c>
    </row>
    <row r="98" ht="14.25" customHeight="1">
      <c r="A98" s="124" t="s">
        <v>49</v>
      </c>
      <c r="B98" s="124" t="s">
        <v>558</v>
      </c>
      <c r="C98" s="124" t="s">
        <v>563</v>
      </c>
      <c r="D98" s="124" t="s">
        <v>563</v>
      </c>
      <c r="E98" s="125">
        <v>21304.0</v>
      </c>
      <c r="F98" s="126">
        <v>0.0</v>
      </c>
      <c r="G98" s="126">
        <v>0.0</v>
      </c>
      <c r="H98" s="124">
        <v>0.0</v>
      </c>
      <c r="I98" s="124">
        <v>0.0</v>
      </c>
      <c r="J98" s="124">
        <v>0.0</v>
      </c>
      <c r="K98" s="124">
        <v>0.0</v>
      </c>
      <c r="L98" s="126">
        <v>0.0</v>
      </c>
      <c r="M98" s="126">
        <v>0.0</v>
      </c>
    </row>
    <row r="99" ht="14.25" customHeight="1">
      <c r="A99" s="124" t="s">
        <v>49</v>
      </c>
      <c r="B99" s="124" t="s">
        <v>558</v>
      </c>
      <c r="C99" s="124" t="s">
        <v>564</v>
      </c>
      <c r="D99" s="124" t="s">
        <v>564</v>
      </c>
      <c r="E99" s="125">
        <v>21305.0</v>
      </c>
      <c r="F99" s="126">
        <v>0.0</v>
      </c>
      <c r="G99" s="126">
        <v>0.0</v>
      </c>
      <c r="H99" s="124">
        <v>0.0</v>
      </c>
      <c r="I99" s="124">
        <v>0.0</v>
      </c>
      <c r="J99" s="124">
        <v>0.0</v>
      </c>
      <c r="K99" s="124">
        <v>0.0</v>
      </c>
      <c r="L99" s="126">
        <v>0.0</v>
      </c>
      <c r="M99" s="126">
        <v>0.0</v>
      </c>
    </row>
    <row r="100" ht="14.25" customHeight="1">
      <c r="A100" s="124" t="s">
        <v>49</v>
      </c>
      <c r="B100" s="124" t="s">
        <v>558</v>
      </c>
      <c r="C100" s="124" t="s">
        <v>565</v>
      </c>
      <c r="D100" s="124" t="s">
        <v>565</v>
      </c>
      <c r="E100" s="125">
        <v>21306.0</v>
      </c>
      <c r="F100" s="126">
        <v>0.0</v>
      </c>
      <c r="G100" s="126">
        <v>0.0</v>
      </c>
      <c r="H100" s="124">
        <v>0.0</v>
      </c>
      <c r="I100" s="124">
        <v>0.0</v>
      </c>
      <c r="J100" s="124">
        <v>0.0</v>
      </c>
      <c r="K100" s="124">
        <v>0.0</v>
      </c>
      <c r="L100" s="126">
        <v>0.0</v>
      </c>
      <c r="M100" s="126">
        <v>0.0</v>
      </c>
    </row>
    <row r="101" ht="14.25" customHeight="1">
      <c r="A101" s="124" t="s">
        <v>49</v>
      </c>
      <c r="B101" s="124" t="s">
        <v>558</v>
      </c>
      <c r="C101" s="124" t="s">
        <v>566</v>
      </c>
      <c r="D101" s="124" t="s">
        <v>566</v>
      </c>
      <c r="E101" s="125">
        <v>21307.0</v>
      </c>
      <c r="F101" s="126">
        <v>0.0</v>
      </c>
      <c r="G101" s="126">
        <v>0.0</v>
      </c>
      <c r="H101" s="124">
        <v>0.0</v>
      </c>
      <c r="I101" s="124">
        <v>0.0</v>
      </c>
      <c r="J101" s="124">
        <v>0.0</v>
      </c>
      <c r="K101" s="124">
        <v>0.0</v>
      </c>
      <c r="L101" s="126">
        <v>0.0</v>
      </c>
      <c r="M101" s="126">
        <v>0.0</v>
      </c>
    </row>
    <row r="102" ht="14.25" customHeight="1">
      <c r="A102" s="124" t="s">
        <v>49</v>
      </c>
      <c r="B102" s="124" t="s">
        <v>567</v>
      </c>
      <c r="C102" s="124" t="s">
        <v>208</v>
      </c>
      <c r="D102" s="124" t="s">
        <v>208</v>
      </c>
      <c r="E102" s="125">
        <v>21401.0</v>
      </c>
      <c r="F102" s="126">
        <v>0.00303951367781155</v>
      </c>
      <c r="G102" s="126">
        <v>0.0</v>
      </c>
      <c r="H102" s="124">
        <v>0.0</v>
      </c>
      <c r="I102" s="124">
        <v>1.0</v>
      </c>
      <c r="J102" s="124">
        <v>0.006935264856778418</v>
      </c>
      <c r="K102" s="124">
        <v>0.0</v>
      </c>
      <c r="L102" s="126">
        <v>0.003324926178196656</v>
      </c>
      <c r="M102" s="126">
        <v>0.3333333333333333</v>
      </c>
    </row>
    <row r="103" ht="14.25" customHeight="1">
      <c r="A103" s="124" t="s">
        <v>49</v>
      </c>
      <c r="B103" s="124" t="s">
        <v>567</v>
      </c>
      <c r="C103" s="124" t="s">
        <v>568</v>
      </c>
      <c r="D103" s="124" t="s">
        <v>568</v>
      </c>
      <c r="E103" s="125">
        <v>21402.0</v>
      </c>
      <c r="F103" s="126">
        <v>0.01519756838905775</v>
      </c>
      <c r="G103" s="126">
        <v>0.11079733355132615</v>
      </c>
      <c r="H103" s="124">
        <v>0.0</v>
      </c>
      <c r="I103" s="124">
        <v>0.5477433145501115</v>
      </c>
      <c r="J103" s="124">
        <v>0.0</v>
      </c>
      <c r="K103" s="124">
        <v>0.0</v>
      </c>
      <c r="L103" s="126">
        <v>0.005065856129685916</v>
      </c>
      <c r="M103" s="126">
        <v>0.21951354936714587</v>
      </c>
    </row>
    <row r="104" ht="14.25" customHeight="1">
      <c r="A104" s="124" t="s">
        <v>49</v>
      </c>
      <c r="B104" s="124" t="s">
        <v>569</v>
      </c>
      <c r="C104" s="124" t="s">
        <v>220</v>
      </c>
      <c r="D104" s="124" t="s">
        <v>220</v>
      </c>
      <c r="E104" s="125">
        <v>21501.0</v>
      </c>
      <c r="F104" s="126">
        <v>0.0</v>
      </c>
      <c r="G104" s="126">
        <v>0.0</v>
      </c>
      <c r="H104" s="124">
        <v>0.0</v>
      </c>
      <c r="I104" s="124">
        <v>0.23897265284708838</v>
      </c>
      <c r="J104" s="124">
        <v>1.0</v>
      </c>
      <c r="K104" s="124">
        <v>1.0</v>
      </c>
      <c r="L104" s="126">
        <v>0.3333333333333333</v>
      </c>
      <c r="M104" s="126">
        <v>0.4129908842823628</v>
      </c>
    </row>
    <row r="105" ht="14.25" customHeight="1">
      <c r="A105" s="124" t="s">
        <v>49</v>
      </c>
      <c r="B105" s="124" t="s">
        <v>569</v>
      </c>
      <c r="C105" s="124" t="s">
        <v>570</v>
      </c>
      <c r="D105" s="124" t="s">
        <v>570</v>
      </c>
      <c r="E105" s="125">
        <v>21502.0</v>
      </c>
      <c r="F105" s="126">
        <v>0.0</v>
      </c>
      <c r="G105" s="126">
        <v>0.0</v>
      </c>
      <c r="H105" s="124">
        <v>0.7935619870791193</v>
      </c>
      <c r="I105" s="124">
        <v>1.0</v>
      </c>
      <c r="J105" s="124">
        <v>0.00703026361097295</v>
      </c>
      <c r="K105" s="124">
        <v>0.00140605272219459</v>
      </c>
      <c r="L105" s="126">
        <v>0.26686408356336405</v>
      </c>
      <c r="M105" s="126">
        <v>0.33380201757406486</v>
      </c>
    </row>
    <row r="106" ht="14.25" customHeight="1">
      <c r="A106" s="124" t="s">
        <v>49</v>
      </c>
      <c r="B106" s="124" t="s">
        <v>571</v>
      </c>
      <c r="C106" s="124" t="s">
        <v>572</v>
      </c>
      <c r="D106" s="124" t="s">
        <v>573</v>
      </c>
      <c r="E106" s="125">
        <v>21601.0</v>
      </c>
      <c r="F106" s="126">
        <v>0.0</v>
      </c>
      <c r="G106" s="126">
        <v>0.0</v>
      </c>
      <c r="H106" s="124">
        <v>0.0</v>
      </c>
      <c r="I106" s="124">
        <v>0.0</v>
      </c>
      <c r="J106" s="124">
        <v>0.0</v>
      </c>
      <c r="K106" s="124">
        <v>0.0</v>
      </c>
      <c r="L106" s="126">
        <v>0.0</v>
      </c>
      <c r="M106" s="126">
        <v>0.0</v>
      </c>
    </row>
    <row r="107" ht="14.25" customHeight="1">
      <c r="A107" s="124" t="s">
        <v>49</v>
      </c>
      <c r="B107" s="124" t="s">
        <v>571</v>
      </c>
      <c r="C107" s="124" t="s">
        <v>574</v>
      </c>
      <c r="D107" s="124" t="s">
        <v>574</v>
      </c>
      <c r="E107" s="125">
        <v>21602.0</v>
      </c>
      <c r="F107" s="126">
        <v>0.0</v>
      </c>
      <c r="G107" s="126">
        <v>0.0</v>
      </c>
      <c r="H107" s="124">
        <v>0.0</v>
      </c>
      <c r="I107" s="124">
        <v>0.0</v>
      </c>
      <c r="J107" s="124">
        <v>0.0</v>
      </c>
      <c r="K107" s="124">
        <v>0.0</v>
      </c>
      <c r="L107" s="126">
        <v>0.0</v>
      </c>
      <c r="M107" s="126">
        <v>0.0</v>
      </c>
    </row>
    <row r="108" ht="14.25" customHeight="1">
      <c r="A108" s="124" t="s">
        <v>49</v>
      </c>
      <c r="B108" s="124" t="s">
        <v>575</v>
      </c>
      <c r="C108" s="124" t="s">
        <v>576</v>
      </c>
      <c r="D108" s="124" t="s">
        <v>576</v>
      </c>
      <c r="E108" s="125">
        <v>21701.0</v>
      </c>
      <c r="F108" s="126">
        <v>0.0</v>
      </c>
      <c r="G108" s="126">
        <v>0.0</v>
      </c>
      <c r="H108" s="124">
        <v>0.0</v>
      </c>
      <c r="I108" s="124">
        <v>0.0</v>
      </c>
      <c r="J108" s="124">
        <v>0.0</v>
      </c>
      <c r="K108" s="124">
        <v>0.0</v>
      </c>
      <c r="L108" s="126">
        <v>0.0</v>
      </c>
      <c r="M108" s="126">
        <v>0.0</v>
      </c>
    </row>
    <row r="109" ht="14.25" customHeight="1">
      <c r="A109" s="124" t="s">
        <v>49</v>
      </c>
      <c r="B109" s="124" t="s">
        <v>575</v>
      </c>
      <c r="C109" s="124" t="s">
        <v>577</v>
      </c>
      <c r="D109" s="124" t="s">
        <v>577</v>
      </c>
      <c r="E109" s="125">
        <v>21702.0</v>
      </c>
      <c r="F109" s="126">
        <v>0.0</v>
      </c>
      <c r="G109" s="126">
        <v>0.0</v>
      </c>
      <c r="H109" s="124">
        <v>0.0</v>
      </c>
      <c r="I109" s="124">
        <v>0.0</v>
      </c>
      <c r="J109" s="124">
        <v>0.0</v>
      </c>
      <c r="K109" s="124">
        <v>0.0</v>
      </c>
      <c r="L109" s="126">
        <v>0.0</v>
      </c>
      <c r="M109" s="126">
        <v>0.0</v>
      </c>
    </row>
    <row r="110" ht="14.25" customHeight="1">
      <c r="A110" s="124" t="s">
        <v>49</v>
      </c>
      <c r="B110" s="124" t="s">
        <v>575</v>
      </c>
      <c r="C110" s="124" t="s">
        <v>578</v>
      </c>
      <c r="D110" s="124" t="s">
        <v>578</v>
      </c>
      <c r="E110" s="125">
        <v>21703.0</v>
      </c>
      <c r="F110" s="126">
        <v>0.0</v>
      </c>
      <c r="G110" s="126">
        <v>0.0</v>
      </c>
      <c r="H110" s="124">
        <v>0.0</v>
      </c>
      <c r="I110" s="124">
        <v>0.0</v>
      </c>
      <c r="J110" s="124">
        <v>0.0</v>
      </c>
      <c r="K110" s="124">
        <v>0.0</v>
      </c>
      <c r="L110" s="126">
        <v>0.0</v>
      </c>
      <c r="M110" s="126">
        <v>0.0</v>
      </c>
    </row>
    <row r="111" ht="14.25" customHeight="1">
      <c r="A111" s="124" t="s">
        <v>49</v>
      </c>
      <c r="B111" s="124" t="s">
        <v>579</v>
      </c>
      <c r="C111" s="124" t="s">
        <v>580</v>
      </c>
      <c r="D111" s="124" t="s">
        <v>580</v>
      </c>
      <c r="E111" s="125">
        <v>21801.0</v>
      </c>
      <c r="F111" s="126">
        <v>0.0</v>
      </c>
      <c r="G111" s="126">
        <v>0.0</v>
      </c>
      <c r="H111" s="124">
        <v>0.0</v>
      </c>
      <c r="I111" s="124">
        <v>0.0</v>
      </c>
      <c r="J111" s="124">
        <v>0.0</v>
      </c>
      <c r="K111" s="124">
        <v>0.0</v>
      </c>
      <c r="L111" s="126">
        <v>0.0</v>
      </c>
      <c r="M111" s="126">
        <v>0.0</v>
      </c>
    </row>
    <row r="112" ht="14.25" customHeight="1">
      <c r="A112" s="124" t="s">
        <v>49</v>
      </c>
      <c r="B112" s="124" t="s">
        <v>581</v>
      </c>
      <c r="C112" s="124" t="s">
        <v>582</v>
      </c>
      <c r="D112" s="124" t="s">
        <v>582</v>
      </c>
      <c r="E112" s="125">
        <v>21802.0</v>
      </c>
      <c r="F112" s="126">
        <v>0.0</v>
      </c>
      <c r="G112" s="126">
        <v>0.0</v>
      </c>
      <c r="H112" s="124">
        <v>0.0</v>
      </c>
      <c r="I112" s="124">
        <v>0.0</v>
      </c>
      <c r="J112" s="124">
        <v>0.0</v>
      </c>
      <c r="K112" s="124">
        <v>0.0</v>
      </c>
      <c r="L112" s="126">
        <v>0.0</v>
      </c>
      <c r="M112" s="126">
        <v>0.0</v>
      </c>
    </row>
    <row r="113" ht="14.25" customHeight="1">
      <c r="A113" s="124" t="s">
        <v>49</v>
      </c>
      <c r="B113" s="124" t="s">
        <v>581</v>
      </c>
      <c r="C113" s="124" t="s">
        <v>583</v>
      </c>
      <c r="D113" s="124" t="s">
        <v>583</v>
      </c>
      <c r="E113" s="125">
        <v>21803.0</v>
      </c>
      <c r="F113" s="126">
        <v>0.0</v>
      </c>
      <c r="G113" s="126">
        <v>0.0</v>
      </c>
      <c r="H113" s="124">
        <v>0.0</v>
      </c>
      <c r="I113" s="124">
        <v>0.0</v>
      </c>
      <c r="J113" s="124">
        <v>0.0</v>
      </c>
      <c r="K113" s="124">
        <v>0.0</v>
      </c>
      <c r="L113" s="126">
        <v>0.0</v>
      </c>
      <c r="M113" s="126">
        <v>0.0</v>
      </c>
    </row>
    <row r="114" ht="14.25" customHeight="1">
      <c r="A114" s="124" t="s">
        <v>49</v>
      </c>
      <c r="B114" s="124" t="s">
        <v>584</v>
      </c>
      <c r="C114" s="124" t="s">
        <v>585</v>
      </c>
      <c r="D114" s="124" t="s">
        <v>585</v>
      </c>
      <c r="E114" s="125">
        <v>21901.0</v>
      </c>
      <c r="F114" s="126">
        <v>0.0</v>
      </c>
      <c r="G114" s="126">
        <v>0.0</v>
      </c>
      <c r="H114" s="124">
        <v>0.0</v>
      </c>
      <c r="I114" s="124">
        <v>0.0</v>
      </c>
      <c r="J114" s="124">
        <v>0.0</v>
      </c>
      <c r="K114" s="124">
        <v>0.0</v>
      </c>
      <c r="L114" s="126">
        <v>0.0</v>
      </c>
      <c r="M114" s="126">
        <v>0.0</v>
      </c>
    </row>
    <row r="115" ht="14.25" customHeight="1">
      <c r="A115" s="124" t="s">
        <v>49</v>
      </c>
      <c r="B115" s="124" t="s">
        <v>584</v>
      </c>
      <c r="C115" s="124" t="s">
        <v>586</v>
      </c>
      <c r="D115" s="124" t="s">
        <v>586</v>
      </c>
      <c r="E115" s="125">
        <v>21902.0</v>
      </c>
      <c r="F115" s="126">
        <v>0.0</v>
      </c>
      <c r="G115" s="126">
        <v>0.0</v>
      </c>
      <c r="H115" s="124">
        <v>0.0</v>
      </c>
      <c r="I115" s="124">
        <v>0.0</v>
      </c>
      <c r="J115" s="124">
        <v>0.0</v>
      </c>
      <c r="K115" s="124">
        <v>0.0</v>
      </c>
      <c r="L115" s="126">
        <v>0.0</v>
      </c>
      <c r="M115" s="126">
        <v>0.0</v>
      </c>
    </row>
    <row r="116" ht="14.25" customHeight="1">
      <c r="A116" s="124" t="s">
        <v>49</v>
      </c>
      <c r="B116" s="124" t="s">
        <v>205</v>
      </c>
      <c r="C116" s="124" t="s">
        <v>205</v>
      </c>
      <c r="D116" s="124" t="s">
        <v>205</v>
      </c>
      <c r="E116" s="125">
        <v>22001.0</v>
      </c>
      <c r="F116" s="126">
        <v>0.0</v>
      </c>
      <c r="G116" s="126">
        <v>0.0</v>
      </c>
      <c r="H116" s="124">
        <v>0.6090894158317284</v>
      </c>
      <c r="I116" s="124">
        <v>1.0</v>
      </c>
      <c r="J116" s="124">
        <v>0.0038848896621962907</v>
      </c>
      <c r="K116" s="124">
        <v>0.001699639227210877</v>
      </c>
      <c r="L116" s="126">
        <v>0.20432476849797487</v>
      </c>
      <c r="M116" s="126">
        <v>0.3338998797424036</v>
      </c>
    </row>
    <row r="117" ht="14.25" customHeight="1">
      <c r="A117" s="124" t="s">
        <v>49</v>
      </c>
      <c r="B117" s="124" t="s">
        <v>205</v>
      </c>
      <c r="C117" s="124" t="s">
        <v>587</v>
      </c>
      <c r="D117" s="124" t="s">
        <v>587</v>
      </c>
      <c r="E117" s="125">
        <v>22002.0</v>
      </c>
      <c r="F117" s="126">
        <v>0.0</v>
      </c>
      <c r="G117" s="126">
        <v>0.0</v>
      </c>
      <c r="H117" s="124">
        <v>0.1538007509914349</v>
      </c>
      <c r="I117" s="124">
        <v>1.0</v>
      </c>
      <c r="J117" s="124">
        <v>0.0</v>
      </c>
      <c r="K117" s="124">
        <v>0.0</v>
      </c>
      <c r="L117" s="126">
        <v>0.051266916997144966</v>
      </c>
      <c r="M117" s="126">
        <v>0.3333333333333333</v>
      </c>
    </row>
    <row r="118" ht="14.25" customHeight="1">
      <c r="A118" s="124" t="s">
        <v>44</v>
      </c>
      <c r="B118" s="124" t="s">
        <v>588</v>
      </c>
      <c r="C118" s="124" t="s">
        <v>44</v>
      </c>
      <c r="D118" s="124" t="s">
        <v>44</v>
      </c>
      <c r="E118" s="125">
        <v>30101.0</v>
      </c>
      <c r="F118" s="126">
        <v>1.0</v>
      </c>
      <c r="G118" s="126">
        <v>0.03161297473226865</v>
      </c>
      <c r="H118" s="124">
        <v>0.0</v>
      </c>
      <c r="I118" s="124">
        <v>1.0</v>
      </c>
      <c r="J118" s="124">
        <v>3.8586663441136595E-5</v>
      </c>
      <c r="K118" s="124">
        <v>3.8586663441136595E-5</v>
      </c>
      <c r="L118" s="126">
        <v>0.33334619555448036</v>
      </c>
      <c r="M118" s="126">
        <v>0.34388385379856995</v>
      </c>
    </row>
    <row r="119" ht="14.25" customHeight="1">
      <c r="A119" s="124" t="s">
        <v>44</v>
      </c>
      <c r="B119" s="124" t="s">
        <v>589</v>
      </c>
      <c r="C119" s="124" t="s">
        <v>150</v>
      </c>
      <c r="D119" s="124" t="s">
        <v>150</v>
      </c>
      <c r="E119" s="125">
        <v>30201.0</v>
      </c>
      <c r="F119" s="126">
        <v>0.37689969604863227</v>
      </c>
      <c r="G119" s="126">
        <v>0.12603525325696585</v>
      </c>
      <c r="H119" s="124">
        <v>0.0</v>
      </c>
      <c r="I119" s="124">
        <v>1.0</v>
      </c>
      <c r="J119" s="124">
        <v>0.0</v>
      </c>
      <c r="K119" s="124">
        <v>0.0</v>
      </c>
      <c r="L119" s="126">
        <v>0.12563323201621077</v>
      </c>
      <c r="M119" s="126">
        <v>0.3753450844189887</v>
      </c>
    </row>
    <row r="120" ht="14.25" customHeight="1">
      <c r="A120" s="124" t="s">
        <v>44</v>
      </c>
      <c r="B120" s="124" t="s">
        <v>589</v>
      </c>
      <c r="C120" s="124" t="s">
        <v>167</v>
      </c>
      <c r="D120" s="124" t="s">
        <v>167</v>
      </c>
      <c r="E120" s="125">
        <v>30202.0</v>
      </c>
      <c r="F120" s="126">
        <v>0.2796352583586626</v>
      </c>
      <c r="G120" s="126">
        <v>0.20143073667812977</v>
      </c>
      <c r="H120" s="124">
        <v>0.0</v>
      </c>
      <c r="I120" s="124">
        <v>0.04589460065047946</v>
      </c>
      <c r="J120" s="124">
        <v>0.0</v>
      </c>
      <c r="K120" s="124">
        <v>0.0</v>
      </c>
      <c r="L120" s="126">
        <v>0.09321175278622086</v>
      </c>
      <c r="M120" s="126">
        <v>0.08244177910953641</v>
      </c>
    </row>
    <row r="121" ht="14.25" customHeight="1">
      <c r="A121" s="124" t="s">
        <v>44</v>
      </c>
      <c r="B121" s="124" t="s">
        <v>589</v>
      </c>
      <c r="C121" s="124" t="s">
        <v>164</v>
      </c>
      <c r="D121" s="124" t="s">
        <v>164</v>
      </c>
      <c r="E121" s="125">
        <v>30203.0</v>
      </c>
      <c r="F121" s="126">
        <v>0.3191489361702128</v>
      </c>
      <c r="G121" s="126">
        <v>0.11950508230801203</v>
      </c>
      <c r="H121" s="124">
        <v>0.0</v>
      </c>
      <c r="I121" s="124">
        <v>1.0</v>
      </c>
      <c r="J121" s="124">
        <v>0.008486122015425113</v>
      </c>
      <c r="K121" s="124">
        <v>0.0</v>
      </c>
      <c r="L121" s="126">
        <v>0.1092116860618793</v>
      </c>
      <c r="M121" s="126">
        <v>0.3731683607693373</v>
      </c>
    </row>
    <row r="122" ht="14.25" customHeight="1">
      <c r="A122" s="124" t="s">
        <v>44</v>
      </c>
      <c r="B122" s="124" t="s">
        <v>590</v>
      </c>
      <c r="C122" s="124" t="s">
        <v>591</v>
      </c>
      <c r="D122" s="124" t="s">
        <v>592</v>
      </c>
      <c r="E122" s="125">
        <v>30301.0</v>
      </c>
      <c r="F122" s="126">
        <v>0.1094224924012158</v>
      </c>
      <c r="G122" s="126">
        <v>0.061706566016858005</v>
      </c>
      <c r="H122" s="124">
        <v>0.0</v>
      </c>
      <c r="I122" s="124">
        <v>0.0</v>
      </c>
      <c r="J122" s="124">
        <v>0.0</v>
      </c>
      <c r="K122" s="124">
        <v>0.0</v>
      </c>
      <c r="L122" s="126">
        <v>0.0364741641337386</v>
      </c>
      <c r="M122" s="126">
        <v>0.02056885533895267</v>
      </c>
    </row>
    <row r="123" ht="14.25" customHeight="1">
      <c r="A123" s="124" t="s">
        <v>44</v>
      </c>
      <c r="B123" s="124" t="s">
        <v>590</v>
      </c>
      <c r="C123" s="124" t="s">
        <v>593</v>
      </c>
      <c r="D123" s="124" t="s">
        <v>593</v>
      </c>
      <c r="E123" s="125">
        <v>30302.0</v>
      </c>
      <c r="F123" s="126">
        <v>0.35562310030395133</v>
      </c>
      <c r="G123" s="126">
        <v>0.020881737926567952</v>
      </c>
      <c r="H123" s="124">
        <v>0.0</v>
      </c>
      <c r="I123" s="124">
        <v>0.0</v>
      </c>
      <c r="J123" s="124">
        <v>0.0</v>
      </c>
      <c r="K123" s="124">
        <v>0.0</v>
      </c>
      <c r="L123" s="126">
        <v>0.11854103343465044</v>
      </c>
      <c r="M123" s="126">
        <v>0.006960579308855984</v>
      </c>
    </row>
    <row r="124" ht="14.25" customHeight="1">
      <c r="A124" s="124" t="s">
        <v>44</v>
      </c>
      <c r="B124" s="124" t="s">
        <v>590</v>
      </c>
      <c r="C124" s="124" t="s">
        <v>594</v>
      </c>
      <c r="D124" s="124" t="s">
        <v>594</v>
      </c>
      <c r="E124" s="125">
        <v>30303.0</v>
      </c>
      <c r="F124" s="126">
        <v>0.03951367781155015</v>
      </c>
      <c r="G124" s="126">
        <v>0.07843108147059515</v>
      </c>
      <c r="H124" s="124">
        <v>0.0</v>
      </c>
      <c r="I124" s="124">
        <v>0.059961438358718665</v>
      </c>
      <c r="J124" s="124">
        <v>0.0</v>
      </c>
      <c r="K124" s="124">
        <v>0.0</v>
      </c>
      <c r="L124" s="126">
        <v>0.013171225937183383</v>
      </c>
      <c r="M124" s="126">
        <v>0.0461308399431046</v>
      </c>
    </row>
    <row r="125" ht="14.25" customHeight="1">
      <c r="A125" s="124" t="s">
        <v>44</v>
      </c>
      <c r="B125" s="124" t="s">
        <v>595</v>
      </c>
      <c r="C125" s="124" t="s">
        <v>190</v>
      </c>
      <c r="D125" s="124" t="s">
        <v>190</v>
      </c>
      <c r="E125" s="125">
        <v>30401.0</v>
      </c>
      <c r="F125" s="126">
        <v>0.0364741641337386</v>
      </c>
      <c r="G125" s="126">
        <v>0.04408402444989884</v>
      </c>
      <c r="H125" s="124">
        <v>0.0</v>
      </c>
      <c r="I125" s="124">
        <v>0.0</v>
      </c>
      <c r="J125" s="124">
        <v>0.0</v>
      </c>
      <c r="K125" s="124">
        <v>0.0</v>
      </c>
      <c r="L125" s="126">
        <v>0.0121580547112462</v>
      </c>
      <c r="M125" s="126">
        <v>0.014694674816632947</v>
      </c>
    </row>
    <row r="126" ht="14.25" customHeight="1">
      <c r="A126" s="124" t="s">
        <v>44</v>
      </c>
      <c r="B126" s="124" t="s">
        <v>595</v>
      </c>
      <c r="C126" s="124" t="s">
        <v>153</v>
      </c>
      <c r="D126" s="124" t="s">
        <v>596</v>
      </c>
      <c r="E126" s="125">
        <v>30402.0</v>
      </c>
      <c r="F126" s="126">
        <v>0.24620060790273554</v>
      </c>
      <c r="G126" s="126">
        <v>0.14430874776839533</v>
      </c>
      <c r="H126" s="124">
        <v>0.0</v>
      </c>
      <c r="I126" s="124">
        <v>0.04054169311763195</v>
      </c>
      <c r="J126" s="124">
        <v>0.0</v>
      </c>
      <c r="K126" s="124">
        <v>0.0</v>
      </c>
      <c r="L126" s="126">
        <v>0.08206686930091185</v>
      </c>
      <c r="M126" s="126">
        <v>0.061616813628675764</v>
      </c>
    </row>
    <row r="127" ht="14.25" customHeight="1">
      <c r="A127" s="124" t="s">
        <v>44</v>
      </c>
      <c r="B127" s="124" t="s">
        <v>595</v>
      </c>
      <c r="C127" s="124" t="s">
        <v>597</v>
      </c>
      <c r="D127" s="124" t="s">
        <v>597</v>
      </c>
      <c r="E127" s="125">
        <v>30403.0</v>
      </c>
      <c r="F127" s="126">
        <v>0.5835866261398176</v>
      </c>
      <c r="G127" s="126">
        <v>0.13876493728936123</v>
      </c>
      <c r="H127" s="124">
        <v>0.0</v>
      </c>
      <c r="I127" s="124">
        <v>0.017993095681869187</v>
      </c>
      <c r="J127" s="124">
        <v>0.0</v>
      </c>
      <c r="K127" s="124">
        <v>0.0</v>
      </c>
      <c r="L127" s="126">
        <v>0.1945288753799392</v>
      </c>
      <c r="M127" s="126">
        <v>0.05225267765707681</v>
      </c>
    </row>
    <row r="128" ht="14.25" customHeight="1">
      <c r="A128" s="124" t="s">
        <v>44</v>
      </c>
      <c r="B128" s="124" t="s">
        <v>595</v>
      </c>
      <c r="C128" s="124" t="s">
        <v>598</v>
      </c>
      <c r="D128" s="124" t="s">
        <v>598</v>
      </c>
      <c r="E128" s="125">
        <v>30404.0</v>
      </c>
      <c r="F128" s="126">
        <v>0.00303951367781155</v>
      </c>
      <c r="G128" s="126">
        <v>0.0</v>
      </c>
      <c r="H128" s="124">
        <v>0.0</v>
      </c>
      <c r="I128" s="124">
        <v>0.0</v>
      </c>
      <c r="J128" s="124">
        <v>0.0</v>
      </c>
      <c r="K128" s="124">
        <v>0.0</v>
      </c>
      <c r="L128" s="126">
        <v>0.0010131712259371835</v>
      </c>
      <c r="M128" s="126">
        <v>0.0</v>
      </c>
    </row>
    <row r="129" ht="14.25" customHeight="1">
      <c r="A129" s="124" t="s">
        <v>44</v>
      </c>
      <c r="B129" s="124" t="s">
        <v>599</v>
      </c>
      <c r="C129" s="124" t="s">
        <v>599</v>
      </c>
      <c r="D129" s="124" t="s">
        <v>599</v>
      </c>
      <c r="E129" s="125">
        <v>30501.0</v>
      </c>
      <c r="F129" s="126">
        <v>0.16109422492401218</v>
      </c>
      <c r="G129" s="126">
        <v>0.12378568448656056</v>
      </c>
      <c r="H129" s="124">
        <v>0.0</v>
      </c>
      <c r="I129" s="124">
        <v>0.013007022916804015</v>
      </c>
      <c r="J129" s="124">
        <v>0.0</v>
      </c>
      <c r="K129" s="124">
        <v>0.0</v>
      </c>
      <c r="L129" s="126">
        <v>0.053698074974670724</v>
      </c>
      <c r="M129" s="126">
        <v>0.04559756913445486</v>
      </c>
    </row>
    <row r="130" ht="14.25" customHeight="1">
      <c r="A130" s="124" t="s">
        <v>44</v>
      </c>
      <c r="B130" s="124" t="s">
        <v>599</v>
      </c>
      <c r="C130" s="124" t="s">
        <v>600</v>
      </c>
      <c r="D130" s="124" t="s">
        <v>600</v>
      </c>
      <c r="E130" s="125">
        <v>30502.0</v>
      </c>
      <c r="F130" s="126">
        <v>0.0</v>
      </c>
      <c r="G130" s="126">
        <v>0.0</v>
      </c>
      <c r="H130" s="124">
        <v>0.0</v>
      </c>
      <c r="I130" s="124">
        <v>0.0</v>
      </c>
      <c r="J130" s="124">
        <v>0.0</v>
      </c>
      <c r="K130" s="124">
        <v>0.0</v>
      </c>
      <c r="L130" s="126">
        <v>0.0</v>
      </c>
      <c r="M130" s="126">
        <v>0.0</v>
      </c>
    </row>
    <row r="131" ht="14.25" customHeight="1">
      <c r="A131" s="124" t="s">
        <v>44</v>
      </c>
      <c r="B131" s="124" t="s">
        <v>601</v>
      </c>
      <c r="C131" s="124" t="s">
        <v>601</v>
      </c>
      <c r="D131" s="124" t="s">
        <v>602</v>
      </c>
      <c r="E131" s="125">
        <v>30601.0</v>
      </c>
      <c r="F131" s="126">
        <v>0.209726443768997</v>
      </c>
      <c r="G131" s="126">
        <v>0.23471450094755134</v>
      </c>
      <c r="H131" s="124">
        <v>0.0</v>
      </c>
      <c r="I131" s="124">
        <v>0.013956101410780498</v>
      </c>
      <c r="J131" s="124">
        <v>0.0</v>
      </c>
      <c r="K131" s="124">
        <v>0.0</v>
      </c>
      <c r="L131" s="126">
        <v>0.06990881458966566</v>
      </c>
      <c r="M131" s="126">
        <v>0.0828902007861106</v>
      </c>
    </row>
    <row r="132" ht="14.25" customHeight="1">
      <c r="A132" s="124" t="s">
        <v>44</v>
      </c>
      <c r="B132" s="124" t="s">
        <v>601</v>
      </c>
      <c r="C132" s="124" t="s">
        <v>187</v>
      </c>
      <c r="D132" s="124" t="s">
        <v>187</v>
      </c>
      <c r="E132" s="125">
        <v>30602.0</v>
      </c>
      <c r="F132" s="126">
        <v>0.02735562310030395</v>
      </c>
      <c r="G132" s="126">
        <v>0.0</v>
      </c>
      <c r="H132" s="124">
        <v>0.0</v>
      </c>
      <c r="I132" s="124">
        <v>0.0</v>
      </c>
      <c r="J132" s="124">
        <v>0.0</v>
      </c>
      <c r="K132" s="124">
        <v>0.0</v>
      </c>
      <c r="L132" s="126">
        <v>0.00911854103343465</v>
      </c>
      <c r="M132" s="126">
        <v>0.0</v>
      </c>
    </row>
    <row r="133" ht="14.25" customHeight="1">
      <c r="A133" s="124" t="s">
        <v>44</v>
      </c>
      <c r="B133" s="124" t="s">
        <v>603</v>
      </c>
      <c r="C133" s="124" t="s">
        <v>603</v>
      </c>
      <c r="D133" s="124" t="s">
        <v>603</v>
      </c>
      <c r="E133" s="125">
        <v>30701.0</v>
      </c>
      <c r="F133" s="126">
        <v>0.5319148936170213</v>
      </c>
      <c r="G133" s="126">
        <v>0.14316901953936192</v>
      </c>
      <c r="H133" s="124">
        <v>0.0</v>
      </c>
      <c r="I133" s="124">
        <v>1.0</v>
      </c>
      <c r="J133" s="124">
        <v>0.0</v>
      </c>
      <c r="K133" s="124">
        <v>0.0</v>
      </c>
      <c r="L133" s="126">
        <v>0.1773049645390071</v>
      </c>
      <c r="M133" s="126">
        <v>0.381056339846454</v>
      </c>
    </row>
    <row r="134" ht="14.25" customHeight="1">
      <c r="A134" s="124" t="s">
        <v>44</v>
      </c>
      <c r="B134" s="124" t="s">
        <v>603</v>
      </c>
      <c r="C134" s="124" t="s">
        <v>604</v>
      </c>
      <c r="D134" s="124" t="s">
        <v>605</v>
      </c>
      <c r="E134" s="125">
        <v>30702.0</v>
      </c>
      <c r="F134" s="126">
        <v>0.45288753799392106</v>
      </c>
      <c r="G134" s="126">
        <v>0.11722021346923091</v>
      </c>
      <c r="H134" s="124">
        <v>0.0</v>
      </c>
      <c r="I134" s="124">
        <v>0.0</v>
      </c>
      <c r="J134" s="124">
        <v>0.0</v>
      </c>
      <c r="K134" s="124">
        <v>0.0</v>
      </c>
      <c r="L134" s="126">
        <v>0.15096251266464036</v>
      </c>
      <c r="M134" s="126">
        <v>0.039073404489743634</v>
      </c>
    </row>
    <row r="135" ht="14.25" customHeight="1">
      <c r="A135" s="124" t="s">
        <v>44</v>
      </c>
      <c r="B135" s="124" t="s">
        <v>603</v>
      </c>
      <c r="C135" s="124" t="s">
        <v>606</v>
      </c>
      <c r="D135" s="124" t="s">
        <v>606</v>
      </c>
      <c r="E135" s="125">
        <v>30703.0</v>
      </c>
      <c r="F135" s="126">
        <v>0.2796352583586626</v>
      </c>
      <c r="G135" s="126">
        <v>0.16419636287185957</v>
      </c>
      <c r="H135" s="124">
        <v>0.0</v>
      </c>
      <c r="I135" s="124">
        <v>0.0375849932903648</v>
      </c>
      <c r="J135" s="124">
        <v>0.0</v>
      </c>
      <c r="K135" s="124">
        <v>0.0</v>
      </c>
      <c r="L135" s="126">
        <v>0.09321175278622086</v>
      </c>
      <c r="M135" s="126">
        <v>0.06726045205407478</v>
      </c>
    </row>
    <row r="136" ht="14.25" customHeight="1">
      <c r="A136" s="124" t="s">
        <v>44</v>
      </c>
      <c r="B136" s="124" t="s">
        <v>607</v>
      </c>
      <c r="C136" s="124" t="s">
        <v>608</v>
      </c>
      <c r="D136" s="124" t="s">
        <v>608</v>
      </c>
      <c r="E136" s="125">
        <v>30801.0</v>
      </c>
      <c r="F136" s="126">
        <v>0.0790273556231003</v>
      </c>
      <c r="G136" s="126">
        <v>0.04017301563542261</v>
      </c>
      <c r="H136" s="124">
        <v>0.0</v>
      </c>
      <c r="I136" s="124">
        <v>0.042138064815943475</v>
      </c>
      <c r="J136" s="124">
        <v>0.0</v>
      </c>
      <c r="K136" s="124">
        <v>0.0</v>
      </c>
      <c r="L136" s="126">
        <v>0.026342451874366766</v>
      </c>
      <c r="M136" s="126">
        <v>0.02743702681712203</v>
      </c>
    </row>
    <row r="137" ht="14.25" customHeight="1">
      <c r="A137" s="124" t="s">
        <v>44</v>
      </c>
      <c r="B137" s="124" t="s">
        <v>607</v>
      </c>
      <c r="C137" s="124" t="s">
        <v>609</v>
      </c>
      <c r="D137" s="124" t="s">
        <v>609</v>
      </c>
      <c r="E137" s="125">
        <v>30802.0</v>
      </c>
      <c r="F137" s="126">
        <v>0.0364741641337386</v>
      </c>
      <c r="G137" s="126">
        <v>0.00671486274408912</v>
      </c>
      <c r="H137" s="124">
        <v>0.0</v>
      </c>
      <c r="I137" s="124">
        <v>0.0</v>
      </c>
      <c r="J137" s="124">
        <v>0.0</v>
      </c>
      <c r="K137" s="124">
        <v>0.0</v>
      </c>
      <c r="L137" s="126">
        <v>0.0121580547112462</v>
      </c>
      <c r="M137" s="126">
        <v>0.00223828758136304</v>
      </c>
    </row>
    <row r="138" ht="14.25" customHeight="1">
      <c r="A138" s="124" t="s">
        <v>44</v>
      </c>
      <c r="B138" s="124" t="s">
        <v>607</v>
      </c>
      <c r="C138" s="124" t="s">
        <v>610</v>
      </c>
      <c r="D138" s="124" t="s">
        <v>610</v>
      </c>
      <c r="E138" s="125">
        <v>30803.0</v>
      </c>
      <c r="F138" s="126">
        <v>0.0121580547112462</v>
      </c>
      <c r="G138" s="126">
        <v>0.0264988866812575</v>
      </c>
      <c r="H138" s="124">
        <v>0.0</v>
      </c>
      <c r="I138" s="124">
        <v>0.0</v>
      </c>
      <c r="J138" s="124">
        <v>0.0</v>
      </c>
      <c r="K138" s="124">
        <v>0.0</v>
      </c>
      <c r="L138" s="126">
        <v>0.004052684903748734</v>
      </c>
      <c r="M138" s="126">
        <v>0.008832962227085834</v>
      </c>
    </row>
    <row r="139" ht="14.25" customHeight="1">
      <c r="A139" s="124" t="s">
        <v>44</v>
      </c>
      <c r="B139" s="124" t="s">
        <v>178</v>
      </c>
      <c r="C139" s="124" t="s">
        <v>178</v>
      </c>
      <c r="D139" s="124" t="s">
        <v>178</v>
      </c>
      <c r="E139" s="125">
        <v>30901.0</v>
      </c>
      <c r="F139" s="126">
        <v>0.541033434650456</v>
      </c>
      <c r="G139" s="126">
        <v>0.030101989613529737</v>
      </c>
      <c r="H139" s="124">
        <v>0.0</v>
      </c>
      <c r="I139" s="124">
        <v>0.31853356589653037</v>
      </c>
      <c r="J139" s="124">
        <v>0.0</v>
      </c>
      <c r="K139" s="124">
        <v>0.0</v>
      </c>
      <c r="L139" s="126">
        <v>0.18034447821681865</v>
      </c>
      <c r="M139" s="126">
        <v>0.1162118518366867</v>
      </c>
    </row>
    <row r="140" ht="14.25" customHeight="1">
      <c r="A140" s="124" t="s">
        <v>44</v>
      </c>
      <c r="B140" s="124" t="s">
        <v>178</v>
      </c>
      <c r="C140" s="124" t="s">
        <v>611</v>
      </c>
      <c r="D140" s="124" t="s">
        <v>611</v>
      </c>
      <c r="E140" s="125">
        <v>30902.0</v>
      </c>
      <c r="F140" s="126">
        <v>0.33738601823708203</v>
      </c>
      <c r="G140" s="126">
        <v>0.2932777488706979</v>
      </c>
      <c r="H140" s="124">
        <v>0.0</v>
      </c>
      <c r="I140" s="124">
        <v>0.2790847383032037</v>
      </c>
      <c r="J140" s="124">
        <v>0.0</v>
      </c>
      <c r="K140" s="124">
        <v>0.0</v>
      </c>
      <c r="L140" s="126">
        <v>0.11246200607902734</v>
      </c>
      <c r="M140" s="126">
        <v>0.19078749572463385</v>
      </c>
    </row>
    <row r="141" ht="14.25" customHeight="1">
      <c r="A141" s="124" t="s">
        <v>44</v>
      </c>
      <c r="B141" s="124" t="s">
        <v>178</v>
      </c>
      <c r="C141" s="124" t="s">
        <v>612</v>
      </c>
      <c r="D141" s="124" t="s">
        <v>612</v>
      </c>
      <c r="E141" s="125">
        <v>30903.0</v>
      </c>
      <c r="F141" s="126">
        <v>0.02735562310030395</v>
      </c>
      <c r="G141" s="126">
        <v>0.015561765436679071</v>
      </c>
      <c r="H141" s="124">
        <v>0.0</v>
      </c>
      <c r="I141" s="124">
        <v>0.03137452215248862</v>
      </c>
      <c r="J141" s="124">
        <v>0.0</v>
      </c>
      <c r="K141" s="124">
        <v>0.0</v>
      </c>
      <c r="L141" s="126">
        <v>0.00911854103343465</v>
      </c>
      <c r="M141" s="126">
        <v>0.01564542919638923</v>
      </c>
    </row>
    <row r="142" ht="14.25" customHeight="1">
      <c r="A142" s="124" t="s">
        <v>44</v>
      </c>
      <c r="B142" s="124" t="s">
        <v>178</v>
      </c>
      <c r="C142" s="124" t="s">
        <v>613</v>
      </c>
      <c r="D142" s="124" t="s">
        <v>613</v>
      </c>
      <c r="E142" s="125">
        <v>30904.0</v>
      </c>
      <c r="F142" s="126">
        <v>0.07598784194528875</v>
      </c>
      <c r="G142" s="126">
        <v>0.005557056757169543</v>
      </c>
      <c r="H142" s="124">
        <v>0.0</v>
      </c>
      <c r="I142" s="124">
        <v>0.20712012869133503</v>
      </c>
      <c r="J142" s="124">
        <v>0.0</v>
      </c>
      <c r="K142" s="124">
        <v>0.0</v>
      </c>
      <c r="L142" s="126">
        <v>0.025329280648429583</v>
      </c>
      <c r="M142" s="126">
        <v>0.07089239514950153</v>
      </c>
    </row>
    <row r="143" ht="14.25" customHeight="1">
      <c r="A143" s="124" t="s">
        <v>44</v>
      </c>
      <c r="B143" s="124" t="s">
        <v>178</v>
      </c>
      <c r="C143" s="124" t="s">
        <v>614</v>
      </c>
      <c r="D143" s="124" t="s">
        <v>614</v>
      </c>
      <c r="E143" s="125">
        <v>30905.0</v>
      </c>
      <c r="F143" s="126">
        <v>0.0547112462006079</v>
      </c>
      <c r="G143" s="126">
        <v>0.037903606793274244</v>
      </c>
      <c r="H143" s="124">
        <v>0.0</v>
      </c>
      <c r="I143" s="124">
        <v>0.1870935664428854</v>
      </c>
      <c r="J143" s="124">
        <v>0.0</v>
      </c>
      <c r="K143" s="124">
        <v>0.0</v>
      </c>
      <c r="L143" s="126">
        <v>0.0182370820668693</v>
      </c>
      <c r="M143" s="126">
        <v>0.07499905774538655</v>
      </c>
    </row>
    <row r="144" ht="14.25" customHeight="1">
      <c r="A144" s="124" t="s">
        <v>44</v>
      </c>
      <c r="B144" s="124" t="s">
        <v>615</v>
      </c>
      <c r="C144" s="124" t="s">
        <v>181</v>
      </c>
      <c r="D144" s="124" t="s">
        <v>181</v>
      </c>
      <c r="E144" s="125">
        <v>31001.0</v>
      </c>
      <c r="F144" s="126">
        <v>0.14893617021276598</v>
      </c>
      <c r="G144" s="126">
        <v>0.020180183878714123</v>
      </c>
      <c r="H144" s="124">
        <v>0.13091346284776237</v>
      </c>
      <c r="I144" s="124">
        <v>0.14827053063067602</v>
      </c>
      <c r="J144" s="124">
        <v>2.835177259332507E-4</v>
      </c>
      <c r="K144" s="124">
        <v>0.0</v>
      </c>
      <c r="L144" s="126">
        <v>0.09337771692882053</v>
      </c>
      <c r="M144" s="126">
        <v>0.056150238169796717</v>
      </c>
    </row>
    <row r="145" ht="14.25" customHeight="1">
      <c r="A145" s="124" t="s">
        <v>44</v>
      </c>
      <c r="B145" s="124" t="s">
        <v>615</v>
      </c>
      <c r="C145" s="124" t="s">
        <v>616</v>
      </c>
      <c r="D145" s="124" t="s">
        <v>616</v>
      </c>
      <c r="E145" s="125">
        <v>31002.0</v>
      </c>
      <c r="F145" s="126">
        <v>0.0</v>
      </c>
      <c r="G145" s="126">
        <v>0.0</v>
      </c>
      <c r="H145" s="124">
        <v>0.0</v>
      </c>
      <c r="I145" s="124">
        <v>0.02304945726840003</v>
      </c>
      <c r="J145" s="124">
        <v>0.0</v>
      </c>
      <c r="K145" s="124">
        <v>0.0</v>
      </c>
      <c r="L145" s="126">
        <v>0.0</v>
      </c>
      <c r="M145" s="126">
        <v>0.00768315242280001</v>
      </c>
    </row>
    <row r="146" ht="14.25" customHeight="1">
      <c r="A146" s="124" t="s">
        <v>44</v>
      </c>
      <c r="B146" s="124" t="s">
        <v>615</v>
      </c>
      <c r="C146" s="124" t="s">
        <v>196</v>
      </c>
      <c r="D146" s="124" t="s">
        <v>196</v>
      </c>
      <c r="E146" s="125">
        <v>31003.0</v>
      </c>
      <c r="F146" s="126">
        <v>0.0</v>
      </c>
      <c r="G146" s="126">
        <v>0.0</v>
      </c>
      <c r="H146" s="124">
        <v>0.33645145285440986</v>
      </c>
      <c r="I146" s="124">
        <v>1.0</v>
      </c>
      <c r="J146" s="124">
        <v>0.0015168796718862</v>
      </c>
      <c r="K146" s="124">
        <v>0.0</v>
      </c>
      <c r="L146" s="126">
        <v>0.11265611084209869</v>
      </c>
      <c r="M146" s="126">
        <v>0.3333333333333333</v>
      </c>
    </row>
    <row r="147" ht="14.25" customHeight="1">
      <c r="A147" s="124" t="s">
        <v>44</v>
      </c>
      <c r="B147" s="124" t="s">
        <v>617</v>
      </c>
      <c r="C147" s="124" t="s">
        <v>617</v>
      </c>
      <c r="D147" s="124" t="s">
        <v>617</v>
      </c>
      <c r="E147" s="125">
        <v>31101.0</v>
      </c>
      <c r="F147" s="126">
        <v>0.13677811550151975</v>
      </c>
      <c r="G147" s="126">
        <v>0.007426329517773611</v>
      </c>
      <c r="H147" s="124">
        <v>0.0</v>
      </c>
      <c r="I147" s="124">
        <v>0.024732200485584038</v>
      </c>
      <c r="J147" s="124">
        <v>0.0</v>
      </c>
      <c r="K147" s="124">
        <v>0.0</v>
      </c>
      <c r="L147" s="126">
        <v>0.04559270516717325</v>
      </c>
      <c r="M147" s="126">
        <v>0.010719510001119217</v>
      </c>
    </row>
    <row r="148" ht="14.25" customHeight="1">
      <c r="A148" s="124" t="s">
        <v>44</v>
      </c>
      <c r="B148" s="124" t="s">
        <v>618</v>
      </c>
      <c r="C148" s="124" t="s">
        <v>619</v>
      </c>
      <c r="D148" s="124" t="s">
        <v>619</v>
      </c>
      <c r="E148" s="125">
        <v>31201.0</v>
      </c>
      <c r="F148" s="126">
        <v>0.0790273556231003</v>
      </c>
      <c r="G148" s="126">
        <v>0.05549372948331484</v>
      </c>
      <c r="H148" s="124">
        <v>0.0</v>
      </c>
      <c r="I148" s="124">
        <v>0.0</v>
      </c>
      <c r="J148" s="124">
        <v>0.0</v>
      </c>
      <c r="K148" s="124">
        <v>0.0</v>
      </c>
      <c r="L148" s="126">
        <v>0.026342451874366766</v>
      </c>
      <c r="M148" s="126">
        <v>0.01849790982777161</v>
      </c>
    </row>
    <row r="149" ht="14.25" customHeight="1">
      <c r="A149" s="124" t="s">
        <v>44</v>
      </c>
      <c r="B149" s="124" t="s">
        <v>618</v>
      </c>
      <c r="C149" s="124" t="s">
        <v>170</v>
      </c>
      <c r="D149" s="124" t="s">
        <v>170</v>
      </c>
      <c r="E149" s="125">
        <v>31202.0</v>
      </c>
      <c r="F149" s="126">
        <v>0.303951367781155</v>
      </c>
      <c r="G149" s="126">
        <v>0.06844230531276807</v>
      </c>
      <c r="H149" s="124">
        <v>0.0</v>
      </c>
      <c r="I149" s="124">
        <v>0.02507147609858963</v>
      </c>
      <c r="J149" s="124">
        <v>0.0</v>
      </c>
      <c r="K149" s="124">
        <v>0.0</v>
      </c>
      <c r="L149" s="126">
        <v>0.10131712259371833</v>
      </c>
      <c r="M149" s="126">
        <v>0.03117126047045257</v>
      </c>
    </row>
    <row r="150" ht="14.25" customHeight="1">
      <c r="A150" s="124" t="s">
        <v>44</v>
      </c>
      <c r="B150" s="124" t="s">
        <v>618</v>
      </c>
      <c r="C150" s="124" t="s">
        <v>620</v>
      </c>
      <c r="D150" s="124" t="s">
        <v>620</v>
      </c>
      <c r="E150" s="125">
        <v>31203.0</v>
      </c>
      <c r="F150" s="126">
        <v>0.0547112462006079</v>
      </c>
      <c r="G150" s="126">
        <v>0.0286935876182914</v>
      </c>
      <c r="H150" s="124">
        <v>0.0</v>
      </c>
      <c r="I150" s="124">
        <v>0.0</v>
      </c>
      <c r="J150" s="124">
        <v>0.0</v>
      </c>
      <c r="K150" s="124">
        <v>0.0</v>
      </c>
      <c r="L150" s="126">
        <v>0.0182370820668693</v>
      </c>
      <c r="M150" s="126">
        <v>0.009564529206097133</v>
      </c>
    </row>
    <row r="151" ht="14.25" customHeight="1">
      <c r="A151" s="124" t="s">
        <v>44</v>
      </c>
      <c r="B151" s="124" t="s">
        <v>618</v>
      </c>
      <c r="C151" s="124" t="s">
        <v>621</v>
      </c>
      <c r="D151" s="124" t="s">
        <v>621</v>
      </c>
      <c r="E151" s="125">
        <v>31204.0</v>
      </c>
      <c r="F151" s="126">
        <v>0.0</v>
      </c>
      <c r="G151" s="126">
        <v>0.0</v>
      </c>
      <c r="H151" s="124">
        <v>0.0</v>
      </c>
      <c r="I151" s="124">
        <v>1.0</v>
      </c>
      <c r="J151" s="124">
        <v>0.001117275974766284</v>
      </c>
      <c r="K151" s="124">
        <v>0.0</v>
      </c>
      <c r="L151" s="126">
        <v>3.7242532492209467E-4</v>
      </c>
      <c r="M151" s="126">
        <v>0.3333333333333333</v>
      </c>
    </row>
    <row r="152" ht="14.25" customHeight="1">
      <c r="A152" s="124" t="s">
        <v>44</v>
      </c>
      <c r="B152" s="124" t="s">
        <v>618</v>
      </c>
      <c r="C152" s="124" t="s">
        <v>173</v>
      </c>
      <c r="D152" s="124" t="s">
        <v>173</v>
      </c>
      <c r="E152" s="125">
        <v>31205.0</v>
      </c>
      <c r="F152" s="126">
        <v>0.0</v>
      </c>
      <c r="G152" s="126">
        <v>0.0</v>
      </c>
      <c r="H152" s="124">
        <v>0.23088465697546462</v>
      </c>
      <c r="I152" s="124">
        <v>0.5800281882667794</v>
      </c>
      <c r="J152" s="124">
        <v>0.009058586606954529</v>
      </c>
      <c r="K152" s="124">
        <v>0.002846984362185709</v>
      </c>
      <c r="L152" s="126">
        <v>0.07998108119413971</v>
      </c>
      <c r="M152" s="126">
        <v>0.19429172420965501</v>
      </c>
    </row>
    <row r="153" ht="14.25" customHeight="1">
      <c r="A153" s="124" t="s">
        <v>44</v>
      </c>
      <c r="B153" s="124" t="s">
        <v>618</v>
      </c>
      <c r="C153" s="124" t="s">
        <v>622</v>
      </c>
      <c r="D153" s="124" t="s">
        <v>622</v>
      </c>
      <c r="E153" s="125">
        <v>31206.0</v>
      </c>
      <c r="F153" s="126">
        <v>0.0</v>
      </c>
      <c r="G153" s="126">
        <v>0.0</v>
      </c>
      <c r="H153" s="124">
        <v>0.03170983752432213</v>
      </c>
      <c r="I153" s="124">
        <v>1.0</v>
      </c>
      <c r="J153" s="124">
        <v>0.0</v>
      </c>
      <c r="K153" s="124">
        <v>0.0</v>
      </c>
      <c r="L153" s="126">
        <v>0.010569945841440711</v>
      </c>
      <c r="M153" s="126">
        <v>0.3333333333333333</v>
      </c>
    </row>
    <row r="154" ht="14.25" customHeight="1">
      <c r="A154" s="124" t="s">
        <v>44</v>
      </c>
      <c r="B154" s="124" t="s">
        <v>161</v>
      </c>
      <c r="C154" s="124" t="s">
        <v>161</v>
      </c>
      <c r="D154" s="124" t="s">
        <v>161</v>
      </c>
      <c r="E154" s="125">
        <v>31301.0</v>
      </c>
      <c r="F154" s="126">
        <v>0.6747720364741641</v>
      </c>
      <c r="G154" s="126">
        <v>0.05628940655077357</v>
      </c>
      <c r="H154" s="124">
        <v>0.0</v>
      </c>
      <c r="I154" s="124">
        <v>1.0</v>
      </c>
      <c r="J154" s="124">
        <v>0.0</v>
      </c>
      <c r="K154" s="124">
        <v>0.0</v>
      </c>
      <c r="L154" s="126">
        <v>0.2249240121580547</v>
      </c>
      <c r="M154" s="126">
        <v>0.35209646885025786</v>
      </c>
    </row>
    <row r="155" ht="14.25" customHeight="1">
      <c r="A155" s="124" t="s">
        <v>44</v>
      </c>
      <c r="B155" s="124" t="s">
        <v>161</v>
      </c>
      <c r="C155" s="124" t="s">
        <v>193</v>
      </c>
      <c r="D155" s="124" t="s">
        <v>193</v>
      </c>
      <c r="E155" s="125">
        <v>31302.0</v>
      </c>
      <c r="F155" s="126">
        <v>0.47416413373860183</v>
      </c>
      <c r="G155" s="126">
        <v>0.15113282326779648</v>
      </c>
      <c r="H155" s="124">
        <v>0.0</v>
      </c>
      <c r="I155" s="124">
        <v>0.0</v>
      </c>
      <c r="J155" s="124">
        <v>0.0</v>
      </c>
      <c r="K155" s="124">
        <v>0.0</v>
      </c>
      <c r="L155" s="126">
        <v>0.1580547112462006</v>
      </c>
      <c r="M155" s="126">
        <v>0.05037760775593216</v>
      </c>
    </row>
    <row r="156" ht="14.25" customHeight="1">
      <c r="A156" s="124" t="s">
        <v>44</v>
      </c>
      <c r="B156" s="124" t="s">
        <v>161</v>
      </c>
      <c r="C156" s="124" t="s">
        <v>623</v>
      </c>
      <c r="D156" s="124" t="s">
        <v>623</v>
      </c>
      <c r="E156" s="125">
        <v>31303.0</v>
      </c>
      <c r="F156" s="126">
        <v>0.0</v>
      </c>
      <c r="G156" s="126">
        <v>0.0</v>
      </c>
      <c r="H156" s="124">
        <v>0.0</v>
      </c>
      <c r="I156" s="124">
        <v>0.0</v>
      </c>
      <c r="J156" s="124">
        <v>0.0</v>
      </c>
      <c r="K156" s="124">
        <v>0.0</v>
      </c>
      <c r="L156" s="126">
        <v>0.0</v>
      </c>
      <c r="M156" s="126">
        <v>0.0</v>
      </c>
    </row>
    <row r="157" ht="14.25" customHeight="1">
      <c r="A157" s="124" t="s">
        <v>44</v>
      </c>
      <c r="B157" s="124" t="s">
        <v>161</v>
      </c>
      <c r="C157" s="124" t="s">
        <v>624</v>
      </c>
      <c r="D157" s="124" t="s">
        <v>625</v>
      </c>
      <c r="E157" s="125">
        <v>31304.0</v>
      </c>
      <c r="F157" s="126">
        <v>0.0</v>
      </c>
      <c r="G157" s="126">
        <v>0.3227405310407651</v>
      </c>
      <c r="H157" s="124">
        <v>0.0</v>
      </c>
      <c r="I157" s="124">
        <v>0.0</v>
      </c>
      <c r="J157" s="124">
        <v>0.0</v>
      </c>
      <c r="K157" s="124">
        <v>0.0</v>
      </c>
      <c r="L157" s="126">
        <v>0.0</v>
      </c>
      <c r="M157" s="126">
        <v>0.10758017701358837</v>
      </c>
    </row>
    <row r="158" ht="14.25" customHeight="1">
      <c r="A158" s="124" t="s">
        <v>44</v>
      </c>
      <c r="B158" s="124" t="s">
        <v>175</v>
      </c>
      <c r="C158" s="124" t="s">
        <v>175</v>
      </c>
      <c r="D158" s="124" t="s">
        <v>626</v>
      </c>
      <c r="E158" s="125">
        <v>31401.0</v>
      </c>
      <c r="F158" s="126">
        <v>0.21580547112462006</v>
      </c>
      <c r="G158" s="126">
        <v>0.134547077435013</v>
      </c>
      <c r="H158" s="124">
        <v>0.0</v>
      </c>
      <c r="I158" s="124">
        <v>0.05116128061482226</v>
      </c>
      <c r="J158" s="124">
        <v>0.0021029080213781338</v>
      </c>
      <c r="K158" s="124">
        <v>0.0</v>
      </c>
      <c r="L158" s="126">
        <v>0.0726361263819994</v>
      </c>
      <c r="M158" s="126">
        <v>0.061902786016611755</v>
      </c>
    </row>
    <row r="159" ht="14.25" customHeight="1">
      <c r="A159" s="124" t="s">
        <v>44</v>
      </c>
      <c r="B159" s="124" t="s">
        <v>175</v>
      </c>
      <c r="C159" s="124" t="s">
        <v>627</v>
      </c>
      <c r="D159" s="124" t="s">
        <v>627</v>
      </c>
      <c r="E159" s="125">
        <v>31402.0</v>
      </c>
      <c r="F159" s="126">
        <v>0.08510638297872342</v>
      </c>
      <c r="G159" s="126">
        <v>0.0557878909271278</v>
      </c>
      <c r="H159" s="124">
        <v>0.0</v>
      </c>
      <c r="I159" s="124">
        <v>0.0</v>
      </c>
      <c r="J159" s="124">
        <v>0.0</v>
      </c>
      <c r="K159" s="124">
        <v>0.0</v>
      </c>
      <c r="L159" s="126">
        <v>0.028368794326241138</v>
      </c>
      <c r="M159" s="126">
        <v>0.018595963642375934</v>
      </c>
    </row>
    <row r="160" ht="14.25" customHeight="1">
      <c r="A160" s="124" t="s">
        <v>44</v>
      </c>
      <c r="B160" s="124" t="s">
        <v>175</v>
      </c>
      <c r="C160" s="124" t="s">
        <v>628</v>
      </c>
      <c r="D160" s="124" t="s">
        <v>629</v>
      </c>
      <c r="E160" s="125">
        <v>31403.0</v>
      </c>
      <c r="F160" s="126">
        <v>0.1641337386018237</v>
      </c>
      <c r="G160" s="126">
        <v>0.02343167408702075</v>
      </c>
      <c r="H160" s="124">
        <v>0.0</v>
      </c>
      <c r="I160" s="124">
        <v>0.0</v>
      </c>
      <c r="J160" s="124">
        <v>0.0</v>
      </c>
      <c r="K160" s="124">
        <v>0.0</v>
      </c>
      <c r="L160" s="126">
        <v>0.0547112462006079</v>
      </c>
      <c r="M160" s="126">
        <v>0.007810558029006917</v>
      </c>
    </row>
    <row r="161" ht="14.25" customHeight="1">
      <c r="A161" s="124" t="s">
        <v>44</v>
      </c>
      <c r="B161" s="124" t="s">
        <v>175</v>
      </c>
      <c r="C161" s="124" t="s">
        <v>630</v>
      </c>
      <c r="D161" s="124" t="s">
        <v>630</v>
      </c>
      <c r="E161" s="125">
        <v>31404.0</v>
      </c>
      <c r="F161" s="126">
        <v>0.39817629179331304</v>
      </c>
      <c r="G161" s="126">
        <v>0.11128744474630371</v>
      </c>
      <c r="H161" s="124">
        <v>0.0</v>
      </c>
      <c r="I161" s="124">
        <v>0.0</v>
      </c>
      <c r="J161" s="124">
        <v>0.0</v>
      </c>
      <c r="K161" s="124">
        <v>0.0</v>
      </c>
      <c r="L161" s="126">
        <v>0.132725430597771</v>
      </c>
      <c r="M161" s="126">
        <v>0.03709581491543457</v>
      </c>
    </row>
    <row r="162" ht="14.25" customHeight="1">
      <c r="A162" s="124" t="s">
        <v>44</v>
      </c>
      <c r="B162" s="124" t="s">
        <v>175</v>
      </c>
      <c r="C162" s="124" t="s">
        <v>631</v>
      </c>
      <c r="D162" s="124" t="s">
        <v>632</v>
      </c>
      <c r="E162" s="125">
        <v>31405.0</v>
      </c>
      <c r="F162" s="126">
        <v>0.17325227963525838</v>
      </c>
      <c r="G162" s="126">
        <v>0.01457084993426008</v>
      </c>
      <c r="H162" s="124">
        <v>0.0</v>
      </c>
      <c r="I162" s="124">
        <v>0.0</v>
      </c>
      <c r="J162" s="124">
        <v>0.0</v>
      </c>
      <c r="K162" s="124">
        <v>0.0</v>
      </c>
      <c r="L162" s="126">
        <v>0.05775075987841946</v>
      </c>
      <c r="M162" s="126">
        <v>0.004856949978086693</v>
      </c>
    </row>
    <row r="163" ht="14.25" customHeight="1">
      <c r="A163" s="124" t="s">
        <v>44</v>
      </c>
      <c r="B163" s="124" t="s">
        <v>633</v>
      </c>
      <c r="C163" s="124" t="s">
        <v>633</v>
      </c>
      <c r="D163" s="124" t="s">
        <v>633</v>
      </c>
      <c r="E163" s="125">
        <v>31501.0</v>
      </c>
      <c r="F163" s="126">
        <v>0.0</v>
      </c>
      <c r="G163" s="126">
        <v>0.0</v>
      </c>
      <c r="H163" s="124">
        <v>0.0</v>
      </c>
      <c r="I163" s="124">
        <v>0.0</v>
      </c>
      <c r="J163" s="124">
        <v>0.0</v>
      </c>
      <c r="K163" s="124">
        <v>0.0</v>
      </c>
      <c r="L163" s="126">
        <v>0.0</v>
      </c>
      <c r="M163" s="126">
        <v>0.0</v>
      </c>
    </row>
    <row r="164" ht="14.25" customHeight="1">
      <c r="A164" s="124" t="s">
        <v>44</v>
      </c>
      <c r="B164" s="124" t="s">
        <v>634</v>
      </c>
      <c r="C164" s="124" t="s">
        <v>634</v>
      </c>
      <c r="D164" s="124" t="s">
        <v>634</v>
      </c>
      <c r="E164" s="125">
        <v>31601.0</v>
      </c>
      <c r="F164" s="126">
        <v>0.0</v>
      </c>
      <c r="G164" s="126">
        <v>0.0</v>
      </c>
      <c r="H164" s="124">
        <v>0.0</v>
      </c>
      <c r="I164" s="124">
        <v>0.03145882207334886</v>
      </c>
      <c r="J164" s="124">
        <v>0.0</v>
      </c>
      <c r="K164" s="124">
        <v>0.0</v>
      </c>
      <c r="L164" s="126">
        <v>0.0</v>
      </c>
      <c r="M164" s="126">
        <v>0.01048627402444962</v>
      </c>
    </row>
    <row r="165" ht="14.25" customHeight="1">
      <c r="A165" s="124" t="s">
        <v>44</v>
      </c>
      <c r="B165" s="124" t="s">
        <v>634</v>
      </c>
      <c r="C165" s="124" t="s">
        <v>635</v>
      </c>
      <c r="D165" s="124" t="s">
        <v>635</v>
      </c>
      <c r="E165" s="125">
        <v>31602.0</v>
      </c>
      <c r="F165" s="126">
        <v>0.0</v>
      </c>
      <c r="G165" s="126">
        <v>0.0</v>
      </c>
      <c r="H165" s="124">
        <v>0.48301190263109334</v>
      </c>
      <c r="I165" s="124">
        <v>1.0</v>
      </c>
      <c r="J165" s="124">
        <v>5.805045255658931E-4</v>
      </c>
      <c r="K165" s="124">
        <v>5.805045255658931E-4</v>
      </c>
      <c r="L165" s="126">
        <v>0.16119746905221974</v>
      </c>
      <c r="M165" s="126">
        <v>0.33352683484185525</v>
      </c>
    </row>
    <row r="166" ht="14.25" customHeight="1">
      <c r="A166" s="124" t="s">
        <v>636</v>
      </c>
      <c r="B166" s="124" t="s">
        <v>588</v>
      </c>
      <c r="C166" s="124" t="s">
        <v>636</v>
      </c>
      <c r="D166" s="124" t="s">
        <v>636</v>
      </c>
      <c r="E166" s="125">
        <v>40101.0</v>
      </c>
      <c r="F166" s="126">
        <v>0.0</v>
      </c>
      <c r="G166" s="126">
        <v>0.0</v>
      </c>
      <c r="H166" s="124">
        <v>0.0</v>
      </c>
      <c r="I166" s="124">
        <v>0.0</v>
      </c>
      <c r="J166" s="124">
        <v>0.0</v>
      </c>
      <c r="K166" s="124">
        <v>0.0</v>
      </c>
      <c r="L166" s="126">
        <v>0.0</v>
      </c>
      <c r="M166" s="126">
        <v>0.0</v>
      </c>
    </row>
    <row r="167" ht="14.25" customHeight="1">
      <c r="A167" s="124" t="s">
        <v>636</v>
      </c>
      <c r="B167" s="124" t="s">
        <v>588</v>
      </c>
      <c r="C167" s="124" t="s">
        <v>637</v>
      </c>
      <c r="D167" s="124" t="s">
        <v>637</v>
      </c>
      <c r="E167" s="125">
        <v>40102.0</v>
      </c>
      <c r="F167" s="126">
        <v>0.0</v>
      </c>
      <c r="G167" s="126">
        <v>0.0</v>
      </c>
      <c r="H167" s="124">
        <v>0.0</v>
      </c>
      <c r="I167" s="124">
        <v>0.0</v>
      </c>
      <c r="J167" s="124">
        <v>0.0</v>
      </c>
      <c r="K167" s="124">
        <v>0.0</v>
      </c>
      <c r="L167" s="126">
        <v>0.0</v>
      </c>
      <c r="M167" s="126">
        <v>0.0</v>
      </c>
    </row>
    <row r="168" ht="14.25" customHeight="1">
      <c r="A168" s="124" t="s">
        <v>636</v>
      </c>
      <c r="B168" s="124" t="s">
        <v>588</v>
      </c>
      <c r="C168" s="124" t="s">
        <v>638</v>
      </c>
      <c r="D168" s="124" t="s">
        <v>638</v>
      </c>
      <c r="E168" s="125">
        <v>40103.0</v>
      </c>
      <c r="F168" s="126">
        <v>0.0</v>
      </c>
      <c r="G168" s="126">
        <v>0.0</v>
      </c>
      <c r="H168" s="124">
        <v>0.0</v>
      </c>
      <c r="I168" s="124">
        <v>0.0</v>
      </c>
      <c r="J168" s="124">
        <v>0.0</v>
      </c>
      <c r="K168" s="124">
        <v>0.0</v>
      </c>
      <c r="L168" s="126">
        <v>0.0</v>
      </c>
      <c r="M168" s="126">
        <v>0.0</v>
      </c>
    </row>
    <row r="169" ht="14.25" customHeight="1">
      <c r="A169" s="124" t="s">
        <v>636</v>
      </c>
      <c r="B169" s="124" t="s">
        <v>588</v>
      </c>
      <c r="C169" s="124" t="s">
        <v>639</v>
      </c>
      <c r="D169" s="124" t="s">
        <v>640</v>
      </c>
      <c r="E169" s="125">
        <v>40104.0</v>
      </c>
      <c r="F169" s="126">
        <v>0.0</v>
      </c>
      <c r="G169" s="126">
        <v>0.0</v>
      </c>
      <c r="H169" s="124">
        <v>0.0</v>
      </c>
      <c r="I169" s="124">
        <v>0.0</v>
      </c>
      <c r="J169" s="124">
        <v>0.0</v>
      </c>
      <c r="K169" s="124">
        <v>0.0</v>
      </c>
      <c r="L169" s="126">
        <v>0.0</v>
      </c>
      <c r="M169" s="126">
        <v>0.0</v>
      </c>
    </row>
    <row r="170" ht="14.25" customHeight="1">
      <c r="A170" s="124" t="s">
        <v>636</v>
      </c>
      <c r="B170" s="124" t="s">
        <v>641</v>
      </c>
      <c r="C170" s="124" t="s">
        <v>642</v>
      </c>
      <c r="D170" s="124" t="s">
        <v>642</v>
      </c>
      <c r="E170" s="125">
        <v>40201.0</v>
      </c>
      <c r="F170" s="126">
        <v>0.0</v>
      </c>
      <c r="G170" s="126">
        <v>0.0</v>
      </c>
      <c r="H170" s="124">
        <v>0.0</v>
      </c>
      <c r="I170" s="124">
        <v>0.0</v>
      </c>
      <c r="J170" s="124">
        <v>0.0</v>
      </c>
      <c r="K170" s="124">
        <v>0.0</v>
      </c>
      <c r="L170" s="126">
        <v>0.0</v>
      </c>
      <c r="M170" s="126">
        <v>0.0</v>
      </c>
    </row>
    <row r="171" ht="14.25" customHeight="1">
      <c r="A171" s="124" t="s">
        <v>636</v>
      </c>
      <c r="B171" s="124" t="s">
        <v>641</v>
      </c>
      <c r="C171" s="124" t="s">
        <v>643</v>
      </c>
      <c r="D171" s="124" t="s">
        <v>643</v>
      </c>
      <c r="E171" s="125">
        <v>40202.0</v>
      </c>
      <c r="F171" s="126">
        <v>0.0</v>
      </c>
      <c r="G171" s="126">
        <v>0.0</v>
      </c>
      <c r="H171" s="124">
        <v>0.0</v>
      </c>
      <c r="I171" s="124">
        <v>0.0</v>
      </c>
      <c r="J171" s="124">
        <v>0.0</v>
      </c>
      <c r="K171" s="124">
        <v>0.0</v>
      </c>
      <c r="L171" s="126">
        <v>0.0</v>
      </c>
      <c r="M171" s="126">
        <v>0.0</v>
      </c>
    </row>
    <row r="172" ht="14.25" customHeight="1">
      <c r="A172" s="124" t="s">
        <v>636</v>
      </c>
      <c r="B172" s="124" t="s">
        <v>644</v>
      </c>
      <c r="C172" s="124" t="s">
        <v>645</v>
      </c>
      <c r="D172" s="124" t="s">
        <v>645</v>
      </c>
      <c r="E172" s="125">
        <v>40301.0</v>
      </c>
      <c r="F172" s="126">
        <v>0.0</v>
      </c>
      <c r="G172" s="126">
        <v>0.0</v>
      </c>
      <c r="H172" s="124">
        <v>0.0</v>
      </c>
      <c r="I172" s="124">
        <v>0.0</v>
      </c>
      <c r="J172" s="124">
        <v>0.0</v>
      </c>
      <c r="K172" s="124">
        <v>0.0</v>
      </c>
      <c r="L172" s="126">
        <v>0.0</v>
      </c>
      <c r="M172" s="126">
        <v>0.0</v>
      </c>
    </row>
    <row r="173" ht="14.25" customHeight="1">
      <c r="A173" s="124" t="s">
        <v>636</v>
      </c>
      <c r="B173" s="124" t="s">
        <v>644</v>
      </c>
      <c r="C173" s="124" t="s">
        <v>646</v>
      </c>
      <c r="D173" s="124" t="s">
        <v>646</v>
      </c>
      <c r="E173" s="125">
        <v>40302.0</v>
      </c>
      <c r="F173" s="126">
        <v>0.0</v>
      </c>
      <c r="G173" s="126">
        <v>0.0</v>
      </c>
      <c r="H173" s="124">
        <v>0.0</v>
      </c>
      <c r="I173" s="124">
        <v>0.0</v>
      </c>
      <c r="J173" s="124">
        <v>0.0</v>
      </c>
      <c r="K173" s="124">
        <v>0.0</v>
      </c>
      <c r="L173" s="126">
        <v>0.0</v>
      </c>
      <c r="M173" s="126">
        <v>0.0</v>
      </c>
    </row>
    <row r="174" ht="14.25" customHeight="1">
      <c r="A174" s="124" t="s">
        <v>636</v>
      </c>
      <c r="B174" s="124" t="s">
        <v>647</v>
      </c>
      <c r="C174" s="124" t="s">
        <v>648</v>
      </c>
      <c r="D174" s="124" t="s">
        <v>648</v>
      </c>
      <c r="E174" s="125">
        <v>40401.0</v>
      </c>
      <c r="F174" s="126">
        <v>0.0</v>
      </c>
      <c r="G174" s="126">
        <v>0.0</v>
      </c>
      <c r="H174" s="124">
        <v>0.0</v>
      </c>
      <c r="I174" s="124">
        <v>0.0</v>
      </c>
      <c r="J174" s="124">
        <v>0.0</v>
      </c>
      <c r="K174" s="124">
        <v>0.0</v>
      </c>
      <c r="L174" s="126">
        <v>0.0</v>
      </c>
      <c r="M174" s="126">
        <v>0.0</v>
      </c>
    </row>
    <row r="175" ht="14.25" customHeight="1">
      <c r="A175" s="124" t="s">
        <v>636</v>
      </c>
      <c r="B175" s="124" t="s">
        <v>647</v>
      </c>
      <c r="C175" s="124" t="s">
        <v>649</v>
      </c>
      <c r="D175" s="124" t="s">
        <v>649</v>
      </c>
      <c r="E175" s="125">
        <v>40402.0</v>
      </c>
      <c r="F175" s="126">
        <v>0.0</v>
      </c>
      <c r="G175" s="126">
        <v>0.0</v>
      </c>
      <c r="H175" s="124">
        <v>0.0</v>
      </c>
      <c r="I175" s="124">
        <v>0.0</v>
      </c>
      <c r="J175" s="124">
        <v>0.0</v>
      </c>
      <c r="K175" s="124">
        <v>0.0</v>
      </c>
      <c r="L175" s="126">
        <v>0.0</v>
      </c>
      <c r="M175" s="126">
        <v>0.0</v>
      </c>
    </row>
    <row r="176" ht="14.25" customHeight="1">
      <c r="A176" s="124" t="s">
        <v>636</v>
      </c>
      <c r="B176" s="124" t="s">
        <v>650</v>
      </c>
      <c r="C176" s="124" t="s">
        <v>651</v>
      </c>
      <c r="D176" s="124" t="s">
        <v>651</v>
      </c>
      <c r="E176" s="125">
        <v>40501.0</v>
      </c>
      <c r="F176" s="126">
        <v>0.0</v>
      </c>
      <c r="G176" s="126">
        <v>0.0</v>
      </c>
      <c r="H176" s="124">
        <v>0.0</v>
      </c>
      <c r="I176" s="124">
        <v>0.0</v>
      </c>
      <c r="J176" s="124">
        <v>0.0</v>
      </c>
      <c r="K176" s="124">
        <v>0.0</v>
      </c>
      <c r="L176" s="126">
        <v>0.0</v>
      </c>
      <c r="M176" s="126">
        <v>0.0</v>
      </c>
    </row>
    <row r="177" ht="14.25" customHeight="1">
      <c r="A177" s="124" t="s">
        <v>636</v>
      </c>
      <c r="B177" s="124" t="s">
        <v>650</v>
      </c>
      <c r="C177" s="124" t="s">
        <v>652</v>
      </c>
      <c r="D177" s="124" t="s">
        <v>652</v>
      </c>
      <c r="E177" s="125">
        <v>40502.0</v>
      </c>
      <c r="F177" s="126">
        <v>0.0</v>
      </c>
      <c r="G177" s="126">
        <v>0.0</v>
      </c>
      <c r="H177" s="124">
        <v>0.0</v>
      </c>
      <c r="I177" s="124">
        <v>0.0</v>
      </c>
      <c r="J177" s="124">
        <v>0.0</v>
      </c>
      <c r="K177" s="124">
        <v>0.0</v>
      </c>
      <c r="L177" s="126">
        <v>0.0</v>
      </c>
      <c r="M177" s="126">
        <v>0.0</v>
      </c>
    </row>
    <row r="178" ht="14.25" customHeight="1">
      <c r="A178" s="124" t="s">
        <v>636</v>
      </c>
      <c r="B178" s="124" t="s">
        <v>650</v>
      </c>
      <c r="C178" s="124" t="s">
        <v>653</v>
      </c>
      <c r="D178" s="124" t="s">
        <v>653</v>
      </c>
      <c r="E178" s="125">
        <v>40503.0</v>
      </c>
      <c r="F178" s="126">
        <v>0.0</v>
      </c>
      <c r="G178" s="126">
        <v>0.0</v>
      </c>
      <c r="H178" s="124">
        <v>0.0</v>
      </c>
      <c r="I178" s="124">
        <v>0.0</v>
      </c>
      <c r="J178" s="124">
        <v>0.0</v>
      </c>
      <c r="K178" s="124">
        <v>0.0</v>
      </c>
      <c r="L178" s="126">
        <v>0.0</v>
      </c>
      <c r="M178" s="126">
        <v>0.0</v>
      </c>
    </row>
    <row r="179" ht="14.25" customHeight="1">
      <c r="A179" s="124" t="s">
        <v>636</v>
      </c>
      <c r="B179" s="124" t="s">
        <v>650</v>
      </c>
      <c r="C179" s="124" t="s">
        <v>654</v>
      </c>
      <c r="D179" s="124" t="s">
        <v>654</v>
      </c>
      <c r="E179" s="125">
        <v>40504.0</v>
      </c>
      <c r="F179" s="126">
        <v>0.0</v>
      </c>
      <c r="G179" s="126">
        <v>0.0</v>
      </c>
      <c r="H179" s="124">
        <v>0.0</v>
      </c>
      <c r="I179" s="124">
        <v>0.0</v>
      </c>
      <c r="J179" s="124">
        <v>0.0</v>
      </c>
      <c r="K179" s="124">
        <v>0.0</v>
      </c>
      <c r="L179" s="126">
        <v>0.0</v>
      </c>
      <c r="M179" s="126">
        <v>0.0</v>
      </c>
    </row>
    <row r="180" ht="14.25" customHeight="1">
      <c r="A180" s="124" t="s">
        <v>636</v>
      </c>
      <c r="B180" s="124" t="s">
        <v>650</v>
      </c>
      <c r="C180" s="124" t="s">
        <v>655</v>
      </c>
      <c r="D180" s="124" t="s">
        <v>655</v>
      </c>
      <c r="E180" s="125">
        <v>40505.0</v>
      </c>
      <c r="F180" s="126">
        <v>0.0</v>
      </c>
      <c r="G180" s="126">
        <v>0.0</v>
      </c>
      <c r="H180" s="124">
        <v>0.0</v>
      </c>
      <c r="I180" s="124">
        <v>0.0</v>
      </c>
      <c r="J180" s="124">
        <v>0.0</v>
      </c>
      <c r="K180" s="124">
        <v>0.0</v>
      </c>
      <c r="L180" s="126">
        <v>0.0</v>
      </c>
      <c r="M180" s="126">
        <v>0.0</v>
      </c>
    </row>
    <row r="181" ht="14.25" customHeight="1">
      <c r="A181" s="124" t="s">
        <v>636</v>
      </c>
      <c r="B181" s="124" t="s">
        <v>656</v>
      </c>
      <c r="C181" s="124" t="s">
        <v>656</v>
      </c>
      <c r="D181" s="124" t="s">
        <v>657</v>
      </c>
      <c r="E181" s="125">
        <v>40601.0</v>
      </c>
      <c r="F181" s="126">
        <v>0.0</v>
      </c>
      <c r="G181" s="126">
        <v>0.0</v>
      </c>
      <c r="H181" s="124">
        <v>0.0</v>
      </c>
      <c r="I181" s="124">
        <v>0.0</v>
      </c>
      <c r="J181" s="124">
        <v>0.0</v>
      </c>
      <c r="K181" s="124">
        <v>0.0</v>
      </c>
      <c r="L181" s="126">
        <v>0.0</v>
      </c>
      <c r="M181" s="126">
        <v>0.0</v>
      </c>
    </row>
    <row r="182" ht="14.25" customHeight="1">
      <c r="A182" s="124" t="s">
        <v>636</v>
      </c>
      <c r="B182" s="124" t="s">
        <v>656</v>
      </c>
      <c r="C182" s="124" t="s">
        <v>658</v>
      </c>
      <c r="D182" s="124" t="s">
        <v>658</v>
      </c>
      <c r="E182" s="125">
        <v>40602.0</v>
      </c>
      <c r="F182" s="126">
        <v>0.0</v>
      </c>
      <c r="G182" s="126">
        <v>0.0</v>
      </c>
      <c r="H182" s="124">
        <v>0.0</v>
      </c>
      <c r="I182" s="124">
        <v>0.0</v>
      </c>
      <c r="J182" s="124">
        <v>0.0</v>
      </c>
      <c r="K182" s="124">
        <v>0.0</v>
      </c>
      <c r="L182" s="126">
        <v>0.0</v>
      </c>
      <c r="M182" s="126">
        <v>0.0</v>
      </c>
    </row>
    <row r="183" ht="14.25" customHeight="1">
      <c r="A183" s="124" t="s">
        <v>636</v>
      </c>
      <c r="B183" s="124" t="s">
        <v>656</v>
      </c>
      <c r="C183" s="124" t="s">
        <v>659</v>
      </c>
      <c r="D183" s="124" t="s">
        <v>659</v>
      </c>
      <c r="E183" s="125">
        <v>40603.0</v>
      </c>
      <c r="F183" s="126">
        <v>0.0</v>
      </c>
      <c r="G183" s="126">
        <v>0.0</v>
      </c>
      <c r="H183" s="124">
        <v>0.0</v>
      </c>
      <c r="I183" s="124">
        <v>0.0</v>
      </c>
      <c r="J183" s="124">
        <v>0.0</v>
      </c>
      <c r="K183" s="124">
        <v>0.0</v>
      </c>
      <c r="L183" s="126">
        <v>0.0</v>
      </c>
      <c r="M183" s="126">
        <v>0.0</v>
      </c>
    </row>
    <row r="184" ht="14.25" customHeight="1">
      <c r="A184" s="124" t="s">
        <v>636</v>
      </c>
      <c r="B184" s="124" t="s">
        <v>660</v>
      </c>
      <c r="C184" s="124" t="s">
        <v>661</v>
      </c>
      <c r="D184" s="124" t="s">
        <v>662</v>
      </c>
      <c r="E184" s="125">
        <v>40701.0</v>
      </c>
      <c r="F184" s="126">
        <v>0.0</v>
      </c>
      <c r="G184" s="126">
        <v>0.0</v>
      </c>
      <c r="H184" s="124">
        <v>0.0</v>
      </c>
      <c r="I184" s="124">
        <v>0.0</v>
      </c>
      <c r="J184" s="124">
        <v>0.0</v>
      </c>
      <c r="K184" s="124">
        <v>0.0</v>
      </c>
      <c r="L184" s="126">
        <v>0.0</v>
      </c>
      <c r="M184" s="126">
        <v>0.0</v>
      </c>
    </row>
    <row r="185" ht="14.25" customHeight="1">
      <c r="A185" s="124" t="s">
        <v>636</v>
      </c>
      <c r="B185" s="124" t="s">
        <v>660</v>
      </c>
      <c r="C185" s="124" t="s">
        <v>663</v>
      </c>
      <c r="D185" s="124" t="s">
        <v>663</v>
      </c>
      <c r="E185" s="125">
        <v>40702.0</v>
      </c>
      <c r="F185" s="126">
        <v>0.0</v>
      </c>
      <c r="G185" s="126">
        <v>0.0</v>
      </c>
      <c r="H185" s="124">
        <v>0.0</v>
      </c>
      <c r="I185" s="124">
        <v>0.0</v>
      </c>
      <c r="J185" s="124">
        <v>0.0</v>
      </c>
      <c r="K185" s="124">
        <v>0.0</v>
      </c>
      <c r="L185" s="126">
        <v>0.0</v>
      </c>
      <c r="M185" s="126">
        <v>0.0</v>
      </c>
    </row>
    <row r="186" ht="14.25" customHeight="1">
      <c r="A186" s="124" t="s">
        <v>636</v>
      </c>
      <c r="B186" s="124" t="s">
        <v>664</v>
      </c>
      <c r="C186" s="124" t="s">
        <v>665</v>
      </c>
      <c r="D186" s="124" t="s">
        <v>665</v>
      </c>
      <c r="E186" s="125">
        <v>40801.0</v>
      </c>
      <c r="F186" s="126">
        <v>0.0</v>
      </c>
      <c r="G186" s="126">
        <v>0.0</v>
      </c>
      <c r="H186" s="124">
        <v>0.0</v>
      </c>
      <c r="I186" s="124">
        <v>0.0</v>
      </c>
      <c r="J186" s="124">
        <v>0.0</v>
      </c>
      <c r="K186" s="124">
        <v>0.0</v>
      </c>
      <c r="L186" s="126">
        <v>0.0</v>
      </c>
      <c r="M186" s="126">
        <v>0.0</v>
      </c>
    </row>
    <row r="187" ht="14.25" customHeight="1">
      <c r="A187" s="124" t="s">
        <v>636</v>
      </c>
      <c r="B187" s="124" t="s">
        <v>664</v>
      </c>
      <c r="C187" s="124" t="s">
        <v>666</v>
      </c>
      <c r="D187" s="124" t="s">
        <v>666</v>
      </c>
      <c r="E187" s="125">
        <v>40802.0</v>
      </c>
      <c r="F187" s="126">
        <v>0.0</v>
      </c>
      <c r="G187" s="126">
        <v>0.0</v>
      </c>
      <c r="H187" s="124">
        <v>0.0</v>
      </c>
      <c r="I187" s="124">
        <v>0.0</v>
      </c>
      <c r="J187" s="124">
        <v>0.0</v>
      </c>
      <c r="K187" s="124">
        <v>0.0</v>
      </c>
      <c r="L187" s="126">
        <v>0.0</v>
      </c>
      <c r="M187" s="126">
        <v>0.0</v>
      </c>
    </row>
    <row r="188" ht="14.25" customHeight="1">
      <c r="A188" s="124" t="s">
        <v>636</v>
      </c>
      <c r="B188" s="124" t="s">
        <v>667</v>
      </c>
      <c r="C188" s="124" t="s">
        <v>667</v>
      </c>
      <c r="D188" s="124" t="s">
        <v>667</v>
      </c>
      <c r="E188" s="125">
        <v>40901.0</v>
      </c>
      <c r="F188" s="126">
        <v>0.0</v>
      </c>
      <c r="G188" s="126">
        <v>0.0</v>
      </c>
      <c r="H188" s="124">
        <v>0.0</v>
      </c>
      <c r="I188" s="124">
        <v>0.0</v>
      </c>
      <c r="J188" s="124">
        <v>0.0</v>
      </c>
      <c r="K188" s="124">
        <v>0.0</v>
      </c>
      <c r="L188" s="126">
        <v>0.0</v>
      </c>
      <c r="M188" s="126">
        <v>0.0</v>
      </c>
    </row>
    <row r="189" ht="14.25" customHeight="1">
      <c r="A189" s="124" t="s">
        <v>636</v>
      </c>
      <c r="B189" s="124" t="s">
        <v>667</v>
      </c>
      <c r="C189" s="124" t="s">
        <v>668</v>
      </c>
      <c r="D189" s="124" t="s">
        <v>668</v>
      </c>
      <c r="E189" s="125">
        <v>40902.0</v>
      </c>
      <c r="F189" s="126">
        <v>0.0</v>
      </c>
      <c r="G189" s="126">
        <v>0.0</v>
      </c>
      <c r="H189" s="124">
        <v>0.0</v>
      </c>
      <c r="I189" s="124">
        <v>0.0</v>
      </c>
      <c r="J189" s="124">
        <v>0.0</v>
      </c>
      <c r="K189" s="124">
        <v>0.0</v>
      </c>
      <c r="L189" s="126">
        <v>0.0</v>
      </c>
      <c r="M189" s="126">
        <v>0.0</v>
      </c>
    </row>
    <row r="190" ht="14.25" customHeight="1">
      <c r="A190" s="124" t="s">
        <v>636</v>
      </c>
      <c r="B190" s="124" t="s">
        <v>667</v>
      </c>
      <c r="C190" s="124" t="s">
        <v>669</v>
      </c>
      <c r="D190" s="124" t="s">
        <v>669</v>
      </c>
      <c r="E190" s="125">
        <v>40903.0</v>
      </c>
      <c r="F190" s="126">
        <v>0.0</v>
      </c>
      <c r="G190" s="126">
        <v>0.0</v>
      </c>
      <c r="H190" s="124">
        <v>0.0</v>
      </c>
      <c r="I190" s="124">
        <v>0.0</v>
      </c>
      <c r="J190" s="124">
        <v>0.0</v>
      </c>
      <c r="K190" s="124">
        <v>0.0</v>
      </c>
      <c r="L190" s="126">
        <v>0.0</v>
      </c>
      <c r="M190" s="126">
        <v>0.0</v>
      </c>
    </row>
    <row r="191" ht="14.25" customHeight="1">
      <c r="A191" s="124" t="s">
        <v>636</v>
      </c>
      <c r="B191" s="124" t="s">
        <v>670</v>
      </c>
      <c r="C191" s="124" t="s">
        <v>671</v>
      </c>
      <c r="D191" s="124" t="s">
        <v>671</v>
      </c>
      <c r="E191" s="125">
        <v>41001.0</v>
      </c>
      <c r="F191" s="126">
        <v>0.0</v>
      </c>
      <c r="G191" s="126">
        <v>0.0</v>
      </c>
      <c r="H191" s="124">
        <v>0.0</v>
      </c>
      <c r="I191" s="124">
        <v>0.0</v>
      </c>
      <c r="J191" s="124">
        <v>0.0</v>
      </c>
      <c r="K191" s="124">
        <v>0.0</v>
      </c>
      <c r="L191" s="126">
        <v>0.0</v>
      </c>
      <c r="M191" s="126">
        <v>0.0</v>
      </c>
    </row>
    <row r="192" ht="14.25" customHeight="1">
      <c r="A192" s="124" t="s">
        <v>636</v>
      </c>
      <c r="B192" s="124" t="s">
        <v>672</v>
      </c>
      <c r="C192" s="124" t="s">
        <v>673</v>
      </c>
      <c r="D192" s="124" t="s">
        <v>673</v>
      </c>
      <c r="E192" s="125">
        <v>41101.0</v>
      </c>
      <c r="F192" s="126">
        <v>0.0</v>
      </c>
      <c r="G192" s="126">
        <v>0.0</v>
      </c>
      <c r="H192" s="124">
        <v>0.0</v>
      </c>
      <c r="I192" s="124">
        <v>0.0</v>
      </c>
      <c r="J192" s="124">
        <v>0.0</v>
      </c>
      <c r="K192" s="124">
        <v>0.0</v>
      </c>
      <c r="L192" s="126">
        <v>0.0</v>
      </c>
      <c r="M192" s="126">
        <v>0.0</v>
      </c>
    </row>
    <row r="193" ht="14.25" customHeight="1">
      <c r="A193" s="124" t="s">
        <v>636</v>
      </c>
      <c r="B193" s="124" t="s">
        <v>674</v>
      </c>
      <c r="C193" s="124" t="s">
        <v>675</v>
      </c>
      <c r="D193" s="124" t="s">
        <v>676</v>
      </c>
      <c r="E193" s="125">
        <v>41201.0</v>
      </c>
      <c r="F193" s="126">
        <v>0.0</v>
      </c>
      <c r="G193" s="126">
        <v>0.0</v>
      </c>
      <c r="H193" s="124">
        <v>0.0</v>
      </c>
      <c r="I193" s="124">
        <v>0.0</v>
      </c>
      <c r="J193" s="124">
        <v>0.0</v>
      </c>
      <c r="K193" s="124">
        <v>0.0</v>
      </c>
      <c r="L193" s="126">
        <v>0.0</v>
      </c>
      <c r="M193" s="126">
        <v>0.0</v>
      </c>
    </row>
    <row r="194" ht="14.25" customHeight="1">
      <c r="A194" s="124" t="s">
        <v>636</v>
      </c>
      <c r="B194" s="124" t="s">
        <v>674</v>
      </c>
      <c r="C194" s="124" t="s">
        <v>677</v>
      </c>
      <c r="D194" s="124" t="s">
        <v>677</v>
      </c>
      <c r="E194" s="125">
        <v>41202.0</v>
      </c>
      <c r="F194" s="126">
        <v>0.0</v>
      </c>
      <c r="G194" s="126">
        <v>0.0</v>
      </c>
      <c r="H194" s="124">
        <v>0.0</v>
      </c>
      <c r="I194" s="124">
        <v>0.0</v>
      </c>
      <c r="J194" s="124">
        <v>0.0</v>
      </c>
      <c r="K194" s="124">
        <v>0.0</v>
      </c>
      <c r="L194" s="126">
        <v>0.0</v>
      </c>
      <c r="M194" s="126">
        <v>0.0</v>
      </c>
    </row>
    <row r="195" ht="14.25" customHeight="1">
      <c r="A195" s="124" t="s">
        <v>636</v>
      </c>
      <c r="B195" s="124" t="s">
        <v>678</v>
      </c>
      <c r="C195" s="124" t="s">
        <v>619</v>
      </c>
      <c r="D195" s="124" t="s">
        <v>619</v>
      </c>
      <c r="E195" s="125">
        <v>41301.0</v>
      </c>
      <c r="F195" s="126">
        <v>0.0</v>
      </c>
      <c r="G195" s="126">
        <v>0.0</v>
      </c>
      <c r="H195" s="124">
        <v>0.0</v>
      </c>
      <c r="I195" s="124">
        <v>0.0</v>
      </c>
      <c r="J195" s="124">
        <v>0.0</v>
      </c>
      <c r="K195" s="124">
        <v>0.0</v>
      </c>
      <c r="L195" s="126">
        <v>0.0</v>
      </c>
      <c r="M195" s="126">
        <v>0.0</v>
      </c>
    </row>
    <row r="196" ht="14.25" customHeight="1">
      <c r="A196" s="124" t="s">
        <v>636</v>
      </c>
      <c r="B196" s="124" t="s">
        <v>679</v>
      </c>
      <c r="C196" s="124" t="s">
        <v>680</v>
      </c>
      <c r="D196" s="124" t="s">
        <v>680</v>
      </c>
      <c r="E196" s="125">
        <v>41401.0</v>
      </c>
      <c r="F196" s="126">
        <v>0.0</v>
      </c>
      <c r="G196" s="126">
        <v>0.0</v>
      </c>
      <c r="H196" s="124">
        <v>0.0</v>
      </c>
      <c r="I196" s="124">
        <v>0.0</v>
      </c>
      <c r="J196" s="124">
        <v>0.0</v>
      </c>
      <c r="K196" s="124">
        <v>0.0</v>
      </c>
      <c r="L196" s="126">
        <v>0.0</v>
      </c>
      <c r="M196" s="126">
        <v>0.0</v>
      </c>
    </row>
    <row r="197" ht="14.25" customHeight="1">
      <c r="A197" s="124" t="s">
        <v>636</v>
      </c>
      <c r="B197" s="124" t="s">
        <v>681</v>
      </c>
      <c r="C197" s="124" t="s">
        <v>682</v>
      </c>
      <c r="D197" s="124" t="s">
        <v>682</v>
      </c>
      <c r="E197" s="125">
        <v>41501.0</v>
      </c>
      <c r="F197" s="126">
        <v>0.0</v>
      </c>
      <c r="G197" s="126">
        <v>0.0</v>
      </c>
      <c r="H197" s="124">
        <v>0.0</v>
      </c>
      <c r="I197" s="124">
        <v>0.0</v>
      </c>
      <c r="J197" s="124">
        <v>0.0</v>
      </c>
      <c r="K197" s="124">
        <v>0.0</v>
      </c>
      <c r="L197" s="126">
        <v>0.0</v>
      </c>
      <c r="M197" s="126">
        <v>0.0</v>
      </c>
    </row>
    <row r="198" ht="14.25" customHeight="1">
      <c r="A198" s="124" t="s">
        <v>636</v>
      </c>
      <c r="B198" s="124" t="s">
        <v>681</v>
      </c>
      <c r="C198" s="124" t="s">
        <v>683</v>
      </c>
      <c r="D198" s="124" t="s">
        <v>683</v>
      </c>
      <c r="E198" s="125">
        <v>41502.0</v>
      </c>
      <c r="F198" s="126">
        <v>0.0</v>
      </c>
      <c r="G198" s="126">
        <v>0.0</v>
      </c>
      <c r="H198" s="124">
        <v>0.0</v>
      </c>
      <c r="I198" s="124">
        <v>0.0</v>
      </c>
      <c r="J198" s="124">
        <v>0.0</v>
      </c>
      <c r="K198" s="124">
        <v>0.0</v>
      </c>
      <c r="L198" s="126">
        <v>0.0</v>
      </c>
      <c r="M198" s="126">
        <v>0.0</v>
      </c>
    </row>
    <row r="199" ht="14.25" customHeight="1">
      <c r="A199" s="124" t="s">
        <v>636</v>
      </c>
      <c r="B199" s="124" t="s">
        <v>681</v>
      </c>
      <c r="C199" s="124" t="s">
        <v>644</v>
      </c>
      <c r="D199" s="124" t="s">
        <v>644</v>
      </c>
      <c r="E199" s="125">
        <v>41503.0</v>
      </c>
      <c r="F199" s="126">
        <v>0.0</v>
      </c>
      <c r="G199" s="126">
        <v>0.0</v>
      </c>
      <c r="H199" s="124">
        <v>0.0</v>
      </c>
      <c r="I199" s="124">
        <v>0.0</v>
      </c>
      <c r="J199" s="124">
        <v>0.0</v>
      </c>
      <c r="K199" s="124">
        <v>0.0</v>
      </c>
      <c r="L199" s="126">
        <v>0.0</v>
      </c>
      <c r="M199" s="126">
        <v>0.0</v>
      </c>
    </row>
    <row r="200" ht="14.25" customHeight="1">
      <c r="A200" s="124" t="s">
        <v>636</v>
      </c>
      <c r="B200" s="124" t="s">
        <v>684</v>
      </c>
      <c r="C200" s="124" t="s">
        <v>685</v>
      </c>
      <c r="D200" s="124" t="s">
        <v>686</v>
      </c>
      <c r="E200" s="125">
        <v>41601.0</v>
      </c>
      <c r="F200" s="126">
        <v>0.0</v>
      </c>
      <c r="G200" s="126">
        <v>0.0</v>
      </c>
      <c r="H200" s="124">
        <v>0.0</v>
      </c>
      <c r="I200" s="124">
        <v>0.0</v>
      </c>
      <c r="J200" s="124">
        <v>0.0</v>
      </c>
      <c r="K200" s="124">
        <v>0.0</v>
      </c>
      <c r="L200" s="126">
        <v>0.0</v>
      </c>
      <c r="M200" s="126">
        <v>0.0</v>
      </c>
    </row>
    <row r="201" ht="14.25" customHeight="1">
      <c r="A201" s="124" t="s">
        <v>687</v>
      </c>
      <c r="B201" s="124" t="s">
        <v>688</v>
      </c>
      <c r="C201" s="124" t="s">
        <v>687</v>
      </c>
      <c r="D201" s="124" t="s">
        <v>687</v>
      </c>
      <c r="E201" s="125">
        <v>50101.0</v>
      </c>
      <c r="F201" s="126">
        <v>0.0</v>
      </c>
      <c r="G201" s="126">
        <v>0.0</v>
      </c>
      <c r="H201" s="124">
        <v>0.0</v>
      </c>
      <c r="I201" s="124">
        <v>0.0</v>
      </c>
      <c r="J201" s="124">
        <v>0.0</v>
      </c>
      <c r="K201" s="124">
        <v>0.0</v>
      </c>
      <c r="L201" s="126">
        <v>0.0</v>
      </c>
      <c r="M201" s="126">
        <v>0.0</v>
      </c>
    </row>
    <row r="202" ht="14.25" customHeight="1">
      <c r="A202" s="124" t="s">
        <v>687</v>
      </c>
      <c r="B202" s="124" t="s">
        <v>688</v>
      </c>
      <c r="C202" s="124" t="s">
        <v>689</v>
      </c>
      <c r="D202" s="124" t="s">
        <v>689</v>
      </c>
      <c r="E202" s="125">
        <v>50102.0</v>
      </c>
      <c r="F202" s="126">
        <v>0.033434650455927056</v>
      </c>
      <c r="G202" s="126">
        <v>0.23932985680382693</v>
      </c>
      <c r="H202" s="124">
        <v>0.0</v>
      </c>
      <c r="I202" s="124">
        <v>0.0</v>
      </c>
      <c r="J202" s="124">
        <v>0.0</v>
      </c>
      <c r="K202" s="124">
        <v>0.0</v>
      </c>
      <c r="L202" s="126">
        <v>0.011144883485309018</v>
      </c>
      <c r="M202" s="126">
        <v>0.07977661893460898</v>
      </c>
    </row>
    <row r="203" ht="14.25" customHeight="1">
      <c r="A203" s="124" t="s">
        <v>687</v>
      </c>
      <c r="B203" s="124" t="s">
        <v>688</v>
      </c>
      <c r="C203" s="124" t="s">
        <v>690</v>
      </c>
      <c r="D203" s="124" t="s">
        <v>691</v>
      </c>
      <c r="E203" s="125">
        <v>50103.0</v>
      </c>
      <c r="F203" s="126">
        <v>0.0</v>
      </c>
      <c r="G203" s="126">
        <v>0.0</v>
      </c>
      <c r="H203" s="124">
        <v>0.0</v>
      </c>
      <c r="I203" s="124">
        <v>0.0</v>
      </c>
      <c r="J203" s="124">
        <v>0.0</v>
      </c>
      <c r="K203" s="124">
        <v>0.0</v>
      </c>
      <c r="L203" s="126">
        <v>0.0</v>
      </c>
      <c r="M203" s="126">
        <v>0.0</v>
      </c>
    </row>
    <row r="204" ht="14.25" customHeight="1">
      <c r="A204" s="124" t="s">
        <v>687</v>
      </c>
      <c r="B204" s="124" t="s">
        <v>688</v>
      </c>
      <c r="C204" s="124" t="s">
        <v>692</v>
      </c>
      <c r="D204" s="124" t="s">
        <v>693</v>
      </c>
      <c r="E204" s="125">
        <v>50104.0</v>
      </c>
      <c r="F204" s="126">
        <v>0.0</v>
      </c>
      <c r="G204" s="126">
        <v>0.0</v>
      </c>
      <c r="H204" s="124">
        <v>0.0</v>
      </c>
      <c r="I204" s="124">
        <v>0.0</v>
      </c>
      <c r="J204" s="124">
        <v>0.0</v>
      </c>
      <c r="K204" s="124">
        <v>0.0</v>
      </c>
      <c r="L204" s="126">
        <v>0.0</v>
      </c>
      <c r="M204" s="126">
        <v>0.0</v>
      </c>
    </row>
    <row r="205" ht="14.25" customHeight="1">
      <c r="A205" s="124" t="s">
        <v>687</v>
      </c>
      <c r="B205" s="124" t="s">
        <v>694</v>
      </c>
      <c r="C205" s="124" t="s">
        <v>695</v>
      </c>
      <c r="D205" s="124" t="s">
        <v>695</v>
      </c>
      <c r="E205" s="125">
        <v>50201.0</v>
      </c>
      <c r="F205" s="126">
        <v>0.0</v>
      </c>
      <c r="G205" s="126">
        <v>0.0</v>
      </c>
      <c r="H205" s="124">
        <v>0.0</v>
      </c>
      <c r="I205" s="124">
        <v>0.0</v>
      </c>
      <c r="J205" s="124">
        <v>0.0</v>
      </c>
      <c r="K205" s="124">
        <v>0.0</v>
      </c>
      <c r="L205" s="126">
        <v>0.0</v>
      </c>
      <c r="M205" s="126">
        <v>0.0</v>
      </c>
    </row>
    <row r="206" ht="14.25" customHeight="1">
      <c r="A206" s="124" t="s">
        <v>687</v>
      </c>
      <c r="B206" s="124" t="s">
        <v>694</v>
      </c>
      <c r="C206" s="124" t="s">
        <v>696</v>
      </c>
      <c r="D206" s="124" t="s">
        <v>696</v>
      </c>
      <c r="E206" s="125">
        <v>50202.0</v>
      </c>
      <c r="F206" s="126">
        <v>0.0</v>
      </c>
      <c r="G206" s="126">
        <v>0.0</v>
      </c>
      <c r="H206" s="124">
        <v>0.0</v>
      </c>
      <c r="I206" s="124">
        <v>0.0</v>
      </c>
      <c r="J206" s="124">
        <v>0.0</v>
      </c>
      <c r="K206" s="124">
        <v>0.0</v>
      </c>
      <c r="L206" s="126">
        <v>0.0</v>
      </c>
      <c r="M206" s="126">
        <v>0.0</v>
      </c>
    </row>
    <row r="207" ht="14.25" customHeight="1">
      <c r="A207" s="124" t="s">
        <v>687</v>
      </c>
      <c r="B207" s="124" t="s">
        <v>694</v>
      </c>
      <c r="C207" s="124" t="s">
        <v>697</v>
      </c>
      <c r="D207" s="124" t="s">
        <v>697</v>
      </c>
      <c r="E207" s="125">
        <v>50203.0</v>
      </c>
      <c r="F207" s="126">
        <v>0.0</v>
      </c>
      <c r="G207" s="126">
        <v>0.0</v>
      </c>
      <c r="H207" s="124">
        <v>0.0</v>
      </c>
      <c r="I207" s="124">
        <v>0.0</v>
      </c>
      <c r="J207" s="124">
        <v>0.0</v>
      </c>
      <c r="K207" s="124">
        <v>0.0</v>
      </c>
      <c r="L207" s="126">
        <v>0.0</v>
      </c>
      <c r="M207" s="126">
        <v>0.0</v>
      </c>
    </row>
    <row r="208" ht="14.25" customHeight="1">
      <c r="A208" s="124" t="s">
        <v>687</v>
      </c>
      <c r="B208" s="124" t="s">
        <v>694</v>
      </c>
      <c r="C208" s="124" t="s">
        <v>698</v>
      </c>
      <c r="D208" s="124" t="s">
        <v>698</v>
      </c>
      <c r="E208" s="125">
        <v>50204.0</v>
      </c>
      <c r="F208" s="126">
        <v>0.0</v>
      </c>
      <c r="G208" s="126">
        <v>0.0</v>
      </c>
      <c r="H208" s="124">
        <v>0.0</v>
      </c>
      <c r="I208" s="124">
        <v>0.0</v>
      </c>
      <c r="J208" s="124">
        <v>0.0</v>
      </c>
      <c r="K208" s="124">
        <v>0.0</v>
      </c>
      <c r="L208" s="126">
        <v>0.0</v>
      </c>
      <c r="M208" s="126">
        <v>0.0</v>
      </c>
    </row>
    <row r="209" ht="14.25" customHeight="1">
      <c r="A209" s="124" t="s">
        <v>687</v>
      </c>
      <c r="B209" s="124" t="s">
        <v>699</v>
      </c>
      <c r="C209" s="124" t="s">
        <v>700</v>
      </c>
      <c r="D209" s="124" t="s">
        <v>701</v>
      </c>
      <c r="E209" s="125">
        <v>50301.0</v>
      </c>
      <c r="F209" s="126">
        <v>0.26747720364741645</v>
      </c>
      <c r="G209" s="126">
        <v>0.3995497395499449</v>
      </c>
      <c r="H209" s="124">
        <v>0.0</v>
      </c>
      <c r="I209" s="124">
        <v>0.0</v>
      </c>
      <c r="J209" s="124">
        <v>0.0</v>
      </c>
      <c r="K209" s="124">
        <v>0.0</v>
      </c>
      <c r="L209" s="126">
        <v>0.08915906788247215</v>
      </c>
      <c r="M209" s="126">
        <v>0.13318324651664828</v>
      </c>
    </row>
    <row r="210" ht="14.25" customHeight="1">
      <c r="A210" s="124" t="s">
        <v>687</v>
      </c>
      <c r="B210" s="124" t="s">
        <v>699</v>
      </c>
      <c r="C210" s="124" t="s">
        <v>702</v>
      </c>
      <c r="D210" s="124" t="s">
        <v>702</v>
      </c>
      <c r="E210" s="125">
        <v>50302.0</v>
      </c>
      <c r="F210" s="126">
        <v>0.0182370820668693</v>
      </c>
      <c r="G210" s="126">
        <v>0.06161532919859813</v>
      </c>
      <c r="H210" s="124">
        <v>0.0</v>
      </c>
      <c r="I210" s="124">
        <v>0.0</v>
      </c>
      <c r="J210" s="124">
        <v>0.0</v>
      </c>
      <c r="K210" s="124">
        <v>0.0</v>
      </c>
      <c r="L210" s="126">
        <v>0.0060790273556231</v>
      </c>
      <c r="M210" s="126">
        <v>0.020538443066199376</v>
      </c>
    </row>
    <row r="211" ht="14.25" customHeight="1">
      <c r="A211" s="124" t="s">
        <v>687</v>
      </c>
      <c r="B211" s="124" t="s">
        <v>699</v>
      </c>
      <c r="C211" s="124" t="s">
        <v>703</v>
      </c>
      <c r="D211" s="124" t="s">
        <v>703</v>
      </c>
      <c r="E211" s="125">
        <v>50303.0</v>
      </c>
      <c r="F211" s="126">
        <v>0.2127659574468085</v>
      </c>
      <c r="G211" s="126">
        <v>0.11889842087437125</v>
      </c>
      <c r="H211" s="124">
        <v>0.0</v>
      </c>
      <c r="I211" s="124">
        <v>0.0</v>
      </c>
      <c r="J211" s="124">
        <v>0.0</v>
      </c>
      <c r="K211" s="124">
        <v>0.0</v>
      </c>
      <c r="L211" s="126">
        <v>0.07092198581560284</v>
      </c>
      <c r="M211" s="126">
        <v>0.03963280695812375</v>
      </c>
    </row>
    <row r="212" ht="14.25" customHeight="1">
      <c r="A212" s="124" t="s">
        <v>687</v>
      </c>
      <c r="B212" s="124" t="s">
        <v>696</v>
      </c>
      <c r="C212" s="124" t="s">
        <v>704</v>
      </c>
      <c r="D212" s="124" t="s">
        <v>704</v>
      </c>
      <c r="E212" s="125">
        <v>50401.0</v>
      </c>
      <c r="F212" s="126">
        <v>0.20668693009118544</v>
      </c>
      <c r="G212" s="126">
        <v>0.34568717024105367</v>
      </c>
      <c r="H212" s="124">
        <v>0.0</v>
      </c>
      <c r="I212" s="124">
        <v>0.0</v>
      </c>
      <c r="J212" s="124">
        <v>0.0</v>
      </c>
      <c r="K212" s="124">
        <v>0.0</v>
      </c>
      <c r="L212" s="126">
        <v>0.06889564336372848</v>
      </c>
      <c r="M212" s="126">
        <v>0.11522905674701789</v>
      </c>
    </row>
    <row r="213" ht="14.25" customHeight="1">
      <c r="A213" s="124" t="s">
        <v>687</v>
      </c>
      <c r="B213" s="124" t="s">
        <v>696</v>
      </c>
      <c r="C213" s="124" t="s">
        <v>264</v>
      </c>
      <c r="D213" s="124" t="s">
        <v>264</v>
      </c>
      <c r="E213" s="125">
        <v>50402.0</v>
      </c>
      <c r="F213" s="126">
        <v>0.0790273556231003</v>
      </c>
      <c r="G213" s="126">
        <v>0.3470561673351105</v>
      </c>
      <c r="H213" s="124">
        <v>0.0</v>
      </c>
      <c r="I213" s="124">
        <v>0.0</v>
      </c>
      <c r="J213" s="124">
        <v>0.0</v>
      </c>
      <c r="K213" s="124">
        <v>0.0</v>
      </c>
      <c r="L213" s="126">
        <v>0.026342451874366766</v>
      </c>
      <c r="M213" s="126">
        <v>0.11568538911170351</v>
      </c>
    </row>
    <row r="214" ht="14.25" customHeight="1">
      <c r="A214" s="124" t="s">
        <v>687</v>
      </c>
      <c r="B214" s="124" t="s">
        <v>696</v>
      </c>
      <c r="C214" s="124" t="s">
        <v>705</v>
      </c>
      <c r="D214" s="124" t="s">
        <v>705</v>
      </c>
      <c r="E214" s="125">
        <v>50403.0</v>
      </c>
      <c r="F214" s="126">
        <v>0.16109422492401215</v>
      </c>
      <c r="G214" s="126">
        <v>0.16002407701709248</v>
      </c>
      <c r="H214" s="124">
        <v>0.0</v>
      </c>
      <c r="I214" s="124">
        <v>0.0</v>
      </c>
      <c r="J214" s="124">
        <v>0.0</v>
      </c>
      <c r="K214" s="124">
        <v>0.0</v>
      </c>
      <c r="L214" s="126">
        <v>0.05369807497467072</v>
      </c>
      <c r="M214" s="126">
        <v>0.053341359005697496</v>
      </c>
    </row>
    <row r="215" ht="14.25" customHeight="1">
      <c r="A215" s="124" t="s">
        <v>687</v>
      </c>
      <c r="B215" s="124" t="s">
        <v>696</v>
      </c>
      <c r="C215" s="124" t="s">
        <v>706</v>
      </c>
      <c r="D215" s="124" t="s">
        <v>706</v>
      </c>
      <c r="E215" s="125">
        <v>50404.0</v>
      </c>
      <c r="F215" s="126">
        <v>0.2735562310030395</v>
      </c>
      <c r="G215" s="126">
        <v>0.06918321119465774</v>
      </c>
      <c r="H215" s="124">
        <v>0.0</v>
      </c>
      <c r="I215" s="124">
        <v>0.0</v>
      </c>
      <c r="J215" s="124">
        <v>0.0</v>
      </c>
      <c r="K215" s="124">
        <v>0.0</v>
      </c>
      <c r="L215" s="126">
        <v>0.0911854103343465</v>
      </c>
      <c r="M215" s="126">
        <v>0.02306107039821925</v>
      </c>
    </row>
    <row r="216" ht="14.25" customHeight="1">
      <c r="A216" s="124" t="s">
        <v>687</v>
      </c>
      <c r="B216" s="124" t="s">
        <v>696</v>
      </c>
      <c r="C216" s="124" t="s">
        <v>707</v>
      </c>
      <c r="D216" s="124" t="s">
        <v>707</v>
      </c>
      <c r="E216" s="125">
        <v>50405.0</v>
      </c>
      <c r="F216" s="126">
        <v>0.0</v>
      </c>
      <c r="G216" s="126">
        <v>0.0</v>
      </c>
      <c r="H216" s="124">
        <v>0.0</v>
      </c>
      <c r="I216" s="124">
        <v>0.0</v>
      </c>
      <c r="J216" s="124">
        <v>0.0</v>
      </c>
      <c r="K216" s="124">
        <v>0.0</v>
      </c>
      <c r="L216" s="126">
        <v>0.0</v>
      </c>
      <c r="M216" s="126">
        <v>0.0</v>
      </c>
    </row>
    <row r="217" ht="14.25" customHeight="1">
      <c r="A217" s="124" t="s">
        <v>687</v>
      </c>
      <c r="B217" s="124" t="s">
        <v>708</v>
      </c>
      <c r="C217" s="124" t="s">
        <v>709</v>
      </c>
      <c r="D217" s="124" t="s">
        <v>709</v>
      </c>
      <c r="E217" s="125">
        <v>50501.0</v>
      </c>
      <c r="F217" s="126">
        <v>0.11246200607902736</v>
      </c>
      <c r="G217" s="126">
        <v>0.21926508224608765</v>
      </c>
      <c r="H217" s="124">
        <v>0.0</v>
      </c>
      <c r="I217" s="124">
        <v>0.0</v>
      </c>
      <c r="J217" s="124">
        <v>4.0419282692463147E-4</v>
      </c>
      <c r="K217" s="124">
        <v>0.0</v>
      </c>
      <c r="L217" s="126">
        <v>0.037622066301983996</v>
      </c>
      <c r="M217" s="126">
        <v>0.07308836074869589</v>
      </c>
    </row>
    <row r="218" ht="14.25" customHeight="1">
      <c r="A218" s="124" t="s">
        <v>687</v>
      </c>
      <c r="B218" s="124" t="s">
        <v>708</v>
      </c>
      <c r="C218" s="124" t="s">
        <v>267</v>
      </c>
      <c r="D218" s="124" t="s">
        <v>267</v>
      </c>
      <c r="E218" s="125">
        <v>50502.0</v>
      </c>
      <c r="F218" s="126">
        <v>0.29787234042553196</v>
      </c>
      <c r="G218" s="126">
        <v>0.5925636564214228</v>
      </c>
      <c r="H218" s="124">
        <v>0.0</v>
      </c>
      <c r="I218" s="124">
        <v>0.47078894571546975</v>
      </c>
      <c r="J218" s="124">
        <v>0.046803858930409774</v>
      </c>
      <c r="K218" s="124">
        <v>0.0</v>
      </c>
      <c r="L218" s="126">
        <v>0.11489206645198058</v>
      </c>
      <c r="M218" s="126">
        <v>0.3544508673789642</v>
      </c>
    </row>
    <row r="219" ht="14.25" customHeight="1">
      <c r="A219" s="124" t="s">
        <v>687</v>
      </c>
      <c r="B219" s="124" t="s">
        <v>710</v>
      </c>
      <c r="C219" s="124" t="s">
        <v>262</v>
      </c>
      <c r="D219" s="124" t="s">
        <v>262</v>
      </c>
      <c r="E219" s="125">
        <v>50601.0</v>
      </c>
      <c r="F219" s="126">
        <v>0.0668693009118541</v>
      </c>
      <c r="G219" s="126">
        <v>0.12731967230729715</v>
      </c>
      <c r="H219" s="124">
        <v>0.0</v>
      </c>
      <c r="I219" s="124">
        <v>0.0</v>
      </c>
      <c r="J219" s="124">
        <v>0.0</v>
      </c>
      <c r="K219" s="124">
        <v>0.0</v>
      </c>
      <c r="L219" s="126">
        <v>0.022289766970618033</v>
      </c>
      <c r="M219" s="126">
        <v>0.04243989076909905</v>
      </c>
    </row>
    <row r="220" ht="14.25" customHeight="1">
      <c r="A220" s="124" t="s">
        <v>687</v>
      </c>
      <c r="B220" s="124" t="s">
        <v>710</v>
      </c>
      <c r="C220" s="124" t="s">
        <v>711</v>
      </c>
      <c r="D220" s="124" t="s">
        <v>711</v>
      </c>
      <c r="E220" s="125">
        <v>50602.0</v>
      </c>
      <c r="F220" s="126">
        <v>0.16717325227963525</v>
      </c>
      <c r="G220" s="126">
        <v>0.08403432232470386</v>
      </c>
      <c r="H220" s="124">
        <v>0.0</v>
      </c>
      <c r="I220" s="124">
        <v>0.0</v>
      </c>
      <c r="J220" s="124">
        <v>0.0</v>
      </c>
      <c r="K220" s="124">
        <v>0.0</v>
      </c>
      <c r="L220" s="126">
        <v>0.05572441742654508</v>
      </c>
      <c r="M220" s="126">
        <v>0.028011440774901284</v>
      </c>
    </row>
    <row r="221" ht="14.25" customHeight="1">
      <c r="A221" s="124" t="s">
        <v>687</v>
      </c>
      <c r="B221" s="124" t="s">
        <v>712</v>
      </c>
      <c r="C221" s="124" t="s">
        <v>713</v>
      </c>
      <c r="D221" s="124" t="s">
        <v>714</v>
      </c>
      <c r="E221" s="125">
        <v>50701.0</v>
      </c>
      <c r="F221" s="126">
        <v>0.0</v>
      </c>
      <c r="G221" s="126">
        <v>0.0</v>
      </c>
      <c r="H221" s="124">
        <v>0.0</v>
      </c>
      <c r="I221" s="124">
        <v>0.0</v>
      </c>
      <c r="J221" s="124">
        <v>0.0</v>
      </c>
      <c r="K221" s="124">
        <v>0.0</v>
      </c>
      <c r="L221" s="126">
        <v>0.0</v>
      </c>
      <c r="M221" s="126">
        <v>0.0</v>
      </c>
    </row>
    <row r="222" ht="14.25" customHeight="1">
      <c r="A222" s="124" t="s">
        <v>687</v>
      </c>
      <c r="B222" s="124" t="s">
        <v>712</v>
      </c>
      <c r="C222" s="124" t="s">
        <v>715</v>
      </c>
      <c r="D222" s="124" t="s">
        <v>715</v>
      </c>
      <c r="E222" s="125">
        <v>50702.0</v>
      </c>
      <c r="F222" s="126">
        <v>0.0</v>
      </c>
      <c r="G222" s="126">
        <v>0.0</v>
      </c>
      <c r="H222" s="124">
        <v>0.0</v>
      </c>
      <c r="I222" s="124">
        <v>0.0</v>
      </c>
      <c r="J222" s="124">
        <v>0.0</v>
      </c>
      <c r="K222" s="124">
        <v>0.0</v>
      </c>
      <c r="L222" s="126">
        <v>0.0</v>
      </c>
      <c r="M222" s="126">
        <v>0.0</v>
      </c>
    </row>
    <row r="223" ht="14.25" customHeight="1">
      <c r="A223" s="124" t="s">
        <v>687</v>
      </c>
      <c r="B223" s="124" t="s">
        <v>716</v>
      </c>
      <c r="C223" s="124" t="s">
        <v>717</v>
      </c>
      <c r="D223" s="124" t="s">
        <v>717</v>
      </c>
      <c r="E223" s="125">
        <v>50801.0</v>
      </c>
      <c r="F223" s="126">
        <v>0.02735562310030395</v>
      </c>
      <c r="G223" s="126">
        <v>0.051078004978007574</v>
      </c>
      <c r="H223" s="124">
        <v>0.0</v>
      </c>
      <c r="I223" s="124">
        <v>0.0</v>
      </c>
      <c r="J223" s="124">
        <v>0.0</v>
      </c>
      <c r="K223" s="124">
        <v>0.0</v>
      </c>
      <c r="L223" s="126">
        <v>0.00911854103343465</v>
      </c>
      <c r="M223" s="126">
        <v>0.01702600165933586</v>
      </c>
    </row>
    <row r="224" ht="14.25" customHeight="1">
      <c r="A224" s="124" t="s">
        <v>687</v>
      </c>
      <c r="B224" s="124" t="s">
        <v>716</v>
      </c>
      <c r="C224" s="124" t="s">
        <v>718</v>
      </c>
      <c r="D224" s="124" t="s">
        <v>718</v>
      </c>
      <c r="E224" s="125">
        <v>50802.0</v>
      </c>
      <c r="F224" s="126">
        <v>0.0</v>
      </c>
      <c r="G224" s="126">
        <v>0.0</v>
      </c>
      <c r="H224" s="124">
        <v>0.0</v>
      </c>
      <c r="I224" s="124">
        <v>0.0</v>
      </c>
      <c r="J224" s="124">
        <v>0.0</v>
      </c>
      <c r="K224" s="124">
        <v>0.0</v>
      </c>
      <c r="L224" s="126">
        <v>0.0</v>
      </c>
      <c r="M224" s="126">
        <v>0.0</v>
      </c>
    </row>
    <row r="225" ht="14.25" customHeight="1">
      <c r="A225" s="124" t="s">
        <v>687</v>
      </c>
      <c r="B225" s="124" t="s">
        <v>719</v>
      </c>
      <c r="C225" s="124" t="s">
        <v>720</v>
      </c>
      <c r="D225" s="124" t="s">
        <v>721</v>
      </c>
      <c r="E225" s="125">
        <v>50901.0</v>
      </c>
      <c r="F225" s="126">
        <v>0.0</v>
      </c>
      <c r="G225" s="126">
        <v>0.0</v>
      </c>
      <c r="H225" s="124">
        <v>0.0</v>
      </c>
      <c r="I225" s="124">
        <v>0.0</v>
      </c>
      <c r="J225" s="124">
        <v>0.0</v>
      </c>
      <c r="K225" s="124">
        <v>0.0</v>
      </c>
      <c r="L225" s="126">
        <v>0.0</v>
      </c>
      <c r="M225" s="126">
        <v>0.0</v>
      </c>
    </row>
    <row r="226" ht="14.25" customHeight="1">
      <c r="A226" s="124" t="s">
        <v>687</v>
      </c>
      <c r="B226" s="124" t="s">
        <v>719</v>
      </c>
      <c r="C226" s="124" t="s">
        <v>722</v>
      </c>
      <c r="D226" s="124" t="s">
        <v>723</v>
      </c>
      <c r="E226" s="125">
        <v>50902.0</v>
      </c>
      <c r="F226" s="126">
        <v>0.0</v>
      </c>
      <c r="G226" s="126">
        <v>0.0</v>
      </c>
      <c r="H226" s="124">
        <v>0.0</v>
      </c>
      <c r="I226" s="124">
        <v>0.0</v>
      </c>
      <c r="J226" s="124">
        <v>0.0</v>
      </c>
      <c r="K226" s="124">
        <v>0.0</v>
      </c>
      <c r="L226" s="126">
        <v>0.0</v>
      </c>
      <c r="M226" s="126">
        <v>0.0</v>
      </c>
    </row>
    <row r="227" ht="14.25" customHeight="1">
      <c r="A227" s="124" t="s">
        <v>687</v>
      </c>
      <c r="B227" s="124" t="s">
        <v>724</v>
      </c>
      <c r="C227" s="124" t="s">
        <v>725</v>
      </c>
      <c r="D227" s="124" t="s">
        <v>726</v>
      </c>
      <c r="E227" s="125">
        <v>51001.0</v>
      </c>
      <c r="F227" s="126">
        <v>0.0</v>
      </c>
      <c r="G227" s="126">
        <v>0.0</v>
      </c>
      <c r="H227" s="124">
        <v>0.0</v>
      </c>
      <c r="I227" s="124">
        <v>0.0</v>
      </c>
      <c r="J227" s="124">
        <v>0.0</v>
      </c>
      <c r="K227" s="124">
        <v>0.0</v>
      </c>
      <c r="L227" s="126">
        <v>0.0</v>
      </c>
      <c r="M227" s="126">
        <v>0.0</v>
      </c>
    </row>
    <row r="228" ht="14.25" customHeight="1">
      <c r="A228" s="124" t="s">
        <v>687</v>
      </c>
      <c r="B228" s="124" t="s">
        <v>724</v>
      </c>
      <c r="C228" s="124" t="s">
        <v>727</v>
      </c>
      <c r="D228" s="124" t="s">
        <v>727</v>
      </c>
      <c r="E228" s="125">
        <v>51002.0</v>
      </c>
      <c r="F228" s="126">
        <v>0.0303951367781155</v>
      </c>
      <c r="G228" s="126">
        <v>0.03292806484295847</v>
      </c>
      <c r="H228" s="124">
        <v>0.0</v>
      </c>
      <c r="I228" s="124">
        <v>0.0</v>
      </c>
      <c r="J228" s="124">
        <v>0.0</v>
      </c>
      <c r="K228" s="124">
        <v>0.0</v>
      </c>
      <c r="L228" s="126">
        <v>0.010131712259371832</v>
      </c>
      <c r="M228" s="126">
        <v>0.010976021614319488</v>
      </c>
    </row>
    <row r="229" ht="14.25" customHeight="1">
      <c r="A229" s="124" t="s">
        <v>687</v>
      </c>
      <c r="B229" s="124" t="s">
        <v>724</v>
      </c>
      <c r="C229" s="124" t="s">
        <v>728</v>
      </c>
      <c r="D229" s="124" t="s">
        <v>728</v>
      </c>
      <c r="E229" s="125">
        <v>51003.0</v>
      </c>
      <c r="F229" s="126">
        <v>0.0</v>
      </c>
      <c r="G229" s="126">
        <v>0.0</v>
      </c>
      <c r="H229" s="124">
        <v>0.0</v>
      </c>
      <c r="I229" s="124">
        <v>0.0</v>
      </c>
      <c r="J229" s="124">
        <v>0.0</v>
      </c>
      <c r="K229" s="124">
        <v>0.0</v>
      </c>
      <c r="L229" s="126">
        <v>0.0</v>
      </c>
      <c r="M229" s="126">
        <v>0.0</v>
      </c>
    </row>
    <row r="230" ht="14.25" customHeight="1">
      <c r="A230" s="124" t="s">
        <v>687</v>
      </c>
      <c r="B230" s="124" t="s">
        <v>729</v>
      </c>
      <c r="C230" s="124" t="s">
        <v>730</v>
      </c>
      <c r="D230" s="124" t="s">
        <v>731</v>
      </c>
      <c r="E230" s="125">
        <v>51101.0</v>
      </c>
      <c r="F230" s="126">
        <v>0.1580547112462006</v>
      </c>
      <c r="G230" s="126">
        <v>0.15027257939825206</v>
      </c>
      <c r="H230" s="124">
        <v>0.0</v>
      </c>
      <c r="I230" s="124">
        <v>0.0</v>
      </c>
      <c r="J230" s="124">
        <v>0.0</v>
      </c>
      <c r="K230" s="124">
        <v>0.0</v>
      </c>
      <c r="L230" s="126">
        <v>0.05268490374873353</v>
      </c>
      <c r="M230" s="126">
        <v>0.05009085979941735</v>
      </c>
    </row>
    <row r="231" ht="14.25" customHeight="1">
      <c r="A231" s="124" t="s">
        <v>687</v>
      </c>
      <c r="B231" s="124" t="s">
        <v>729</v>
      </c>
      <c r="C231" s="124" t="s">
        <v>732</v>
      </c>
      <c r="D231" s="124" t="s">
        <v>732</v>
      </c>
      <c r="E231" s="125">
        <v>51102.0</v>
      </c>
      <c r="F231" s="126">
        <v>0.05775075987841945</v>
      </c>
      <c r="G231" s="126">
        <v>0.05632014276968456</v>
      </c>
      <c r="H231" s="124">
        <v>0.0</v>
      </c>
      <c r="I231" s="124">
        <v>0.0</v>
      </c>
      <c r="J231" s="124">
        <v>0.0</v>
      </c>
      <c r="K231" s="124">
        <v>0.0</v>
      </c>
      <c r="L231" s="126">
        <v>0.019250253292806482</v>
      </c>
      <c r="M231" s="126">
        <v>0.018773380923228188</v>
      </c>
    </row>
    <row r="232" ht="14.25" customHeight="1">
      <c r="A232" s="124" t="s">
        <v>687</v>
      </c>
      <c r="B232" s="124" t="s">
        <v>729</v>
      </c>
      <c r="C232" s="124" t="s">
        <v>733</v>
      </c>
      <c r="D232" s="124" t="s">
        <v>733</v>
      </c>
      <c r="E232" s="125">
        <v>51103.0</v>
      </c>
      <c r="F232" s="126">
        <v>0.6413373860182372</v>
      </c>
      <c r="G232" s="126">
        <v>0.22952457465370832</v>
      </c>
      <c r="H232" s="124">
        <v>0.0</v>
      </c>
      <c r="I232" s="124">
        <v>0.0</v>
      </c>
      <c r="J232" s="124">
        <v>0.0</v>
      </c>
      <c r="K232" s="124">
        <v>0.0</v>
      </c>
      <c r="L232" s="126">
        <v>0.21377912867274573</v>
      </c>
      <c r="M232" s="126">
        <v>0.0765081915512361</v>
      </c>
    </row>
    <row r="233" ht="14.25" customHeight="1">
      <c r="A233" s="124" t="s">
        <v>687</v>
      </c>
      <c r="B233" s="124" t="s">
        <v>734</v>
      </c>
      <c r="C233" s="124" t="s">
        <v>735</v>
      </c>
      <c r="D233" s="124" t="s">
        <v>735</v>
      </c>
      <c r="E233" s="125">
        <v>51201.0</v>
      </c>
      <c r="F233" s="126">
        <v>0.0</v>
      </c>
      <c r="G233" s="126">
        <v>0.0</v>
      </c>
      <c r="H233" s="124">
        <v>0.0</v>
      </c>
      <c r="I233" s="124">
        <v>0.0</v>
      </c>
      <c r="J233" s="124">
        <v>0.0</v>
      </c>
      <c r="K233" s="124">
        <v>0.0</v>
      </c>
      <c r="L233" s="126">
        <v>0.0</v>
      </c>
      <c r="M233" s="126">
        <v>0.0</v>
      </c>
    </row>
    <row r="234" ht="14.25" customHeight="1">
      <c r="A234" s="124" t="s">
        <v>687</v>
      </c>
      <c r="B234" s="124" t="s">
        <v>734</v>
      </c>
      <c r="C234" s="124" t="s">
        <v>736</v>
      </c>
      <c r="D234" s="124" t="s">
        <v>736</v>
      </c>
      <c r="E234" s="125">
        <v>51202.0</v>
      </c>
      <c r="F234" s="126">
        <v>0.09422492401215807</v>
      </c>
      <c r="G234" s="126">
        <v>0.020906081028841422</v>
      </c>
      <c r="H234" s="124">
        <v>0.0</v>
      </c>
      <c r="I234" s="124">
        <v>0.0</v>
      </c>
      <c r="J234" s="124">
        <v>0.0</v>
      </c>
      <c r="K234" s="124">
        <v>0.0</v>
      </c>
      <c r="L234" s="126">
        <v>0.03140830800405269</v>
      </c>
      <c r="M234" s="126">
        <v>0.006968693676280474</v>
      </c>
    </row>
    <row r="235" ht="14.25" customHeight="1">
      <c r="A235" s="124" t="s">
        <v>687</v>
      </c>
      <c r="B235" s="124" t="s">
        <v>734</v>
      </c>
      <c r="C235" s="124" t="s">
        <v>737</v>
      </c>
      <c r="D235" s="124" t="s">
        <v>737</v>
      </c>
      <c r="E235" s="125">
        <v>51203.0</v>
      </c>
      <c r="F235" s="126">
        <v>0.0</v>
      </c>
      <c r="G235" s="126">
        <v>0.0</v>
      </c>
      <c r="H235" s="124">
        <v>0.0</v>
      </c>
      <c r="I235" s="124">
        <v>0.0</v>
      </c>
      <c r="J235" s="124">
        <v>0.0</v>
      </c>
      <c r="K235" s="124">
        <v>0.0</v>
      </c>
      <c r="L235" s="126">
        <v>0.0</v>
      </c>
      <c r="M235" s="126">
        <v>0.0</v>
      </c>
    </row>
    <row r="236" ht="14.25" customHeight="1">
      <c r="A236" s="124" t="s">
        <v>687</v>
      </c>
      <c r="B236" s="124" t="s">
        <v>736</v>
      </c>
      <c r="C236" s="124" t="s">
        <v>738</v>
      </c>
      <c r="D236" s="124" t="s">
        <v>738</v>
      </c>
      <c r="E236" s="125">
        <v>51204.0</v>
      </c>
      <c r="F236" s="126">
        <v>0.0</v>
      </c>
      <c r="G236" s="126">
        <v>0.0</v>
      </c>
      <c r="H236" s="124">
        <v>0.0</v>
      </c>
      <c r="I236" s="124">
        <v>0.0</v>
      </c>
      <c r="J236" s="124">
        <v>0.0</v>
      </c>
      <c r="K236" s="124">
        <v>0.0</v>
      </c>
      <c r="L236" s="126">
        <v>0.0</v>
      </c>
      <c r="M236" s="126">
        <v>0.0</v>
      </c>
    </row>
    <row r="237" ht="14.25" customHeight="1">
      <c r="A237" s="124" t="s">
        <v>687</v>
      </c>
      <c r="B237" s="124" t="s">
        <v>739</v>
      </c>
      <c r="C237" s="124" t="s">
        <v>740</v>
      </c>
      <c r="D237" s="124" t="s">
        <v>740</v>
      </c>
      <c r="E237" s="125">
        <v>51301.0</v>
      </c>
      <c r="F237" s="126">
        <v>0.033434650455927056</v>
      </c>
      <c r="G237" s="126">
        <v>0.08513101467925308</v>
      </c>
      <c r="H237" s="124">
        <v>0.0</v>
      </c>
      <c r="I237" s="124">
        <v>0.0</v>
      </c>
      <c r="J237" s="124">
        <v>0.0</v>
      </c>
      <c r="K237" s="124">
        <v>0.0</v>
      </c>
      <c r="L237" s="126">
        <v>0.011144883485309018</v>
      </c>
      <c r="M237" s="126">
        <v>0.028377004893084357</v>
      </c>
    </row>
    <row r="238" ht="14.25" customHeight="1">
      <c r="A238" s="124" t="s">
        <v>687</v>
      </c>
      <c r="B238" s="124" t="s">
        <v>739</v>
      </c>
      <c r="C238" s="124" t="s">
        <v>741</v>
      </c>
      <c r="D238" s="124" t="s">
        <v>741</v>
      </c>
      <c r="E238" s="125">
        <v>51302.0</v>
      </c>
      <c r="F238" s="126">
        <v>0.0486322188449848</v>
      </c>
      <c r="G238" s="126">
        <v>0.048556620226912775</v>
      </c>
      <c r="H238" s="124">
        <v>0.0</v>
      </c>
      <c r="I238" s="124">
        <v>0.0</v>
      </c>
      <c r="J238" s="124">
        <v>0.0</v>
      </c>
      <c r="K238" s="124">
        <v>0.0</v>
      </c>
      <c r="L238" s="126">
        <v>0.016210739614994935</v>
      </c>
      <c r="M238" s="126">
        <v>0.01618554007563759</v>
      </c>
    </row>
    <row r="239" ht="14.25" customHeight="1">
      <c r="A239" s="124" t="s">
        <v>687</v>
      </c>
      <c r="B239" s="124" t="s">
        <v>742</v>
      </c>
      <c r="C239" s="124" t="s">
        <v>743</v>
      </c>
      <c r="D239" s="124" t="s">
        <v>743</v>
      </c>
      <c r="E239" s="125">
        <v>51401.0</v>
      </c>
      <c r="F239" s="126">
        <v>0.0</v>
      </c>
      <c r="G239" s="126">
        <v>0.0</v>
      </c>
      <c r="H239" s="124">
        <v>0.0</v>
      </c>
      <c r="I239" s="124">
        <v>0.0</v>
      </c>
      <c r="J239" s="124">
        <v>0.0</v>
      </c>
      <c r="K239" s="124">
        <v>0.0</v>
      </c>
      <c r="L239" s="126">
        <v>0.0</v>
      </c>
      <c r="M239" s="126">
        <v>0.0</v>
      </c>
    </row>
    <row r="240" ht="14.25" customHeight="1">
      <c r="A240" s="124" t="s">
        <v>687</v>
      </c>
      <c r="B240" s="124" t="s">
        <v>742</v>
      </c>
      <c r="C240" s="124" t="s">
        <v>744</v>
      </c>
      <c r="D240" s="124" t="s">
        <v>744</v>
      </c>
      <c r="E240" s="125">
        <v>51402.0</v>
      </c>
      <c r="F240" s="126">
        <v>0.0</v>
      </c>
      <c r="G240" s="126">
        <v>0.0</v>
      </c>
      <c r="H240" s="124">
        <v>0.0</v>
      </c>
      <c r="I240" s="124">
        <v>0.0</v>
      </c>
      <c r="J240" s="124">
        <v>0.0</v>
      </c>
      <c r="K240" s="124">
        <v>0.0</v>
      </c>
      <c r="L240" s="126">
        <v>0.0</v>
      </c>
      <c r="M240" s="126">
        <v>0.0</v>
      </c>
    </row>
    <row r="241" ht="14.25" customHeight="1">
      <c r="A241" s="124" t="s">
        <v>687</v>
      </c>
      <c r="B241" s="124" t="s">
        <v>745</v>
      </c>
      <c r="C241" s="124" t="s">
        <v>746</v>
      </c>
      <c r="D241" s="124" t="s">
        <v>746</v>
      </c>
      <c r="E241" s="125">
        <v>51501.0</v>
      </c>
      <c r="F241" s="126">
        <v>0.0182370820668693</v>
      </c>
      <c r="G241" s="126">
        <v>0.05166478348897415</v>
      </c>
      <c r="H241" s="124">
        <v>0.0</v>
      </c>
      <c r="I241" s="124">
        <v>0.0</v>
      </c>
      <c r="J241" s="124">
        <v>0.0</v>
      </c>
      <c r="K241" s="124">
        <v>0.0</v>
      </c>
      <c r="L241" s="126">
        <v>0.0060790273556231</v>
      </c>
      <c r="M241" s="126">
        <v>0.017221594496324717</v>
      </c>
    </row>
    <row r="242" ht="14.25" customHeight="1">
      <c r="A242" s="124" t="s">
        <v>687</v>
      </c>
      <c r="B242" s="124" t="s">
        <v>747</v>
      </c>
      <c r="C242" s="124" t="s">
        <v>748</v>
      </c>
      <c r="D242" s="124" t="s">
        <v>748</v>
      </c>
      <c r="E242" s="125">
        <v>51601.0</v>
      </c>
      <c r="F242" s="126">
        <v>0.0</v>
      </c>
      <c r="G242" s="126">
        <v>0.0</v>
      </c>
      <c r="H242" s="124">
        <v>0.0</v>
      </c>
      <c r="I242" s="124">
        <v>0.0</v>
      </c>
      <c r="J242" s="124">
        <v>0.0</v>
      </c>
      <c r="K242" s="124">
        <v>0.0</v>
      </c>
      <c r="L242" s="126">
        <v>0.0</v>
      </c>
      <c r="M242" s="126">
        <v>0.0</v>
      </c>
    </row>
    <row r="243" ht="14.25" customHeight="1">
      <c r="A243" s="124" t="s">
        <v>68</v>
      </c>
      <c r="B243" s="124" t="s">
        <v>588</v>
      </c>
      <c r="C243" s="124" t="s">
        <v>68</v>
      </c>
      <c r="D243" s="124" t="s">
        <v>68</v>
      </c>
      <c r="E243" s="125">
        <v>60101.0</v>
      </c>
      <c r="F243" s="126">
        <v>0.26005495440729487</v>
      </c>
      <c r="G243" s="126">
        <v>0.09277820766238921</v>
      </c>
      <c r="H243" s="124">
        <v>0.0</v>
      </c>
      <c r="I243" s="124">
        <v>0.5358651493034292</v>
      </c>
      <c r="J243" s="124">
        <v>0.0020484127727315293</v>
      </c>
      <c r="K243" s="124">
        <v>1.755782376627025E-4</v>
      </c>
      <c r="L243" s="126">
        <v>0.0873677890600088</v>
      </c>
      <c r="M243" s="126">
        <v>0.2096063117344937</v>
      </c>
    </row>
    <row r="244" ht="14.25" customHeight="1">
      <c r="A244" s="124" t="s">
        <v>68</v>
      </c>
      <c r="B244" s="124" t="s">
        <v>749</v>
      </c>
      <c r="C244" s="124" t="s">
        <v>345</v>
      </c>
      <c r="D244" s="124" t="s">
        <v>345</v>
      </c>
      <c r="E244" s="125">
        <v>60201.0</v>
      </c>
      <c r="F244" s="126">
        <v>0.06990881458966565</v>
      </c>
      <c r="G244" s="126">
        <v>0.011143961215318974</v>
      </c>
      <c r="H244" s="124">
        <v>0.0</v>
      </c>
      <c r="I244" s="124">
        <v>0.11884268962198576</v>
      </c>
      <c r="J244" s="124">
        <v>0.006325273987633444</v>
      </c>
      <c r="K244" s="124">
        <v>0.0</v>
      </c>
      <c r="L244" s="126">
        <v>0.025411362859099697</v>
      </c>
      <c r="M244" s="126">
        <v>0.043328883612434914</v>
      </c>
    </row>
    <row r="245" ht="14.25" customHeight="1">
      <c r="A245" s="124" t="s">
        <v>68</v>
      </c>
      <c r="B245" s="124" t="s">
        <v>749</v>
      </c>
      <c r="C245" s="124" t="s">
        <v>336</v>
      </c>
      <c r="D245" s="124" t="s">
        <v>336</v>
      </c>
      <c r="E245" s="125">
        <v>60202.0</v>
      </c>
      <c r="F245" s="126">
        <v>0.0</v>
      </c>
      <c r="G245" s="126">
        <v>0.0</v>
      </c>
      <c r="H245" s="124">
        <v>0.2986284235554914</v>
      </c>
      <c r="I245" s="124">
        <v>1.0</v>
      </c>
      <c r="J245" s="124">
        <v>0.014873333132543728</v>
      </c>
      <c r="K245" s="124">
        <v>0.0</v>
      </c>
      <c r="L245" s="126">
        <v>0.10450058556267838</v>
      </c>
      <c r="M245" s="126">
        <v>0.3333333333333333</v>
      </c>
    </row>
    <row r="246" ht="14.25" customHeight="1">
      <c r="A246" s="124" t="s">
        <v>68</v>
      </c>
      <c r="B246" s="124" t="s">
        <v>750</v>
      </c>
      <c r="C246" s="124" t="s">
        <v>359</v>
      </c>
      <c r="D246" s="124" t="s">
        <v>359</v>
      </c>
      <c r="E246" s="125">
        <v>60301.0</v>
      </c>
      <c r="F246" s="126">
        <v>1.0</v>
      </c>
      <c r="G246" s="126">
        <v>1.0</v>
      </c>
      <c r="H246" s="124">
        <v>1.0</v>
      </c>
      <c r="I246" s="124">
        <v>1.0</v>
      </c>
      <c r="J246" s="124">
        <v>0.02636206647375977</v>
      </c>
      <c r="K246" s="124">
        <v>1.2922581604784202E-4</v>
      </c>
      <c r="L246" s="126">
        <v>0.6754540221579198</v>
      </c>
      <c r="M246" s="126">
        <v>0.6667097419386826</v>
      </c>
    </row>
    <row r="247" ht="14.25" customHeight="1">
      <c r="A247" s="124" t="s">
        <v>68</v>
      </c>
      <c r="B247" s="124" t="s">
        <v>750</v>
      </c>
      <c r="C247" s="124" t="s">
        <v>751</v>
      </c>
      <c r="D247" s="124" t="s">
        <v>751</v>
      </c>
      <c r="E247" s="125">
        <v>60302.0</v>
      </c>
      <c r="F247" s="126">
        <v>1.0</v>
      </c>
      <c r="G247" s="126">
        <v>0.17662972941864993</v>
      </c>
      <c r="H247" s="124">
        <v>0.31015210460045317</v>
      </c>
      <c r="I247" s="124">
        <v>1.0</v>
      </c>
      <c r="J247" s="124">
        <v>0.06656451893155574</v>
      </c>
      <c r="K247" s="124">
        <v>0.0</v>
      </c>
      <c r="L247" s="126">
        <v>0.45890554117733634</v>
      </c>
      <c r="M247" s="126">
        <v>0.3922099098062166</v>
      </c>
    </row>
    <row r="248" ht="14.25" customHeight="1">
      <c r="A248" s="124" t="s">
        <v>68</v>
      </c>
      <c r="B248" s="124" t="s">
        <v>750</v>
      </c>
      <c r="C248" s="124" t="s">
        <v>356</v>
      </c>
      <c r="D248" s="124" t="s">
        <v>356</v>
      </c>
      <c r="E248" s="125">
        <v>60303.0</v>
      </c>
      <c r="F248" s="126">
        <v>0.48024316109422494</v>
      </c>
      <c r="G248" s="126">
        <v>0.21823687149305046</v>
      </c>
      <c r="H248" s="124">
        <v>0.6461556092672873</v>
      </c>
      <c r="I248" s="124">
        <v>0.9583257399203781</v>
      </c>
      <c r="J248" s="124">
        <v>0.06938669630668222</v>
      </c>
      <c r="K248" s="124">
        <v>0.0</v>
      </c>
      <c r="L248" s="126">
        <v>0.3985951555560649</v>
      </c>
      <c r="M248" s="126">
        <v>0.39218753713780946</v>
      </c>
    </row>
    <row r="249" ht="14.25" customHeight="1">
      <c r="A249" s="124" t="s">
        <v>68</v>
      </c>
      <c r="B249" s="124" t="s">
        <v>752</v>
      </c>
      <c r="C249" s="124" t="s">
        <v>753</v>
      </c>
      <c r="D249" s="124" t="s">
        <v>754</v>
      </c>
      <c r="E249" s="125">
        <v>60401.0</v>
      </c>
      <c r="F249" s="126">
        <v>0.0486322188449848</v>
      </c>
      <c r="G249" s="126">
        <v>0.03146564406860264</v>
      </c>
      <c r="H249" s="124">
        <v>0.0</v>
      </c>
      <c r="I249" s="124">
        <v>0.12717843788193173</v>
      </c>
      <c r="J249" s="124">
        <v>0.0</v>
      </c>
      <c r="K249" s="124">
        <v>0.0024109980876028778</v>
      </c>
      <c r="L249" s="126">
        <v>0.016210739614994935</v>
      </c>
      <c r="M249" s="126">
        <v>0.05368502667937908</v>
      </c>
    </row>
    <row r="250" ht="14.25" customHeight="1">
      <c r="A250" s="124" t="s">
        <v>68</v>
      </c>
      <c r="B250" s="124" t="s">
        <v>752</v>
      </c>
      <c r="C250" s="124" t="s">
        <v>755</v>
      </c>
      <c r="D250" s="124" t="s">
        <v>755</v>
      </c>
      <c r="E250" s="125">
        <v>60402.0</v>
      </c>
      <c r="F250" s="126">
        <v>0.0547112462006079</v>
      </c>
      <c r="G250" s="126">
        <v>0.05130682011436462</v>
      </c>
      <c r="H250" s="124">
        <v>0.0</v>
      </c>
      <c r="I250" s="124">
        <v>0.0</v>
      </c>
      <c r="J250" s="124">
        <v>0.0</v>
      </c>
      <c r="K250" s="124">
        <v>0.0</v>
      </c>
      <c r="L250" s="126">
        <v>0.0182370820668693</v>
      </c>
      <c r="M250" s="126">
        <v>0.01710227337145487</v>
      </c>
    </row>
    <row r="251" ht="14.25" customHeight="1">
      <c r="A251" s="124" t="s">
        <v>68</v>
      </c>
      <c r="B251" s="124" t="s">
        <v>756</v>
      </c>
      <c r="C251" s="124" t="s">
        <v>757</v>
      </c>
      <c r="D251" s="124" t="s">
        <v>758</v>
      </c>
      <c r="E251" s="125">
        <v>60501.0</v>
      </c>
      <c r="F251" s="126">
        <v>0.13373860182370823</v>
      </c>
      <c r="G251" s="126">
        <v>0.07657660280202688</v>
      </c>
      <c r="H251" s="124">
        <v>0.0</v>
      </c>
      <c r="I251" s="124">
        <v>0.09404833505545396</v>
      </c>
      <c r="J251" s="124">
        <v>0.003985962362482603</v>
      </c>
      <c r="K251" s="124">
        <v>0.0</v>
      </c>
      <c r="L251" s="126">
        <v>0.045908188062063614</v>
      </c>
      <c r="M251" s="126">
        <v>0.056874979285826945</v>
      </c>
    </row>
    <row r="252" ht="14.25" customHeight="1">
      <c r="A252" s="124" t="s">
        <v>68</v>
      </c>
      <c r="B252" s="124" t="s">
        <v>756</v>
      </c>
      <c r="C252" s="124" t="s">
        <v>759</v>
      </c>
      <c r="D252" s="124" t="s">
        <v>759</v>
      </c>
      <c r="E252" s="125">
        <v>60502.0</v>
      </c>
      <c r="F252" s="126">
        <v>0.2066869300911854</v>
      </c>
      <c r="G252" s="126">
        <v>0.10751762619542245</v>
      </c>
      <c r="H252" s="124">
        <v>0.0</v>
      </c>
      <c r="I252" s="124">
        <v>0.0</v>
      </c>
      <c r="J252" s="124">
        <v>0.0</v>
      </c>
      <c r="K252" s="124">
        <v>0.0</v>
      </c>
      <c r="L252" s="126">
        <v>0.06889564336372847</v>
      </c>
      <c r="M252" s="126">
        <v>0.03583920873180748</v>
      </c>
    </row>
    <row r="253" ht="14.25" customHeight="1">
      <c r="A253" s="124" t="s">
        <v>68</v>
      </c>
      <c r="B253" s="124" t="s">
        <v>760</v>
      </c>
      <c r="C253" s="124" t="s">
        <v>622</v>
      </c>
      <c r="D253" s="124" t="s">
        <v>622</v>
      </c>
      <c r="E253" s="125">
        <v>60601.0</v>
      </c>
      <c r="F253" s="126">
        <v>0.41641337386018235</v>
      </c>
      <c r="G253" s="126">
        <v>0.7154761832986136</v>
      </c>
      <c r="H253" s="124">
        <v>0.12083294857827728</v>
      </c>
      <c r="I253" s="124">
        <v>0.5032564484947684</v>
      </c>
      <c r="J253" s="124">
        <v>0.030800934578065056</v>
      </c>
      <c r="K253" s="124">
        <v>5.40367273299387E-4</v>
      </c>
      <c r="L253" s="126">
        <v>0.1893490856721749</v>
      </c>
      <c r="M253" s="126">
        <v>0.4064243330222271</v>
      </c>
    </row>
    <row r="254" ht="14.25" customHeight="1">
      <c r="A254" s="124" t="s">
        <v>64</v>
      </c>
      <c r="B254" s="124" t="s">
        <v>761</v>
      </c>
      <c r="C254" s="124" t="s">
        <v>762</v>
      </c>
      <c r="D254" s="124" t="s">
        <v>762</v>
      </c>
      <c r="E254" s="125">
        <v>70101.0</v>
      </c>
      <c r="F254" s="126">
        <v>0.0</v>
      </c>
      <c r="G254" s="126">
        <v>0.02631613573862814</v>
      </c>
      <c r="H254" s="124">
        <v>0.872791661358904</v>
      </c>
      <c r="I254" s="124">
        <v>0.7091571473128975</v>
      </c>
      <c r="J254" s="124">
        <v>0.0010336659451058536</v>
      </c>
      <c r="K254" s="124">
        <v>5.429356479343877E-4</v>
      </c>
      <c r="L254" s="126">
        <v>0.29127510910133664</v>
      </c>
      <c r="M254" s="126">
        <v>0.24533873956648666</v>
      </c>
    </row>
    <row r="255" ht="14.25" customHeight="1">
      <c r="A255" s="124" t="s">
        <v>64</v>
      </c>
      <c r="B255" s="124" t="s">
        <v>761</v>
      </c>
      <c r="C255" s="124" t="s">
        <v>288</v>
      </c>
      <c r="D255" s="124" t="s">
        <v>288</v>
      </c>
      <c r="E255" s="125">
        <v>70102.0</v>
      </c>
      <c r="F255" s="126">
        <v>0.0</v>
      </c>
      <c r="G255" s="126">
        <v>0.0</v>
      </c>
      <c r="H255" s="124">
        <v>0.24086834380937103</v>
      </c>
      <c r="I255" s="124">
        <v>0.2893241319825696</v>
      </c>
      <c r="J255" s="124">
        <v>0.0</v>
      </c>
      <c r="K255" s="124">
        <v>0.0</v>
      </c>
      <c r="L255" s="126">
        <v>0.08028944793645701</v>
      </c>
      <c r="M255" s="126">
        <v>0.09644137732752321</v>
      </c>
    </row>
    <row r="256" ht="14.25" customHeight="1">
      <c r="A256" s="124" t="s">
        <v>64</v>
      </c>
      <c r="B256" s="124" t="s">
        <v>761</v>
      </c>
      <c r="C256" s="124" t="s">
        <v>310</v>
      </c>
      <c r="D256" s="124" t="s">
        <v>763</v>
      </c>
      <c r="E256" s="125">
        <v>70103.0</v>
      </c>
      <c r="F256" s="126">
        <v>0.0</v>
      </c>
      <c r="G256" s="126">
        <v>0.0</v>
      </c>
      <c r="H256" s="124">
        <v>0.0</v>
      </c>
      <c r="I256" s="124">
        <v>1.0</v>
      </c>
      <c r="J256" s="124">
        <v>0.06976700521857408</v>
      </c>
      <c r="K256" s="124">
        <v>7.666703870172976E-4</v>
      </c>
      <c r="L256" s="126">
        <v>0.023255668406191362</v>
      </c>
      <c r="M256" s="126">
        <v>0.3335888901290058</v>
      </c>
    </row>
    <row r="257" ht="14.25" customHeight="1">
      <c r="A257" s="124" t="s">
        <v>64</v>
      </c>
      <c r="B257" s="124" t="s">
        <v>761</v>
      </c>
      <c r="C257" s="124" t="s">
        <v>300</v>
      </c>
      <c r="D257" s="124" t="s">
        <v>300</v>
      </c>
      <c r="E257" s="125">
        <v>70104.0</v>
      </c>
      <c r="F257" s="126">
        <v>0.0</v>
      </c>
      <c r="G257" s="126">
        <v>0.47460358149924925</v>
      </c>
      <c r="H257" s="124">
        <v>0.3886896126722866</v>
      </c>
      <c r="I257" s="124">
        <v>1.0</v>
      </c>
      <c r="J257" s="124">
        <v>0.0038183461700021224</v>
      </c>
      <c r="K257" s="124">
        <v>0.0</v>
      </c>
      <c r="L257" s="126">
        <v>0.1308359862807629</v>
      </c>
      <c r="M257" s="126">
        <v>0.49153452716641644</v>
      </c>
    </row>
    <row r="258" ht="14.25" customHeight="1">
      <c r="A258" s="124" t="s">
        <v>64</v>
      </c>
      <c r="B258" s="124" t="s">
        <v>761</v>
      </c>
      <c r="C258" s="124" t="s">
        <v>294</v>
      </c>
      <c r="D258" s="124" t="s">
        <v>294</v>
      </c>
      <c r="E258" s="125">
        <v>70105.0</v>
      </c>
      <c r="F258" s="126">
        <v>0.3586626139817629</v>
      </c>
      <c r="G258" s="126">
        <v>0.818274974127464</v>
      </c>
      <c r="H258" s="124">
        <v>0.5411212757535853</v>
      </c>
      <c r="I258" s="124">
        <v>1.0</v>
      </c>
      <c r="J258" s="124">
        <v>0.0</v>
      </c>
      <c r="K258" s="124">
        <v>0.0</v>
      </c>
      <c r="L258" s="126">
        <v>0.29992796324511606</v>
      </c>
      <c r="M258" s="126">
        <v>0.606091658042488</v>
      </c>
    </row>
    <row r="259" ht="14.25" customHeight="1">
      <c r="A259" s="124" t="s">
        <v>64</v>
      </c>
      <c r="B259" s="124" t="s">
        <v>333</v>
      </c>
      <c r="C259" s="124" t="s">
        <v>333</v>
      </c>
      <c r="D259" s="124" t="s">
        <v>333</v>
      </c>
      <c r="E259" s="125">
        <v>70201.0</v>
      </c>
      <c r="F259" s="126">
        <v>0.0</v>
      </c>
      <c r="G259" s="126">
        <v>0.0</v>
      </c>
      <c r="H259" s="124">
        <v>1.0</v>
      </c>
      <c r="I259" s="124">
        <v>0.408033799128496</v>
      </c>
      <c r="J259" s="124">
        <v>0.0</v>
      </c>
      <c r="K259" s="124">
        <v>2.533685958071117E-4</v>
      </c>
      <c r="L259" s="126">
        <v>0.3333333333333333</v>
      </c>
      <c r="M259" s="126">
        <v>0.1360957225747677</v>
      </c>
    </row>
    <row r="260" ht="14.25" customHeight="1">
      <c r="A260" s="124" t="s">
        <v>64</v>
      </c>
      <c r="B260" s="124" t="s">
        <v>333</v>
      </c>
      <c r="C260" s="124" t="s">
        <v>764</v>
      </c>
      <c r="D260" s="124" t="s">
        <v>764</v>
      </c>
      <c r="E260" s="125">
        <v>70202.0</v>
      </c>
      <c r="F260" s="126">
        <v>0.0</v>
      </c>
      <c r="G260" s="126">
        <v>0.0</v>
      </c>
      <c r="H260" s="124">
        <v>0.0</v>
      </c>
      <c r="I260" s="124">
        <v>0.06316774230542656</v>
      </c>
      <c r="J260" s="124">
        <v>0.0</v>
      </c>
      <c r="K260" s="124">
        <v>0.0</v>
      </c>
      <c r="L260" s="126">
        <v>0.0</v>
      </c>
      <c r="M260" s="126">
        <v>0.02105591410180885</v>
      </c>
    </row>
    <row r="261" ht="14.25" customHeight="1">
      <c r="A261" s="124" t="s">
        <v>64</v>
      </c>
      <c r="B261" s="124" t="s">
        <v>765</v>
      </c>
      <c r="C261" s="124" t="s">
        <v>766</v>
      </c>
      <c r="D261" s="124" t="s">
        <v>767</v>
      </c>
      <c r="E261" s="125">
        <v>70301.0</v>
      </c>
      <c r="F261" s="126">
        <v>0.0</v>
      </c>
      <c r="G261" s="126">
        <v>0.0</v>
      </c>
      <c r="H261" s="124">
        <v>0.2958159932897525</v>
      </c>
      <c r="I261" s="124">
        <v>0.029917009864895306</v>
      </c>
      <c r="J261" s="124">
        <v>0.002032055171142666</v>
      </c>
      <c r="K261" s="124">
        <v>0.0</v>
      </c>
      <c r="L261" s="126">
        <v>0.0992826828202984</v>
      </c>
      <c r="M261" s="126">
        <v>0.009972336621631769</v>
      </c>
    </row>
    <row r="262" ht="14.25" customHeight="1">
      <c r="A262" s="124" t="s">
        <v>64</v>
      </c>
      <c r="B262" s="124" t="s">
        <v>765</v>
      </c>
      <c r="C262" s="124" t="s">
        <v>768</v>
      </c>
      <c r="D262" s="124" t="s">
        <v>769</v>
      </c>
      <c r="E262" s="125">
        <v>70302.0</v>
      </c>
      <c r="F262" s="126">
        <v>0.0</v>
      </c>
      <c r="G262" s="126">
        <v>0.0</v>
      </c>
      <c r="H262" s="124">
        <v>0.03679912524883899</v>
      </c>
      <c r="I262" s="124">
        <v>0.033883982612506795</v>
      </c>
      <c r="J262" s="124">
        <v>0.0</v>
      </c>
      <c r="K262" s="124">
        <v>0.0</v>
      </c>
      <c r="L262" s="126">
        <v>0.012266375082946332</v>
      </c>
      <c r="M262" s="126">
        <v>0.011294660870835598</v>
      </c>
    </row>
    <row r="263" ht="14.25" customHeight="1">
      <c r="A263" s="124" t="s">
        <v>64</v>
      </c>
      <c r="B263" s="124" t="s">
        <v>765</v>
      </c>
      <c r="C263" s="124" t="s">
        <v>770</v>
      </c>
      <c r="D263" s="124" t="s">
        <v>770</v>
      </c>
      <c r="E263" s="125">
        <v>70303.0</v>
      </c>
      <c r="F263" s="126">
        <v>0.0</v>
      </c>
      <c r="G263" s="126">
        <v>0.0</v>
      </c>
      <c r="H263" s="124">
        <v>0.0</v>
      </c>
      <c r="I263" s="124">
        <v>0.24998211553821054</v>
      </c>
      <c r="J263" s="124">
        <v>0.0</v>
      </c>
      <c r="K263" s="124">
        <v>0.0</v>
      </c>
      <c r="L263" s="126">
        <v>0.0</v>
      </c>
      <c r="M263" s="126">
        <v>0.08332737184607018</v>
      </c>
    </row>
    <row r="264" ht="14.25" customHeight="1">
      <c r="A264" s="124" t="s">
        <v>64</v>
      </c>
      <c r="B264" s="124" t="s">
        <v>771</v>
      </c>
      <c r="C264" s="124" t="s">
        <v>270</v>
      </c>
      <c r="D264" s="124" t="s">
        <v>270</v>
      </c>
      <c r="E264" s="125">
        <v>70401.0</v>
      </c>
      <c r="F264" s="126">
        <v>0.0</v>
      </c>
      <c r="G264" s="126">
        <v>0.0</v>
      </c>
      <c r="H264" s="124">
        <v>0.422343139396803</v>
      </c>
      <c r="I264" s="124">
        <v>0.6396252344825829</v>
      </c>
      <c r="J264" s="124">
        <v>0.001817570341208647</v>
      </c>
      <c r="K264" s="124">
        <v>0.0</v>
      </c>
      <c r="L264" s="126">
        <v>0.1413869032460039</v>
      </c>
      <c r="M264" s="126">
        <v>0.2132084114941943</v>
      </c>
    </row>
    <row r="265" ht="14.25" customHeight="1">
      <c r="A265" s="124" t="s">
        <v>64</v>
      </c>
      <c r="B265" s="124" t="s">
        <v>771</v>
      </c>
      <c r="C265" s="124" t="s">
        <v>772</v>
      </c>
      <c r="D265" s="124" t="s">
        <v>772</v>
      </c>
      <c r="E265" s="125">
        <v>70402.0</v>
      </c>
      <c r="F265" s="126">
        <v>0.0</v>
      </c>
      <c r="G265" s="126">
        <v>0.0</v>
      </c>
      <c r="H265" s="124">
        <v>0.0</v>
      </c>
      <c r="I265" s="124">
        <v>0.5677448552235267</v>
      </c>
      <c r="J265" s="124">
        <v>0.0</v>
      </c>
      <c r="K265" s="124">
        <v>0.0</v>
      </c>
      <c r="L265" s="126">
        <v>0.0</v>
      </c>
      <c r="M265" s="126">
        <v>0.1892482850745089</v>
      </c>
    </row>
    <row r="266" ht="14.25" customHeight="1">
      <c r="A266" s="124" t="s">
        <v>64</v>
      </c>
      <c r="B266" s="124" t="s">
        <v>771</v>
      </c>
      <c r="C266" s="124" t="s">
        <v>773</v>
      </c>
      <c r="D266" s="124" t="s">
        <v>773</v>
      </c>
      <c r="E266" s="125">
        <v>70403.0</v>
      </c>
      <c r="F266" s="126">
        <v>0.0</v>
      </c>
      <c r="G266" s="126">
        <v>0.0</v>
      </c>
      <c r="H266" s="124">
        <v>0.619872791935277</v>
      </c>
      <c r="I266" s="124">
        <v>0.7814127345218888</v>
      </c>
      <c r="J266" s="124">
        <v>0.0</v>
      </c>
      <c r="K266" s="124">
        <v>0.0</v>
      </c>
      <c r="L266" s="126">
        <v>0.20662426397842568</v>
      </c>
      <c r="M266" s="126">
        <v>0.26047091150729623</v>
      </c>
    </row>
    <row r="267" ht="14.25" customHeight="1">
      <c r="A267" s="124" t="s">
        <v>64</v>
      </c>
      <c r="B267" s="124" t="s">
        <v>771</v>
      </c>
      <c r="C267" s="124" t="s">
        <v>774</v>
      </c>
      <c r="D267" s="124" t="s">
        <v>774</v>
      </c>
      <c r="E267" s="125">
        <v>70404.0</v>
      </c>
      <c r="F267" s="126">
        <v>0.0</v>
      </c>
      <c r="G267" s="126">
        <v>0.0</v>
      </c>
      <c r="H267" s="124">
        <v>0.7335117814246515</v>
      </c>
      <c r="I267" s="124">
        <v>0.4798508096449466</v>
      </c>
      <c r="J267" s="124">
        <v>0.0</v>
      </c>
      <c r="K267" s="124">
        <v>0.0</v>
      </c>
      <c r="L267" s="126">
        <v>0.24450392714155048</v>
      </c>
      <c r="M267" s="126">
        <v>0.15995026988164887</v>
      </c>
    </row>
    <row r="268" ht="14.25" customHeight="1">
      <c r="A268" s="124" t="s">
        <v>64</v>
      </c>
      <c r="B268" s="124" t="s">
        <v>775</v>
      </c>
      <c r="C268" s="124" t="s">
        <v>776</v>
      </c>
      <c r="D268" s="124" t="s">
        <v>777</v>
      </c>
      <c r="E268" s="125">
        <v>70501.0</v>
      </c>
      <c r="F268" s="126">
        <v>0.0</v>
      </c>
      <c r="G268" s="126">
        <v>0.0</v>
      </c>
      <c r="H268" s="124">
        <v>0.04225163112987475</v>
      </c>
      <c r="I268" s="124">
        <v>0.3702905925020431</v>
      </c>
      <c r="J268" s="124">
        <v>0.0</v>
      </c>
      <c r="K268" s="124">
        <v>0.0</v>
      </c>
      <c r="L268" s="126">
        <v>0.014083877043291582</v>
      </c>
      <c r="M268" s="126">
        <v>0.12343019750068103</v>
      </c>
    </row>
    <row r="269" ht="14.25" customHeight="1">
      <c r="A269" s="124" t="s">
        <v>64</v>
      </c>
      <c r="B269" s="124" t="s">
        <v>775</v>
      </c>
      <c r="C269" s="124" t="s">
        <v>778</v>
      </c>
      <c r="D269" s="124" t="s">
        <v>778</v>
      </c>
      <c r="E269" s="125">
        <v>70502.0</v>
      </c>
      <c r="F269" s="126">
        <v>0.0</v>
      </c>
      <c r="G269" s="126">
        <v>0.0</v>
      </c>
      <c r="H269" s="124">
        <v>0.0</v>
      </c>
      <c r="I269" s="124">
        <v>0.24293971971656642</v>
      </c>
      <c r="J269" s="124">
        <v>0.0</v>
      </c>
      <c r="K269" s="124">
        <v>5.585878898145488E-4</v>
      </c>
      <c r="L269" s="126">
        <v>0.0</v>
      </c>
      <c r="M269" s="126">
        <v>0.08116610253546032</v>
      </c>
    </row>
    <row r="270" ht="14.25" customHeight="1">
      <c r="A270" s="124" t="s">
        <v>64</v>
      </c>
      <c r="B270" s="124" t="s">
        <v>775</v>
      </c>
      <c r="C270" s="124" t="s">
        <v>779</v>
      </c>
      <c r="D270" s="124" t="s">
        <v>779</v>
      </c>
      <c r="E270" s="125">
        <v>70503.0</v>
      </c>
      <c r="F270" s="126">
        <v>0.0</v>
      </c>
      <c r="G270" s="126">
        <v>0.0</v>
      </c>
      <c r="H270" s="124">
        <v>0.008940614330681922</v>
      </c>
      <c r="I270" s="124">
        <v>0.6545938569678471</v>
      </c>
      <c r="J270" s="124">
        <v>0.0</v>
      </c>
      <c r="K270" s="124">
        <v>0.0</v>
      </c>
      <c r="L270" s="126">
        <v>0.0029802047768939743</v>
      </c>
      <c r="M270" s="126">
        <v>0.2181979523226157</v>
      </c>
    </row>
    <row r="271" ht="14.25" customHeight="1">
      <c r="A271" s="124" t="s">
        <v>64</v>
      </c>
      <c r="B271" s="124" t="s">
        <v>780</v>
      </c>
      <c r="C271" s="124" t="s">
        <v>312</v>
      </c>
      <c r="D271" s="124" t="s">
        <v>312</v>
      </c>
      <c r="E271" s="125">
        <v>70601.0</v>
      </c>
      <c r="F271" s="126">
        <v>0.0</v>
      </c>
      <c r="G271" s="126">
        <v>0.0</v>
      </c>
      <c r="H271" s="124">
        <v>0.06070365839311403</v>
      </c>
      <c r="I271" s="124">
        <v>0.10364917692802839</v>
      </c>
      <c r="J271" s="124">
        <v>0.0</v>
      </c>
      <c r="K271" s="124">
        <v>0.0</v>
      </c>
      <c r="L271" s="126">
        <v>0.020234552797704676</v>
      </c>
      <c r="M271" s="126">
        <v>0.03454972564267613</v>
      </c>
    </row>
    <row r="272" ht="14.25" customHeight="1">
      <c r="A272" s="124" t="s">
        <v>64</v>
      </c>
      <c r="B272" s="124" t="s">
        <v>780</v>
      </c>
      <c r="C272" s="124" t="s">
        <v>781</v>
      </c>
      <c r="D272" s="124" t="s">
        <v>80</v>
      </c>
      <c r="E272" s="125">
        <v>70602.0</v>
      </c>
      <c r="F272" s="126">
        <v>0.0</v>
      </c>
      <c r="G272" s="126">
        <v>0.0</v>
      </c>
      <c r="H272" s="124">
        <v>0.19172850499518398</v>
      </c>
      <c r="I272" s="124">
        <v>0.05415209024273287</v>
      </c>
      <c r="J272" s="124">
        <v>0.0</v>
      </c>
      <c r="K272" s="124">
        <v>0.0</v>
      </c>
      <c r="L272" s="126">
        <v>0.06390950166506133</v>
      </c>
      <c r="M272" s="126">
        <v>0.018050696747577623</v>
      </c>
    </row>
    <row r="273" ht="14.25" customHeight="1">
      <c r="A273" s="124" t="s">
        <v>64</v>
      </c>
      <c r="B273" s="124" t="s">
        <v>780</v>
      </c>
      <c r="C273" s="124" t="s">
        <v>782</v>
      </c>
      <c r="D273" s="124" t="s">
        <v>782</v>
      </c>
      <c r="E273" s="125">
        <v>70603.0</v>
      </c>
      <c r="F273" s="126">
        <v>0.0</v>
      </c>
      <c r="G273" s="126">
        <v>0.0</v>
      </c>
      <c r="H273" s="124">
        <v>0.0</v>
      </c>
      <c r="I273" s="124">
        <v>0.3387206127597218</v>
      </c>
      <c r="J273" s="124">
        <v>0.0</v>
      </c>
      <c r="K273" s="124">
        <v>0.0</v>
      </c>
      <c r="L273" s="126">
        <v>0.0</v>
      </c>
      <c r="M273" s="126">
        <v>0.11290687091990727</v>
      </c>
    </row>
    <row r="274" ht="14.25" customHeight="1">
      <c r="A274" s="124" t="s">
        <v>64</v>
      </c>
      <c r="B274" s="124" t="s">
        <v>783</v>
      </c>
      <c r="C274" s="124" t="s">
        <v>302</v>
      </c>
      <c r="D274" s="124" t="s">
        <v>302</v>
      </c>
      <c r="E274" s="125">
        <v>70701.0</v>
      </c>
      <c r="F274" s="126">
        <v>0.10638297872340426</v>
      </c>
      <c r="G274" s="126">
        <v>0.0</v>
      </c>
      <c r="H274" s="124">
        <v>0.0</v>
      </c>
      <c r="I274" s="124">
        <v>0.2233270215221947</v>
      </c>
      <c r="J274" s="124">
        <v>0.0</v>
      </c>
      <c r="K274" s="124">
        <v>0.0</v>
      </c>
      <c r="L274" s="126">
        <v>0.03546099290780142</v>
      </c>
      <c r="M274" s="126">
        <v>0.07444234050739823</v>
      </c>
    </row>
    <row r="275" ht="14.25" customHeight="1">
      <c r="A275" s="124" t="s">
        <v>64</v>
      </c>
      <c r="B275" s="124" t="s">
        <v>783</v>
      </c>
      <c r="C275" s="124" t="s">
        <v>278</v>
      </c>
      <c r="D275" s="124" t="s">
        <v>278</v>
      </c>
      <c r="E275" s="125">
        <v>70702.0</v>
      </c>
      <c r="F275" s="126">
        <v>0.5683890577507599</v>
      </c>
      <c r="G275" s="126">
        <v>0.0</v>
      </c>
      <c r="H275" s="124">
        <v>0.0</v>
      </c>
      <c r="I275" s="124">
        <v>0.09239538218485842</v>
      </c>
      <c r="J275" s="124">
        <v>0.0</v>
      </c>
      <c r="K275" s="124">
        <v>0.0</v>
      </c>
      <c r="L275" s="126">
        <v>0.1894630192502533</v>
      </c>
      <c r="M275" s="126">
        <v>0.03079846072828614</v>
      </c>
    </row>
    <row r="276" ht="14.25" customHeight="1">
      <c r="A276" s="124" t="s">
        <v>64</v>
      </c>
      <c r="B276" s="124" t="s">
        <v>783</v>
      </c>
      <c r="C276" s="124" t="s">
        <v>273</v>
      </c>
      <c r="D276" s="124" t="s">
        <v>273</v>
      </c>
      <c r="E276" s="125">
        <v>70703.0</v>
      </c>
      <c r="F276" s="126">
        <v>0.25531914893617014</v>
      </c>
      <c r="G276" s="126">
        <v>0.0</v>
      </c>
      <c r="H276" s="124">
        <v>0.020849606813506668</v>
      </c>
      <c r="I276" s="124">
        <v>0.22744570237907072</v>
      </c>
      <c r="J276" s="124">
        <v>0.0</v>
      </c>
      <c r="K276" s="124">
        <v>0.0</v>
      </c>
      <c r="L276" s="126">
        <v>0.09205625191655893</v>
      </c>
      <c r="M276" s="126">
        <v>0.0758152341263569</v>
      </c>
    </row>
    <row r="277" ht="14.25" customHeight="1">
      <c r="A277" s="124" t="s">
        <v>64</v>
      </c>
      <c r="B277" s="124" t="s">
        <v>783</v>
      </c>
      <c r="C277" s="124" t="s">
        <v>291</v>
      </c>
      <c r="D277" s="124" t="s">
        <v>291</v>
      </c>
      <c r="E277" s="125">
        <v>70704.0</v>
      </c>
      <c r="F277" s="126">
        <v>0.2887537993920972</v>
      </c>
      <c r="G277" s="126">
        <v>1.0</v>
      </c>
      <c r="H277" s="124">
        <v>0.0</v>
      </c>
      <c r="I277" s="124">
        <v>0.2067586009006078</v>
      </c>
      <c r="J277" s="124">
        <v>0.0</v>
      </c>
      <c r="K277" s="124">
        <v>0.0</v>
      </c>
      <c r="L277" s="126">
        <v>0.09625126646403241</v>
      </c>
      <c r="M277" s="126">
        <v>0.40225286696686924</v>
      </c>
    </row>
    <row r="278" ht="14.25" customHeight="1">
      <c r="A278" s="124" t="s">
        <v>64</v>
      </c>
      <c r="B278" s="124" t="s">
        <v>783</v>
      </c>
      <c r="C278" s="124" t="s">
        <v>784</v>
      </c>
      <c r="D278" s="124" t="s">
        <v>784</v>
      </c>
      <c r="E278" s="125">
        <v>70705.0</v>
      </c>
      <c r="F278" s="126">
        <v>1.0</v>
      </c>
      <c r="G278" s="126">
        <v>0.02063485185208113</v>
      </c>
      <c r="H278" s="124">
        <v>0.0</v>
      </c>
      <c r="I278" s="124">
        <v>0.0</v>
      </c>
      <c r="J278" s="124">
        <v>0.0</v>
      </c>
      <c r="K278" s="124">
        <v>0.0</v>
      </c>
      <c r="L278" s="126">
        <v>0.3333333333333333</v>
      </c>
      <c r="M278" s="126">
        <v>0.00687828395069371</v>
      </c>
    </row>
    <row r="279" ht="14.25" customHeight="1">
      <c r="A279" s="124" t="s">
        <v>64</v>
      </c>
      <c r="B279" s="124" t="s">
        <v>783</v>
      </c>
      <c r="C279" s="124" t="s">
        <v>275</v>
      </c>
      <c r="D279" s="124" t="s">
        <v>275</v>
      </c>
      <c r="E279" s="125">
        <v>70706.0</v>
      </c>
      <c r="F279" s="126">
        <v>0.2127659574468085</v>
      </c>
      <c r="G279" s="126">
        <v>0.0</v>
      </c>
      <c r="H279" s="124">
        <v>0.7996894520144784</v>
      </c>
      <c r="I279" s="124">
        <v>1.0</v>
      </c>
      <c r="J279" s="124">
        <v>0.0017458905062987453</v>
      </c>
      <c r="K279" s="124">
        <v>0.0</v>
      </c>
      <c r="L279" s="126">
        <v>0.33806709998919526</v>
      </c>
      <c r="M279" s="126">
        <v>0.3333333333333333</v>
      </c>
    </row>
    <row r="280" ht="14.25" customHeight="1">
      <c r="A280" s="124" t="s">
        <v>64</v>
      </c>
      <c r="B280" s="124" t="s">
        <v>783</v>
      </c>
      <c r="C280" s="124" t="s">
        <v>785</v>
      </c>
      <c r="D280" s="124" t="s">
        <v>785</v>
      </c>
      <c r="E280" s="125">
        <v>70707.0</v>
      </c>
      <c r="F280" s="126">
        <v>0.7021276595744681</v>
      </c>
      <c r="G280" s="126">
        <v>0.26146354217733764</v>
      </c>
      <c r="H280" s="124">
        <v>0.4202541393781526</v>
      </c>
      <c r="I280" s="124">
        <v>0.0</v>
      </c>
      <c r="J280" s="124">
        <v>0.0</v>
      </c>
      <c r="K280" s="124">
        <v>0.0</v>
      </c>
      <c r="L280" s="126">
        <v>0.3741272663175403</v>
      </c>
      <c r="M280" s="126">
        <v>0.08715451405911255</v>
      </c>
    </row>
    <row r="281" ht="14.25" customHeight="1">
      <c r="A281" s="124" t="s">
        <v>64</v>
      </c>
      <c r="B281" s="124" t="s">
        <v>330</v>
      </c>
      <c r="C281" s="124" t="s">
        <v>330</v>
      </c>
      <c r="D281" s="124" t="s">
        <v>330</v>
      </c>
      <c r="E281" s="125">
        <v>70801.0</v>
      </c>
      <c r="F281" s="126">
        <v>0.4680851063829787</v>
      </c>
      <c r="G281" s="126">
        <v>0.06698356834335077</v>
      </c>
      <c r="H281" s="124">
        <v>0.026499385441596204</v>
      </c>
      <c r="I281" s="124">
        <v>0.5669007163421048</v>
      </c>
      <c r="J281" s="124">
        <v>0.0</v>
      </c>
      <c r="K281" s="124">
        <v>0.0</v>
      </c>
      <c r="L281" s="126">
        <v>0.1648614972748583</v>
      </c>
      <c r="M281" s="126">
        <v>0.2112947615618185</v>
      </c>
    </row>
    <row r="282" ht="14.25" customHeight="1">
      <c r="A282" s="124" t="s">
        <v>64</v>
      </c>
      <c r="B282" s="124" t="s">
        <v>330</v>
      </c>
      <c r="C282" s="124" t="s">
        <v>786</v>
      </c>
      <c r="D282" s="124" t="s">
        <v>786</v>
      </c>
      <c r="E282" s="125">
        <v>70802.0</v>
      </c>
      <c r="F282" s="126">
        <v>0.0</v>
      </c>
      <c r="G282" s="126">
        <v>0.06536588554433442</v>
      </c>
      <c r="H282" s="124">
        <v>0.0</v>
      </c>
      <c r="I282" s="124">
        <v>0.0</v>
      </c>
      <c r="J282" s="124">
        <v>0.0</v>
      </c>
      <c r="K282" s="124">
        <v>0.0</v>
      </c>
      <c r="L282" s="126">
        <v>0.0</v>
      </c>
      <c r="M282" s="126">
        <v>0.02178862851477814</v>
      </c>
    </row>
    <row r="283" ht="14.25" customHeight="1">
      <c r="A283" s="124" t="s">
        <v>64</v>
      </c>
      <c r="B283" s="124" t="s">
        <v>330</v>
      </c>
      <c r="C283" s="124" t="s">
        <v>787</v>
      </c>
      <c r="D283" s="124" t="s">
        <v>788</v>
      </c>
      <c r="E283" s="125">
        <v>70803.0</v>
      </c>
      <c r="F283" s="126">
        <v>0.2765957446808511</v>
      </c>
      <c r="G283" s="126">
        <v>0.0</v>
      </c>
      <c r="H283" s="124">
        <v>0.0</v>
      </c>
      <c r="I283" s="124">
        <v>0.0</v>
      </c>
      <c r="J283" s="124">
        <v>0.0</v>
      </c>
      <c r="K283" s="124">
        <v>0.0</v>
      </c>
      <c r="L283" s="126">
        <v>0.0921985815602837</v>
      </c>
      <c r="M283" s="126">
        <v>0.0</v>
      </c>
    </row>
    <row r="284" ht="14.25" customHeight="1">
      <c r="A284" s="124" t="s">
        <v>64</v>
      </c>
      <c r="B284" s="124" t="s">
        <v>330</v>
      </c>
      <c r="C284" s="124" t="s">
        <v>789</v>
      </c>
      <c r="D284" s="124" t="s">
        <v>789</v>
      </c>
      <c r="E284" s="125">
        <v>70804.0</v>
      </c>
      <c r="F284" s="126">
        <v>0.0364741641337386</v>
      </c>
      <c r="G284" s="126">
        <v>0.0</v>
      </c>
      <c r="H284" s="124">
        <v>0.0</v>
      </c>
      <c r="I284" s="124">
        <v>0.0</v>
      </c>
      <c r="J284" s="124">
        <v>0.04877692685451867</v>
      </c>
      <c r="K284" s="124">
        <v>0.0</v>
      </c>
      <c r="L284" s="126">
        <v>0.02841703032941909</v>
      </c>
      <c r="M284" s="126">
        <v>0.0</v>
      </c>
    </row>
    <row r="285" ht="14.25" customHeight="1">
      <c r="A285" s="124" t="s">
        <v>64</v>
      </c>
      <c r="B285" s="124" t="s">
        <v>330</v>
      </c>
      <c r="C285" s="124" t="s">
        <v>790</v>
      </c>
      <c r="D285" s="124" t="s">
        <v>790</v>
      </c>
      <c r="E285" s="125">
        <v>70805.0</v>
      </c>
      <c r="F285" s="126">
        <v>0.3708206686930091</v>
      </c>
      <c r="G285" s="126">
        <v>0.28119993630986845</v>
      </c>
      <c r="H285" s="124">
        <v>0.0</v>
      </c>
      <c r="I285" s="124">
        <v>0.0</v>
      </c>
      <c r="J285" s="124">
        <v>0.0</v>
      </c>
      <c r="K285" s="124">
        <v>0.0</v>
      </c>
      <c r="L285" s="126">
        <v>0.12360688956433637</v>
      </c>
      <c r="M285" s="126">
        <v>0.09373331210328949</v>
      </c>
    </row>
    <row r="286" ht="14.25" customHeight="1">
      <c r="A286" s="124" t="s">
        <v>64</v>
      </c>
      <c r="B286" s="124" t="s">
        <v>791</v>
      </c>
      <c r="C286" s="124" t="s">
        <v>792</v>
      </c>
      <c r="D286" s="124" t="s">
        <v>792</v>
      </c>
      <c r="E286" s="125">
        <v>70901.0</v>
      </c>
      <c r="F286" s="126">
        <v>0.0243161094224924</v>
      </c>
      <c r="G286" s="126">
        <v>0.042012993281527904</v>
      </c>
      <c r="H286" s="124">
        <v>0.0</v>
      </c>
      <c r="I286" s="124">
        <v>0.48626882407823374</v>
      </c>
      <c r="J286" s="124">
        <v>0.0</v>
      </c>
      <c r="K286" s="124">
        <v>0.0</v>
      </c>
      <c r="L286" s="126">
        <v>0.008105369807497468</v>
      </c>
      <c r="M286" s="126">
        <v>0.17609393911992055</v>
      </c>
    </row>
    <row r="287" ht="14.25" customHeight="1">
      <c r="A287" s="124" t="s">
        <v>64</v>
      </c>
      <c r="B287" s="124" t="s">
        <v>791</v>
      </c>
      <c r="C287" s="124" t="s">
        <v>793</v>
      </c>
      <c r="D287" s="124" t="s">
        <v>793</v>
      </c>
      <c r="E287" s="125">
        <v>70902.0</v>
      </c>
      <c r="F287" s="126">
        <v>0.0</v>
      </c>
      <c r="G287" s="126">
        <v>0.8958275766786405</v>
      </c>
      <c r="H287" s="124">
        <v>0.0</v>
      </c>
      <c r="I287" s="124">
        <v>0.5220048826937121</v>
      </c>
      <c r="J287" s="124">
        <v>0.0</v>
      </c>
      <c r="K287" s="124">
        <v>0.0</v>
      </c>
      <c r="L287" s="126">
        <v>0.0</v>
      </c>
      <c r="M287" s="126">
        <v>0.4726108197907843</v>
      </c>
    </row>
    <row r="288" ht="14.25" customHeight="1">
      <c r="A288" s="124" t="s">
        <v>64</v>
      </c>
      <c r="B288" s="124" t="s">
        <v>791</v>
      </c>
      <c r="C288" s="124" t="s">
        <v>794</v>
      </c>
      <c r="D288" s="124" t="s">
        <v>794</v>
      </c>
      <c r="E288" s="125">
        <v>70903.0</v>
      </c>
      <c r="F288" s="126">
        <v>0.0</v>
      </c>
      <c r="G288" s="126">
        <v>0.12594730104394578</v>
      </c>
      <c r="H288" s="124">
        <v>0.0</v>
      </c>
      <c r="I288" s="124">
        <v>1.0</v>
      </c>
      <c r="J288" s="124">
        <v>0.0</v>
      </c>
      <c r="K288" s="124">
        <v>0.0</v>
      </c>
      <c r="L288" s="126">
        <v>0.0</v>
      </c>
      <c r="M288" s="126">
        <v>0.3753157670146486</v>
      </c>
    </row>
    <row r="289" ht="14.25" customHeight="1">
      <c r="A289" s="124" t="s">
        <v>64</v>
      </c>
      <c r="B289" s="124" t="s">
        <v>791</v>
      </c>
      <c r="C289" s="124" t="s">
        <v>795</v>
      </c>
      <c r="D289" s="124" t="s">
        <v>795</v>
      </c>
      <c r="E289" s="125">
        <v>70904.0</v>
      </c>
      <c r="F289" s="126">
        <v>0.060790273556231</v>
      </c>
      <c r="G289" s="126">
        <v>0.00911854103343465</v>
      </c>
      <c r="H289" s="124">
        <v>0.0</v>
      </c>
      <c r="I289" s="124">
        <v>1.0</v>
      </c>
      <c r="J289" s="124">
        <v>0.0</v>
      </c>
      <c r="K289" s="124">
        <v>0.0</v>
      </c>
      <c r="L289" s="126">
        <v>0.020263424518743665</v>
      </c>
      <c r="M289" s="126">
        <v>0.3363728470111449</v>
      </c>
    </row>
    <row r="290" ht="14.25" customHeight="1">
      <c r="A290" s="124" t="s">
        <v>64</v>
      </c>
      <c r="B290" s="124" t="s">
        <v>796</v>
      </c>
      <c r="C290" s="124" t="s">
        <v>304</v>
      </c>
      <c r="D290" s="124" t="s">
        <v>304</v>
      </c>
      <c r="E290" s="125">
        <v>71001.0</v>
      </c>
      <c r="F290" s="126">
        <v>0.0</v>
      </c>
      <c r="G290" s="126">
        <v>0.0</v>
      </c>
      <c r="H290" s="124">
        <v>0.2851822504805791</v>
      </c>
      <c r="I290" s="124">
        <v>0.7928287146217716</v>
      </c>
      <c r="J290" s="124">
        <v>0.0018501049281198325</v>
      </c>
      <c r="K290" s="124">
        <v>0.0</v>
      </c>
      <c r="L290" s="126">
        <v>0.09567745180289965</v>
      </c>
      <c r="M290" s="126">
        <v>0.2642762382072572</v>
      </c>
    </row>
    <row r="291" ht="14.25" customHeight="1">
      <c r="A291" s="124" t="s">
        <v>64</v>
      </c>
      <c r="B291" s="124" t="s">
        <v>796</v>
      </c>
      <c r="C291" s="124" t="s">
        <v>797</v>
      </c>
      <c r="D291" s="124" t="s">
        <v>797</v>
      </c>
      <c r="E291" s="125">
        <v>71002.0</v>
      </c>
      <c r="F291" s="126">
        <v>0.0</v>
      </c>
      <c r="G291" s="126">
        <v>0.0</v>
      </c>
      <c r="H291" s="124">
        <v>0.009671780170966414</v>
      </c>
      <c r="I291" s="124">
        <v>0.9808034246712048</v>
      </c>
      <c r="J291" s="124">
        <v>0.0</v>
      </c>
      <c r="K291" s="124">
        <v>0.0</v>
      </c>
      <c r="L291" s="126">
        <v>0.0032239267236554713</v>
      </c>
      <c r="M291" s="126">
        <v>0.3269344748904016</v>
      </c>
    </row>
    <row r="292" ht="14.25" customHeight="1">
      <c r="A292" s="124" t="s">
        <v>64</v>
      </c>
      <c r="B292" s="124" t="s">
        <v>796</v>
      </c>
      <c r="C292" s="124" t="s">
        <v>798</v>
      </c>
      <c r="D292" s="124" t="s">
        <v>798</v>
      </c>
      <c r="E292" s="125">
        <v>71003.0</v>
      </c>
      <c r="F292" s="126">
        <v>0.0</v>
      </c>
      <c r="G292" s="126">
        <v>0.0</v>
      </c>
      <c r="H292" s="124">
        <v>0.0</v>
      </c>
      <c r="I292" s="124">
        <v>0.042540845627170136</v>
      </c>
      <c r="J292" s="124">
        <v>0.0</v>
      </c>
      <c r="K292" s="124">
        <v>0.0</v>
      </c>
      <c r="L292" s="126">
        <v>0.0</v>
      </c>
      <c r="M292" s="126">
        <v>0.014180281875723379</v>
      </c>
    </row>
    <row r="293" ht="14.25" customHeight="1">
      <c r="A293" s="124" t="s">
        <v>64</v>
      </c>
      <c r="B293" s="124" t="s">
        <v>796</v>
      </c>
      <c r="C293" s="124" t="s">
        <v>799</v>
      </c>
      <c r="D293" s="124" t="s">
        <v>799</v>
      </c>
      <c r="E293" s="125">
        <v>71004.0</v>
      </c>
      <c r="F293" s="126">
        <v>0.0</v>
      </c>
      <c r="G293" s="126">
        <v>0.0</v>
      </c>
      <c r="H293" s="124">
        <v>0.010341634511123925</v>
      </c>
      <c r="I293" s="124">
        <v>0.48404216380746634</v>
      </c>
      <c r="J293" s="124">
        <v>0.0</v>
      </c>
      <c r="K293" s="124">
        <v>0.0</v>
      </c>
      <c r="L293" s="126">
        <v>0.003447211503707975</v>
      </c>
      <c r="M293" s="126">
        <v>0.16134738793582212</v>
      </c>
    </row>
    <row r="294" ht="14.25" customHeight="1">
      <c r="A294" s="124" t="s">
        <v>64</v>
      </c>
      <c r="B294" s="124" t="s">
        <v>796</v>
      </c>
      <c r="C294" s="124" t="s">
        <v>709</v>
      </c>
      <c r="D294" s="124" t="s">
        <v>709</v>
      </c>
      <c r="E294" s="125">
        <v>71005.0</v>
      </c>
      <c r="F294" s="126">
        <v>0.0</v>
      </c>
      <c r="G294" s="126">
        <v>0.0</v>
      </c>
      <c r="H294" s="124">
        <v>0.014384874830747294</v>
      </c>
      <c r="I294" s="124">
        <v>0.2661722369469191</v>
      </c>
      <c r="J294" s="124">
        <v>0.0</v>
      </c>
      <c r="K294" s="124">
        <v>0.0</v>
      </c>
      <c r="L294" s="126">
        <v>0.004794958276915765</v>
      </c>
      <c r="M294" s="126">
        <v>0.08872407898230637</v>
      </c>
    </row>
    <row r="295" ht="14.25" customHeight="1">
      <c r="A295" s="124" t="s">
        <v>64</v>
      </c>
      <c r="B295" s="124" t="s">
        <v>800</v>
      </c>
      <c r="C295" s="124" t="s">
        <v>754</v>
      </c>
      <c r="D295" s="124" t="s">
        <v>754</v>
      </c>
      <c r="E295" s="125">
        <v>71101.0</v>
      </c>
      <c r="F295" s="126">
        <v>0.0</v>
      </c>
      <c r="G295" s="126">
        <v>0.0</v>
      </c>
      <c r="H295" s="124">
        <v>0.0</v>
      </c>
      <c r="I295" s="124">
        <v>0.6904791806008667</v>
      </c>
      <c r="J295" s="124">
        <v>6.306382058643347E-4</v>
      </c>
      <c r="K295" s="124">
        <v>0.0</v>
      </c>
      <c r="L295" s="126">
        <v>2.1021273528811155E-4</v>
      </c>
      <c r="M295" s="126">
        <v>0.23015972686695554</v>
      </c>
    </row>
    <row r="296" ht="14.25" customHeight="1">
      <c r="A296" s="124" t="s">
        <v>64</v>
      </c>
      <c r="B296" s="124" t="s">
        <v>800</v>
      </c>
      <c r="C296" s="124" t="s">
        <v>801</v>
      </c>
      <c r="D296" s="124" t="s">
        <v>801</v>
      </c>
      <c r="E296" s="125">
        <v>71102.0</v>
      </c>
      <c r="F296" s="126">
        <v>0.0</v>
      </c>
      <c r="G296" s="126">
        <v>0.0</v>
      </c>
      <c r="H296" s="124">
        <v>0.050791574328810686</v>
      </c>
      <c r="I296" s="124">
        <v>0.060473896847756524</v>
      </c>
      <c r="J296" s="124">
        <v>0.0</v>
      </c>
      <c r="K296" s="124">
        <v>0.0</v>
      </c>
      <c r="L296" s="126">
        <v>0.016930524776270228</v>
      </c>
      <c r="M296" s="126">
        <v>0.02015796561591884</v>
      </c>
    </row>
    <row r="297" ht="14.25" customHeight="1">
      <c r="A297" s="124" t="s">
        <v>64</v>
      </c>
      <c r="B297" s="124" t="s">
        <v>800</v>
      </c>
      <c r="C297" s="124" t="s">
        <v>802</v>
      </c>
      <c r="D297" s="124" t="s">
        <v>802</v>
      </c>
      <c r="E297" s="125">
        <v>71103.0</v>
      </c>
      <c r="F297" s="126">
        <v>0.0</v>
      </c>
      <c r="G297" s="126">
        <v>0.0</v>
      </c>
      <c r="H297" s="124">
        <v>0.07286223216025804</v>
      </c>
      <c r="I297" s="124">
        <v>0.044845343489873284</v>
      </c>
      <c r="J297" s="124">
        <v>0.0</v>
      </c>
      <c r="K297" s="124">
        <v>0.0</v>
      </c>
      <c r="L297" s="126">
        <v>0.024287410720086014</v>
      </c>
      <c r="M297" s="126">
        <v>0.01494844782995776</v>
      </c>
    </row>
    <row r="298" ht="14.25" customHeight="1">
      <c r="A298" s="124" t="s">
        <v>64</v>
      </c>
      <c r="B298" s="124" t="s">
        <v>800</v>
      </c>
      <c r="C298" s="124" t="s">
        <v>803</v>
      </c>
      <c r="D298" s="124" t="s">
        <v>803</v>
      </c>
      <c r="E298" s="125">
        <v>71104.0</v>
      </c>
      <c r="F298" s="126">
        <v>1.0</v>
      </c>
      <c r="G298" s="126">
        <v>0.0</v>
      </c>
      <c r="H298" s="124">
        <v>0.12876448380278163</v>
      </c>
      <c r="I298" s="124">
        <v>0.9870200552687212</v>
      </c>
      <c r="J298" s="124">
        <v>0.0</v>
      </c>
      <c r="K298" s="124">
        <v>0.0</v>
      </c>
      <c r="L298" s="126">
        <v>0.37625482793426057</v>
      </c>
      <c r="M298" s="126">
        <v>0.3290066850895737</v>
      </c>
    </row>
    <row r="299" ht="14.25" customHeight="1">
      <c r="A299" s="124" t="s">
        <v>64</v>
      </c>
      <c r="B299" s="124" t="s">
        <v>800</v>
      </c>
      <c r="C299" s="124" t="s">
        <v>804</v>
      </c>
      <c r="D299" s="124" t="s">
        <v>804</v>
      </c>
      <c r="E299" s="125">
        <v>71105.0</v>
      </c>
      <c r="F299" s="126">
        <v>0.23404255319148937</v>
      </c>
      <c r="G299" s="126">
        <v>0.0</v>
      </c>
      <c r="H299" s="124">
        <v>0.0</v>
      </c>
      <c r="I299" s="124">
        <v>0.0</v>
      </c>
      <c r="J299" s="124">
        <v>0.0</v>
      </c>
      <c r="K299" s="124">
        <v>0.0</v>
      </c>
      <c r="L299" s="126">
        <v>0.07801418439716312</v>
      </c>
      <c r="M299" s="126">
        <v>0.0</v>
      </c>
    </row>
    <row r="300" ht="14.25" customHeight="1">
      <c r="A300" s="124" t="s">
        <v>64</v>
      </c>
      <c r="B300" s="124" t="s">
        <v>800</v>
      </c>
      <c r="C300" s="124" t="s">
        <v>805</v>
      </c>
      <c r="D300" s="124" t="s">
        <v>805</v>
      </c>
      <c r="E300" s="125">
        <v>71106.0</v>
      </c>
      <c r="F300" s="126">
        <v>0.0</v>
      </c>
      <c r="G300" s="126">
        <v>0.5222374114687278</v>
      </c>
      <c r="H300" s="124">
        <v>0.03246492377261704</v>
      </c>
      <c r="I300" s="124">
        <v>0.016786150023032187</v>
      </c>
      <c r="J300" s="124">
        <v>0.0</v>
      </c>
      <c r="K300" s="124">
        <v>0.0</v>
      </c>
      <c r="L300" s="126">
        <v>0.010821641257539013</v>
      </c>
      <c r="M300" s="126">
        <v>0.17967452049725333</v>
      </c>
    </row>
    <row r="301" ht="14.25" customHeight="1">
      <c r="A301" s="124" t="s">
        <v>64</v>
      </c>
      <c r="B301" s="124" t="s">
        <v>806</v>
      </c>
      <c r="C301" s="124" t="s">
        <v>807</v>
      </c>
      <c r="D301" s="124" t="s">
        <v>807</v>
      </c>
      <c r="E301" s="125">
        <v>71201.0</v>
      </c>
      <c r="F301" s="126">
        <v>0.0</v>
      </c>
      <c r="G301" s="126">
        <v>0.0</v>
      </c>
      <c r="H301" s="124">
        <v>0.05761395037988636</v>
      </c>
      <c r="I301" s="124">
        <v>0.0</v>
      </c>
      <c r="J301" s="124">
        <v>0.0</v>
      </c>
      <c r="K301" s="124">
        <v>0.0016261097922783015</v>
      </c>
      <c r="L301" s="126">
        <v>0.019204650126628788</v>
      </c>
      <c r="M301" s="126">
        <v>5.420365974261005E-4</v>
      </c>
    </row>
    <row r="302" ht="14.25" customHeight="1">
      <c r="A302" s="124" t="s">
        <v>64</v>
      </c>
      <c r="B302" s="124" t="s">
        <v>808</v>
      </c>
      <c r="C302" s="124" t="s">
        <v>282</v>
      </c>
      <c r="D302" s="124" t="s">
        <v>282</v>
      </c>
      <c r="E302" s="125">
        <v>71301.0</v>
      </c>
      <c r="F302" s="126">
        <v>0.6170212765957447</v>
      </c>
      <c r="G302" s="126">
        <v>0.04270979406760961</v>
      </c>
      <c r="H302" s="124">
        <v>0.0</v>
      </c>
      <c r="I302" s="124">
        <v>0.3553526279216972</v>
      </c>
      <c r="J302" s="124">
        <v>0.0</v>
      </c>
      <c r="K302" s="124">
        <v>0.0</v>
      </c>
      <c r="L302" s="126">
        <v>0.20567375886524822</v>
      </c>
      <c r="M302" s="126">
        <v>0.1326874739964356</v>
      </c>
    </row>
    <row r="303" ht="14.25" customHeight="1">
      <c r="A303" s="124" t="s">
        <v>64</v>
      </c>
      <c r="B303" s="124" t="s">
        <v>808</v>
      </c>
      <c r="C303" s="124" t="s">
        <v>318</v>
      </c>
      <c r="D303" s="124" t="s">
        <v>318</v>
      </c>
      <c r="E303" s="125">
        <v>71302.0</v>
      </c>
      <c r="F303" s="126">
        <v>0.419452887537994</v>
      </c>
      <c r="G303" s="126">
        <v>0.0</v>
      </c>
      <c r="H303" s="124">
        <v>0.0</v>
      </c>
      <c r="I303" s="124">
        <v>0.45144725651065054</v>
      </c>
      <c r="J303" s="124">
        <v>0.3858841647489128</v>
      </c>
      <c r="K303" s="124">
        <v>0.0</v>
      </c>
      <c r="L303" s="126">
        <v>0.2684456840956356</v>
      </c>
      <c r="M303" s="126">
        <v>0.1504824188368835</v>
      </c>
    </row>
    <row r="304" ht="14.25" customHeight="1">
      <c r="A304" s="124" t="s">
        <v>64</v>
      </c>
      <c r="B304" s="124" t="s">
        <v>809</v>
      </c>
      <c r="C304" s="124" t="s">
        <v>810</v>
      </c>
      <c r="D304" s="124" t="s">
        <v>810</v>
      </c>
      <c r="E304" s="125">
        <v>71401.0</v>
      </c>
      <c r="F304" s="126">
        <v>0.0</v>
      </c>
      <c r="G304" s="126">
        <v>0.0</v>
      </c>
      <c r="H304" s="124">
        <v>0.0</v>
      </c>
      <c r="I304" s="124">
        <v>0.008540864225092107</v>
      </c>
      <c r="J304" s="124">
        <v>0.0</v>
      </c>
      <c r="K304" s="124">
        <v>0.0</v>
      </c>
      <c r="L304" s="126">
        <v>0.0</v>
      </c>
      <c r="M304" s="126">
        <v>0.002846954741697369</v>
      </c>
    </row>
    <row r="305" ht="14.25" customHeight="1">
      <c r="A305" s="124" t="s">
        <v>64</v>
      </c>
      <c r="B305" s="124" t="s">
        <v>809</v>
      </c>
      <c r="C305" s="124" t="s">
        <v>811</v>
      </c>
      <c r="D305" s="124" t="s">
        <v>811</v>
      </c>
      <c r="E305" s="125">
        <v>71402.0</v>
      </c>
      <c r="F305" s="126">
        <v>0.0</v>
      </c>
      <c r="G305" s="126">
        <v>0.0</v>
      </c>
      <c r="H305" s="124">
        <v>0.04991529796658839</v>
      </c>
      <c r="I305" s="124">
        <v>0.008326216678091025</v>
      </c>
      <c r="J305" s="124">
        <v>0.0</v>
      </c>
      <c r="K305" s="124">
        <v>0.0</v>
      </c>
      <c r="L305" s="126">
        <v>0.016638432655529462</v>
      </c>
      <c r="M305" s="126">
        <v>0.002775405559363675</v>
      </c>
    </row>
    <row r="306" ht="14.25" customHeight="1">
      <c r="A306" s="124" t="s">
        <v>64</v>
      </c>
      <c r="B306" s="124" t="s">
        <v>809</v>
      </c>
      <c r="C306" s="124" t="s">
        <v>812</v>
      </c>
      <c r="D306" s="124" t="s">
        <v>812</v>
      </c>
      <c r="E306" s="125">
        <v>71403.0</v>
      </c>
      <c r="F306" s="126">
        <v>0.0</v>
      </c>
      <c r="G306" s="126">
        <v>0.0</v>
      </c>
      <c r="H306" s="124">
        <v>0.0</v>
      </c>
      <c r="I306" s="124">
        <v>0.020810871915823134</v>
      </c>
      <c r="J306" s="124">
        <v>0.0</v>
      </c>
      <c r="K306" s="124">
        <v>0.0</v>
      </c>
      <c r="L306" s="126">
        <v>0.0</v>
      </c>
      <c r="M306" s="126">
        <v>0.006936957305274378</v>
      </c>
    </row>
    <row r="307" ht="14.25" customHeight="1">
      <c r="A307" s="124" t="s">
        <v>64</v>
      </c>
      <c r="B307" s="124" t="s">
        <v>813</v>
      </c>
      <c r="C307" s="124" t="s">
        <v>814</v>
      </c>
      <c r="D307" s="124" t="s">
        <v>814</v>
      </c>
      <c r="E307" s="125">
        <v>71501.0</v>
      </c>
      <c r="F307" s="126">
        <v>0.0</v>
      </c>
      <c r="G307" s="126">
        <v>0.0</v>
      </c>
      <c r="H307" s="124">
        <v>0.10670612490847867</v>
      </c>
      <c r="I307" s="124">
        <v>0.19617723918579494</v>
      </c>
      <c r="J307" s="124">
        <v>0.0</v>
      </c>
      <c r="K307" s="124">
        <v>0.0</v>
      </c>
      <c r="L307" s="126">
        <v>0.03556870830282622</v>
      </c>
      <c r="M307" s="126">
        <v>0.06539241306193165</v>
      </c>
    </row>
    <row r="308" ht="14.25" customHeight="1">
      <c r="A308" s="124" t="s">
        <v>64</v>
      </c>
      <c r="B308" s="124" t="s">
        <v>813</v>
      </c>
      <c r="C308" s="124" t="s">
        <v>815</v>
      </c>
      <c r="D308" s="124" t="s">
        <v>816</v>
      </c>
      <c r="E308" s="125">
        <v>71502.0</v>
      </c>
      <c r="F308" s="126">
        <v>0.0</v>
      </c>
      <c r="G308" s="126">
        <v>0.0</v>
      </c>
      <c r="H308" s="124">
        <v>0.0</v>
      </c>
      <c r="I308" s="124">
        <v>0.01815795675356626</v>
      </c>
      <c r="J308" s="124">
        <v>0.0</v>
      </c>
      <c r="K308" s="124">
        <v>0.0</v>
      </c>
      <c r="L308" s="126">
        <v>0.0</v>
      </c>
      <c r="M308" s="126">
        <v>0.006052652251188753</v>
      </c>
    </row>
    <row r="309" ht="14.25" customHeight="1">
      <c r="A309" s="124" t="s">
        <v>64</v>
      </c>
      <c r="B309" s="124" t="s">
        <v>813</v>
      </c>
      <c r="C309" s="124" t="s">
        <v>759</v>
      </c>
      <c r="D309" s="124" t="s">
        <v>759</v>
      </c>
      <c r="E309" s="125">
        <v>71503.0</v>
      </c>
      <c r="F309" s="126">
        <v>0.0</v>
      </c>
      <c r="G309" s="126">
        <v>0.0</v>
      </c>
      <c r="H309" s="124">
        <v>0.0</v>
      </c>
      <c r="I309" s="124">
        <v>0.7733637691360473</v>
      </c>
      <c r="J309" s="124">
        <v>0.0</v>
      </c>
      <c r="K309" s="124">
        <v>0.0</v>
      </c>
      <c r="L309" s="126">
        <v>0.0</v>
      </c>
      <c r="M309" s="126">
        <v>0.2577879230453491</v>
      </c>
    </row>
    <row r="310" ht="14.25" customHeight="1">
      <c r="A310" s="124" t="s">
        <v>27</v>
      </c>
      <c r="B310" s="124" t="s">
        <v>588</v>
      </c>
      <c r="C310" s="124" t="s">
        <v>83</v>
      </c>
      <c r="D310" s="124" t="s">
        <v>83</v>
      </c>
      <c r="E310" s="125">
        <v>80101.0</v>
      </c>
      <c r="F310" s="126">
        <v>0.0</v>
      </c>
      <c r="G310" s="126">
        <v>0.0</v>
      </c>
      <c r="H310" s="124">
        <v>1.0</v>
      </c>
      <c r="I310" s="124">
        <v>0.6480648832619232</v>
      </c>
      <c r="J310" s="124">
        <v>0.0013835914834767486</v>
      </c>
      <c r="K310" s="124">
        <v>0.0047272709018788914</v>
      </c>
      <c r="L310" s="126">
        <v>0.33379453049449226</v>
      </c>
      <c r="M310" s="126">
        <v>0.21759738472126736</v>
      </c>
    </row>
    <row r="311" ht="14.25" customHeight="1">
      <c r="A311" s="124" t="s">
        <v>27</v>
      </c>
      <c r="B311" s="124" t="s">
        <v>588</v>
      </c>
      <c r="C311" s="124" t="s">
        <v>801</v>
      </c>
      <c r="D311" s="124" t="s">
        <v>801</v>
      </c>
      <c r="E311" s="125">
        <v>80102.0</v>
      </c>
      <c r="F311" s="126">
        <v>0.0</v>
      </c>
      <c r="G311" s="126">
        <v>0.0</v>
      </c>
      <c r="H311" s="124">
        <v>0.0</v>
      </c>
      <c r="I311" s="124">
        <v>0.10993473694104117</v>
      </c>
      <c r="J311" s="124">
        <v>0.0</v>
      </c>
      <c r="K311" s="124">
        <v>0.0</v>
      </c>
      <c r="L311" s="126">
        <v>0.0</v>
      </c>
      <c r="M311" s="126">
        <v>0.03664491231368039</v>
      </c>
    </row>
    <row r="312" ht="14.25" customHeight="1">
      <c r="A312" s="124" t="s">
        <v>27</v>
      </c>
      <c r="B312" s="124" t="s">
        <v>817</v>
      </c>
      <c r="C312" s="124" t="s">
        <v>58</v>
      </c>
      <c r="D312" s="124" t="s">
        <v>58</v>
      </c>
      <c r="E312" s="125">
        <v>80201.0</v>
      </c>
      <c r="F312" s="126">
        <v>0.0</v>
      </c>
      <c r="G312" s="126">
        <v>0.0</v>
      </c>
      <c r="H312" s="124">
        <v>1.0</v>
      </c>
      <c r="I312" s="124">
        <v>1.0</v>
      </c>
      <c r="J312" s="124">
        <v>0.5763882370495468</v>
      </c>
      <c r="K312" s="124">
        <v>1.0</v>
      </c>
      <c r="L312" s="126">
        <v>0.5254627456831823</v>
      </c>
      <c r="M312" s="126">
        <v>0.6666666666666666</v>
      </c>
    </row>
    <row r="313" ht="14.25" customHeight="1">
      <c r="A313" s="124" t="s">
        <v>27</v>
      </c>
      <c r="B313" s="124" t="s">
        <v>817</v>
      </c>
      <c r="C313" s="124" t="s">
        <v>818</v>
      </c>
      <c r="D313" s="124" t="s">
        <v>818</v>
      </c>
      <c r="E313" s="125">
        <v>80202.0</v>
      </c>
      <c r="F313" s="126">
        <v>0.0</v>
      </c>
      <c r="G313" s="126">
        <v>0.0</v>
      </c>
      <c r="H313" s="124">
        <v>1.0</v>
      </c>
      <c r="I313" s="124">
        <v>1.0</v>
      </c>
      <c r="J313" s="124">
        <v>1.0</v>
      </c>
      <c r="K313" s="124">
        <v>1.0</v>
      </c>
      <c r="L313" s="126">
        <v>0.6666666666666666</v>
      </c>
      <c r="M313" s="126">
        <v>0.6666666666666666</v>
      </c>
    </row>
    <row r="314" ht="14.25" customHeight="1">
      <c r="A314" s="124" t="s">
        <v>27</v>
      </c>
      <c r="B314" s="124" t="s">
        <v>819</v>
      </c>
      <c r="C314" s="124" t="s">
        <v>53</v>
      </c>
      <c r="D314" s="124" t="s">
        <v>53</v>
      </c>
      <c r="E314" s="125">
        <v>80301.0</v>
      </c>
      <c r="F314" s="126">
        <v>0.0</v>
      </c>
      <c r="G314" s="126">
        <v>0.0</v>
      </c>
      <c r="H314" s="124">
        <v>0.0</v>
      </c>
      <c r="I314" s="124">
        <v>0.20234342668919528</v>
      </c>
      <c r="J314" s="124">
        <v>0.25804166448024346</v>
      </c>
      <c r="K314" s="124">
        <v>0.5087369470535761</v>
      </c>
      <c r="L314" s="126">
        <v>0.08601388816008115</v>
      </c>
      <c r="M314" s="126">
        <v>0.23702679124759043</v>
      </c>
    </row>
    <row r="315" ht="14.25" customHeight="1">
      <c r="A315" s="124" t="s">
        <v>27</v>
      </c>
      <c r="B315" s="124" t="s">
        <v>819</v>
      </c>
      <c r="C315" s="124" t="s">
        <v>67</v>
      </c>
      <c r="D315" s="124" t="s">
        <v>67</v>
      </c>
      <c r="E315" s="125">
        <v>80302.0</v>
      </c>
      <c r="F315" s="126">
        <v>0.0</v>
      </c>
      <c r="G315" s="126">
        <v>0.0</v>
      </c>
      <c r="H315" s="124">
        <v>0.060630453305642526</v>
      </c>
      <c r="I315" s="124">
        <v>1.0</v>
      </c>
      <c r="J315" s="124">
        <v>0.0026789315700037415</v>
      </c>
      <c r="K315" s="124">
        <v>0.0020836134433362434</v>
      </c>
      <c r="L315" s="126">
        <v>0.02110312829188209</v>
      </c>
      <c r="M315" s="126">
        <v>0.3340278711477787</v>
      </c>
    </row>
    <row r="316" ht="14.25" customHeight="1">
      <c r="A316" s="124" t="s">
        <v>27</v>
      </c>
      <c r="B316" s="124" t="s">
        <v>819</v>
      </c>
      <c r="C316" s="124" t="s">
        <v>80</v>
      </c>
      <c r="D316" s="124" t="s">
        <v>80</v>
      </c>
      <c r="E316" s="125">
        <v>80303.0</v>
      </c>
      <c r="F316" s="126">
        <v>0.0</v>
      </c>
      <c r="G316" s="126">
        <v>0.0</v>
      </c>
      <c r="H316" s="124">
        <v>0.06745736868606357</v>
      </c>
      <c r="I316" s="124">
        <v>0.02948989717188863</v>
      </c>
      <c r="J316" s="124">
        <v>0.0269257070287696</v>
      </c>
      <c r="K316" s="124">
        <v>0.6680139696185219</v>
      </c>
      <c r="L316" s="126">
        <v>0.03146102523827773</v>
      </c>
      <c r="M316" s="126">
        <v>0.23250128893013686</v>
      </c>
    </row>
    <row r="317" ht="14.25" customHeight="1">
      <c r="A317" s="124" t="s">
        <v>27</v>
      </c>
      <c r="B317" s="124" t="s">
        <v>819</v>
      </c>
      <c r="C317" s="124" t="s">
        <v>820</v>
      </c>
      <c r="D317" s="124" t="s">
        <v>63</v>
      </c>
      <c r="E317" s="125">
        <v>80304.0</v>
      </c>
      <c r="F317" s="126">
        <v>0.0</v>
      </c>
      <c r="G317" s="126">
        <v>0.0</v>
      </c>
      <c r="H317" s="124">
        <v>0.3472482311929776</v>
      </c>
      <c r="I317" s="124">
        <v>0.4090546750667144</v>
      </c>
      <c r="J317" s="124">
        <v>0.032013226907138995</v>
      </c>
      <c r="K317" s="124">
        <v>0.012165026224712817</v>
      </c>
      <c r="L317" s="126">
        <v>0.1264204860333722</v>
      </c>
      <c r="M317" s="126">
        <v>0.14040656709714242</v>
      </c>
    </row>
    <row r="318" ht="14.25" customHeight="1">
      <c r="A318" s="124" t="s">
        <v>27</v>
      </c>
      <c r="B318" s="124" t="s">
        <v>821</v>
      </c>
      <c r="C318" s="124" t="s">
        <v>822</v>
      </c>
      <c r="D318" s="124" t="s">
        <v>823</v>
      </c>
      <c r="E318" s="125">
        <v>80401.0</v>
      </c>
      <c r="F318" s="126">
        <v>0.0</v>
      </c>
      <c r="G318" s="126">
        <v>0.0</v>
      </c>
      <c r="H318" s="124">
        <v>0.0</v>
      </c>
      <c r="I318" s="124">
        <v>0.7132785235937106</v>
      </c>
      <c r="J318" s="124">
        <v>0.0</v>
      </c>
      <c r="K318" s="124">
        <v>0.0</v>
      </c>
      <c r="L318" s="126">
        <v>0.0</v>
      </c>
      <c r="M318" s="126">
        <v>0.2377595078645702</v>
      </c>
    </row>
    <row r="319" ht="14.25" customHeight="1">
      <c r="A319" s="124" t="s">
        <v>27</v>
      </c>
      <c r="B319" s="124" t="s">
        <v>821</v>
      </c>
      <c r="C319" s="124" t="s">
        <v>824</v>
      </c>
      <c r="D319" s="124" t="s">
        <v>824</v>
      </c>
      <c r="E319" s="125">
        <v>80402.0</v>
      </c>
      <c r="F319" s="126">
        <v>0.0</v>
      </c>
      <c r="G319" s="126">
        <v>0.0</v>
      </c>
      <c r="H319" s="124">
        <v>0.0</v>
      </c>
      <c r="I319" s="124">
        <v>0.036333693636144575</v>
      </c>
      <c r="J319" s="124">
        <v>0.0037865128020194735</v>
      </c>
      <c r="K319" s="124">
        <v>0.0</v>
      </c>
      <c r="L319" s="126">
        <v>0.0012621709340064912</v>
      </c>
      <c r="M319" s="126">
        <v>0.012111231212048192</v>
      </c>
    </row>
    <row r="320" ht="14.25" customHeight="1">
      <c r="A320" s="124" t="s">
        <v>27</v>
      </c>
      <c r="B320" s="124" t="s">
        <v>825</v>
      </c>
      <c r="C320" s="124" t="s">
        <v>767</v>
      </c>
      <c r="D320" s="124" t="s">
        <v>767</v>
      </c>
      <c r="E320" s="125">
        <v>80501.0</v>
      </c>
      <c r="F320" s="126">
        <v>0.0</v>
      </c>
      <c r="G320" s="126">
        <v>0.0</v>
      </c>
      <c r="H320" s="124">
        <v>0.0705508740455642</v>
      </c>
      <c r="I320" s="124">
        <v>0.11394434321565815</v>
      </c>
      <c r="J320" s="124">
        <v>0.0</v>
      </c>
      <c r="K320" s="124">
        <v>0.0</v>
      </c>
      <c r="L320" s="126">
        <v>0.023516958015188067</v>
      </c>
      <c r="M320" s="126">
        <v>0.037981447738552714</v>
      </c>
    </row>
    <row r="321" ht="14.25" customHeight="1">
      <c r="A321" s="124" t="s">
        <v>27</v>
      </c>
      <c r="B321" s="124" t="s">
        <v>826</v>
      </c>
      <c r="C321" s="124" t="s">
        <v>827</v>
      </c>
      <c r="D321" s="124" t="s">
        <v>827</v>
      </c>
      <c r="E321" s="125">
        <v>80601.0</v>
      </c>
      <c r="F321" s="126">
        <v>0.0</v>
      </c>
      <c r="G321" s="126">
        <v>0.0</v>
      </c>
      <c r="H321" s="124">
        <v>0.0</v>
      </c>
      <c r="I321" s="124">
        <v>0.0</v>
      </c>
      <c r="J321" s="124">
        <v>0.0</v>
      </c>
      <c r="K321" s="124">
        <v>0.0</v>
      </c>
      <c r="L321" s="126">
        <v>0.0</v>
      </c>
      <c r="M321" s="126">
        <v>0.0</v>
      </c>
    </row>
    <row r="322" ht="14.25" customHeight="1">
      <c r="A322" s="124" t="s">
        <v>27</v>
      </c>
      <c r="B322" s="124" t="s">
        <v>826</v>
      </c>
      <c r="C322" s="124" t="s">
        <v>828</v>
      </c>
      <c r="D322" s="124" t="s">
        <v>828</v>
      </c>
      <c r="E322" s="125">
        <v>80602.0</v>
      </c>
      <c r="F322" s="126">
        <v>0.0</v>
      </c>
      <c r="G322" s="126">
        <v>0.0</v>
      </c>
      <c r="H322" s="124">
        <v>0.3356649400774325</v>
      </c>
      <c r="I322" s="124">
        <v>0.2948469681554971</v>
      </c>
      <c r="J322" s="124">
        <v>0.0</v>
      </c>
      <c r="K322" s="124">
        <v>0.0</v>
      </c>
      <c r="L322" s="126">
        <v>0.11188831335914418</v>
      </c>
      <c r="M322" s="126">
        <v>0.09828232271849903</v>
      </c>
    </row>
    <row r="323" ht="14.25" customHeight="1">
      <c r="A323" s="124" t="s">
        <v>27</v>
      </c>
      <c r="B323" s="124" t="s">
        <v>829</v>
      </c>
      <c r="C323" s="124" t="s">
        <v>830</v>
      </c>
      <c r="D323" s="124" t="s">
        <v>830</v>
      </c>
      <c r="E323" s="125">
        <v>80701.0</v>
      </c>
      <c r="F323" s="126">
        <v>0.0</v>
      </c>
      <c r="G323" s="126">
        <v>0.0</v>
      </c>
      <c r="H323" s="124">
        <v>0.0</v>
      </c>
      <c r="I323" s="124">
        <v>0.7822285094017255</v>
      </c>
      <c r="J323" s="124">
        <v>0.0052981119018900204</v>
      </c>
      <c r="K323" s="124">
        <v>0.0</v>
      </c>
      <c r="L323" s="126">
        <v>0.0017660373006300068</v>
      </c>
      <c r="M323" s="126">
        <v>0.26074283646724183</v>
      </c>
    </row>
    <row r="324" ht="14.25" customHeight="1">
      <c r="A324" s="124" t="s">
        <v>27</v>
      </c>
      <c r="B324" s="124" t="s">
        <v>829</v>
      </c>
      <c r="C324" s="124" t="s">
        <v>802</v>
      </c>
      <c r="D324" s="124" t="s">
        <v>802</v>
      </c>
      <c r="E324" s="125">
        <v>80702.0</v>
      </c>
      <c r="F324" s="126">
        <v>0.0</v>
      </c>
      <c r="G324" s="126">
        <v>0.0</v>
      </c>
      <c r="H324" s="124">
        <v>0.12902782856498882</v>
      </c>
      <c r="I324" s="124">
        <v>1.0</v>
      </c>
      <c r="J324" s="124">
        <v>0.0024537378606744272</v>
      </c>
      <c r="K324" s="124">
        <v>0.0</v>
      </c>
      <c r="L324" s="126">
        <v>0.043827188808554414</v>
      </c>
      <c r="M324" s="126">
        <v>0.3333333333333333</v>
      </c>
    </row>
    <row r="325" ht="14.25" customHeight="1">
      <c r="A325" s="124" t="s">
        <v>27</v>
      </c>
      <c r="B325" s="124" t="s">
        <v>829</v>
      </c>
      <c r="C325" s="124" t="s">
        <v>48</v>
      </c>
      <c r="D325" s="124" t="s">
        <v>48</v>
      </c>
      <c r="E325" s="125">
        <v>80703.0</v>
      </c>
      <c r="F325" s="126">
        <v>0.0</v>
      </c>
      <c r="G325" s="126">
        <v>0.0</v>
      </c>
      <c r="H325" s="124">
        <v>0.0</v>
      </c>
      <c r="I325" s="124">
        <v>0.0</v>
      </c>
      <c r="J325" s="124">
        <v>0.012790171579716703</v>
      </c>
      <c r="K325" s="124">
        <v>0.0</v>
      </c>
      <c r="L325" s="126">
        <v>0.004263390526572234</v>
      </c>
      <c r="M325" s="126">
        <v>0.0</v>
      </c>
    </row>
    <row r="326" ht="14.25" customHeight="1">
      <c r="A326" s="124" t="s">
        <v>27</v>
      </c>
      <c r="B326" s="124" t="s">
        <v>831</v>
      </c>
      <c r="C326" s="124" t="s">
        <v>43</v>
      </c>
      <c r="D326" s="124" t="s">
        <v>43</v>
      </c>
      <c r="E326" s="125">
        <v>80801.0</v>
      </c>
      <c r="F326" s="126">
        <v>0.0</v>
      </c>
      <c r="G326" s="126">
        <v>0.0</v>
      </c>
      <c r="H326" s="124">
        <v>0.7321372952771822</v>
      </c>
      <c r="I326" s="124">
        <v>1.0</v>
      </c>
      <c r="J326" s="124">
        <v>0.03542758487721942</v>
      </c>
      <c r="K326" s="124">
        <v>0.0</v>
      </c>
      <c r="L326" s="126">
        <v>0.2558549600514672</v>
      </c>
      <c r="M326" s="126">
        <v>0.3333333333333333</v>
      </c>
    </row>
    <row r="327" ht="14.25" customHeight="1">
      <c r="A327" s="124" t="s">
        <v>27</v>
      </c>
      <c r="B327" s="124" t="s">
        <v>831</v>
      </c>
      <c r="C327" s="124" t="s">
        <v>28</v>
      </c>
      <c r="D327" s="124" t="s">
        <v>28</v>
      </c>
      <c r="E327" s="125">
        <v>80802.0</v>
      </c>
      <c r="F327" s="126">
        <v>0.0</v>
      </c>
      <c r="G327" s="126">
        <v>0.0</v>
      </c>
      <c r="H327" s="124">
        <v>0.0</v>
      </c>
      <c r="I327" s="124">
        <v>0.0</v>
      </c>
      <c r="J327" s="124">
        <v>0.35726615168345377</v>
      </c>
      <c r="K327" s="124">
        <v>0.0</v>
      </c>
      <c r="L327" s="126">
        <v>0.11908871722781793</v>
      </c>
      <c r="M327" s="126">
        <v>0.0</v>
      </c>
    </row>
    <row r="328" ht="14.25" customHeight="1">
      <c r="A328" s="124" t="s">
        <v>27</v>
      </c>
      <c r="B328" s="124" t="s">
        <v>831</v>
      </c>
      <c r="C328" s="124" t="s">
        <v>832</v>
      </c>
      <c r="D328" s="124" t="s">
        <v>832</v>
      </c>
      <c r="E328" s="125">
        <v>80803.0</v>
      </c>
      <c r="F328" s="126">
        <v>0.0</v>
      </c>
      <c r="G328" s="126">
        <v>0.0</v>
      </c>
      <c r="H328" s="124">
        <v>0.7677660585657918</v>
      </c>
      <c r="I328" s="124">
        <v>0.2244948075897913</v>
      </c>
      <c r="J328" s="124">
        <v>0.0</v>
      </c>
      <c r="K328" s="124">
        <v>0.0</v>
      </c>
      <c r="L328" s="126">
        <v>0.2559220195219306</v>
      </c>
      <c r="M328" s="126">
        <v>0.07483160252993043</v>
      </c>
    </row>
    <row r="329" ht="14.25" customHeight="1">
      <c r="A329" s="124" t="s">
        <v>27</v>
      </c>
      <c r="B329" s="124" t="s">
        <v>825</v>
      </c>
      <c r="C329" s="124" t="s">
        <v>833</v>
      </c>
      <c r="D329" s="124" t="s">
        <v>833</v>
      </c>
      <c r="E329" s="125">
        <v>80901.0</v>
      </c>
      <c r="F329" s="126">
        <v>0.0</v>
      </c>
      <c r="G329" s="126">
        <v>0.0</v>
      </c>
      <c r="H329" s="124">
        <v>0.0</v>
      </c>
      <c r="I329" s="124">
        <v>0.0</v>
      </c>
      <c r="J329" s="124">
        <v>0.0</v>
      </c>
      <c r="K329" s="124">
        <v>0.0</v>
      </c>
      <c r="L329" s="126">
        <v>0.0</v>
      </c>
      <c r="M329" s="126">
        <v>0.0</v>
      </c>
    </row>
    <row r="330" ht="14.25" customHeight="1">
      <c r="A330" s="124" t="s">
        <v>54</v>
      </c>
      <c r="B330" s="124" t="s">
        <v>834</v>
      </c>
      <c r="C330" s="124" t="s">
        <v>232</v>
      </c>
      <c r="D330" s="124" t="s">
        <v>232</v>
      </c>
      <c r="E330" s="125">
        <v>90101.0</v>
      </c>
      <c r="F330" s="126">
        <v>0.0</v>
      </c>
      <c r="G330" s="126">
        <v>0.0</v>
      </c>
      <c r="H330" s="124">
        <v>0.4276738769829723</v>
      </c>
      <c r="I330" s="124">
        <v>1.0</v>
      </c>
      <c r="J330" s="124">
        <v>0.07937305406929489</v>
      </c>
      <c r="K330" s="124">
        <v>0.14665617275055148</v>
      </c>
      <c r="L330" s="126">
        <v>0.16901564368408906</v>
      </c>
      <c r="M330" s="126">
        <v>0.38221872425018383</v>
      </c>
    </row>
    <row r="331" ht="14.25" customHeight="1">
      <c r="A331" s="124" t="s">
        <v>54</v>
      </c>
      <c r="B331" s="124" t="s">
        <v>834</v>
      </c>
      <c r="C331" s="124" t="s">
        <v>243</v>
      </c>
      <c r="D331" s="124" t="s">
        <v>243</v>
      </c>
      <c r="E331" s="125">
        <v>90102.0</v>
      </c>
      <c r="F331" s="126">
        <v>0.0</v>
      </c>
      <c r="G331" s="126">
        <v>0.0</v>
      </c>
      <c r="H331" s="124">
        <v>0.15862206229476894</v>
      </c>
      <c r="I331" s="124">
        <v>0.7052772241620364</v>
      </c>
      <c r="J331" s="124">
        <v>0.0998061895885541</v>
      </c>
      <c r="K331" s="124">
        <v>0.24346661399632127</v>
      </c>
      <c r="L331" s="126">
        <v>0.08614275062777434</v>
      </c>
      <c r="M331" s="126">
        <v>0.3162479460527859</v>
      </c>
    </row>
    <row r="332" ht="14.25" customHeight="1">
      <c r="A332" s="124" t="s">
        <v>54</v>
      </c>
      <c r="B332" s="124" t="s">
        <v>834</v>
      </c>
      <c r="C332" s="124" t="s">
        <v>835</v>
      </c>
      <c r="D332" s="124" t="s">
        <v>835</v>
      </c>
      <c r="E332" s="125">
        <v>90103.0</v>
      </c>
      <c r="F332" s="126">
        <v>0.0</v>
      </c>
      <c r="G332" s="126">
        <v>0.0</v>
      </c>
      <c r="H332" s="124">
        <v>0.0</v>
      </c>
      <c r="I332" s="124">
        <v>0.243967641745572</v>
      </c>
      <c r="J332" s="124">
        <v>0.0</v>
      </c>
      <c r="K332" s="124">
        <v>0.0</v>
      </c>
      <c r="L332" s="126">
        <v>0.0</v>
      </c>
      <c r="M332" s="126">
        <v>0.081322547248524</v>
      </c>
    </row>
    <row r="333" ht="14.25" customHeight="1">
      <c r="A333" s="124" t="s">
        <v>54</v>
      </c>
      <c r="B333" s="124" t="s">
        <v>834</v>
      </c>
      <c r="C333" s="124" t="s">
        <v>231</v>
      </c>
      <c r="D333" s="124" t="s">
        <v>231</v>
      </c>
      <c r="E333" s="125">
        <v>90104.0</v>
      </c>
      <c r="F333" s="126">
        <v>0.0</v>
      </c>
      <c r="G333" s="126">
        <v>0.0</v>
      </c>
      <c r="H333" s="124">
        <v>0.0</v>
      </c>
      <c r="I333" s="124">
        <v>0.3701235701710773</v>
      </c>
      <c r="J333" s="124">
        <v>0.5634868012100617</v>
      </c>
      <c r="K333" s="124">
        <v>1.0</v>
      </c>
      <c r="L333" s="126">
        <v>0.18782893373668721</v>
      </c>
      <c r="M333" s="126">
        <v>0.4567078567236924</v>
      </c>
    </row>
    <row r="334" ht="14.25" customHeight="1">
      <c r="A334" s="124" t="s">
        <v>54</v>
      </c>
      <c r="B334" s="124" t="s">
        <v>836</v>
      </c>
      <c r="C334" s="124" t="s">
        <v>247</v>
      </c>
      <c r="D334" s="124" t="s">
        <v>247</v>
      </c>
      <c r="E334" s="125">
        <v>90201.0</v>
      </c>
      <c r="F334" s="126">
        <v>0.0</v>
      </c>
      <c r="G334" s="126">
        <v>0.0</v>
      </c>
      <c r="H334" s="124">
        <v>0.0</v>
      </c>
      <c r="I334" s="124">
        <v>0.27454556694895244</v>
      </c>
      <c r="J334" s="124">
        <v>0.3569137844624545</v>
      </c>
      <c r="K334" s="124">
        <v>1.0</v>
      </c>
      <c r="L334" s="126">
        <v>0.11897126148748483</v>
      </c>
      <c r="M334" s="126">
        <v>0.4248485223163175</v>
      </c>
    </row>
    <row r="335" ht="14.25" customHeight="1">
      <c r="A335" s="124" t="s">
        <v>54</v>
      </c>
      <c r="B335" s="124" t="s">
        <v>836</v>
      </c>
      <c r="C335" s="124" t="s">
        <v>709</v>
      </c>
      <c r="D335" s="124" t="s">
        <v>709</v>
      </c>
      <c r="E335" s="125">
        <v>90202.0</v>
      </c>
      <c r="F335" s="126">
        <v>0.0</v>
      </c>
      <c r="G335" s="126">
        <v>0.0</v>
      </c>
      <c r="H335" s="124">
        <v>0.0</v>
      </c>
      <c r="I335" s="124">
        <v>0.0</v>
      </c>
      <c r="J335" s="124">
        <v>0.3327914550522876</v>
      </c>
      <c r="K335" s="124">
        <v>0.22052445816717856</v>
      </c>
      <c r="L335" s="126">
        <v>0.11093048501742919</v>
      </c>
      <c r="M335" s="126">
        <v>0.07350815272239285</v>
      </c>
    </row>
    <row r="336" ht="14.25" customHeight="1">
      <c r="A336" s="124" t="s">
        <v>54</v>
      </c>
      <c r="B336" s="124" t="s">
        <v>836</v>
      </c>
      <c r="C336" s="124" t="s">
        <v>237</v>
      </c>
      <c r="D336" s="124" t="s">
        <v>237</v>
      </c>
      <c r="E336" s="125">
        <v>90203.0</v>
      </c>
      <c r="F336" s="126">
        <v>0.0</v>
      </c>
      <c r="G336" s="126">
        <v>0.0</v>
      </c>
      <c r="H336" s="124">
        <v>0.0</v>
      </c>
      <c r="I336" s="124">
        <v>0.8350339648080489</v>
      </c>
      <c r="J336" s="124">
        <v>0.03935731879850969</v>
      </c>
      <c r="K336" s="124">
        <v>0.09942901591202448</v>
      </c>
      <c r="L336" s="126">
        <v>0.013119106266169897</v>
      </c>
      <c r="M336" s="126">
        <v>0.31148766024002444</v>
      </c>
    </row>
    <row r="337" ht="14.25" customHeight="1">
      <c r="A337" s="124" t="s">
        <v>54</v>
      </c>
      <c r="B337" s="124" t="s">
        <v>837</v>
      </c>
      <c r="C337" s="124" t="s">
        <v>245</v>
      </c>
      <c r="D337" s="124" t="s">
        <v>245</v>
      </c>
      <c r="E337" s="125">
        <v>90301.0</v>
      </c>
      <c r="F337" s="126">
        <v>0.0</v>
      </c>
      <c r="G337" s="126">
        <v>0.0</v>
      </c>
      <c r="H337" s="124">
        <v>0.0</v>
      </c>
      <c r="I337" s="124">
        <v>0.16179912027220272</v>
      </c>
      <c r="J337" s="124">
        <v>0.16289275652838867</v>
      </c>
      <c r="K337" s="124">
        <v>0.44612070256423564</v>
      </c>
      <c r="L337" s="126">
        <v>0.05429758550946289</v>
      </c>
      <c r="M337" s="126">
        <v>0.20263994094547946</v>
      </c>
    </row>
    <row r="338" ht="14.25" customHeight="1">
      <c r="A338" s="124" t="s">
        <v>54</v>
      </c>
      <c r="B338" s="124" t="s">
        <v>837</v>
      </c>
      <c r="C338" s="124" t="s">
        <v>757</v>
      </c>
      <c r="D338" s="124" t="s">
        <v>757</v>
      </c>
      <c r="E338" s="125">
        <v>90302.0</v>
      </c>
      <c r="F338" s="126">
        <v>0.0</v>
      </c>
      <c r="G338" s="126">
        <v>0.0</v>
      </c>
      <c r="H338" s="124">
        <v>0.0</v>
      </c>
      <c r="I338" s="124">
        <v>0.18723862734729288</v>
      </c>
      <c r="J338" s="124">
        <v>0.3509632089770181</v>
      </c>
      <c r="K338" s="124">
        <v>1.0</v>
      </c>
      <c r="L338" s="126">
        <v>0.1169877363256727</v>
      </c>
      <c r="M338" s="126">
        <v>0.39574620911576425</v>
      </c>
    </row>
    <row r="339" ht="14.25" customHeight="1">
      <c r="A339" s="124" t="s">
        <v>54</v>
      </c>
      <c r="B339" s="124" t="s">
        <v>837</v>
      </c>
      <c r="C339" s="124" t="s">
        <v>253</v>
      </c>
      <c r="D339" s="124" t="s">
        <v>253</v>
      </c>
      <c r="E339" s="125">
        <v>90303.0</v>
      </c>
      <c r="F339" s="126">
        <v>0.0</v>
      </c>
      <c r="G339" s="126">
        <v>0.0</v>
      </c>
      <c r="H339" s="124">
        <v>0.0</v>
      </c>
      <c r="I339" s="124">
        <v>0.30479957368830735</v>
      </c>
      <c r="J339" s="124">
        <v>0.8362589733440214</v>
      </c>
      <c r="K339" s="124">
        <v>1.0</v>
      </c>
      <c r="L339" s="126">
        <v>0.27875299111467383</v>
      </c>
      <c r="M339" s="126">
        <v>0.4349331912294358</v>
      </c>
    </row>
    <row r="340" ht="14.25" customHeight="1">
      <c r="A340" s="124" t="s">
        <v>54</v>
      </c>
      <c r="B340" s="124" t="s">
        <v>838</v>
      </c>
      <c r="C340" s="124" t="s">
        <v>80</v>
      </c>
      <c r="D340" s="124" t="s">
        <v>80</v>
      </c>
      <c r="E340" s="125">
        <v>90401.0</v>
      </c>
      <c r="F340" s="126">
        <v>0.0</v>
      </c>
      <c r="G340" s="126">
        <v>0.0</v>
      </c>
      <c r="H340" s="124">
        <v>0.0</v>
      </c>
      <c r="I340" s="124">
        <v>0.42159881475037553</v>
      </c>
      <c r="J340" s="124">
        <v>0.9800928683597768</v>
      </c>
      <c r="K340" s="124">
        <v>1.0</v>
      </c>
      <c r="L340" s="126">
        <v>0.32669762278659226</v>
      </c>
      <c r="M340" s="126">
        <v>0.4738662715834585</v>
      </c>
    </row>
    <row r="341" ht="14.25" customHeight="1">
      <c r="A341" s="124" t="s">
        <v>54</v>
      </c>
      <c r="B341" s="124" t="s">
        <v>838</v>
      </c>
      <c r="C341" s="124" t="s">
        <v>524</v>
      </c>
      <c r="D341" s="124" t="s">
        <v>524</v>
      </c>
      <c r="E341" s="125">
        <v>90402.0</v>
      </c>
      <c r="F341" s="126">
        <v>0.0</v>
      </c>
      <c r="G341" s="126">
        <v>0.0</v>
      </c>
      <c r="H341" s="124">
        <v>0.0</v>
      </c>
      <c r="I341" s="124">
        <v>0.16861767598816305</v>
      </c>
      <c r="J341" s="124">
        <v>1.0</v>
      </c>
      <c r="K341" s="124">
        <v>1.0</v>
      </c>
      <c r="L341" s="126">
        <v>0.3333333333333333</v>
      </c>
      <c r="M341" s="126">
        <v>0.3895392253293877</v>
      </c>
    </row>
    <row r="342" ht="14.25" customHeight="1">
      <c r="A342" s="124" t="s">
        <v>54</v>
      </c>
      <c r="B342" s="124" t="s">
        <v>839</v>
      </c>
      <c r="C342" s="124" t="s">
        <v>840</v>
      </c>
      <c r="D342" s="124" t="s">
        <v>840</v>
      </c>
      <c r="E342" s="125">
        <v>90501.0</v>
      </c>
      <c r="F342" s="126">
        <v>0.0</v>
      </c>
      <c r="G342" s="126">
        <v>0.0</v>
      </c>
      <c r="H342" s="124">
        <v>0.0</v>
      </c>
      <c r="I342" s="124">
        <v>0.38372062694842446</v>
      </c>
      <c r="J342" s="124">
        <v>1.0</v>
      </c>
      <c r="K342" s="124">
        <v>1.0</v>
      </c>
      <c r="L342" s="126">
        <v>0.3333333333333333</v>
      </c>
      <c r="M342" s="126">
        <v>0.4612402089828082</v>
      </c>
    </row>
    <row r="343" ht="14.25" customHeight="1">
      <c r="A343" s="124" t="s">
        <v>54</v>
      </c>
      <c r="B343" s="124" t="s">
        <v>839</v>
      </c>
      <c r="C343" s="124" t="s">
        <v>841</v>
      </c>
      <c r="D343" s="124" t="s">
        <v>842</v>
      </c>
      <c r="E343" s="125">
        <v>90502.0</v>
      </c>
      <c r="F343" s="126">
        <v>0.0</v>
      </c>
      <c r="G343" s="126">
        <v>0.0</v>
      </c>
      <c r="H343" s="124">
        <v>0.0</v>
      </c>
      <c r="I343" s="124">
        <v>0.09116900399487136</v>
      </c>
      <c r="J343" s="124">
        <v>1.0</v>
      </c>
      <c r="K343" s="124">
        <v>0.8327979534861988</v>
      </c>
      <c r="L343" s="126">
        <v>0.3333333333333333</v>
      </c>
      <c r="M343" s="126">
        <v>0.3079889858270234</v>
      </c>
    </row>
    <row r="344" ht="14.25" customHeight="1">
      <c r="A344" s="124" t="s">
        <v>54</v>
      </c>
      <c r="B344" s="124" t="s">
        <v>839</v>
      </c>
      <c r="C344" s="124" t="s">
        <v>843</v>
      </c>
      <c r="D344" s="124" t="s">
        <v>843</v>
      </c>
      <c r="E344" s="125">
        <v>90503.0</v>
      </c>
      <c r="F344" s="126">
        <v>0.0</v>
      </c>
      <c r="G344" s="126">
        <v>0.0</v>
      </c>
      <c r="H344" s="124">
        <v>0.0</v>
      </c>
      <c r="I344" s="124">
        <v>0.0</v>
      </c>
      <c r="J344" s="124">
        <v>1.0</v>
      </c>
      <c r="K344" s="124">
        <v>1.0</v>
      </c>
      <c r="L344" s="126">
        <v>0.3333333333333333</v>
      </c>
      <c r="M344" s="126">
        <v>0.3333333333333333</v>
      </c>
    </row>
    <row r="345" ht="14.25" customHeight="1">
      <c r="G345" s="127"/>
    </row>
    <row r="346" ht="14.25" customHeight="1">
      <c r="G346" s="127"/>
    </row>
    <row r="347" ht="14.25" customHeight="1">
      <c r="G347" s="127"/>
    </row>
    <row r="348" ht="14.25" customHeight="1">
      <c r="G348" s="127"/>
    </row>
    <row r="349" ht="14.25" customHeight="1">
      <c r="G349" s="127"/>
    </row>
    <row r="350" ht="14.25" customHeight="1">
      <c r="G350" s="127"/>
    </row>
    <row r="351" ht="14.25" customHeight="1">
      <c r="G351" s="127"/>
    </row>
    <row r="352" ht="14.25" customHeight="1">
      <c r="G352" s="127"/>
    </row>
    <row r="353" ht="14.25" customHeight="1">
      <c r="G353" s="127"/>
    </row>
    <row r="354" ht="14.25" customHeight="1">
      <c r="G354" s="127"/>
    </row>
    <row r="355" ht="14.25" customHeight="1">
      <c r="G355" s="127"/>
    </row>
    <row r="356" ht="14.25" customHeight="1">
      <c r="G356" s="127"/>
    </row>
    <row r="357" ht="14.25" customHeight="1">
      <c r="G357" s="127"/>
    </row>
    <row r="358" ht="14.25" customHeight="1">
      <c r="G358" s="127"/>
    </row>
    <row r="359" ht="14.25" customHeight="1">
      <c r="G359" s="127"/>
    </row>
    <row r="360" ht="14.25" customHeight="1">
      <c r="G360" s="127"/>
    </row>
    <row r="361" ht="14.25" customHeight="1">
      <c r="G361" s="127"/>
    </row>
    <row r="362" ht="14.25" customHeight="1">
      <c r="G362" s="127"/>
    </row>
    <row r="363" ht="14.25" customHeight="1">
      <c r="G363" s="127"/>
    </row>
    <row r="364" ht="14.25" customHeight="1">
      <c r="G364" s="127"/>
    </row>
    <row r="365" ht="14.25" customHeight="1">
      <c r="G365" s="127"/>
    </row>
    <row r="366" ht="14.25" customHeight="1">
      <c r="G366" s="127"/>
    </row>
    <row r="367" ht="14.25" customHeight="1">
      <c r="G367" s="127"/>
    </row>
    <row r="368" ht="14.25" customHeight="1">
      <c r="G368" s="127"/>
    </row>
    <row r="369" ht="14.25" customHeight="1">
      <c r="G369" s="127"/>
    </row>
    <row r="370" ht="14.25" customHeight="1">
      <c r="G370" s="127"/>
    </row>
    <row r="371" ht="14.25" customHeight="1">
      <c r="G371" s="127"/>
    </row>
    <row r="372" ht="14.25" customHeight="1">
      <c r="G372" s="127"/>
    </row>
    <row r="373" ht="14.25" customHeight="1">
      <c r="G373" s="127"/>
    </row>
    <row r="374" ht="14.25" customHeight="1">
      <c r="G374" s="127"/>
    </row>
    <row r="375" ht="14.25" customHeight="1">
      <c r="G375" s="127"/>
    </row>
    <row r="376" ht="14.25" customHeight="1">
      <c r="G376" s="127"/>
    </row>
    <row r="377" ht="14.25" customHeight="1">
      <c r="G377" s="127"/>
    </row>
    <row r="378" ht="14.25" customHeight="1">
      <c r="G378" s="127"/>
    </row>
    <row r="379" ht="14.25" customHeight="1">
      <c r="G379" s="127"/>
    </row>
    <row r="380" ht="14.25" customHeight="1">
      <c r="G380" s="127"/>
    </row>
    <row r="381" ht="14.25" customHeight="1">
      <c r="G381" s="127"/>
    </row>
    <row r="382" ht="14.25" customHeight="1">
      <c r="G382" s="127"/>
    </row>
    <row r="383" ht="14.25" customHeight="1">
      <c r="G383" s="127"/>
    </row>
    <row r="384" ht="14.25" customHeight="1">
      <c r="G384" s="127"/>
    </row>
    <row r="385" ht="14.25" customHeight="1">
      <c r="G385" s="127"/>
    </row>
    <row r="386" ht="14.25" customHeight="1">
      <c r="G386" s="127"/>
    </row>
    <row r="387" ht="14.25" customHeight="1">
      <c r="G387" s="127"/>
    </row>
    <row r="388" ht="14.25" customHeight="1">
      <c r="G388" s="127"/>
    </row>
    <row r="389" ht="14.25" customHeight="1">
      <c r="G389" s="127"/>
    </row>
    <row r="390" ht="14.25" customHeight="1">
      <c r="G390" s="127"/>
    </row>
    <row r="391" ht="14.25" customHeight="1">
      <c r="G391" s="127"/>
    </row>
    <row r="392" ht="14.25" customHeight="1">
      <c r="G392" s="127"/>
    </row>
    <row r="393" ht="14.25" customHeight="1">
      <c r="G393" s="127"/>
    </row>
    <row r="394" ht="14.25" customHeight="1">
      <c r="G394" s="127"/>
    </row>
    <row r="395" ht="14.25" customHeight="1">
      <c r="G395" s="127"/>
    </row>
    <row r="396" ht="14.25" customHeight="1">
      <c r="G396" s="127"/>
    </row>
    <row r="397" ht="14.25" customHeight="1">
      <c r="G397" s="127"/>
    </row>
    <row r="398" ht="14.25" customHeight="1">
      <c r="G398" s="127"/>
    </row>
    <row r="399" ht="14.25" customHeight="1">
      <c r="G399" s="127"/>
    </row>
    <row r="400" ht="14.25" customHeight="1">
      <c r="G400" s="127"/>
    </row>
    <row r="401" ht="14.25" customHeight="1">
      <c r="G401" s="127"/>
    </row>
    <row r="402" ht="14.25" customHeight="1">
      <c r="G402" s="127"/>
    </row>
    <row r="403" ht="14.25" customHeight="1">
      <c r="G403" s="127"/>
    </row>
    <row r="404" ht="14.25" customHeight="1">
      <c r="G404" s="127"/>
    </row>
    <row r="405" ht="14.25" customHeight="1">
      <c r="G405" s="127"/>
    </row>
    <row r="406" ht="14.25" customHeight="1">
      <c r="G406" s="127"/>
    </row>
    <row r="407" ht="14.25" customHeight="1">
      <c r="G407" s="127"/>
    </row>
    <row r="408" ht="14.25" customHeight="1">
      <c r="G408" s="127"/>
    </row>
    <row r="409" ht="14.25" customHeight="1">
      <c r="G409" s="127"/>
    </row>
    <row r="410" ht="14.25" customHeight="1">
      <c r="G410" s="127"/>
    </row>
    <row r="411" ht="14.25" customHeight="1">
      <c r="G411" s="127"/>
    </row>
    <row r="412" ht="14.25" customHeight="1">
      <c r="G412" s="127"/>
    </row>
    <row r="413" ht="14.25" customHeight="1">
      <c r="G413" s="127"/>
    </row>
    <row r="414" ht="14.25" customHeight="1">
      <c r="G414" s="127"/>
    </row>
    <row r="415" ht="14.25" customHeight="1">
      <c r="G415" s="127"/>
    </row>
    <row r="416" ht="14.25" customHeight="1">
      <c r="G416" s="127"/>
    </row>
    <row r="417" ht="14.25" customHeight="1">
      <c r="G417" s="127"/>
    </row>
    <row r="418" ht="14.25" customHeight="1">
      <c r="G418" s="127"/>
    </row>
    <row r="419" ht="14.25" customHeight="1">
      <c r="G419" s="127"/>
    </row>
    <row r="420" ht="14.25" customHeight="1">
      <c r="G420" s="127"/>
    </row>
    <row r="421" ht="14.25" customHeight="1">
      <c r="G421" s="127"/>
    </row>
    <row r="422" ht="14.25" customHeight="1">
      <c r="G422" s="127"/>
    </row>
    <row r="423" ht="14.25" customHeight="1">
      <c r="G423" s="127"/>
    </row>
    <row r="424" ht="14.25" customHeight="1">
      <c r="G424" s="127"/>
    </row>
    <row r="425" ht="14.25" customHeight="1">
      <c r="G425" s="127"/>
    </row>
    <row r="426" ht="14.25" customHeight="1">
      <c r="G426" s="127"/>
    </row>
    <row r="427" ht="14.25" customHeight="1">
      <c r="G427" s="127"/>
    </row>
    <row r="428" ht="14.25" customHeight="1">
      <c r="G428" s="127"/>
    </row>
    <row r="429" ht="14.25" customHeight="1">
      <c r="G429" s="127"/>
    </row>
    <row r="430" ht="14.25" customHeight="1">
      <c r="G430" s="127"/>
    </row>
    <row r="431" ht="14.25" customHeight="1">
      <c r="G431" s="127"/>
    </row>
    <row r="432" ht="14.25" customHeight="1">
      <c r="G432" s="127"/>
    </row>
    <row r="433" ht="14.25" customHeight="1">
      <c r="G433" s="127"/>
    </row>
    <row r="434" ht="14.25" customHeight="1">
      <c r="G434" s="127"/>
    </row>
    <row r="435" ht="14.25" customHeight="1">
      <c r="G435" s="127"/>
    </row>
    <row r="436" ht="14.25" customHeight="1">
      <c r="G436" s="127"/>
    </row>
    <row r="437" ht="14.25" customHeight="1">
      <c r="G437" s="127"/>
    </row>
    <row r="438" ht="14.25" customHeight="1">
      <c r="G438" s="127"/>
    </row>
    <row r="439" ht="14.25" customHeight="1">
      <c r="G439" s="127"/>
    </row>
    <row r="440" ht="14.25" customHeight="1">
      <c r="G440" s="127"/>
    </row>
    <row r="441" ht="14.25" customHeight="1">
      <c r="G441" s="127"/>
    </row>
    <row r="442" ht="14.25" customHeight="1">
      <c r="G442" s="127"/>
    </row>
    <row r="443" ht="14.25" customHeight="1">
      <c r="G443" s="127"/>
    </row>
    <row r="444" ht="14.25" customHeight="1">
      <c r="G444" s="127"/>
    </row>
    <row r="445" ht="14.25" customHeight="1">
      <c r="G445" s="127"/>
    </row>
    <row r="446" ht="14.25" customHeight="1">
      <c r="G446" s="127"/>
    </row>
    <row r="447" ht="14.25" customHeight="1">
      <c r="G447" s="127"/>
    </row>
    <row r="448" ht="14.25" customHeight="1">
      <c r="G448" s="127"/>
    </row>
    <row r="449" ht="14.25" customHeight="1">
      <c r="G449" s="127"/>
    </row>
    <row r="450" ht="14.25" customHeight="1">
      <c r="G450" s="127"/>
    </row>
    <row r="451" ht="14.25" customHeight="1">
      <c r="G451" s="127"/>
    </row>
    <row r="452" ht="14.25" customHeight="1">
      <c r="G452" s="127"/>
    </row>
    <row r="453" ht="14.25" customHeight="1">
      <c r="G453" s="127"/>
    </row>
    <row r="454" ht="14.25" customHeight="1">
      <c r="G454" s="127"/>
    </row>
    <row r="455" ht="14.25" customHeight="1">
      <c r="G455" s="127"/>
    </row>
    <row r="456" ht="14.25" customHeight="1">
      <c r="G456" s="127"/>
    </row>
    <row r="457" ht="14.25" customHeight="1">
      <c r="G457" s="127"/>
    </row>
    <row r="458" ht="14.25" customHeight="1">
      <c r="G458" s="127"/>
    </row>
    <row r="459" ht="14.25" customHeight="1">
      <c r="G459" s="127"/>
    </row>
    <row r="460" ht="14.25" customHeight="1">
      <c r="G460" s="127"/>
    </row>
    <row r="461" ht="14.25" customHeight="1">
      <c r="G461" s="127"/>
    </row>
    <row r="462" ht="14.25" customHeight="1">
      <c r="G462" s="127"/>
    </row>
    <row r="463" ht="14.25" customHeight="1">
      <c r="G463" s="127"/>
    </row>
    <row r="464" ht="14.25" customHeight="1">
      <c r="G464" s="127"/>
    </row>
    <row r="465" ht="14.25" customHeight="1">
      <c r="G465" s="127"/>
    </row>
    <row r="466" ht="14.25" customHeight="1">
      <c r="G466" s="127"/>
    </row>
    <row r="467" ht="14.25" customHeight="1">
      <c r="G467" s="127"/>
    </row>
    <row r="468" ht="14.25" customHeight="1">
      <c r="G468" s="127"/>
    </row>
    <row r="469" ht="14.25" customHeight="1">
      <c r="G469" s="127"/>
    </row>
    <row r="470" ht="14.25" customHeight="1">
      <c r="G470" s="127"/>
    </row>
    <row r="471" ht="14.25" customHeight="1">
      <c r="G471" s="127"/>
    </row>
    <row r="472" ht="14.25" customHeight="1">
      <c r="G472" s="127"/>
    </row>
    <row r="473" ht="14.25" customHeight="1">
      <c r="G473" s="127"/>
    </row>
    <row r="474" ht="14.25" customHeight="1">
      <c r="G474" s="127"/>
    </row>
    <row r="475" ht="14.25" customHeight="1">
      <c r="G475" s="127"/>
    </row>
    <row r="476" ht="14.25" customHeight="1">
      <c r="G476" s="127"/>
    </row>
    <row r="477" ht="14.25" customHeight="1">
      <c r="G477" s="127"/>
    </row>
    <row r="478" ht="14.25" customHeight="1">
      <c r="G478" s="127"/>
    </row>
    <row r="479" ht="14.25" customHeight="1">
      <c r="G479" s="127"/>
    </row>
    <row r="480" ht="14.25" customHeight="1">
      <c r="G480" s="127"/>
    </row>
    <row r="481" ht="14.25" customHeight="1">
      <c r="G481" s="127"/>
    </row>
    <row r="482" ht="14.25" customHeight="1">
      <c r="G482" s="127"/>
    </row>
    <row r="483" ht="14.25" customHeight="1">
      <c r="G483" s="127"/>
    </row>
    <row r="484" ht="14.25" customHeight="1">
      <c r="G484" s="127"/>
    </row>
    <row r="485" ht="14.25" customHeight="1">
      <c r="G485" s="127"/>
    </row>
    <row r="486" ht="14.25" customHeight="1">
      <c r="G486" s="127"/>
    </row>
    <row r="487" ht="14.25" customHeight="1">
      <c r="G487" s="127"/>
    </row>
    <row r="488" ht="14.25" customHeight="1">
      <c r="G488" s="127"/>
    </row>
    <row r="489" ht="14.25" customHeight="1">
      <c r="G489" s="127"/>
    </row>
    <row r="490" ht="14.25" customHeight="1">
      <c r="G490" s="127"/>
    </row>
    <row r="491" ht="14.25" customHeight="1">
      <c r="G491" s="127"/>
    </row>
    <row r="492" ht="14.25" customHeight="1">
      <c r="G492" s="127"/>
    </row>
    <row r="493" ht="14.25" customHeight="1">
      <c r="G493" s="127"/>
    </row>
    <row r="494" ht="14.25" customHeight="1">
      <c r="G494" s="127"/>
    </row>
    <row r="495" ht="14.25" customHeight="1">
      <c r="G495" s="127"/>
    </row>
    <row r="496" ht="14.25" customHeight="1">
      <c r="G496" s="127"/>
    </row>
    <row r="497" ht="14.25" customHeight="1">
      <c r="G497" s="127"/>
    </row>
    <row r="498" ht="14.25" customHeight="1">
      <c r="G498" s="127"/>
    </row>
    <row r="499" ht="14.25" customHeight="1">
      <c r="G499" s="127"/>
    </row>
    <row r="500" ht="14.25" customHeight="1">
      <c r="G500" s="127"/>
    </row>
    <row r="501" ht="14.25" customHeight="1">
      <c r="G501" s="127"/>
    </row>
    <row r="502" ht="14.25" customHeight="1">
      <c r="G502" s="127"/>
    </row>
    <row r="503" ht="14.25" customHeight="1">
      <c r="G503" s="127"/>
    </row>
    <row r="504" ht="14.25" customHeight="1">
      <c r="G504" s="127"/>
    </row>
    <row r="505" ht="14.25" customHeight="1">
      <c r="G505" s="127"/>
    </row>
    <row r="506" ht="14.25" customHeight="1">
      <c r="G506" s="127"/>
    </row>
    <row r="507" ht="14.25" customHeight="1">
      <c r="G507" s="127"/>
    </row>
    <row r="508" ht="14.25" customHeight="1">
      <c r="G508" s="127"/>
    </row>
    <row r="509" ht="14.25" customHeight="1">
      <c r="G509" s="127"/>
    </row>
    <row r="510" ht="14.25" customHeight="1">
      <c r="G510" s="127"/>
    </row>
    <row r="511" ht="14.25" customHeight="1">
      <c r="G511" s="127"/>
    </row>
    <row r="512" ht="14.25" customHeight="1">
      <c r="G512" s="127"/>
    </row>
    <row r="513" ht="14.25" customHeight="1">
      <c r="G513" s="127"/>
    </row>
    <row r="514" ht="14.25" customHeight="1">
      <c r="G514" s="127"/>
    </row>
    <row r="515" ht="14.25" customHeight="1">
      <c r="G515" s="127"/>
    </row>
    <row r="516" ht="14.25" customHeight="1">
      <c r="G516" s="127"/>
    </row>
    <row r="517" ht="14.25" customHeight="1">
      <c r="G517" s="127"/>
    </row>
    <row r="518" ht="14.25" customHeight="1">
      <c r="G518" s="127"/>
    </row>
    <row r="519" ht="14.25" customHeight="1">
      <c r="G519" s="127"/>
    </row>
    <row r="520" ht="14.25" customHeight="1">
      <c r="G520" s="127"/>
    </row>
    <row r="521" ht="14.25" customHeight="1">
      <c r="G521" s="127"/>
    </row>
    <row r="522" ht="14.25" customHeight="1">
      <c r="G522" s="127"/>
    </row>
    <row r="523" ht="14.25" customHeight="1">
      <c r="G523" s="127"/>
    </row>
    <row r="524" ht="14.25" customHeight="1">
      <c r="G524" s="127"/>
    </row>
    <row r="525" ht="14.25" customHeight="1">
      <c r="G525" s="127"/>
    </row>
    <row r="526" ht="14.25" customHeight="1">
      <c r="G526" s="127"/>
    </row>
    <row r="527" ht="14.25" customHeight="1">
      <c r="G527" s="127"/>
    </row>
    <row r="528" ht="14.25" customHeight="1">
      <c r="G528" s="127"/>
    </row>
    <row r="529" ht="14.25" customHeight="1">
      <c r="G529" s="127"/>
    </row>
    <row r="530" ht="14.25" customHeight="1">
      <c r="G530" s="127"/>
    </row>
    <row r="531" ht="14.25" customHeight="1">
      <c r="G531" s="127"/>
    </row>
    <row r="532" ht="14.25" customHeight="1">
      <c r="G532" s="127"/>
    </row>
    <row r="533" ht="14.25" customHeight="1">
      <c r="G533" s="127"/>
    </row>
    <row r="534" ht="14.25" customHeight="1">
      <c r="G534" s="127"/>
    </row>
    <row r="535" ht="14.25" customHeight="1">
      <c r="G535" s="127"/>
    </row>
    <row r="536" ht="14.25" customHeight="1">
      <c r="G536" s="127"/>
    </row>
    <row r="537" ht="14.25" customHeight="1">
      <c r="G537" s="127"/>
    </row>
    <row r="538" ht="14.25" customHeight="1">
      <c r="G538" s="127"/>
    </row>
    <row r="539" ht="14.25" customHeight="1">
      <c r="G539" s="127"/>
    </row>
    <row r="540" ht="14.25" customHeight="1">
      <c r="G540" s="127"/>
    </row>
    <row r="541" ht="14.25" customHeight="1">
      <c r="G541" s="127"/>
    </row>
    <row r="542" ht="14.25" customHeight="1">
      <c r="G542" s="127"/>
    </row>
    <row r="543" ht="14.25" customHeight="1">
      <c r="G543" s="127"/>
    </row>
    <row r="544" ht="14.25" customHeight="1">
      <c r="G544" s="127"/>
    </row>
    <row r="545" ht="14.25" customHeight="1">
      <c r="G545" s="127"/>
    </row>
    <row r="546" ht="14.25" customHeight="1">
      <c r="G546" s="127"/>
    </row>
    <row r="547" ht="14.25" customHeight="1">
      <c r="G547" s="127"/>
    </row>
    <row r="548" ht="14.25" customHeight="1">
      <c r="G548" s="127"/>
    </row>
    <row r="549" ht="14.25" customHeight="1">
      <c r="G549" s="127"/>
    </row>
    <row r="550" ht="14.25" customHeight="1">
      <c r="G550" s="127"/>
    </row>
    <row r="551" ht="14.25" customHeight="1">
      <c r="G551" s="127"/>
    </row>
    <row r="552" ht="14.25" customHeight="1">
      <c r="G552" s="127"/>
    </row>
    <row r="553" ht="14.25" customHeight="1">
      <c r="G553" s="127"/>
    </row>
    <row r="554" ht="14.25" customHeight="1">
      <c r="G554" s="127"/>
    </row>
    <row r="555" ht="14.25" customHeight="1">
      <c r="G555" s="127"/>
    </row>
    <row r="556" ht="14.25" customHeight="1">
      <c r="G556" s="127"/>
    </row>
    <row r="557" ht="14.25" customHeight="1">
      <c r="G557" s="127"/>
    </row>
    <row r="558" ht="14.25" customHeight="1">
      <c r="G558" s="127"/>
    </row>
    <row r="559" ht="14.25" customHeight="1">
      <c r="G559" s="127"/>
    </row>
    <row r="560" ht="14.25" customHeight="1">
      <c r="G560" s="127"/>
    </row>
    <row r="561" ht="14.25" customHeight="1">
      <c r="G561" s="127"/>
    </row>
    <row r="562" ht="14.25" customHeight="1">
      <c r="G562" s="127"/>
    </row>
    <row r="563" ht="14.25" customHeight="1">
      <c r="G563" s="127"/>
    </row>
    <row r="564" ht="14.25" customHeight="1">
      <c r="G564" s="127"/>
    </row>
    <row r="565" ht="14.25" customHeight="1">
      <c r="G565" s="127"/>
    </row>
    <row r="566" ht="14.25" customHeight="1">
      <c r="G566" s="127"/>
    </row>
    <row r="567" ht="14.25" customHeight="1">
      <c r="G567" s="127"/>
    </row>
    <row r="568" ht="14.25" customHeight="1">
      <c r="G568" s="127"/>
    </row>
    <row r="569" ht="14.25" customHeight="1">
      <c r="G569" s="127"/>
    </row>
    <row r="570" ht="14.25" customHeight="1">
      <c r="G570" s="127"/>
    </row>
    <row r="571" ht="14.25" customHeight="1">
      <c r="G571" s="127"/>
    </row>
    <row r="572" ht="14.25" customHeight="1">
      <c r="G572" s="127"/>
    </row>
    <row r="573" ht="14.25" customHeight="1">
      <c r="G573" s="127"/>
    </row>
    <row r="574" ht="14.25" customHeight="1">
      <c r="G574" s="127"/>
    </row>
    <row r="575" ht="14.25" customHeight="1">
      <c r="G575" s="127"/>
    </row>
    <row r="576" ht="14.25" customHeight="1">
      <c r="G576" s="127"/>
    </row>
    <row r="577" ht="14.25" customHeight="1">
      <c r="G577" s="127"/>
    </row>
    <row r="578" ht="14.25" customHeight="1">
      <c r="G578" s="127"/>
    </row>
    <row r="579" ht="14.25" customHeight="1">
      <c r="G579" s="127"/>
    </row>
    <row r="580" ht="14.25" customHeight="1">
      <c r="G580" s="127"/>
    </row>
    <row r="581" ht="14.25" customHeight="1">
      <c r="G581" s="127"/>
    </row>
    <row r="582" ht="14.25" customHeight="1">
      <c r="G582" s="127"/>
    </row>
    <row r="583" ht="14.25" customHeight="1">
      <c r="G583" s="127"/>
    </row>
    <row r="584" ht="14.25" customHeight="1">
      <c r="G584" s="127"/>
    </row>
    <row r="585" ht="14.25" customHeight="1">
      <c r="G585" s="127"/>
    </row>
    <row r="586" ht="14.25" customHeight="1">
      <c r="G586" s="127"/>
    </row>
    <row r="587" ht="14.25" customHeight="1">
      <c r="G587" s="127"/>
    </row>
    <row r="588" ht="14.25" customHeight="1">
      <c r="G588" s="127"/>
    </row>
    <row r="589" ht="14.25" customHeight="1">
      <c r="G589" s="127"/>
    </row>
    <row r="590" ht="14.25" customHeight="1">
      <c r="G590" s="127"/>
    </row>
    <row r="591" ht="14.25" customHeight="1">
      <c r="G591" s="127"/>
    </row>
    <row r="592" ht="14.25" customHeight="1">
      <c r="G592" s="127"/>
    </row>
    <row r="593" ht="14.25" customHeight="1">
      <c r="G593" s="127"/>
    </row>
    <row r="594" ht="14.25" customHeight="1">
      <c r="G594" s="127"/>
    </row>
    <row r="595" ht="14.25" customHeight="1">
      <c r="G595" s="127"/>
    </row>
    <row r="596" ht="14.25" customHeight="1">
      <c r="G596" s="127"/>
    </row>
    <row r="597" ht="14.25" customHeight="1">
      <c r="G597" s="127"/>
    </row>
    <row r="598" ht="14.25" customHeight="1">
      <c r="G598" s="127"/>
    </row>
    <row r="599" ht="14.25" customHeight="1">
      <c r="G599" s="127"/>
    </row>
    <row r="600" ht="14.25" customHeight="1">
      <c r="G600" s="127"/>
    </row>
    <row r="601" ht="14.25" customHeight="1">
      <c r="G601" s="127"/>
    </row>
    <row r="602" ht="14.25" customHeight="1">
      <c r="G602" s="127"/>
    </row>
    <row r="603" ht="14.25" customHeight="1">
      <c r="G603" s="127"/>
    </row>
    <row r="604" ht="14.25" customHeight="1">
      <c r="G604" s="127"/>
    </row>
    <row r="605" ht="14.25" customHeight="1">
      <c r="G605" s="127"/>
    </row>
    <row r="606" ht="14.25" customHeight="1">
      <c r="G606" s="127"/>
    </row>
    <row r="607" ht="14.25" customHeight="1">
      <c r="G607" s="127"/>
    </row>
    <row r="608" ht="14.25" customHeight="1">
      <c r="G608" s="127"/>
    </row>
    <row r="609" ht="14.25" customHeight="1">
      <c r="G609" s="127"/>
    </row>
    <row r="610" ht="14.25" customHeight="1">
      <c r="G610" s="127"/>
    </row>
    <row r="611" ht="14.25" customHeight="1">
      <c r="G611" s="127"/>
    </row>
    <row r="612" ht="14.25" customHeight="1">
      <c r="G612" s="127"/>
    </row>
    <row r="613" ht="14.25" customHeight="1">
      <c r="G613" s="127"/>
    </row>
    <row r="614" ht="14.25" customHeight="1">
      <c r="G614" s="127"/>
    </row>
    <row r="615" ht="14.25" customHeight="1">
      <c r="G615" s="127"/>
    </row>
    <row r="616" ht="14.25" customHeight="1">
      <c r="G616" s="127"/>
    </row>
    <row r="617" ht="14.25" customHeight="1">
      <c r="G617" s="127"/>
    </row>
    <row r="618" ht="14.25" customHeight="1">
      <c r="G618" s="127"/>
    </row>
    <row r="619" ht="14.25" customHeight="1">
      <c r="G619" s="127"/>
    </row>
    <row r="620" ht="14.25" customHeight="1">
      <c r="G620" s="127"/>
    </row>
    <row r="621" ht="14.25" customHeight="1">
      <c r="G621" s="127"/>
    </row>
    <row r="622" ht="14.25" customHeight="1">
      <c r="G622" s="127"/>
    </row>
    <row r="623" ht="14.25" customHeight="1">
      <c r="G623" s="127"/>
    </row>
    <row r="624" ht="14.25" customHeight="1">
      <c r="G624" s="127"/>
    </row>
    <row r="625" ht="14.25" customHeight="1">
      <c r="G625" s="127"/>
    </row>
    <row r="626" ht="14.25" customHeight="1">
      <c r="G626" s="127"/>
    </row>
    <row r="627" ht="14.25" customHeight="1">
      <c r="G627" s="127"/>
    </row>
    <row r="628" ht="14.25" customHeight="1">
      <c r="G628" s="127"/>
    </row>
    <row r="629" ht="14.25" customHeight="1">
      <c r="G629" s="127"/>
    </row>
    <row r="630" ht="14.25" customHeight="1">
      <c r="G630" s="127"/>
    </row>
    <row r="631" ht="14.25" customHeight="1">
      <c r="G631" s="127"/>
    </row>
    <row r="632" ht="14.25" customHeight="1">
      <c r="G632" s="127"/>
    </row>
    <row r="633" ht="14.25" customHeight="1">
      <c r="G633" s="127"/>
    </row>
    <row r="634" ht="14.25" customHeight="1">
      <c r="G634" s="127"/>
    </row>
    <row r="635" ht="14.25" customHeight="1">
      <c r="G635" s="127"/>
    </row>
    <row r="636" ht="14.25" customHeight="1">
      <c r="G636" s="127"/>
    </row>
    <row r="637" ht="14.25" customHeight="1">
      <c r="G637" s="127"/>
    </row>
    <row r="638" ht="14.25" customHeight="1">
      <c r="G638" s="127"/>
    </row>
    <row r="639" ht="14.25" customHeight="1">
      <c r="G639" s="127"/>
    </row>
    <row r="640" ht="14.25" customHeight="1">
      <c r="G640" s="127"/>
    </row>
    <row r="641" ht="14.25" customHeight="1">
      <c r="G641" s="127"/>
    </row>
    <row r="642" ht="14.25" customHeight="1">
      <c r="G642" s="127"/>
    </row>
    <row r="643" ht="14.25" customHeight="1">
      <c r="G643" s="127"/>
    </row>
    <row r="644" ht="14.25" customHeight="1">
      <c r="G644" s="127"/>
    </row>
    <row r="645" ht="14.25" customHeight="1">
      <c r="G645" s="127"/>
    </row>
    <row r="646" ht="14.25" customHeight="1">
      <c r="G646" s="127"/>
    </row>
    <row r="647" ht="14.25" customHeight="1">
      <c r="G647" s="127"/>
    </row>
    <row r="648" ht="14.25" customHeight="1">
      <c r="G648" s="127"/>
    </row>
    <row r="649" ht="14.25" customHeight="1">
      <c r="G649" s="127"/>
    </row>
    <row r="650" ht="14.25" customHeight="1">
      <c r="G650" s="127"/>
    </row>
    <row r="651" ht="14.25" customHeight="1">
      <c r="G651" s="127"/>
    </row>
    <row r="652" ht="14.25" customHeight="1">
      <c r="G652" s="127"/>
    </row>
    <row r="653" ht="14.25" customHeight="1">
      <c r="G653" s="127"/>
    </row>
    <row r="654" ht="14.25" customHeight="1">
      <c r="G654" s="127"/>
    </row>
    <row r="655" ht="14.25" customHeight="1">
      <c r="G655" s="127"/>
    </row>
    <row r="656" ht="14.25" customHeight="1">
      <c r="G656" s="127"/>
    </row>
    <row r="657" ht="14.25" customHeight="1">
      <c r="G657" s="127"/>
    </row>
    <row r="658" ht="14.25" customHeight="1">
      <c r="G658" s="127"/>
    </row>
    <row r="659" ht="14.25" customHeight="1">
      <c r="G659" s="127"/>
    </row>
    <row r="660" ht="14.25" customHeight="1">
      <c r="G660" s="127"/>
    </row>
    <row r="661" ht="14.25" customHeight="1">
      <c r="G661" s="127"/>
    </row>
    <row r="662" ht="14.25" customHeight="1">
      <c r="G662" s="127"/>
    </row>
    <row r="663" ht="14.25" customHeight="1">
      <c r="G663" s="127"/>
    </row>
    <row r="664" ht="14.25" customHeight="1">
      <c r="G664" s="127"/>
    </row>
    <row r="665" ht="14.25" customHeight="1">
      <c r="G665" s="127"/>
    </row>
    <row r="666" ht="14.25" customHeight="1">
      <c r="G666" s="127"/>
    </row>
    <row r="667" ht="14.25" customHeight="1">
      <c r="G667" s="127"/>
    </row>
    <row r="668" ht="14.25" customHeight="1">
      <c r="G668" s="127"/>
    </row>
    <row r="669" ht="14.25" customHeight="1">
      <c r="G669" s="127"/>
    </row>
    <row r="670" ht="14.25" customHeight="1">
      <c r="G670" s="127"/>
    </row>
    <row r="671" ht="14.25" customHeight="1">
      <c r="G671" s="127"/>
    </row>
    <row r="672" ht="14.25" customHeight="1">
      <c r="G672" s="127"/>
    </row>
    <row r="673" ht="14.25" customHeight="1">
      <c r="G673" s="127"/>
    </row>
    <row r="674" ht="14.25" customHeight="1">
      <c r="G674" s="127"/>
    </row>
    <row r="675" ht="14.25" customHeight="1">
      <c r="G675" s="127"/>
    </row>
    <row r="676" ht="14.25" customHeight="1">
      <c r="G676" s="127"/>
    </row>
    <row r="677" ht="14.25" customHeight="1">
      <c r="G677" s="127"/>
    </row>
    <row r="678" ht="14.25" customHeight="1">
      <c r="G678" s="127"/>
    </row>
    <row r="679" ht="14.25" customHeight="1">
      <c r="G679" s="127"/>
    </row>
    <row r="680" ht="14.25" customHeight="1">
      <c r="G680" s="127"/>
    </row>
    <row r="681" ht="14.25" customHeight="1">
      <c r="G681" s="127"/>
    </row>
    <row r="682" ht="14.25" customHeight="1">
      <c r="G682" s="127"/>
    </row>
    <row r="683" ht="14.25" customHeight="1">
      <c r="G683" s="127"/>
    </row>
    <row r="684" ht="14.25" customHeight="1">
      <c r="G684" s="127"/>
    </row>
    <row r="685" ht="14.25" customHeight="1">
      <c r="G685" s="127"/>
    </row>
    <row r="686" ht="14.25" customHeight="1">
      <c r="G686" s="127"/>
    </row>
    <row r="687" ht="14.25" customHeight="1">
      <c r="G687" s="127"/>
    </row>
    <row r="688" ht="14.25" customHeight="1">
      <c r="G688" s="127"/>
    </row>
    <row r="689" ht="14.25" customHeight="1">
      <c r="G689" s="127"/>
    </row>
    <row r="690" ht="14.25" customHeight="1">
      <c r="G690" s="127"/>
    </row>
    <row r="691" ht="14.25" customHeight="1">
      <c r="G691" s="127"/>
    </row>
    <row r="692" ht="14.25" customHeight="1">
      <c r="G692" s="127"/>
    </row>
    <row r="693" ht="14.25" customHeight="1">
      <c r="G693" s="127"/>
    </row>
    <row r="694" ht="14.25" customHeight="1">
      <c r="G694" s="127"/>
    </row>
    <row r="695" ht="14.25" customHeight="1">
      <c r="G695" s="127"/>
    </row>
    <row r="696" ht="14.25" customHeight="1">
      <c r="G696" s="127"/>
    </row>
    <row r="697" ht="14.25" customHeight="1">
      <c r="G697" s="127"/>
    </row>
    <row r="698" ht="14.25" customHeight="1">
      <c r="G698" s="127"/>
    </row>
    <row r="699" ht="14.25" customHeight="1">
      <c r="G699" s="127"/>
    </row>
    <row r="700" ht="14.25" customHeight="1">
      <c r="G700" s="127"/>
    </row>
    <row r="701" ht="14.25" customHeight="1">
      <c r="G701" s="127"/>
    </row>
    <row r="702" ht="14.25" customHeight="1">
      <c r="G702" s="127"/>
    </row>
    <row r="703" ht="14.25" customHeight="1">
      <c r="G703" s="127"/>
    </row>
    <row r="704" ht="14.25" customHeight="1">
      <c r="G704" s="127"/>
    </row>
    <row r="705" ht="14.25" customHeight="1">
      <c r="G705" s="127"/>
    </row>
    <row r="706" ht="14.25" customHeight="1">
      <c r="G706" s="127"/>
    </row>
    <row r="707" ht="14.25" customHeight="1">
      <c r="G707" s="127"/>
    </row>
    <row r="708" ht="14.25" customHeight="1">
      <c r="G708" s="127"/>
    </row>
    <row r="709" ht="14.25" customHeight="1">
      <c r="G709" s="127"/>
    </row>
    <row r="710" ht="14.25" customHeight="1">
      <c r="G710" s="127"/>
    </row>
    <row r="711" ht="14.25" customHeight="1">
      <c r="G711" s="127"/>
    </row>
    <row r="712" ht="14.25" customHeight="1">
      <c r="G712" s="127"/>
    </row>
    <row r="713" ht="14.25" customHeight="1">
      <c r="G713" s="127"/>
    </row>
    <row r="714" ht="14.25" customHeight="1">
      <c r="G714" s="127"/>
    </row>
    <row r="715" ht="14.25" customHeight="1">
      <c r="G715" s="127"/>
    </row>
    <row r="716" ht="14.25" customHeight="1">
      <c r="G716" s="127"/>
    </row>
    <row r="717" ht="14.25" customHeight="1">
      <c r="G717" s="127"/>
    </row>
    <row r="718" ht="14.25" customHeight="1">
      <c r="G718" s="127"/>
    </row>
    <row r="719" ht="14.25" customHeight="1">
      <c r="G719" s="127"/>
    </row>
    <row r="720" ht="14.25" customHeight="1">
      <c r="G720" s="127"/>
    </row>
    <row r="721" ht="14.25" customHeight="1">
      <c r="G721" s="127"/>
    </row>
    <row r="722" ht="14.25" customHeight="1">
      <c r="G722" s="127"/>
    </row>
    <row r="723" ht="14.25" customHeight="1">
      <c r="G723" s="127"/>
    </row>
    <row r="724" ht="14.25" customHeight="1">
      <c r="G724" s="127"/>
    </row>
    <row r="725" ht="14.25" customHeight="1">
      <c r="G725" s="127"/>
    </row>
    <row r="726" ht="14.25" customHeight="1">
      <c r="G726" s="127"/>
    </row>
    <row r="727" ht="14.25" customHeight="1">
      <c r="G727" s="127"/>
    </row>
    <row r="728" ht="14.25" customHeight="1">
      <c r="G728" s="127"/>
    </row>
    <row r="729" ht="14.25" customHeight="1">
      <c r="G729" s="127"/>
    </row>
    <row r="730" ht="14.25" customHeight="1">
      <c r="G730" s="127"/>
    </row>
    <row r="731" ht="14.25" customHeight="1">
      <c r="G731" s="127"/>
    </row>
    <row r="732" ht="14.25" customHeight="1">
      <c r="G732" s="127"/>
    </row>
    <row r="733" ht="14.25" customHeight="1">
      <c r="G733" s="127"/>
    </row>
    <row r="734" ht="14.25" customHeight="1">
      <c r="G734" s="127"/>
    </row>
    <row r="735" ht="14.25" customHeight="1">
      <c r="G735" s="127"/>
    </row>
    <row r="736" ht="14.25" customHeight="1">
      <c r="G736" s="127"/>
    </row>
    <row r="737" ht="14.25" customHeight="1">
      <c r="G737" s="127"/>
    </row>
    <row r="738" ht="14.25" customHeight="1">
      <c r="G738" s="127"/>
    </row>
    <row r="739" ht="14.25" customHeight="1">
      <c r="G739" s="127"/>
    </row>
    <row r="740" ht="14.25" customHeight="1">
      <c r="G740" s="127"/>
    </row>
    <row r="741" ht="14.25" customHeight="1">
      <c r="G741" s="127"/>
    </row>
    <row r="742" ht="14.25" customHeight="1">
      <c r="G742" s="127"/>
    </row>
    <row r="743" ht="14.25" customHeight="1">
      <c r="G743" s="127"/>
    </row>
    <row r="744" ht="14.25" customHeight="1">
      <c r="G744" s="127"/>
    </row>
    <row r="745" ht="14.25" customHeight="1">
      <c r="G745" s="127"/>
    </row>
    <row r="746" ht="14.25" customHeight="1">
      <c r="G746" s="127"/>
    </row>
    <row r="747" ht="14.25" customHeight="1">
      <c r="G747" s="127"/>
    </row>
    <row r="748" ht="14.25" customHeight="1">
      <c r="G748" s="127"/>
    </row>
    <row r="749" ht="14.25" customHeight="1">
      <c r="G749" s="127"/>
    </row>
    <row r="750" ht="14.25" customHeight="1">
      <c r="G750" s="127"/>
    </row>
    <row r="751" ht="14.25" customHeight="1">
      <c r="G751" s="127"/>
    </row>
    <row r="752" ht="14.25" customHeight="1">
      <c r="G752" s="127"/>
    </row>
    <row r="753" ht="14.25" customHeight="1">
      <c r="G753" s="127"/>
    </row>
    <row r="754" ht="14.25" customHeight="1">
      <c r="G754" s="127"/>
    </row>
    <row r="755" ht="14.25" customHeight="1">
      <c r="G755" s="127"/>
    </row>
    <row r="756" ht="14.25" customHeight="1">
      <c r="G756" s="127"/>
    </row>
    <row r="757" ht="14.25" customHeight="1">
      <c r="G757" s="127"/>
    </row>
    <row r="758" ht="14.25" customHeight="1">
      <c r="G758" s="127"/>
    </row>
    <row r="759" ht="14.25" customHeight="1">
      <c r="G759" s="127"/>
    </row>
    <row r="760" ht="14.25" customHeight="1">
      <c r="G760" s="127"/>
    </row>
    <row r="761" ht="14.25" customHeight="1">
      <c r="G761" s="127"/>
    </row>
    <row r="762" ht="14.25" customHeight="1">
      <c r="G762" s="127"/>
    </row>
    <row r="763" ht="14.25" customHeight="1">
      <c r="G763" s="127"/>
    </row>
    <row r="764" ht="14.25" customHeight="1">
      <c r="G764" s="127"/>
    </row>
    <row r="765" ht="14.25" customHeight="1">
      <c r="G765" s="127"/>
    </row>
    <row r="766" ht="14.25" customHeight="1">
      <c r="G766" s="127"/>
    </row>
    <row r="767" ht="14.25" customHeight="1">
      <c r="G767" s="127"/>
    </row>
    <row r="768" ht="14.25" customHeight="1">
      <c r="G768" s="127"/>
    </row>
    <row r="769" ht="14.25" customHeight="1">
      <c r="G769" s="127"/>
    </row>
    <row r="770" ht="14.25" customHeight="1">
      <c r="G770" s="127"/>
    </row>
    <row r="771" ht="14.25" customHeight="1">
      <c r="G771" s="127"/>
    </row>
    <row r="772" ht="14.25" customHeight="1">
      <c r="G772" s="127"/>
    </row>
    <row r="773" ht="14.25" customHeight="1">
      <c r="G773" s="127"/>
    </row>
    <row r="774" ht="14.25" customHeight="1">
      <c r="G774" s="127"/>
    </row>
    <row r="775" ht="14.25" customHeight="1">
      <c r="G775" s="127"/>
    </row>
    <row r="776" ht="14.25" customHeight="1">
      <c r="G776" s="127"/>
    </row>
    <row r="777" ht="14.25" customHeight="1">
      <c r="G777" s="127"/>
    </row>
    <row r="778" ht="14.25" customHeight="1">
      <c r="G778" s="127"/>
    </row>
    <row r="779" ht="14.25" customHeight="1">
      <c r="G779" s="127"/>
    </row>
    <row r="780" ht="14.25" customHeight="1">
      <c r="G780" s="127"/>
    </row>
    <row r="781" ht="14.25" customHeight="1">
      <c r="G781" s="127"/>
    </row>
    <row r="782" ht="14.25" customHeight="1">
      <c r="G782" s="127"/>
    </row>
    <row r="783" ht="14.25" customHeight="1">
      <c r="G783" s="127"/>
    </row>
    <row r="784" ht="14.25" customHeight="1">
      <c r="G784" s="127"/>
    </row>
    <row r="785" ht="14.25" customHeight="1">
      <c r="G785" s="127"/>
    </row>
    <row r="786" ht="14.25" customHeight="1">
      <c r="G786" s="127"/>
    </row>
    <row r="787" ht="14.25" customHeight="1">
      <c r="G787" s="127"/>
    </row>
    <row r="788" ht="14.25" customHeight="1">
      <c r="G788" s="127"/>
    </row>
    <row r="789" ht="14.25" customHeight="1">
      <c r="G789" s="127"/>
    </row>
    <row r="790" ht="14.25" customHeight="1">
      <c r="G790" s="127"/>
    </row>
    <row r="791" ht="14.25" customHeight="1">
      <c r="G791" s="127"/>
    </row>
    <row r="792" ht="14.25" customHeight="1">
      <c r="G792" s="127"/>
    </row>
    <row r="793" ht="14.25" customHeight="1">
      <c r="G793" s="127"/>
    </row>
    <row r="794" ht="14.25" customHeight="1">
      <c r="G794" s="127"/>
    </row>
    <row r="795" ht="14.25" customHeight="1">
      <c r="G795" s="127"/>
    </row>
    <row r="796" ht="14.25" customHeight="1">
      <c r="G796" s="127"/>
    </row>
    <row r="797" ht="14.25" customHeight="1">
      <c r="G797" s="127"/>
    </row>
    <row r="798" ht="14.25" customHeight="1">
      <c r="G798" s="127"/>
    </row>
    <row r="799" ht="14.25" customHeight="1">
      <c r="G799" s="127"/>
    </row>
    <row r="800" ht="14.25" customHeight="1">
      <c r="G800" s="127"/>
    </row>
    <row r="801" ht="14.25" customHeight="1">
      <c r="G801" s="127"/>
    </row>
    <row r="802" ht="14.25" customHeight="1">
      <c r="G802" s="127"/>
    </row>
    <row r="803" ht="14.25" customHeight="1">
      <c r="G803" s="127"/>
    </row>
    <row r="804" ht="14.25" customHeight="1">
      <c r="G804" s="127"/>
    </row>
    <row r="805" ht="14.25" customHeight="1">
      <c r="G805" s="127"/>
    </row>
    <row r="806" ht="14.25" customHeight="1">
      <c r="G806" s="127"/>
    </row>
    <row r="807" ht="14.25" customHeight="1">
      <c r="G807" s="127"/>
    </row>
    <row r="808" ht="14.25" customHeight="1">
      <c r="G808" s="127"/>
    </row>
    <row r="809" ht="14.25" customHeight="1">
      <c r="G809" s="127"/>
    </row>
    <row r="810" ht="14.25" customHeight="1">
      <c r="G810" s="127"/>
    </row>
    <row r="811" ht="14.25" customHeight="1">
      <c r="G811" s="127"/>
    </row>
    <row r="812" ht="14.25" customHeight="1">
      <c r="G812" s="127"/>
    </row>
    <row r="813" ht="14.25" customHeight="1">
      <c r="G813" s="127"/>
    </row>
    <row r="814" ht="14.25" customHeight="1">
      <c r="G814" s="127"/>
    </row>
    <row r="815" ht="14.25" customHeight="1">
      <c r="G815" s="127"/>
    </row>
    <row r="816" ht="14.25" customHeight="1">
      <c r="G816" s="127"/>
    </row>
    <row r="817" ht="14.25" customHeight="1">
      <c r="G817" s="127"/>
    </row>
    <row r="818" ht="14.25" customHeight="1">
      <c r="G818" s="127"/>
    </row>
    <row r="819" ht="14.25" customHeight="1">
      <c r="G819" s="127"/>
    </row>
    <row r="820" ht="14.25" customHeight="1">
      <c r="G820" s="127"/>
    </row>
    <row r="821" ht="14.25" customHeight="1">
      <c r="G821" s="127"/>
    </row>
    <row r="822" ht="14.25" customHeight="1">
      <c r="G822" s="127"/>
    </row>
    <row r="823" ht="14.25" customHeight="1">
      <c r="G823" s="127"/>
    </row>
    <row r="824" ht="14.25" customHeight="1">
      <c r="G824" s="127"/>
    </row>
    <row r="825" ht="14.25" customHeight="1">
      <c r="G825" s="127"/>
    </row>
    <row r="826" ht="14.25" customHeight="1">
      <c r="G826" s="127"/>
    </row>
    <row r="827" ht="14.25" customHeight="1">
      <c r="G827" s="127"/>
    </row>
    <row r="828" ht="14.25" customHeight="1">
      <c r="G828" s="127"/>
    </row>
    <row r="829" ht="14.25" customHeight="1">
      <c r="G829" s="127"/>
    </row>
    <row r="830" ht="14.25" customHeight="1">
      <c r="G830" s="127"/>
    </row>
    <row r="831" ht="14.25" customHeight="1">
      <c r="G831" s="127"/>
    </row>
    <row r="832" ht="14.25" customHeight="1">
      <c r="G832" s="127"/>
    </row>
    <row r="833" ht="14.25" customHeight="1">
      <c r="G833" s="127"/>
    </row>
    <row r="834" ht="14.25" customHeight="1">
      <c r="G834" s="127"/>
    </row>
    <row r="835" ht="14.25" customHeight="1">
      <c r="G835" s="127"/>
    </row>
    <row r="836" ht="14.25" customHeight="1">
      <c r="G836" s="127"/>
    </row>
    <row r="837" ht="14.25" customHeight="1">
      <c r="G837" s="127"/>
    </row>
    <row r="838" ht="14.25" customHeight="1">
      <c r="G838" s="127"/>
    </row>
    <row r="839" ht="14.25" customHeight="1">
      <c r="G839" s="127"/>
    </row>
    <row r="840" ht="14.25" customHeight="1">
      <c r="G840" s="127"/>
    </row>
    <row r="841" ht="14.25" customHeight="1">
      <c r="G841" s="127"/>
    </row>
    <row r="842" ht="14.25" customHeight="1">
      <c r="G842" s="127"/>
    </row>
    <row r="843" ht="14.25" customHeight="1">
      <c r="G843" s="127"/>
    </row>
    <row r="844" ht="14.25" customHeight="1">
      <c r="G844" s="127"/>
    </row>
    <row r="845" ht="14.25" customHeight="1">
      <c r="G845" s="127"/>
    </row>
    <row r="846" ht="14.25" customHeight="1">
      <c r="G846" s="127"/>
    </row>
    <row r="847" ht="14.25" customHeight="1">
      <c r="G847" s="127"/>
    </row>
    <row r="848" ht="14.25" customHeight="1">
      <c r="G848" s="127"/>
    </row>
    <row r="849" ht="14.25" customHeight="1">
      <c r="G849" s="127"/>
    </row>
    <row r="850" ht="14.25" customHeight="1">
      <c r="G850" s="127"/>
    </row>
    <row r="851" ht="14.25" customHeight="1">
      <c r="G851" s="127"/>
    </row>
    <row r="852" ht="14.25" customHeight="1">
      <c r="G852" s="127"/>
    </row>
    <row r="853" ht="14.25" customHeight="1">
      <c r="G853" s="127"/>
    </row>
    <row r="854" ht="14.25" customHeight="1">
      <c r="G854" s="127"/>
    </row>
    <row r="855" ht="14.25" customHeight="1">
      <c r="G855" s="127"/>
    </row>
    <row r="856" ht="14.25" customHeight="1">
      <c r="G856" s="127"/>
    </row>
    <row r="857" ht="14.25" customHeight="1">
      <c r="G857" s="127"/>
    </row>
    <row r="858" ht="14.25" customHeight="1">
      <c r="G858" s="127"/>
    </row>
    <row r="859" ht="14.25" customHeight="1">
      <c r="G859" s="127"/>
    </row>
    <row r="860" ht="14.25" customHeight="1">
      <c r="G860" s="127"/>
    </row>
    <row r="861" ht="14.25" customHeight="1">
      <c r="G861" s="127"/>
    </row>
    <row r="862" ht="14.25" customHeight="1">
      <c r="G862" s="127"/>
    </row>
    <row r="863" ht="14.25" customHeight="1">
      <c r="G863" s="127"/>
    </row>
    <row r="864" ht="14.25" customHeight="1">
      <c r="G864" s="127"/>
    </row>
    <row r="865" ht="14.25" customHeight="1">
      <c r="G865" s="127"/>
    </row>
    <row r="866" ht="14.25" customHeight="1">
      <c r="G866" s="127"/>
    </row>
    <row r="867" ht="14.25" customHeight="1">
      <c r="G867" s="127"/>
    </row>
    <row r="868" ht="14.25" customHeight="1">
      <c r="G868" s="127"/>
    </row>
    <row r="869" ht="14.25" customHeight="1">
      <c r="G869" s="127"/>
    </row>
    <row r="870" ht="14.25" customHeight="1">
      <c r="G870" s="127"/>
    </row>
    <row r="871" ht="14.25" customHeight="1">
      <c r="G871" s="127"/>
    </row>
    <row r="872" ht="14.25" customHeight="1">
      <c r="G872" s="127"/>
    </row>
    <row r="873" ht="14.25" customHeight="1">
      <c r="G873" s="127"/>
    </row>
    <row r="874" ht="14.25" customHeight="1">
      <c r="G874" s="127"/>
    </row>
    <row r="875" ht="14.25" customHeight="1">
      <c r="G875" s="127"/>
    </row>
    <row r="876" ht="14.25" customHeight="1">
      <c r="G876" s="127"/>
    </row>
    <row r="877" ht="14.25" customHeight="1">
      <c r="G877" s="127"/>
    </row>
    <row r="878" ht="14.25" customHeight="1">
      <c r="G878" s="127"/>
    </row>
    <row r="879" ht="14.25" customHeight="1">
      <c r="G879" s="127"/>
    </row>
    <row r="880" ht="14.25" customHeight="1">
      <c r="G880" s="127"/>
    </row>
    <row r="881" ht="14.25" customHeight="1">
      <c r="G881" s="127"/>
    </row>
    <row r="882" ht="14.25" customHeight="1">
      <c r="G882" s="127"/>
    </row>
    <row r="883" ht="14.25" customHeight="1">
      <c r="G883" s="127"/>
    </row>
    <row r="884" ht="14.25" customHeight="1">
      <c r="G884" s="127"/>
    </row>
    <row r="885" ht="14.25" customHeight="1">
      <c r="G885" s="127"/>
    </row>
    <row r="886" ht="14.25" customHeight="1">
      <c r="G886" s="127"/>
    </row>
    <row r="887" ht="14.25" customHeight="1">
      <c r="G887" s="127"/>
    </row>
    <row r="888" ht="14.25" customHeight="1">
      <c r="G888" s="127"/>
    </row>
    <row r="889" ht="14.25" customHeight="1">
      <c r="G889" s="127"/>
    </row>
    <row r="890" ht="14.25" customHeight="1">
      <c r="G890" s="127"/>
    </row>
    <row r="891" ht="14.25" customHeight="1">
      <c r="G891" s="127"/>
    </row>
    <row r="892" ht="14.25" customHeight="1">
      <c r="G892" s="127"/>
    </row>
    <row r="893" ht="14.25" customHeight="1">
      <c r="G893" s="127"/>
    </row>
    <row r="894" ht="14.25" customHeight="1">
      <c r="G894" s="127"/>
    </row>
    <row r="895" ht="14.25" customHeight="1">
      <c r="G895" s="127"/>
    </row>
    <row r="896" ht="14.25" customHeight="1">
      <c r="G896" s="127"/>
    </row>
    <row r="897" ht="14.25" customHeight="1">
      <c r="G897" s="127"/>
    </row>
    <row r="898" ht="14.25" customHeight="1">
      <c r="G898" s="127"/>
    </row>
    <row r="899" ht="14.25" customHeight="1">
      <c r="G899" s="127"/>
    </row>
    <row r="900" ht="14.25" customHeight="1">
      <c r="G900" s="127"/>
    </row>
    <row r="901" ht="14.25" customHeight="1">
      <c r="G901" s="127"/>
    </row>
    <row r="902" ht="14.25" customHeight="1">
      <c r="G902" s="127"/>
    </row>
    <row r="903" ht="14.25" customHeight="1">
      <c r="G903" s="127"/>
    </row>
    <row r="904" ht="14.25" customHeight="1">
      <c r="G904" s="127"/>
    </row>
    <row r="905" ht="14.25" customHeight="1">
      <c r="G905" s="127"/>
    </row>
    <row r="906" ht="14.25" customHeight="1">
      <c r="G906" s="127"/>
    </row>
    <row r="907" ht="14.25" customHeight="1">
      <c r="G907" s="127"/>
    </row>
    <row r="908" ht="14.25" customHeight="1">
      <c r="G908" s="127"/>
    </row>
    <row r="909" ht="14.25" customHeight="1">
      <c r="G909" s="127"/>
    </row>
    <row r="910" ht="14.25" customHeight="1">
      <c r="G910" s="127"/>
    </row>
    <row r="911" ht="14.25" customHeight="1">
      <c r="G911" s="127"/>
    </row>
    <row r="912" ht="14.25" customHeight="1">
      <c r="G912" s="127"/>
    </row>
    <row r="913" ht="14.25" customHeight="1">
      <c r="G913" s="127"/>
    </row>
    <row r="914" ht="14.25" customHeight="1">
      <c r="G914" s="127"/>
    </row>
    <row r="915" ht="14.25" customHeight="1">
      <c r="G915" s="127"/>
    </row>
    <row r="916" ht="14.25" customHeight="1">
      <c r="G916" s="127"/>
    </row>
    <row r="917" ht="14.25" customHeight="1">
      <c r="G917" s="127"/>
    </row>
    <row r="918" ht="14.25" customHeight="1">
      <c r="G918" s="127"/>
    </row>
    <row r="919" ht="14.25" customHeight="1">
      <c r="G919" s="127"/>
    </row>
    <row r="920" ht="14.25" customHeight="1">
      <c r="G920" s="127"/>
    </row>
    <row r="921" ht="14.25" customHeight="1">
      <c r="G921" s="127"/>
    </row>
    <row r="922" ht="14.25" customHeight="1">
      <c r="G922" s="127"/>
    </row>
    <row r="923" ht="14.25" customHeight="1">
      <c r="G923" s="127"/>
    </row>
    <row r="924" ht="14.25" customHeight="1">
      <c r="G924" s="127"/>
    </row>
    <row r="925" ht="14.25" customHeight="1">
      <c r="G925" s="127"/>
    </row>
    <row r="926" ht="14.25" customHeight="1">
      <c r="G926" s="127"/>
    </row>
    <row r="927" ht="14.25" customHeight="1">
      <c r="G927" s="127"/>
    </row>
    <row r="928" ht="14.25" customHeight="1">
      <c r="G928" s="127"/>
    </row>
    <row r="929" ht="14.25" customHeight="1">
      <c r="G929" s="127"/>
    </row>
    <row r="930" ht="14.25" customHeight="1">
      <c r="G930" s="127"/>
    </row>
    <row r="931" ht="14.25" customHeight="1">
      <c r="G931" s="127"/>
    </row>
    <row r="932" ht="14.25" customHeight="1">
      <c r="G932" s="127"/>
    </row>
    <row r="933" ht="14.25" customHeight="1">
      <c r="G933" s="127"/>
    </row>
    <row r="934" ht="14.25" customHeight="1">
      <c r="G934" s="127"/>
    </row>
    <row r="935" ht="14.25" customHeight="1">
      <c r="G935" s="127"/>
    </row>
    <row r="936" ht="14.25" customHeight="1">
      <c r="G936" s="127"/>
    </row>
    <row r="937" ht="14.25" customHeight="1">
      <c r="G937" s="127"/>
    </row>
    <row r="938" ht="14.25" customHeight="1">
      <c r="G938" s="127"/>
    </row>
    <row r="939" ht="14.25" customHeight="1">
      <c r="G939" s="127"/>
    </row>
    <row r="940" ht="14.25" customHeight="1">
      <c r="G940" s="127"/>
    </row>
    <row r="941" ht="14.25" customHeight="1">
      <c r="G941" s="127"/>
    </row>
    <row r="942" ht="14.25" customHeight="1">
      <c r="G942" s="127"/>
    </row>
    <row r="943" ht="14.25" customHeight="1">
      <c r="G943" s="127"/>
    </row>
    <row r="944" ht="14.25" customHeight="1">
      <c r="G944" s="127"/>
    </row>
    <row r="945" ht="14.25" customHeight="1">
      <c r="G945" s="127"/>
    </row>
    <row r="946" ht="14.25" customHeight="1">
      <c r="G946" s="127"/>
    </row>
    <row r="947" ht="14.25" customHeight="1">
      <c r="G947" s="127"/>
    </row>
    <row r="948" ht="14.25" customHeight="1">
      <c r="G948" s="127"/>
    </row>
    <row r="949" ht="14.25" customHeight="1">
      <c r="G949" s="127"/>
    </row>
    <row r="950" ht="14.25" customHeight="1">
      <c r="G950" s="127"/>
    </row>
    <row r="951" ht="14.25" customHeight="1">
      <c r="G951" s="127"/>
    </row>
    <row r="952" ht="14.25" customHeight="1">
      <c r="G952" s="127"/>
    </row>
    <row r="953" ht="14.25" customHeight="1">
      <c r="G953" s="127"/>
    </row>
    <row r="954" ht="14.25" customHeight="1">
      <c r="G954" s="127"/>
    </row>
    <row r="955" ht="14.25" customHeight="1">
      <c r="G955" s="127"/>
    </row>
    <row r="956" ht="14.25" customHeight="1">
      <c r="G956" s="127"/>
    </row>
    <row r="957" ht="14.25" customHeight="1">
      <c r="G957" s="127"/>
    </row>
    <row r="958" ht="14.25" customHeight="1">
      <c r="G958" s="127"/>
    </row>
    <row r="959" ht="14.25" customHeight="1">
      <c r="G959" s="127"/>
    </row>
    <row r="960" ht="14.25" customHeight="1">
      <c r="G960" s="127"/>
    </row>
    <row r="961" ht="14.25" customHeight="1">
      <c r="G961" s="127"/>
    </row>
    <row r="962" ht="14.25" customHeight="1">
      <c r="G962" s="127"/>
    </row>
    <row r="963" ht="14.25" customHeight="1">
      <c r="G963" s="127"/>
    </row>
    <row r="964" ht="14.25" customHeight="1">
      <c r="G964" s="127"/>
    </row>
    <row r="965" ht="14.25" customHeight="1">
      <c r="G965" s="127"/>
    </row>
    <row r="966" ht="14.25" customHeight="1">
      <c r="G966" s="127"/>
    </row>
    <row r="967" ht="14.25" customHeight="1">
      <c r="G967" s="127"/>
    </row>
    <row r="968" ht="14.25" customHeight="1">
      <c r="G968" s="127"/>
    </row>
    <row r="969" ht="14.25" customHeight="1">
      <c r="G969" s="127"/>
    </row>
    <row r="970" ht="14.25" customHeight="1">
      <c r="G970" s="127"/>
    </row>
    <row r="971" ht="14.25" customHeight="1">
      <c r="G971" s="127"/>
    </row>
    <row r="972" ht="14.25" customHeight="1">
      <c r="G972" s="127"/>
    </row>
    <row r="973" ht="14.25" customHeight="1">
      <c r="G973" s="127"/>
    </row>
    <row r="974" ht="14.25" customHeight="1">
      <c r="G974" s="127"/>
    </row>
    <row r="975" ht="14.25" customHeight="1">
      <c r="G975" s="127"/>
    </row>
    <row r="976" ht="14.25" customHeight="1">
      <c r="G976" s="127"/>
    </row>
    <row r="977" ht="14.25" customHeight="1">
      <c r="G977" s="127"/>
    </row>
    <row r="978" ht="14.25" customHeight="1">
      <c r="G978" s="127"/>
    </row>
    <row r="979" ht="14.25" customHeight="1">
      <c r="G979" s="127"/>
    </row>
    <row r="980" ht="14.25" customHeight="1">
      <c r="G980" s="127"/>
    </row>
    <row r="981" ht="14.25" customHeight="1">
      <c r="G981" s="127"/>
    </row>
    <row r="982" ht="14.25" customHeight="1">
      <c r="G982" s="127"/>
    </row>
    <row r="983" ht="14.25" customHeight="1">
      <c r="G983" s="127"/>
    </row>
    <row r="984" ht="14.25" customHeight="1">
      <c r="G984" s="127"/>
    </row>
    <row r="985" ht="14.25" customHeight="1">
      <c r="G985" s="127"/>
    </row>
    <row r="986" ht="14.25" customHeight="1">
      <c r="G986" s="127"/>
    </row>
    <row r="987" ht="14.25" customHeight="1">
      <c r="G987" s="127"/>
    </row>
    <row r="988" ht="14.25" customHeight="1">
      <c r="G988" s="127"/>
    </row>
    <row r="989" ht="14.25" customHeight="1">
      <c r="G989" s="127"/>
    </row>
    <row r="990" ht="14.25" customHeight="1">
      <c r="G990" s="127"/>
    </row>
    <row r="991" ht="14.25" customHeight="1">
      <c r="G991" s="127"/>
    </row>
    <row r="992" ht="14.25" customHeight="1">
      <c r="G992" s="127"/>
    </row>
    <row r="993" ht="14.25" customHeight="1">
      <c r="G993" s="127"/>
    </row>
    <row r="994" ht="14.25" customHeight="1">
      <c r="G994" s="127"/>
    </row>
    <row r="995" ht="14.25" customHeight="1">
      <c r="G995" s="127"/>
    </row>
    <row r="996" ht="14.25" customHeight="1">
      <c r="G996" s="127"/>
    </row>
    <row r="997" ht="14.25" customHeight="1">
      <c r="G997" s="127"/>
    </row>
    <row r="998" ht="14.25" customHeight="1">
      <c r="G998" s="127"/>
    </row>
    <row r="999" ht="14.25" customHeight="1">
      <c r="G999" s="127"/>
    </row>
    <row r="1000" ht="14.25" customHeight="1">
      <c r="G1000" s="12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4" width="28.57"/>
    <col customWidth="1" min="5" max="26" width="10.71"/>
  </cols>
  <sheetData>
    <row r="1" ht="45.0" customHeight="1">
      <c r="A1" s="121" t="s">
        <v>448</v>
      </c>
      <c r="B1" s="121" t="s">
        <v>446</v>
      </c>
      <c r="C1" s="123" t="s">
        <v>455</v>
      </c>
      <c r="D1" s="123" t="s">
        <v>456</v>
      </c>
    </row>
    <row r="2" ht="14.25" customHeight="1">
      <c r="A2" s="125">
        <v>20101.0</v>
      </c>
      <c r="B2" s="124" t="s">
        <v>485</v>
      </c>
      <c r="C2" s="124">
        <v>0.0</v>
      </c>
      <c r="D2" s="124">
        <v>0.0</v>
      </c>
    </row>
    <row r="3" ht="14.25" customHeight="1">
      <c r="A3" s="125">
        <v>20104.0</v>
      </c>
      <c r="B3" s="124" t="s">
        <v>488</v>
      </c>
      <c r="C3" s="124">
        <v>0.0</v>
      </c>
      <c r="D3" s="124">
        <v>0.0</v>
      </c>
    </row>
    <row r="4" ht="14.25" customHeight="1">
      <c r="A4" s="125">
        <v>20105.0</v>
      </c>
      <c r="B4" s="124" t="s">
        <v>211</v>
      </c>
      <c r="C4" s="124">
        <v>0.0</v>
      </c>
      <c r="D4" s="124">
        <v>0.0</v>
      </c>
    </row>
    <row r="5" ht="14.25" customHeight="1">
      <c r="A5" s="125">
        <v>20201.0</v>
      </c>
      <c r="B5" s="124" t="s">
        <v>490</v>
      </c>
      <c r="C5" s="124">
        <v>0.0</v>
      </c>
      <c r="D5" s="124">
        <v>0.0</v>
      </c>
    </row>
    <row r="6" ht="14.25" customHeight="1">
      <c r="A6" s="125">
        <v>20202.0</v>
      </c>
      <c r="B6" s="124" t="s">
        <v>491</v>
      </c>
      <c r="C6" s="124">
        <v>0.0</v>
      </c>
      <c r="D6" s="124">
        <v>0.0</v>
      </c>
    </row>
    <row r="7" ht="14.25" customHeight="1">
      <c r="A7" s="125">
        <v>20203.0</v>
      </c>
      <c r="B7" s="124" t="s">
        <v>493</v>
      </c>
      <c r="C7" s="124">
        <v>0.0</v>
      </c>
      <c r="D7" s="124">
        <v>0.0</v>
      </c>
    </row>
    <row r="8" ht="14.25" customHeight="1">
      <c r="A8" s="125">
        <v>20204.0</v>
      </c>
      <c r="B8" s="124" t="s">
        <v>494</v>
      </c>
      <c r="C8" s="124">
        <v>0.0</v>
      </c>
      <c r="D8" s="124">
        <v>0.0</v>
      </c>
    </row>
    <row r="9" ht="14.25" customHeight="1">
      <c r="A9" s="125">
        <v>20205.0</v>
      </c>
      <c r="B9" s="124" t="s">
        <v>495</v>
      </c>
      <c r="C9" s="124">
        <v>0.0</v>
      </c>
      <c r="D9" s="124">
        <v>0.0</v>
      </c>
    </row>
    <row r="10" ht="14.25" customHeight="1">
      <c r="A10" s="125">
        <v>20206.0</v>
      </c>
      <c r="B10" s="124" t="s">
        <v>496</v>
      </c>
      <c r="C10" s="124">
        <v>0.0</v>
      </c>
      <c r="D10" s="124">
        <v>0.0</v>
      </c>
    </row>
    <row r="11" ht="14.25" customHeight="1">
      <c r="A11" s="125">
        <v>20301.0</v>
      </c>
      <c r="B11" s="124" t="s">
        <v>498</v>
      </c>
      <c r="C11" s="124">
        <v>0.0</v>
      </c>
      <c r="D11" s="124">
        <v>0.0</v>
      </c>
    </row>
    <row r="12" ht="14.25" customHeight="1">
      <c r="A12" s="125">
        <v>20302.0</v>
      </c>
      <c r="B12" s="124" t="s">
        <v>500</v>
      </c>
      <c r="C12" s="124">
        <v>0.0</v>
      </c>
      <c r="D12" s="124">
        <v>0.0</v>
      </c>
    </row>
    <row r="13" ht="14.25" customHeight="1">
      <c r="A13" s="125">
        <v>20303.0</v>
      </c>
      <c r="B13" s="124" t="s">
        <v>501</v>
      </c>
      <c r="C13" s="124">
        <v>0.0</v>
      </c>
      <c r="D13" s="124">
        <v>0.0</v>
      </c>
    </row>
    <row r="14" ht="14.25" customHeight="1">
      <c r="A14" s="125">
        <v>20304.0</v>
      </c>
      <c r="B14" s="124" t="s">
        <v>502</v>
      </c>
      <c r="C14" s="124">
        <v>0.0</v>
      </c>
      <c r="D14" s="124">
        <v>0.0</v>
      </c>
    </row>
    <row r="15" ht="14.25" customHeight="1">
      <c r="A15" s="125">
        <v>20305.0</v>
      </c>
      <c r="B15" s="124" t="s">
        <v>503</v>
      </c>
      <c r="C15" s="124">
        <v>0.0</v>
      </c>
      <c r="D15" s="124">
        <v>0.0</v>
      </c>
    </row>
    <row r="16" ht="14.25" customHeight="1">
      <c r="A16" s="125">
        <v>20306.0</v>
      </c>
      <c r="B16" s="124" t="s">
        <v>504</v>
      </c>
      <c r="C16" s="124">
        <v>0.0</v>
      </c>
      <c r="D16" s="124">
        <v>0.0</v>
      </c>
    </row>
    <row r="17" ht="14.25" customHeight="1">
      <c r="A17" s="125">
        <v>20307.0</v>
      </c>
      <c r="B17" s="124" t="s">
        <v>505</v>
      </c>
      <c r="C17" s="124">
        <v>0.0</v>
      </c>
      <c r="D17" s="124">
        <v>0.0</v>
      </c>
    </row>
    <row r="18" ht="14.25" customHeight="1">
      <c r="A18" s="125">
        <v>20308.0</v>
      </c>
      <c r="B18" s="124" t="s">
        <v>506</v>
      </c>
      <c r="C18" s="124">
        <v>0.0</v>
      </c>
      <c r="D18" s="124">
        <v>0.0</v>
      </c>
    </row>
    <row r="19" ht="14.25" customHeight="1">
      <c r="A19" s="125">
        <v>20401.0</v>
      </c>
      <c r="B19" s="124" t="s">
        <v>508</v>
      </c>
      <c r="C19" s="124">
        <v>0.0</v>
      </c>
      <c r="D19" s="124">
        <v>0.0</v>
      </c>
    </row>
    <row r="20" ht="14.25" customHeight="1">
      <c r="A20" s="125">
        <v>20402.0</v>
      </c>
      <c r="B20" s="124" t="s">
        <v>509</v>
      </c>
      <c r="C20" s="124">
        <v>0.0</v>
      </c>
      <c r="D20" s="124">
        <v>0.0</v>
      </c>
    </row>
    <row r="21" ht="14.25" customHeight="1">
      <c r="A21" s="125">
        <v>20403.0</v>
      </c>
      <c r="B21" s="124" t="s">
        <v>510</v>
      </c>
      <c r="C21" s="124">
        <v>0.0</v>
      </c>
      <c r="D21" s="124">
        <v>0.0</v>
      </c>
    </row>
    <row r="22" ht="14.25" customHeight="1">
      <c r="A22" s="125">
        <v>20404.0</v>
      </c>
      <c r="B22" s="124" t="s">
        <v>512</v>
      </c>
      <c r="C22" s="124">
        <v>0.0</v>
      </c>
      <c r="D22" s="124">
        <v>0.0</v>
      </c>
    </row>
    <row r="23" ht="14.25" customHeight="1">
      <c r="A23" s="125">
        <v>20405.0</v>
      </c>
      <c r="B23" s="124" t="s">
        <v>513</v>
      </c>
      <c r="C23" s="124">
        <v>0.0</v>
      </c>
      <c r="D23" s="124">
        <v>0.0</v>
      </c>
    </row>
    <row r="24" ht="14.25" customHeight="1">
      <c r="A24" s="125">
        <v>20501.0</v>
      </c>
      <c r="B24" s="124" t="s">
        <v>515</v>
      </c>
      <c r="C24" s="124">
        <v>0.0</v>
      </c>
      <c r="D24" s="124">
        <v>0.0</v>
      </c>
    </row>
    <row r="25" ht="14.25" customHeight="1">
      <c r="A25" s="125">
        <v>20502.0</v>
      </c>
      <c r="B25" s="124" t="s">
        <v>202</v>
      </c>
      <c r="C25" s="124">
        <v>0.0</v>
      </c>
      <c r="D25" s="124">
        <v>0.0</v>
      </c>
    </row>
    <row r="26" ht="14.25" customHeight="1">
      <c r="A26" s="125">
        <v>20503.0</v>
      </c>
      <c r="B26" s="124" t="s">
        <v>516</v>
      </c>
      <c r="C26" s="124">
        <v>0.0</v>
      </c>
      <c r="D26" s="124">
        <v>0.11749889743498142</v>
      </c>
    </row>
    <row r="27" ht="14.25" customHeight="1">
      <c r="A27" s="125">
        <v>20601.0</v>
      </c>
      <c r="B27" s="124" t="s">
        <v>518</v>
      </c>
      <c r="C27" s="124">
        <v>0.0</v>
      </c>
      <c r="D27" s="124">
        <v>0.05214097170707371</v>
      </c>
    </row>
    <row r="28" ht="14.25" customHeight="1">
      <c r="A28" s="125">
        <v>20604.0</v>
      </c>
      <c r="B28" s="124" t="s">
        <v>520</v>
      </c>
      <c r="C28" s="124">
        <v>0.0</v>
      </c>
      <c r="D28" s="124">
        <v>0.0</v>
      </c>
    </row>
    <row r="29" ht="14.25" customHeight="1">
      <c r="A29" s="125">
        <v>20605.0</v>
      </c>
      <c r="B29" s="124" t="s">
        <v>521</v>
      </c>
      <c r="C29" s="124">
        <v>0.0</v>
      </c>
      <c r="D29" s="124">
        <v>0.0</v>
      </c>
    </row>
    <row r="30" ht="14.25" customHeight="1">
      <c r="A30" s="125">
        <v>20701.0</v>
      </c>
      <c r="B30" s="124" t="s">
        <v>199</v>
      </c>
      <c r="C30" s="124">
        <v>0.009247080851650403</v>
      </c>
      <c r="D30" s="124">
        <v>0.2566470780169668</v>
      </c>
    </row>
    <row r="31" ht="14.25" customHeight="1">
      <c r="A31" s="125">
        <v>20702.0</v>
      </c>
      <c r="B31" s="124" t="s">
        <v>523</v>
      </c>
      <c r="C31" s="124">
        <v>0.0</v>
      </c>
      <c r="D31" s="124">
        <v>0.0</v>
      </c>
    </row>
    <row r="32" ht="14.25" customHeight="1">
      <c r="A32" s="125">
        <v>20801.0</v>
      </c>
      <c r="B32" s="124" t="s">
        <v>525</v>
      </c>
      <c r="C32" s="124">
        <v>0.0</v>
      </c>
      <c r="D32" s="124">
        <v>0.0</v>
      </c>
    </row>
    <row r="33" ht="14.25" customHeight="1">
      <c r="A33" s="125">
        <v>20802.0</v>
      </c>
      <c r="B33" s="124" t="s">
        <v>526</v>
      </c>
      <c r="C33" s="124">
        <v>0.0</v>
      </c>
      <c r="D33" s="124">
        <v>0.0</v>
      </c>
    </row>
    <row r="34" ht="14.25" customHeight="1">
      <c r="A34" s="125">
        <v>20803.0</v>
      </c>
      <c r="B34" s="124" t="s">
        <v>528</v>
      </c>
      <c r="C34" s="124">
        <v>0.0</v>
      </c>
      <c r="D34" s="124">
        <v>0.0</v>
      </c>
    </row>
    <row r="35" ht="14.25" customHeight="1">
      <c r="A35" s="125">
        <v>20804.0</v>
      </c>
      <c r="B35" s="124" t="s">
        <v>529</v>
      </c>
      <c r="C35" s="124">
        <v>0.0</v>
      </c>
      <c r="D35" s="124">
        <v>0.0</v>
      </c>
    </row>
    <row r="36" ht="14.25" customHeight="1">
      <c r="A36" s="125">
        <v>20805.0</v>
      </c>
      <c r="B36" s="124" t="s">
        <v>530</v>
      </c>
      <c r="C36" s="124">
        <v>0.0</v>
      </c>
      <c r="D36" s="124">
        <v>0.0</v>
      </c>
    </row>
    <row r="37" ht="14.25" customHeight="1">
      <c r="A37" s="125">
        <v>20806.0</v>
      </c>
      <c r="B37" s="124" t="s">
        <v>532</v>
      </c>
      <c r="C37" s="124">
        <v>0.0</v>
      </c>
      <c r="D37" s="124">
        <v>0.0</v>
      </c>
    </row>
    <row r="38" ht="14.25" customHeight="1">
      <c r="A38" s="125">
        <v>20807.0</v>
      </c>
      <c r="B38" s="124" t="s">
        <v>534</v>
      </c>
      <c r="C38" s="124">
        <v>0.0</v>
      </c>
      <c r="D38" s="124">
        <v>0.0</v>
      </c>
    </row>
    <row r="39" ht="14.25" customHeight="1">
      <c r="A39" s="125">
        <v>20903.0</v>
      </c>
      <c r="B39" s="124" t="s">
        <v>538</v>
      </c>
      <c r="C39" s="124">
        <v>0.0</v>
      </c>
      <c r="D39" s="124">
        <v>0.0</v>
      </c>
    </row>
    <row r="40" ht="14.25" customHeight="1">
      <c r="A40" s="125">
        <v>20904.0</v>
      </c>
      <c r="B40" s="124" t="s">
        <v>539</v>
      </c>
      <c r="C40" s="124">
        <v>0.0</v>
      </c>
      <c r="D40" s="124">
        <v>0.0</v>
      </c>
    </row>
    <row r="41" ht="14.25" customHeight="1">
      <c r="A41" s="125">
        <v>21002.0</v>
      </c>
      <c r="B41" s="124" t="s">
        <v>541</v>
      </c>
      <c r="C41" s="124">
        <v>0.0</v>
      </c>
      <c r="D41" s="124">
        <v>0.0</v>
      </c>
    </row>
    <row r="42" ht="14.25" customHeight="1">
      <c r="A42" s="125">
        <v>21004.0</v>
      </c>
      <c r="B42" s="124" t="s">
        <v>543</v>
      </c>
      <c r="C42" s="124">
        <v>0.0</v>
      </c>
      <c r="D42" s="124">
        <v>0.010455064778287955</v>
      </c>
    </row>
    <row r="43" ht="14.25" customHeight="1">
      <c r="A43" s="125">
        <v>21005.0</v>
      </c>
      <c r="B43" s="124" t="s">
        <v>544</v>
      </c>
      <c r="C43" s="124">
        <v>0.0</v>
      </c>
      <c r="D43" s="124">
        <v>0.0</v>
      </c>
    </row>
    <row r="44" ht="14.25" customHeight="1">
      <c r="A44" s="125">
        <v>21105.0</v>
      </c>
      <c r="B44" s="124" t="s">
        <v>552</v>
      </c>
      <c r="C44" s="124">
        <v>0.0</v>
      </c>
      <c r="D44" s="124">
        <v>0.3741995643308455</v>
      </c>
    </row>
    <row r="45" ht="14.25" customHeight="1">
      <c r="A45" s="125">
        <v>21201.0</v>
      </c>
      <c r="B45" s="124" t="s">
        <v>554</v>
      </c>
      <c r="C45" s="124">
        <v>0.0</v>
      </c>
      <c r="D45" s="124">
        <v>0.0</v>
      </c>
    </row>
    <row r="46" ht="14.25" customHeight="1">
      <c r="A46" s="125">
        <v>21202.0</v>
      </c>
      <c r="B46" s="124" t="s">
        <v>555</v>
      </c>
      <c r="C46" s="124">
        <v>0.0</v>
      </c>
      <c r="D46" s="124">
        <v>0.0</v>
      </c>
    </row>
    <row r="47" ht="14.25" customHeight="1">
      <c r="A47" s="125">
        <v>21203.0</v>
      </c>
      <c r="B47" s="124" t="s">
        <v>556</v>
      </c>
      <c r="C47" s="124">
        <v>0.0</v>
      </c>
      <c r="D47" s="124">
        <v>0.0</v>
      </c>
    </row>
    <row r="48" ht="14.25" customHeight="1">
      <c r="A48" s="125">
        <v>21204.0</v>
      </c>
      <c r="B48" s="124" t="s">
        <v>557</v>
      </c>
      <c r="C48" s="124">
        <v>0.0</v>
      </c>
      <c r="D48" s="124">
        <v>0.0</v>
      </c>
    </row>
    <row r="49" ht="14.25" customHeight="1">
      <c r="A49" s="125">
        <v>21301.0</v>
      </c>
      <c r="B49" s="124" t="s">
        <v>559</v>
      </c>
      <c r="C49" s="124">
        <v>0.0</v>
      </c>
      <c r="D49" s="124">
        <v>0.0</v>
      </c>
    </row>
    <row r="50" ht="14.25" customHeight="1">
      <c r="A50" s="125">
        <v>21302.0</v>
      </c>
      <c r="B50" s="124" t="s">
        <v>561</v>
      </c>
      <c r="C50" s="124">
        <v>0.0</v>
      </c>
      <c r="D50" s="124">
        <v>0.0</v>
      </c>
    </row>
    <row r="51" ht="14.25" customHeight="1">
      <c r="A51" s="125">
        <v>21303.0</v>
      </c>
      <c r="B51" s="124" t="s">
        <v>562</v>
      </c>
      <c r="C51" s="124">
        <v>0.0</v>
      </c>
      <c r="D51" s="124">
        <v>0.0</v>
      </c>
    </row>
    <row r="52" ht="14.25" customHeight="1">
      <c r="A52" s="125">
        <v>21304.0</v>
      </c>
      <c r="B52" s="124" t="s">
        <v>563</v>
      </c>
      <c r="C52" s="124">
        <v>0.0</v>
      </c>
      <c r="D52" s="124">
        <v>0.0</v>
      </c>
    </row>
    <row r="53" ht="14.25" customHeight="1">
      <c r="A53" s="125">
        <v>21305.0</v>
      </c>
      <c r="B53" s="124" t="s">
        <v>564</v>
      </c>
      <c r="C53" s="124">
        <v>0.0</v>
      </c>
      <c r="D53" s="124">
        <v>0.0</v>
      </c>
    </row>
    <row r="54" ht="14.25" customHeight="1">
      <c r="A54" s="125">
        <v>21306.0</v>
      </c>
      <c r="B54" s="124" t="s">
        <v>565</v>
      </c>
      <c r="C54" s="124">
        <v>0.0</v>
      </c>
      <c r="D54" s="124">
        <v>0.0</v>
      </c>
    </row>
    <row r="55" ht="14.25" customHeight="1">
      <c r="A55" s="125">
        <v>21307.0</v>
      </c>
      <c r="B55" s="124" t="s">
        <v>566</v>
      </c>
      <c r="C55" s="124">
        <v>0.0</v>
      </c>
      <c r="D55" s="124">
        <v>0.0</v>
      </c>
    </row>
    <row r="56" ht="14.25" customHeight="1">
      <c r="A56" s="125">
        <v>21601.0</v>
      </c>
      <c r="B56" s="124" t="s">
        <v>572</v>
      </c>
      <c r="C56" s="124">
        <v>0.0</v>
      </c>
      <c r="D56" s="124">
        <v>0.0</v>
      </c>
    </row>
    <row r="57" ht="14.25" customHeight="1">
      <c r="A57" s="125">
        <v>21602.0</v>
      </c>
      <c r="B57" s="124" t="s">
        <v>574</v>
      </c>
      <c r="C57" s="124">
        <v>0.0</v>
      </c>
      <c r="D57" s="124">
        <v>0.0</v>
      </c>
    </row>
    <row r="58" ht="14.25" customHeight="1">
      <c r="A58" s="125">
        <v>21701.0</v>
      </c>
      <c r="B58" s="124" t="s">
        <v>576</v>
      </c>
      <c r="C58" s="124">
        <v>0.0</v>
      </c>
      <c r="D58" s="124">
        <v>0.0</v>
      </c>
    </row>
    <row r="59" ht="14.25" customHeight="1">
      <c r="A59" s="125">
        <v>21702.0</v>
      </c>
      <c r="B59" s="124" t="s">
        <v>577</v>
      </c>
      <c r="C59" s="124">
        <v>0.0</v>
      </c>
      <c r="D59" s="124">
        <v>0.0</v>
      </c>
    </row>
    <row r="60" ht="14.25" customHeight="1">
      <c r="A60" s="125">
        <v>21703.0</v>
      </c>
      <c r="B60" s="124" t="s">
        <v>578</v>
      </c>
      <c r="C60" s="124">
        <v>0.0</v>
      </c>
      <c r="D60" s="124">
        <v>0.0</v>
      </c>
    </row>
    <row r="61" ht="14.25" customHeight="1">
      <c r="A61" s="125">
        <v>21801.0</v>
      </c>
      <c r="B61" s="124" t="s">
        <v>580</v>
      </c>
      <c r="C61" s="124">
        <v>0.0</v>
      </c>
      <c r="D61" s="124">
        <v>0.0</v>
      </c>
    </row>
    <row r="62" ht="14.25" customHeight="1">
      <c r="A62" s="125">
        <v>21802.0</v>
      </c>
      <c r="B62" s="124" t="s">
        <v>582</v>
      </c>
      <c r="C62" s="124">
        <v>0.0</v>
      </c>
      <c r="D62" s="124">
        <v>0.0</v>
      </c>
    </row>
    <row r="63" ht="14.25" customHeight="1">
      <c r="A63" s="125">
        <v>21803.0</v>
      </c>
      <c r="B63" s="124" t="s">
        <v>583</v>
      </c>
      <c r="C63" s="124">
        <v>0.0</v>
      </c>
      <c r="D63" s="124">
        <v>0.0</v>
      </c>
    </row>
    <row r="64" ht="14.25" customHeight="1">
      <c r="A64" s="125">
        <v>21901.0</v>
      </c>
      <c r="B64" s="124" t="s">
        <v>585</v>
      </c>
      <c r="C64" s="124">
        <v>0.0</v>
      </c>
      <c r="D64" s="124">
        <v>0.0</v>
      </c>
    </row>
    <row r="65" ht="14.25" customHeight="1">
      <c r="A65" s="125">
        <v>21902.0</v>
      </c>
      <c r="B65" s="124" t="s">
        <v>586</v>
      </c>
      <c r="C65" s="124">
        <v>0.0</v>
      </c>
      <c r="D65" s="124">
        <v>0.0</v>
      </c>
    </row>
    <row r="66" ht="14.25" customHeight="1">
      <c r="A66" s="125">
        <v>30502.0</v>
      </c>
      <c r="B66" s="124" t="s">
        <v>600</v>
      </c>
      <c r="C66" s="124">
        <v>0.0</v>
      </c>
      <c r="D66" s="124">
        <v>0.0</v>
      </c>
    </row>
    <row r="67" ht="14.25" customHeight="1">
      <c r="A67" s="125">
        <v>31002.0</v>
      </c>
      <c r="B67" s="124" t="s">
        <v>616</v>
      </c>
      <c r="C67" s="124">
        <v>0.0</v>
      </c>
      <c r="D67" s="124">
        <v>0.00768315242280001</v>
      </c>
    </row>
    <row r="68" ht="14.25" customHeight="1">
      <c r="A68" s="125">
        <v>31204.0</v>
      </c>
      <c r="B68" s="124" t="s">
        <v>621</v>
      </c>
      <c r="C68" s="124">
        <v>3.7242532492209467E-4</v>
      </c>
      <c r="D68" s="124">
        <v>0.3333333333333333</v>
      </c>
    </row>
    <row r="69" ht="14.25" customHeight="1">
      <c r="A69" s="125">
        <v>31303.0</v>
      </c>
      <c r="B69" s="124" t="s">
        <v>623</v>
      </c>
      <c r="C69" s="124">
        <v>0.0</v>
      </c>
      <c r="D69" s="124">
        <v>0.0</v>
      </c>
    </row>
    <row r="70" ht="14.25" customHeight="1">
      <c r="A70" s="125">
        <v>31304.0</v>
      </c>
      <c r="B70" s="124" t="s">
        <v>624</v>
      </c>
      <c r="C70" s="124">
        <v>0.0</v>
      </c>
      <c r="D70" s="124">
        <v>0.10758017701358837</v>
      </c>
    </row>
    <row r="71" ht="14.25" customHeight="1">
      <c r="A71" s="125">
        <v>31501.0</v>
      </c>
      <c r="B71" s="124" t="s">
        <v>633</v>
      </c>
      <c r="C71" s="124">
        <v>0.0</v>
      </c>
      <c r="D71" s="124">
        <v>0.0</v>
      </c>
    </row>
    <row r="72" ht="14.25" customHeight="1">
      <c r="A72" s="125">
        <v>31601.0</v>
      </c>
      <c r="B72" s="124" t="s">
        <v>634</v>
      </c>
      <c r="C72" s="124">
        <v>0.0</v>
      </c>
      <c r="D72" s="124">
        <v>0.01048627402444962</v>
      </c>
    </row>
    <row r="73" ht="14.25" customHeight="1">
      <c r="A73" s="125">
        <v>40101.0</v>
      </c>
      <c r="B73" s="124" t="s">
        <v>636</v>
      </c>
      <c r="C73" s="124">
        <v>0.0</v>
      </c>
      <c r="D73" s="124">
        <v>0.0</v>
      </c>
    </row>
    <row r="74" ht="14.25" customHeight="1">
      <c r="A74" s="125">
        <v>40102.0</v>
      </c>
      <c r="B74" s="124" t="s">
        <v>637</v>
      </c>
      <c r="C74" s="124">
        <v>0.0</v>
      </c>
      <c r="D74" s="124">
        <v>0.0</v>
      </c>
    </row>
    <row r="75" ht="14.25" customHeight="1">
      <c r="A75" s="125">
        <v>40103.0</v>
      </c>
      <c r="B75" s="124" t="s">
        <v>638</v>
      </c>
      <c r="C75" s="124">
        <v>0.0</v>
      </c>
      <c r="D75" s="124">
        <v>0.0</v>
      </c>
    </row>
    <row r="76" ht="14.25" customHeight="1">
      <c r="A76" s="125">
        <v>40104.0</v>
      </c>
      <c r="B76" s="124" t="s">
        <v>639</v>
      </c>
      <c r="C76" s="124">
        <v>0.0</v>
      </c>
      <c r="D76" s="124">
        <v>0.0</v>
      </c>
    </row>
    <row r="77" ht="14.25" customHeight="1">
      <c r="A77" s="125">
        <v>40201.0</v>
      </c>
      <c r="B77" s="124" t="s">
        <v>642</v>
      </c>
      <c r="C77" s="124">
        <v>0.0</v>
      </c>
      <c r="D77" s="124">
        <v>0.0</v>
      </c>
    </row>
    <row r="78" ht="14.25" customHeight="1">
      <c r="A78" s="125">
        <v>40202.0</v>
      </c>
      <c r="B78" s="124" t="s">
        <v>643</v>
      </c>
      <c r="C78" s="124">
        <v>0.0</v>
      </c>
      <c r="D78" s="124">
        <v>0.0</v>
      </c>
    </row>
    <row r="79" ht="14.25" customHeight="1">
      <c r="A79" s="125">
        <v>40301.0</v>
      </c>
      <c r="B79" s="124" t="s">
        <v>645</v>
      </c>
      <c r="C79" s="124">
        <v>0.0</v>
      </c>
      <c r="D79" s="124">
        <v>0.0</v>
      </c>
    </row>
    <row r="80" ht="14.25" customHeight="1">
      <c r="A80" s="125">
        <v>40302.0</v>
      </c>
      <c r="B80" s="124" t="s">
        <v>646</v>
      </c>
      <c r="C80" s="124">
        <v>0.0</v>
      </c>
      <c r="D80" s="124">
        <v>0.0</v>
      </c>
    </row>
    <row r="81" ht="14.25" customHeight="1">
      <c r="A81" s="125">
        <v>40401.0</v>
      </c>
      <c r="B81" s="124" t="s">
        <v>648</v>
      </c>
      <c r="C81" s="124">
        <v>0.0</v>
      </c>
      <c r="D81" s="124">
        <v>0.0</v>
      </c>
    </row>
    <row r="82" ht="14.25" customHeight="1">
      <c r="A82" s="125">
        <v>40402.0</v>
      </c>
      <c r="B82" s="124" t="s">
        <v>649</v>
      </c>
      <c r="C82" s="124">
        <v>0.0</v>
      </c>
      <c r="D82" s="124">
        <v>0.0</v>
      </c>
    </row>
    <row r="83" ht="14.25" customHeight="1">
      <c r="A83" s="125">
        <v>40501.0</v>
      </c>
      <c r="B83" s="124" t="s">
        <v>651</v>
      </c>
      <c r="C83" s="124">
        <v>0.0</v>
      </c>
      <c r="D83" s="124">
        <v>0.0</v>
      </c>
    </row>
    <row r="84" ht="14.25" customHeight="1">
      <c r="A84" s="125">
        <v>40502.0</v>
      </c>
      <c r="B84" s="124" t="s">
        <v>652</v>
      </c>
      <c r="C84" s="124">
        <v>0.0</v>
      </c>
      <c r="D84" s="124">
        <v>0.0</v>
      </c>
    </row>
    <row r="85" ht="14.25" customHeight="1">
      <c r="A85" s="125">
        <v>40503.0</v>
      </c>
      <c r="B85" s="124" t="s">
        <v>653</v>
      </c>
      <c r="C85" s="124">
        <v>0.0</v>
      </c>
      <c r="D85" s="124">
        <v>0.0</v>
      </c>
    </row>
    <row r="86" ht="14.25" customHeight="1">
      <c r="A86" s="125">
        <v>40504.0</v>
      </c>
      <c r="B86" s="124" t="s">
        <v>654</v>
      </c>
      <c r="C86" s="124">
        <v>0.0</v>
      </c>
      <c r="D86" s="124">
        <v>0.0</v>
      </c>
    </row>
    <row r="87" ht="14.25" customHeight="1">
      <c r="A87" s="125">
        <v>40505.0</v>
      </c>
      <c r="B87" s="124" t="s">
        <v>655</v>
      </c>
      <c r="C87" s="124">
        <v>0.0</v>
      </c>
      <c r="D87" s="124">
        <v>0.0</v>
      </c>
    </row>
    <row r="88" ht="14.25" customHeight="1">
      <c r="A88" s="125">
        <v>40601.0</v>
      </c>
      <c r="B88" s="124" t="s">
        <v>656</v>
      </c>
      <c r="C88" s="124">
        <v>0.0</v>
      </c>
      <c r="D88" s="124">
        <v>0.0</v>
      </c>
    </row>
    <row r="89" ht="14.25" customHeight="1">
      <c r="A89" s="125">
        <v>40602.0</v>
      </c>
      <c r="B89" s="124" t="s">
        <v>658</v>
      </c>
      <c r="C89" s="124">
        <v>0.0</v>
      </c>
      <c r="D89" s="124">
        <v>0.0</v>
      </c>
    </row>
    <row r="90" ht="14.25" customHeight="1">
      <c r="A90" s="125">
        <v>40603.0</v>
      </c>
      <c r="B90" s="124" t="s">
        <v>659</v>
      </c>
      <c r="C90" s="124">
        <v>0.0</v>
      </c>
      <c r="D90" s="124">
        <v>0.0</v>
      </c>
    </row>
    <row r="91" ht="14.25" customHeight="1">
      <c r="A91" s="125">
        <v>40701.0</v>
      </c>
      <c r="B91" s="124" t="s">
        <v>661</v>
      </c>
      <c r="C91" s="124">
        <v>0.0</v>
      </c>
      <c r="D91" s="124">
        <v>0.0</v>
      </c>
    </row>
    <row r="92" ht="14.25" customHeight="1">
      <c r="A92" s="125">
        <v>40702.0</v>
      </c>
      <c r="B92" s="124" t="s">
        <v>663</v>
      </c>
      <c r="C92" s="124">
        <v>0.0</v>
      </c>
      <c r="D92" s="124">
        <v>0.0</v>
      </c>
    </row>
    <row r="93" ht="14.25" customHeight="1">
      <c r="A93" s="125">
        <v>40801.0</v>
      </c>
      <c r="B93" s="124" t="s">
        <v>665</v>
      </c>
      <c r="C93" s="124">
        <v>0.0</v>
      </c>
      <c r="D93" s="124">
        <v>0.0</v>
      </c>
    </row>
    <row r="94" ht="14.25" customHeight="1">
      <c r="A94" s="125">
        <v>40802.0</v>
      </c>
      <c r="B94" s="124" t="s">
        <v>666</v>
      </c>
      <c r="C94" s="124">
        <v>0.0</v>
      </c>
      <c r="D94" s="124">
        <v>0.0</v>
      </c>
    </row>
    <row r="95" ht="14.25" customHeight="1">
      <c r="A95" s="125">
        <v>40901.0</v>
      </c>
      <c r="B95" s="124" t="s">
        <v>667</v>
      </c>
      <c r="C95" s="124">
        <v>0.0</v>
      </c>
      <c r="D95" s="124">
        <v>0.0</v>
      </c>
    </row>
    <row r="96" ht="14.25" customHeight="1">
      <c r="A96" s="125">
        <v>40902.0</v>
      </c>
      <c r="B96" s="124" t="s">
        <v>668</v>
      </c>
      <c r="C96" s="124">
        <v>0.0</v>
      </c>
      <c r="D96" s="124">
        <v>0.0</v>
      </c>
    </row>
    <row r="97" ht="14.25" customHeight="1">
      <c r="A97" s="125">
        <v>40903.0</v>
      </c>
      <c r="B97" s="124" t="s">
        <v>669</v>
      </c>
      <c r="C97" s="124">
        <v>0.0</v>
      </c>
      <c r="D97" s="124">
        <v>0.0</v>
      </c>
    </row>
    <row r="98" ht="14.25" customHeight="1">
      <c r="A98" s="125">
        <v>41001.0</v>
      </c>
      <c r="B98" s="124" t="s">
        <v>671</v>
      </c>
      <c r="C98" s="124">
        <v>0.0</v>
      </c>
      <c r="D98" s="124">
        <v>0.0</v>
      </c>
    </row>
    <row r="99" ht="14.25" customHeight="1">
      <c r="A99" s="125">
        <v>41101.0</v>
      </c>
      <c r="B99" s="124" t="s">
        <v>673</v>
      </c>
      <c r="C99" s="124">
        <v>0.0</v>
      </c>
      <c r="D99" s="124">
        <v>0.0</v>
      </c>
    </row>
    <row r="100" ht="14.25" customHeight="1">
      <c r="A100" s="125">
        <v>41201.0</v>
      </c>
      <c r="B100" s="124" t="s">
        <v>675</v>
      </c>
      <c r="C100" s="124">
        <v>0.0</v>
      </c>
      <c r="D100" s="124">
        <v>0.0</v>
      </c>
    </row>
    <row r="101" ht="14.25" customHeight="1">
      <c r="A101" s="125">
        <v>41202.0</v>
      </c>
      <c r="B101" s="124" t="s">
        <v>677</v>
      </c>
      <c r="C101" s="124">
        <v>0.0</v>
      </c>
      <c r="D101" s="124">
        <v>0.0</v>
      </c>
    </row>
    <row r="102" ht="14.25" customHeight="1">
      <c r="A102" s="125">
        <v>41301.0</v>
      </c>
      <c r="B102" s="124" t="s">
        <v>619</v>
      </c>
      <c r="C102" s="124">
        <v>0.0</v>
      </c>
      <c r="D102" s="124">
        <v>0.0</v>
      </c>
    </row>
    <row r="103" ht="14.25" customHeight="1">
      <c r="A103" s="125">
        <v>41401.0</v>
      </c>
      <c r="B103" s="124" t="s">
        <v>680</v>
      </c>
      <c r="C103" s="124">
        <v>0.0</v>
      </c>
      <c r="D103" s="124">
        <v>0.0</v>
      </c>
    </row>
    <row r="104" ht="14.25" customHeight="1">
      <c r="A104" s="125">
        <v>41501.0</v>
      </c>
      <c r="B104" s="124" t="s">
        <v>682</v>
      </c>
      <c r="C104" s="124">
        <v>0.0</v>
      </c>
      <c r="D104" s="124">
        <v>0.0</v>
      </c>
    </row>
    <row r="105" ht="14.25" customHeight="1">
      <c r="A105" s="125">
        <v>41502.0</v>
      </c>
      <c r="B105" s="124" t="s">
        <v>683</v>
      </c>
      <c r="C105" s="124">
        <v>0.0</v>
      </c>
      <c r="D105" s="124">
        <v>0.0</v>
      </c>
    </row>
    <row r="106" ht="14.25" customHeight="1">
      <c r="A106" s="125">
        <v>41503.0</v>
      </c>
      <c r="B106" s="124" t="s">
        <v>644</v>
      </c>
      <c r="C106" s="124">
        <v>0.0</v>
      </c>
      <c r="D106" s="124">
        <v>0.0</v>
      </c>
    </row>
    <row r="107" ht="14.25" customHeight="1">
      <c r="A107" s="125">
        <v>41601.0</v>
      </c>
      <c r="B107" s="124" t="s">
        <v>685</v>
      </c>
      <c r="C107" s="124">
        <v>0.0</v>
      </c>
      <c r="D107" s="124">
        <v>0.0</v>
      </c>
    </row>
    <row r="108" ht="14.25" customHeight="1">
      <c r="A108" s="125">
        <v>50101.0</v>
      </c>
      <c r="B108" s="124" t="s">
        <v>687</v>
      </c>
      <c r="C108" s="124">
        <v>0.0</v>
      </c>
      <c r="D108" s="124">
        <v>0.0</v>
      </c>
    </row>
    <row r="109" ht="14.25" customHeight="1">
      <c r="A109" s="125">
        <v>50103.0</v>
      </c>
      <c r="B109" s="124" t="s">
        <v>690</v>
      </c>
      <c r="C109" s="124">
        <v>0.0</v>
      </c>
      <c r="D109" s="124">
        <v>0.0</v>
      </c>
    </row>
    <row r="110" ht="14.25" customHeight="1">
      <c r="A110" s="125">
        <v>50104.0</v>
      </c>
      <c r="B110" s="124" t="s">
        <v>692</v>
      </c>
      <c r="C110" s="124">
        <v>0.0</v>
      </c>
      <c r="D110" s="124">
        <v>0.0</v>
      </c>
    </row>
    <row r="111" ht="14.25" customHeight="1">
      <c r="A111" s="125">
        <v>50201.0</v>
      </c>
      <c r="B111" s="124" t="s">
        <v>695</v>
      </c>
      <c r="C111" s="124">
        <v>0.0</v>
      </c>
      <c r="D111" s="124">
        <v>0.0</v>
      </c>
    </row>
    <row r="112" ht="14.25" customHeight="1">
      <c r="A112" s="125">
        <v>50202.0</v>
      </c>
      <c r="B112" s="124" t="s">
        <v>696</v>
      </c>
      <c r="C112" s="124">
        <v>0.0</v>
      </c>
      <c r="D112" s="124">
        <v>0.0</v>
      </c>
    </row>
    <row r="113" ht="14.25" customHeight="1">
      <c r="A113" s="125">
        <v>50203.0</v>
      </c>
      <c r="B113" s="124" t="s">
        <v>697</v>
      </c>
      <c r="C113" s="124">
        <v>0.0</v>
      </c>
      <c r="D113" s="124">
        <v>0.0</v>
      </c>
    </row>
    <row r="114" ht="14.25" customHeight="1">
      <c r="A114" s="125">
        <v>50204.0</v>
      </c>
      <c r="B114" s="124" t="s">
        <v>698</v>
      </c>
      <c r="C114" s="124">
        <v>0.0</v>
      </c>
      <c r="D114" s="124">
        <v>0.0</v>
      </c>
    </row>
    <row r="115" ht="14.25" customHeight="1">
      <c r="A115" s="125">
        <v>50405.0</v>
      </c>
      <c r="B115" s="124" t="s">
        <v>707</v>
      </c>
      <c r="C115" s="124">
        <v>0.0</v>
      </c>
      <c r="D115" s="124">
        <v>0.0</v>
      </c>
    </row>
    <row r="116" ht="14.25" customHeight="1">
      <c r="A116" s="125">
        <v>50701.0</v>
      </c>
      <c r="B116" s="124" t="s">
        <v>713</v>
      </c>
      <c r="C116" s="124">
        <v>0.0</v>
      </c>
      <c r="D116" s="124">
        <v>0.0</v>
      </c>
    </row>
    <row r="117" ht="14.25" customHeight="1">
      <c r="A117" s="125">
        <v>50702.0</v>
      </c>
      <c r="B117" s="124" t="s">
        <v>715</v>
      </c>
      <c r="C117" s="124">
        <v>0.0</v>
      </c>
      <c r="D117" s="124">
        <v>0.0</v>
      </c>
    </row>
    <row r="118" ht="14.25" customHeight="1">
      <c r="A118" s="125">
        <v>50802.0</v>
      </c>
      <c r="B118" s="124" t="s">
        <v>718</v>
      </c>
      <c r="C118" s="124">
        <v>0.0</v>
      </c>
      <c r="D118" s="124">
        <v>0.0</v>
      </c>
    </row>
    <row r="119" ht="14.25" customHeight="1">
      <c r="A119" s="125">
        <v>50901.0</v>
      </c>
      <c r="B119" s="124" t="s">
        <v>720</v>
      </c>
      <c r="C119" s="124">
        <v>0.0</v>
      </c>
      <c r="D119" s="124">
        <v>0.0</v>
      </c>
    </row>
    <row r="120" ht="14.25" customHeight="1">
      <c r="A120" s="125">
        <v>50902.0</v>
      </c>
      <c r="B120" s="124" t="s">
        <v>722</v>
      </c>
      <c r="C120" s="124">
        <v>0.0</v>
      </c>
      <c r="D120" s="124">
        <v>0.0</v>
      </c>
    </row>
    <row r="121" ht="14.25" customHeight="1">
      <c r="A121" s="125">
        <v>51001.0</v>
      </c>
      <c r="B121" s="124" t="s">
        <v>725</v>
      </c>
      <c r="C121" s="124">
        <v>0.0</v>
      </c>
      <c r="D121" s="124">
        <v>0.0</v>
      </c>
    </row>
    <row r="122" ht="14.25" customHeight="1">
      <c r="A122" s="125">
        <v>51003.0</v>
      </c>
      <c r="B122" s="124" t="s">
        <v>728</v>
      </c>
      <c r="C122" s="124">
        <v>0.0</v>
      </c>
      <c r="D122" s="124">
        <v>0.0</v>
      </c>
    </row>
    <row r="123" ht="14.25" customHeight="1">
      <c r="A123" s="125">
        <v>51201.0</v>
      </c>
      <c r="B123" s="124" t="s">
        <v>735</v>
      </c>
      <c r="C123" s="124">
        <v>0.0</v>
      </c>
      <c r="D123" s="124">
        <v>0.0</v>
      </c>
    </row>
    <row r="124" ht="14.25" customHeight="1">
      <c r="A124" s="125">
        <v>51203.0</v>
      </c>
      <c r="B124" s="124" t="s">
        <v>737</v>
      </c>
      <c r="C124" s="124">
        <v>0.0</v>
      </c>
      <c r="D124" s="124">
        <v>0.0</v>
      </c>
    </row>
    <row r="125" ht="14.25" customHeight="1">
      <c r="A125" s="125">
        <v>51204.0</v>
      </c>
      <c r="B125" s="124" t="s">
        <v>738</v>
      </c>
      <c r="C125" s="124">
        <v>0.0</v>
      </c>
      <c r="D125" s="124">
        <v>0.0</v>
      </c>
    </row>
    <row r="126" ht="14.25" customHeight="1">
      <c r="A126" s="125">
        <v>51401.0</v>
      </c>
      <c r="B126" s="124" t="s">
        <v>743</v>
      </c>
      <c r="C126" s="124">
        <v>0.0</v>
      </c>
      <c r="D126" s="124">
        <v>0.0</v>
      </c>
    </row>
    <row r="127" ht="14.25" customHeight="1">
      <c r="A127" s="125">
        <v>51402.0</v>
      </c>
      <c r="B127" s="124" t="s">
        <v>744</v>
      </c>
      <c r="C127" s="124">
        <v>0.0</v>
      </c>
      <c r="D127" s="124">
        <v>0.0</v>
      </c>
    </row>
    <row r="128" ht="14.25" customHeight="1">
      <c r="A128" s="125">
        <v>51601.0</v>
      </c>
      <c r="B128" s="124" t="s">
        <v>748</v>
      </c>
      <c r="C128" s="124">
        <v>0.0</v>
      </c>
      <c r="D128" s="124">
        <v>0.0</v>
      </c>
    </row>
    <row r="129" ht="14.25" customHeight="1">
      <c r="A129" s="125">
        <v>70202.0</v>
      </c>
      <c r="B129" s="124" t="s">
        <v>764</v>
      </c>
      <c r="C129" s="124">
        <v>0.0</v>
      </c>
      <c r="D129" s="124">
        <v>0.02105591410180885</v>
      </c>
    </row>
    <row r="130" ht="14.25" customHeight="1">
      <c r="A130" s="125">
        <v>70303.0</v>
      </c>
      <c r="B130" s="124" t="s">
        <v>770</v>
      </c>
      <c r="C130" s="124">
        <v>0.0</v>
      </c>
      <c r="D130" s="124">
        <v>0.08332737184607018</v>
      </c>
    </row>
    <row r="131" ht="14.25" customHeight="1">
      <c r="A131" s="125">
        <v>70402.0</v>
      </c>
      <c r="B131" s="124" t="s">
        <v>772</v>
      </c>
      <c r="C131" s="124">
        <v>0.0</v>
      </c>
      <c r="D131" s="124">
        <v>0.1892482850745089</v>
      </c>
    </row>
    <row r="132" ht="14.25" customHeight="1">
      <c r="A132" s="125">
        <v>70502.0</v>
      </c>
      <c r="B132" s="124" t="s">
        <v>778</v>
      </c>
      <c r="C132" s="124">
        <v>0.0</v>
      </c>
      <c r="D132" s="124">
        <v>0.08116610253546032</v>
      </c>
    </row>
    <row r="133" ht="14.25" customHeight="1">
      <c r="A133" s="125">
        <v>70603.0</v>
      </c>
      <c r="B133" s="124" t="s">
        <v>782</v>
      </c>
      <c r="C133" s="124">
        <v>0.0</v>
      </c>
      <c r="D133" s="124">
        <v>0.11290687091990727</v>
      </c>
    </row>
    <row r="134" ht="14.25" customHeight="1">
      <c r="A134" s="125">
        <v>70802.0</v>
      </c>
      <c r="B134" s="124" t="s">
        <v>786</v>
      </c>
      <c r="C134" s="124">
        <v>0.0</v>
      </c>
      <c r="D134" s="124">
        <v>0.02178862851477814</v>
      </c>
    </row>
    <row r="135" ht="14.25" customHeight="1">
      <c r="A135" s="125">
        <v>70902.0</v>
      </c>
      <c r="B135" s="124" t="s">
        <v>793</v>
      </c>
      <c r="C135" s="124">
        <v>0.0</v>
      </c>
      <c r="D135" s="124">
        <v>0.4726108197907843</v>
      </c>
    </row>
    <row r="136" ht="14.25" customHeight="1">
      <c r="A136" s="125">
        <v>70903.0</v>
      </c>
      <c r="B136" s="124" t="s">
        <v>794</v>
      </c>
      <c r="C136" s="124">
        <v>0.0</v>
      </c>
      <c r="D136" s="124">
        <v>0.3753157670146486</v>
      </c>
    </row>
    <row r="137" ht="14.25" customHeight="1">
      <c r="A137" s="125">
        <v>71003.0</v>
      </c>
      <c r="B137" s="124" t="s">
        <v>798</v>
      </c>
      <c r="C137" s="124">
        <v>0.0</v>
      </c>
      <c r="D137" s="124">
        <v>0.014180281875723379</v>
      </c>
    </row>
    <row r="138" ht="14.25" customHeight="1">
      <c r="A138" s="125">
        <v>71101.0</v>
      </c>
      <c r="B138" s="124" t="s">
        <v>754</v>
      </c>
      <c r="C138" s="124">
        <v>2.1021273528811155E-4</v>
      </c>
      <c r="D138" s="124">
        <v>0.23015972686695554</v>
      </c>
    </row>
    <row r="139" ht="14.25" customHeight="1">
      <c r="A139" s="125">
        <v>71401.0</v>
      </c>
      <c r="B139" s="124" t="s">
        <v>810</v>
      </c>
      <c r="C139" s="124">
        <v>0.0</v>
      </c>
      <c r="D139" s="124">
        <v>0.002846954741697369</v>
      </c>
    </row>
    <row r="140" ht="14.25" customHeight="1">
      <c r="A140" s="125">
        <v>71403.0</v>
      </c>
      <c r="B140" s="124" t="s">
        <v>812</v>
      </c>
      <c r="C140" s="124">
        <v>0.0</v>
      </c>
      <c r="D140" s="124">
        <v>0.006936957305274378</v>
      </c>
    </row>
    <row r="141" ht="14.25" customHeight="1">
      <c r="A141" s="125">
        <v>71502.0</v>
      </c>
      <c r="B141" s="124" t="s">
        <v>815</v>
      </c>
      <c r="C141" s="124">
        <v>0.0</v>
      </c>
      <c r="D141" s="124">
        <v>0.006052652251188753</v>
      </c>
    </row>
    <row r="142" ht="14.25" customHeight="1">
      <c r="A142" s="125">
        <v>71503.0</v>
      </c>
      <c r="B142" s="124" t="s">
        <v>759</v>
      </c>
      <c r="C142" s="124">
        <v>0.0</v>
      </c>
      <c r="D142" s="124">
        <v>0.2577879230453491</v>
      </c>
    </row>
    <row r="143" ht="14.25" customHeight="1">
      <c r="A143" s="125">
        <v>80102.0</v>
      </c>
      <c r="B143" s="124" t="s">
        <v>801</v>
      </c>
      <c r="C143" s="124">
        <v>0.0</v>
      </c>
      <c r="D143" s="124">
        <v>0.03664491231368039</v>
      </c>
    </row>
    <row r="144" ht="14.25" customHeight="1">
      <c r="A144" s="125">
        <v>80401.0</v>
      </c>
      <c r="B144" s="124" t="s">
        <v>822</v>
      </c>
      <c r="C144" s="124">
        <v>0.0</v>
      </c>
      <c r="D144" s="124">
        <v>0.2377595078645702</v>
      </c>
    </row>
    <row r="145" ht="14.25" customHeight="1">
      <c r="A145" s="125">
        <v>80402.0</v>
      </c>
      <c r="B145" s="124" t="s">
        <v>824</v>
      </c>
      <c r="C145" s="124">
        <v>0.0012621709340064912</v>
      </c>
      <c r="D145" s="124">
        <v>0.012111231212048192</v>
      </c>
    </row>
    <row r="146" ht="14.25" customHeight="1">
      <c r="A146" s="125">
        <v>80601.0</v>
      </c>
      <c r="B146" s="124" t="s">
        <v>827</v>
      </c>
      <c r="C146" s="124">
        <v>0.0</v>
      </c>
      <c r="D146" s="124">
        <v>0.0</v>
      </c>
    </row>
    <row r="147" ht="14.25" customHeight="1">
      <c r="A147" s="125">
        <v>80701.0</v>
      </c>
      <c r="B147" s="124" t="s">
        <v>830</v>
      </c>
      <c r="C147" s="124">
        <v>0.0017660373006300068</v>
      </c>
      <c r="D147" s="124">
        <v>0.26074283646724183</v>
      </c>
    </row>
    <row r="148" ht="14.25" customHeight="1">
      <c r="A148" s="125">
        <v>80703.0</v>
      </c>
      <c r="B148" s="124" t="s">
        <v>48</v>
      </c>
      <c r="C148" s="124">
        <v>0.004263390526572234</v>
      </c>
      <c r="D148" s="124">
        <v>0.0</v>
      </c>
    </row>
    <row r="149" ht="14.25" customHeight="1">
      <c r="A149" s="125">
        <v>80901.0</v>
      </c>
      <c r="B149" s="124" t="s">
        <v>833</v>
      </c>
      <c r="C149" s="124">
        <v>0.0</v>
      </c>
      <c r="D149" s="124">
        <v>0.0</v>
      </c>
    </row>
    <row r="150" ht="14.25" customHeight="1">
      <c r="A150" s="125">
        <v>90103.0</v>
      </c>
      <c r="B150" s="124" t="s">
        <v>835</v>
      </c>
      <c r="C150" s="124">
        <v>0.0</v>
      </c>
      <c r="D150" s="124">
        <v>0.081322547248524</v>
      </c>
    </row>
    <row r="151" ht="14.25" customHeight="1">
      <c r="A151" s="125">
        <v>70103.0</v>
      </c>
      <c r="B151" s="124" t="s">
        <v>310</v>
      </c>
      <c r="C151" s="124">
        <v>0.023255668406191362</v>
      </c>
      <c r="D151" s="124">
        <v>0.3335888901290058</v>
      </c>
    </row>
    <row r="152" ht="14.25" customHeight="1">
      <c r="A152" s="125">
        <v>80301.0</v>
      </c>
      <c r="B152" s="124" t="s">
        <v>53</v>
      </c>
      <c r="C152" s="124">
        <v>0.08601388816008115</v>
      </c>
      <c r="D152" s="124">
        <v>0.23702679124759043</v>
      </c>
    </row>
    <row r="153" ht="14.25" customHeight="1">
      <c r="A153" s="125">
        <v>80802.0</v>
      </c>
      <c r="B153" s="124" t="s">
        <v>28</v>
      </c>
      <c r="C153" s="124">
        <v>0.11908871722781793</v>
      </c>
      <c r="D153" s="124">
        <v>0.0</v>
      </c>
    </row>
    <row r="154" ht="14.25" customHeight="1">
      <c r="A154" s="125">
        <v>90201.0</v>
      </c>
      <c r="B154" s="124" t="s">
        <v>247</v>
      </c>
      <c r="C154" s="124">
        <v>0.11897126148748483</v>
      </c>
      <c r="D154" s="124">
        <v>0.4248485223163175</v>
      </c>
    </row>
    <row r="155" ht="14.25" customHeight="1">
      <c r="A155" s="125">
        <v>90202.0</v>
      </c>
      <c r="B155" s="124" t="s">
        <v>709</v>
      </c>
      <c r="C155" s="124">
        <v>0.11093048501742919</v>
      </c>
      <c r="D155" s="124">
        <v>0.07350815272239285</v>
      </c>
    </row>
    <row r="156" ht="14.25" customHeight="1">
      <c r="A156" s="125">
        <v>90203.0</v>
      </c>
      <c r="B156" s="124" t="s">
        <v>237</v>
      </c>
      <c r="C156" s="124">
        <v>0.013119106266169897</v>
      </c>
      <c r="D156" s="124">
        <v>0.31148766024002444</v>
      </c>
    </row>
    <row r="157" ht="14.25" customHeight="1">
      <c r="A157" s="125">
        <v>90301.0</v>
      </c>
      <c r="B157" s="124" t="s">
        <v>245</v>
      </c>
      <c r="C157" s="124">
        <v>0.05429758550946289</v>
      </c>
      <c r="D157" s="124">
        <v>0.20263994094547946</v>
      </c>
    </row>
    <row r="158" ht="14.25" customHeight="1">
      <c r="A158" s="125">
        <v>90302.0</v>
      </c>
      <c r="B158" s="124" t="s">
        <v>757</v>
      </c>
      <c r="C158" s="124">
        <v>0.1169877363256727</v>
      </c>
      <c r="D158" s="124">
        <v>0.39574620911576425</v>
      </c>
    </row>
    <row r="159" ht="14.25" customHeight="1">
      <c r="A159" s="125">
        <v>21501.0</v>
      </c>
      <c r="B159" s="124" t="s">
        <v>220</v>
      </c>
      <c r="C159" s="124">
        <v>0.3333333333333333</v>
      </c>
      <c r="D159" s="124">
        <v>0.4129908842823628</v>
      </c>
    </row>
    <row r="160" ht="14.25" customHeight="1">
      <c r="A160" s="125">
        <v>90104.0</v>
      </c>
      <c r="B160" s="124" t="s">
        <v>231</v>
      </c>
      <c r="C160" s="124">
        <v>0.18782893373668721</v>
      </c>
      <c r="D160" s="124">
        <v>0.4567078567236924</v>
      </c>
    </row>
    <row r="161" ht="14.25" customHeight="1">
      <c r="A161" s="125">
        <v>90303.0</v>
      </c>
      <c r="B161" s="124" t="s">
        <v>253</v>
      </c>
      <c r="C161" s="124">
        <v>0.27875299111467383</v>
      </c>
      <c r="D161" s="124">
        <v>0.4349331912294358</v>
      </c>
    </row>
    <row r="162" ht="14.25" customHeight="1">
      <c r="A162" s="125">
        <v>90401.0</v>
      </c>
      <c r="B162" s="124" t="s">
        <v>80</v>
      </c>
      <c r="C162" s="124">
        <v>0.32669762278659226</v>
      </c>
      <c r="D162" s="124">
        <v>0.4738662715834585</v>
      </c>
    </row>
    <row r="163" ht="14.25" customHeight="1">
      <c r="A163" s="125">
        <v>90402.0</v>
      </c>
      <c r="B163" s="124" t="s">
        <v>524</v>
      </c>
      <c r="C163" s="124">
        <v>0.3333333333333333</v>
      </c>
      <c r="D163" s="124">
        <v>0.3895392253293877</v>
      </c>
    </row>
    <row r="164" ht="14.25" customHeight="1">
      <c r="A164" s="125">
        <v>90502.0</v>
      </c>
      <c r="B164" s="124" t="s">
        <v>841</v>
      </c>
      <c r="C164" s="124">
        <v>0.3333333333333333</v>
      </c>
      <c r="D164" s="124">
        <v>0.3079889858270234</v>
      </c>
    </row>
    <row r="165" ht="14.25" customHeight="1">
      <c r="A165" s="125">
        <v>90501.0</v>
      </c>
      <c r="B165" s="124" t="s">
        <v>840</v>
      </c>
      <c r="C165" s="124">
        <v>0.3333333333333333</v>
      </c>
      <c r="D165" s="124">
        <v>0.4612402089828082</v>
      </c>
    </row>
    <row r="166" ht="14.25" customHeight="1">
      <c r="A166" s="125">
        <v>90503.0</v>
      </c>
      <c r="B166" s="124" t="s">
        <v>843</v>
      </c>
      <c r="C166" s="124">
        <v>0.3333333333333333</v>
      </c>
      <c r="D166" s="124">
        <v>0.3333333333333333</v>
      </c>
    </row>
    <row r="167" ht="14.25" customHeight="1">
      <c r="A167" s="125">
        <v>21104.0</v>
      </c>
      <c r="B167" s="124" t="s">
        <v>225</v>
      </c>
      <c r="C167" s="124">
        <v>0.008187908425283316</v>
      </c>
      <c r="D167" s="124">
        <v>0.3343235270475567</v>
      </c>
    </row>
    <row r="168" ht="14.25" customHeight="1">
      <c r="A168" s="125">
        <v>31206.0</v>
      </c>
      <c r="B168" s="124" t="s">
        <v>622</v>
      </c>
      <c r="C168" s="124">
        <v>0.010569945841440711</v>
      </c>
      <c r="D168" s="124">
        <v>0.3333333333333333</v>
      </c>
    </row>
    <row r="169" ht="14.25" customHeight="1">
      <c r="A169" s="125">
        <v>70302.0</v>
      </c>
      <c r="B169" s="124" t="s">
        <v>768</v>
      </c>
      <c r="C169" s="124">
        <v>0.012266375082946332</v>
      </c>
      <c r="D169" s="124">
        <v>0.011294660870835598</v>
      </c>
    </row>
    <row r="170" ht="14.25" customHeight="1">
      <c r="A170" s="125">
        <v>70501.0</v>
      </c>
      <c r="B170" s="124" t="s">
        <v>776</v>
      </c>
      <c r="C170" s="124">
        <v>0.014083877043291582</v>
      </c>
      <c r="D170" s="124">
        <v>0.12343019750068103</v>
      </c>
    </row>
    <row r="171" ht="14.25" customHeight="1">
      <c r="A171" s="125">
        <v>70503.0</v>
      </c>
      <c r="B171" s="124" t="s">
        <v>779</v>
      </c>
      <c r="C171" s="124">
        <v>0.0029802047768939743</v>
      </c>
      <c r="D171" s="124">
        <v>0.2181979523226157</v>
      </c>
    </row>
    <row r="172" ht="14.25" customHeight="1">
      <c r="A172" s="125">
        <v>70601.0</v>
      </c>
      <c r="B172" s="124" t="s">
        <v>312</v>
      </c>
      <c r="C172" s="124">
        <v>0.020234552797704676</v>
      </c>
      <c r="D172" s="124">
        <v>0.03454972564267613</v>
      </c>
    </row>
    <row r="173" ht="14.25" customHeight="1">
      <c r="A173" s="125">
        <v>71002.0</v>
      </c>
      <c r="B173" s="124" t="s">
        <v>797</v>
      </c>
      <c r="C173" s="124">
        <v>0.0032239267236554713</v>
      </c>
      <c r="D173" s="124">
        <v>0.3269344748904016</v>
      </c>
    </row>
    <row r="174" ht="14.25" customHeight="1">
      <c r="A174" s="125">
        <v>71004.0</v>
      </c>
      <c r="B174" s="124" t="s">
        <v>799</v>
      </c>
      <c r="C174" s="124">
        <v>0.003447211503707975</v>
      </c>
      <c r="D174" s="124">
        <v>0.16134738793582212</v>
      </c>
    </row>
    <row r="175" ht="14.25" customHeight="1">
      <c r="A175" s="125">
        <v>71005.0</v>
      </c>
      <c r="B175" s="124" t="s">
        <v>709</v>
      </c>
      <c r="C175" s="124">
        <v>0.004794958276915765</v>
      </c>
      <c r="D175" s="124">
        <v>0.08872407898230637</v>
      </c>
    </row>
    <row r="176" ht="14.25" customHeight="1">
      <c r="A176" s="125">
        <v>71102.0</v>
      </c>
      <c r="B176" s="124" t="s">
        <v>801</v>
      </c>
      <c r="C176" s="124">
        <v>0.016930524776270228</v>
      </c>
      <c r="D176" s="124">
        <v>0.02015796561591884</v>
      </c>
    </row>
    <row r="177" ht="14.25" customHeight="1">
      <c r="A177" s="125">
        <v>71103.0</v>
      </c>
      <c r="B177" s="124" t="s">
        <v>802</v>
      </c>
      <c r="C177" s="124">
        <v>0.024287410720086014</v>
      </c>
      <c r="D177" s="124">
        <v>0.01494844782995776</v>
      </c>
    </row>
    <row r="178" ht="14.25" customHeight="1">
      <c r="A178" s="125">
        <v>71106.0</v>
      </c>
      <c r="B178" s="124" t="s">
        <v>805</v>
      </c>
      <c r="C178" s="124">
        <v>0.010821641257539013</v>
      </c>
      <c r="D178" s="124">
        <v>0.17967452049725333</v>
      </c>
    </row>
    <row r="179" ht="14.25" customHeight="1">
      <c r="A179" s="125">
        <v>71201.0</v>
      </c>
      <c r="B179" s="124" t="s">
        <v>807</v>
      </c>
      <c r="C179" s="124">
        <v>0.019204650126628788</v>
      </c>
      <c r="D179" s="124">
        <v>5.420365974261005E-4</v>
      </c>
    </row>
    <row r="180" ht="14.25" customHeight="1">
      <c r="A180" s="125">
        <v>71402.0</v>
      </c>
      <c r="B180" s="124" t="s">
        <v>811</v>
      </c>
      <c r="C180" s="124">
        <v>0.016638432655529462</v>
      </c>
      <c r="D180" s="124">
        <v>0.002775405559363675</v>
      </c>
    </row>
    <row r="181" ht="14.25" customHeight="1">
      <c r="A181" s="125">
        <v>80302.0</v>
      </c>
      <c r="B181" s="124" t="s">
        <v>67</v>
      </c>
      <c r="C181" s="124">
        <v>0.02110312829188209</v>
      </c>
      <c r="D181" s="124">
        <v>0.3340278711477787</v>
      </c>
    </row>
    <row r="182" ht="14.25" customHeight="1">
      <c r="A182" s="125">
        <v>80303.0</v>
      </c>
      <c r="B182" s="124" t="s">
        <v>80</v>
      </c>
      <c r="C182" s="124">
        <v>0.03146102523827773</v>
      </c>
      <c r="D182" s="124">
        <v>0.23250128893013686</v>
      </c>
    </row>
    <row r="183" ht="14.25" customHeight="1">
      <c r="A183" s="125">
        <v>80501.0</v>
      </c>
      <c r="B183" s="124" t="s">
        <v>767</v>
      </c>
      <c r="C183" s="124">
        <v>0.023516958015188067</v>
      </c>
      <c r="D183" s="124">
        <v>0.037981447738552714</v>
      </c>
    </row>
    <row r="184" ht="14.25" customHeight="1">
      <c r="A184" s="125">
        <v>20606.0</v>
      </c>
      <c r="B184" s="124" t="s">
        <v>230</v>
      </c>
      <c r="C184" s="124">
        <v>0.0536994980208009</v>
      </c>
      <c r="D184" s="124">
        <v>0.3333333333333333</v>
      </c>
    </row>
    <row r="185" ht="14.25" customHeight="1">
      <c r="A185" s="125">
        <v>22002.0</v>
      </c>
      <c r="B185" s="124" t="s">
        <v>587</v>
      </c>
      <c r="C185" s="124">
        <v>0.051266916997144966</v>
      </c>
      <c r="D185" s="124">
        <v>0.3333333333333333</v>
      </c>
    </row>
    <row r="186" ht="14.25" customHeight="1">
      <c r="A186" s="125">
        <v>71501.0</v>
      </c>
      <c r="B186" s="124" t="s">
        <v>814</v>
      </c>
      <c r="C186" s="124">
        <v>0.03556870830282622</v>
      </c>
      <c r="D186" s="124">
        <v>0.06539241306193165</v>
      </c>
    </row>
    <row r="187" ht="14.25" customHeight="1">
      <c r="A187" s="125">
        <v>80702.0</v>
      </c>
      <c r="B187" s="124" t="s">
        <v>802</v>
      </c>
      <c r="C187" s="124">
        <v>0.043827188808554414</v>
      </c>
      <c r="D187" s="124">
        <v>0.3333333333333333</v>
      </c>
    </row>
    <row r="188" ht="14.25" customHeight="1">
      <c r="A188" s="125">
        <v>90102.0</v>
      </c>
      <c r="B188" s="124" t="s">
        <v>243</v>
      </c>
      <c r="C188" s="124">
        <v>0.08614275062777434</v>
      </c>
      <c r="D188" s="124">
        <v>0.3162479460527859</v>
      </c>
    </row>
    <row r="189" ht="14.25" customHeight="1">
      <c r="A189" s="125">
        <v>20602.0</v>
      </c>
      <c r="B189" s="124" t="s">
        <v>215</v>
      </c>
      <c r="C189" s="124">
        <v>0.3338847265577234</v>
      </c>
      <c r="D189" s="124">
        <v>0.3338847265577234</v>
      </c>
    </row>
    <row r="190" ht="14.25" customHeight="1">
      <c r="A190" s="125">
        <v>20607.0</v>
      </c>
      <c r="B190" s="124" t="s">
        <v>223</v>
      </c>
      <c r="C190" s="124">
        <v>0.0697751783639775</v>
      </c>
      <c r="D190" s="124">
        <v>0.3333333333333333</v>
      </c>
    </row>
    <row r="191" ht="14.25" customHeight="1">
      <c r="A191" s="125">
        <v>20608.0</v>
      </c>
      <c r="B191" s="124" t="s">
        <v>229</v>
      </c>
      <c r="C191" s="124">
        <v>0.16999168515631102</v>
      </c>
      <c r="D191" s="124">
        <v>0.3333333333333333</v>
      </c>
    </row>
    <row r="192" ht="14.25" customHeight="1">
      <c r="A192" s="125">
        <v>21502.0</v>
      </c>
      <c r="B192" s="124" t="s">
        <v>570</v>
      </c>
      <c r="C192" s="124">
        <v>0.26686408356336405</v>
      </c>
      <c r="D192" s="124">
        <v>0.33380201757406486</v>
      </c>
    </row>
    <row r="193" ht="14.25" customHeight="1">
      <c r="A193" s="125">
        <v>22001.0</v>
      </c>
      <c r="B193" s="124" t="s">
        <v>205</v>
      </c>
      <c r="C193" s="124">
        <v>0.20432476849797487</v>
      </c>
      <c r="D193" s="124">
        <v>0.3338998797424036</v>
      </c>
    </row>
    <row r="194" ht="14.25" customHeight="1">
      <c r="A194" s="125">
        <v>31003.0</v>
      </c>
      <c r="B194" s="124" t="s">
        <v>196</v>
      </c>
      <c r="C194" s="124">
        <v>0.11265611084209869</v>
      </c>
      <c r="D194" s="124">
        <v>0.3333333333333333</v>
      </c>
    </row>
    <row r="195" ht="14.25" customHeight="1">
      <c r="A195" s="125">
        <v>31205.0</v>
      </c>
      <c r="B195" s="124" t="s">
        <v>173</v>
      </c>
      <c r="C195" s="124">
        <v>0.07998108119413971</v>
      </c>
      <c r="D195" s="124">
        <v>0.19429172420965501</v>
      </c>
    </row>
    <row r="196" ht="14.25" customHeight="1">
      <c r="A196" s="125">
        <v>31602.0</v>
      </c>
      <c r="B196" s="124" t="s">
        <v>635</v>
      </c>
      <c r="C196" s="124">
        <v>0.16119746905221974</v>
      </c>
      <c r="D196" s="124">
        <v>0.33352683484185525</v>
      </c>
    </row>
    <row r="197" ht="14.25" customHeight="1">
      <c r="A197" s="125">
        <v>60202.0</v>
      </c>
      <c r="B197" s="124" t="s">
        <v>336</v>
      </c>
      <c r="C197" s="124">
        <v>0.10450058556267838</v>
      </c>
      <c r="D197" s="124">
        <v>0.3333333333333333</v>
      </c>
    </row>
    <row r="198" ht="14.25" customHeight="1">
      <c r="A198" s="125">
        <v>70101.0</v>
      </c>
      <c r="B198" s="124" t="s">
        <v>762</v>
      </c>
      <c r="C198" s="124">
        <v>0.29127510910133664</v>
      </c>
      <c r="D198" s="124">
        <v>0.24533873956648666</v>
      </c>
    </row>
    <row r="199" ht="14.25" customHeight="1">
      <c r="A199" s="125">
        <v>70102.0</v>
      </c>
      <c r="B199" s="124" t="s">
        <v>288</v>
      </c>
      <c r="C199" s="124">
        <v>0.08028944793645701</v>
      </c>
      <c r="D199" s="124">
        <v>0.09644137732752321</v>
      </c>
    </row>
    <row r="200" ht="14.25" customHeight="1">
      <c r="A200" s="125">
        <v>70104.0</v>
      </c>
      <c r="B200" s="124" t="s">
        <v>300</v>
      </c>
      <c r="C200" s="124">
        <v>0.1308359862807629</v>
      </c>
      <c r="D200" s="124">
        <v>0.49153452716641644</v>
      </c>
    </row>
    <row r="201" ht="14.25" customHeight="1">
      <c r="A201" s="125">
        <v>70201.0</v>
      </c>
      <c r="B201" s="124" t="s">
        <v>333</v>
      </c>
      <c r="C201" s="124">
        <v>0.3333333333333333</v>
      </c>
      <c r="D201" s="124">
        <v>0.1360957225747677</v>
      </c>
    </row>
    <row r="202" ht="14.25" customHeight="1">
      <c r="A202" s="125">
        <v>70301.0</v>
      </c>
      <c r="B202" s="124" t="s">
        <v>766</v>
      </c>
      <c r="C202" s="124">
        <v>0.0992826828202984</v>
      </c>
      <c r="D202" s="124">
        <v>0.009972336621631769</v>
      </c>
    </row>
    <row r="203" ht="14.25" customHeight="1">
      <c r="A203" s="125">
        <v>70401.0</v>
      </c>
      <c r="B203" s="124" t="s">
        <v>270</v>
      </c>
      <c r="C203" s="124">
        <v>0.1413869032460039</v>
      </c>
      <c r="D203" s="124">
        <v>0.2132084114941943</v>
      </c>
    </row>
    <row r="204" ht="14.25" customHeight="1">
      <c r="A204" s="125">
        <v>70403.0</v>
      </c>
      <c r="B204" s="124" t="s">
        <v>773</v>
      </c>
      <c r="C204" s="124">
        <v>0.20662426397842568</v>
      </c>
      <c r="D204" s="124">
        <v>0.26047091150729623</v>
      </c>
    </row>
    <row r="205" ht="14.25" customHeight="1">
      <c r="A205" s="125">
        <v>70404.0</v>
      </c>
      <c r="B205" s="124" t="s">
        <v>774</v>
      </c>
      <c r="C205" s="124">
        <v>0.24450392714155048</v>
      </c>
      <c r="D205" s="124">
        <v>0.15995026988164887</v>
      </c>
    </row>
    <row r="206" ht="14.25" customHeight="1">
      <c r="A206" s="125">
        <v>70602.0</v>
      </c>
      <c r="B206" s="124" t="s">
        <v>781</v>
      </c>
      <c r="C206" s="124">
        <v>0.06390950166506133</v>
      </c>
      <c r="D206" s="124">
        <v>0.018050696747577623</v>
      </c>
    </row>
    <row r="207" ht="14.25" customHeight="1">
      <c r="A207" s="125">
        <v>71001.0</v>
      </c>
      <c r="B207" s="124" t="s">
        <v>304</v>
      </c>
      <c r="C207" s="124">
        <v>0.09567745180289965</v>
      </c>
      <c r="D207" s="124">
        <v>0.2642762382072572</v>
      </c>
    </row>
    <row r="208" ht="14.25" customHeight="1">
      <c r="A208" s="125">
        <v>80101.0</v>
      </c>
      <c r="B208" s="124" t="s">
        <v>83</v>
      </c>
      <c r="C208" s="124">
        <v>0.33379453049449226</v>
      </c>
      <c r="D208" s="124">
        <v>0.21759738472126736</v>
      </c>
    </row>
    <row r="209" ht="14.25" customHeight="1">
      <c r="A209" s="125">
        <v>80304.0</v>
      </c>
      <c r="B209" s="124" t="s">
        <v>820</v>
      </c>
      <c r="C209" s="124">
        <v>0.1264204860333722</v>
      </c>
      <c r="D209" s="124">
        <v>0.14040656709714242</v>
      </c>
    </row>
    <row r="210" ht="14.25" customHeight="1">
      <c r="A210" s="125">
        <v>80602.0</v>
      </c>
      <c r="B210" s="124" t="s">
        <v>828</v>
      </c>
      <c r="C210" s="124">
        <v>0.11188831335914418</v>
      </c>
      <c r="D210" s="124">
        <v>0.09828232271849903</v>
      </c>
    </row>
    <row r="211" ht="14.25" customHeight="1">
      <c r="A211" s="125">
        <v>80801.0</v>
      </c>
      <c r="B211" s="124" t="s">
        <v>43</v>
      </c>
      <c r="C211" s="124">
        <v>0.2558549600514672</v>
      </c>
      <c r="D211" s="124">
        <v>0.3333333333333333</v>
      </c>
    </row>
    <row r="212" ht="14.25" customHeight="1">
      <c r="A212" s="125">
        <v>80803.0</v>
      </c>
      <c r="B212" s="124" t="s">
        <v>832</v>
      </c>
      <c r="C212" s="124">
        <v>0.2559220195219306</v>
      </c>
      <c r="D212" s="124">
        <v>0.07483160252993043</v>
      </c>
    </row>
    <row r="213" ht="14.25" customHeight="1">
      <c r="A213" s="125">
        <v>90101.0</v>
      </c>
      <c r="B213" s="124" t="s">
        <v>232</v>
      </c>
      <c r="C213" s="124">
        <v>0.16901564368408906</v>
      </c>
      <c r="D213" s="124">
        <v>0.38221872425018383</v>
      </c>
    </row>
    <row r="214" ht="14.25" customHeight="1">
      <c r="A214" s="125">
        <v>80201.0</v>
      </c>
      <c r="B214" s="124" t="s">
        <v>58</v>
      </c>
      <c r="C214" s="124">
        <v>0.5254627456831823</v>
      </c>
      <c r="D214" s="124">
        <v>0.6666666666666666</v>
      </c>
    </row>
    <row r="215" ht="14.25" customHeight="1">
      <c r="A215" s="125">
        <v>80202.0</v>
      </c>
      <c r="B215" s="124" t="s">
        <v>818</v>
      </c>
      <c r="C215" s="124">
        <v>0.6666666666666666</v>
      </c>
      <c r="D215" s="124">
        <v>0.6666666666666666</v>
      </c>
    </row>
    <row r="216" ht="14.25" customHeight="1">
      <c r="A216" s="125">
        <v>10403.0</v>
      </c>
      <c r="B216" s="124" t="s">
        <v>126</v>
      </c>
      <c r="C216" s="124">
        <v>0.004052684903748734</v>
      </c>
      <c r="D216" s="124">
        <v>0.004326094047554156</v>
      </c>
    </row>
    <row r="217" ht="14.25" customHeight="1">
      <c r="A217" s="125">
        <v>20603.0</v>
      </c>
      <c r="B217" s="124" t="s">
        <v>519</v>
      </c>
      <c r="C217" s="124">
        <v>0.015197568389057751</v>
      </c>
      <c r="D217" s="124">
        <v>0.19835731656517797</v>
      </c>
    </row>
    <row r="218" ht="14.25" customHeight="1">
      <c r="A218" s="125">
        <v>21001.0</v>
      </c>
      <c r="B218" s="124" t="s">
        <v>218</v>
      </c>
      <c r="C218" s="124">
        <v>0.00911854103343465</v>
      </c>
      <c r="D218" s="124">
        <v>0.07564878260689463</v>
      </c>
    </row>
    <row r="219" ht="14.25" customHeight="1">
      <c r="A219" s="125">
        <v>21003.0</v>
      </c>
      <c r="B219" s="124" t="s">
        <v>542</v>
      </c>
      <c r="C219" s="124">
        <v>0.0010131712259371835</v>
      </c>
      <c r="D219" s="124">
        <v>0.33686354666412494</v>
      </c>
    </row>
    <row r="220" ht="14.25" customHeight="1">
      <c r="A220" s="125">
        <v>21006.0</v>
      </c>
      <c r="B220" s="124" t="s">
        <v>545</v>
      </c>
      <c r="C220" s="124">
        <v>0.002026342451874367</v>
      </c>
      <c r="D220" s="124">
        <v>0.1651051042268821</v>
      </c>
    </row>
    <row r="221" ht="14.25" customHeight="1">
      <c r="A221" s="125">
        <v>21102.0</v>
      </c>
      <c r="B221" s="124" t="s">
        <v>549</v>
      </c>
      <c r="C221" s="124">
        <v>0.013171225937183383</v>
      </c>
      <c r="D221" s="124">
        <v>0.3361673787205702</v>
      </c>
    </row>
    <row r="222" ht="14.25" customHeight="1">
      <c r="A222" s="125">
        <v>21103.0</v>
      </c>
      <c r="B222" s="124" t="s">
        <v>551</v>
      </c>
      <c r="C222" s="124">
        <v>0.005065856129685916</v>
      </c>
      <c r="D222" s="124">
        <v>0.0329483400605283</v>
      </c>
    </row>
    <row r="223" ht="14.25" customHeight="1">
      <c r="A223" s="125">
        <v>21401.0</v>
      </c>
      <c r="B223" s="124" t="s">
        <v>208</v>
      </c>
      <c r="C223" s="124">
        <v>0.003324926178196656</v>
      </c>
      <c r="D223" s="124">
        <v>0.3333333333333333</v>
      </c>
    </row>
    <row r="224" ht="14.25" customHeight="1">
      <c r="A224" s="125">
        <v>21402.0</v>
      </c>
      <c r="B224" s="124" t="s">
        <v>568</v>
      </c>
      <c r="C224" s="124">
        <v>0.005065856129685916</v>
      </c>
      <c r="D224" s="124">
        <v>0.21951354936714587</v>
      </c>
    </row>
    <row r="225" ht="14.25" customHeight="1">
      <c r="A225" s="125">
        <v>30303.0</v>
      </c>
      <c r="B225" s="124" t="s">
        <v>594</v>
      </c>
      <c r="C225" s="124">
        <v>0.013171225937183383</v>
      </c>
      <c r="D225" s="124">
        <v>0.0461308399431046</v>
      </c>
    </row>
    <row r="226" ht="14.25" customHeight="1">
      <c r="A226" s="125">
        <v>30401.0</v>
      </c>
      <c r="B226" s="124" t="s">
        <v>190</v>
      </c>
      <c r="C226" s="124">
        <v>0.0121580547112462</v>
      </c>
      <c r="D226" s="124">
        <v>0.014694674816632947</v>
      </c>
    </row>
    <row r="227" ht="14.25" customHeight="1">
      <c r="A227" s="125">
        <v>30404.0</v>
      </c>
      <c r="B227" s="124" t="s">
        <v>598</v>
      </c>
      <c r="C227" s="124">
        <v>0.0010131712259371835</v>
      </c>
      <c r="D227" s="124">
        <v>0.0</v>
      </c>
    </row>
    <row r="228" ht="14.25" customHeight="1">
      <c r="A228" s="125">
        <v>30602.0</v>
      </c>
      <c r="B228" s="124" t="s">
        <v>187</v>
      </c>
      <c r="C228" s="124">
        <v>0.00911854103343465</v>
      </c>
      <c r="D228" s="124">
        <v>0.0</v>
      </c>
    </row>
    <row r="229" ht="14.25" customHeight="1">
      <c r="A229" s="125">
        <v>30802.0</v>
      </c>
      <c r="B229" s="124" t="s">
        <v>609</v>
      </c>
      <c r="C229" s="124">
        <v>0.0121580547112462</v>
      </c>
      <c r="D229" s="124">
        <v>0.00223828758136304</v>
      </c>
    </row>
    <row r="230" ht="14.25" customHeight="1">
      <c r="A230" s="125">
        <v>30803.0</v>
      </c>
      <c r="B230" s="124" t="s">
        <v>610</v>
      </c>
      <c r="C230" s="124">
        <v>0.004052684903748734</v>
      </c>
      <c r="D230" s="124">
        <v>0.008832962227085834</v>
      </c>
    </row>
    <row r="231" ht="14.25" customHeight="1">
      <c r="A231" s="125">
        <v>30903.0</v>
      </c>
      <c r="B231" s="124" t="s">
        <v>612</v>
      </c>
      <c r="C231" s="124">
        <v>0.00911854103343465</v>
      </c>
      <c r="D231" s="124">
        <v>0.01564542919638923</v>
      </c>
    </row>
    <row r="232" ht="14.25" customHeight="1">
      <c r="A232" s="125">
        <v>30905.0</v>
      </c>
      <c r="B232" s="124" t="s">
        <v>614</v>
      </c>
      <c r="C232" s="124">
        <v>0.0182370820668693</v>
      </c>
      <c r="D232" s="124">
        <v>0.07499905774538655</v>
      </c>
    </row>
    <row r="233" ht="14.25" customHeight="1">
      <c r="A233" s="125">
        <v>31203.0</v>
      </c>
      <c r="B233" s="124" t="s">
        <v>620</v>
      </c>
      <c r="C233" s="124">
        <v>0.0182370820668693</v>
      </c>
      <c r="D233" s="124">
        <v>0.009564529206097133</v>
      </c>
    </row>
    <row r="234" ht="14.25" customHeight="1">
      <c r="A234" s="125">
        <v>50102.0</v>
      </c>
      <c r="B234" s="124" t="s">
        <v>689</v>
      </c>
      <c r="C234" s="124">
        <v>0.011144883485309018</v>
      </c>
      <c r="D234" s="124">
        <v>0.07977661893460898</v>
      </c>
    </row>
    <row r="235" ht="14.25" customHeight="1">
      <c r="A235" s="125">
        <v>50302.0</v>
      </c>
      <c r="B235" s="124" t="s">
        <v>702</v>
      </c>
      <c r="C235" s="124">
        <v>0.0060790273556231</v>
      </c>
      <c r="D235" s="124">
        <v>0.020538443066199376</v>
      </c>
    </row>
    <row r="236" ht="14.25" customHeight="1">
      <c r="A236" s="125">
        <v>50801.0</v>
      </c>
      <c r="B236" s="124" t="s">
        <v>717</v>
      </c>
      <c r="C236" s="124">
        <v>0.00911854103343465</v>
      </c>
      <c r="D236" s="124">
        <v>0.01702600165933586</v>
      </c>
    </row>
    <row r="237" ht="14.25" customHeight="1">
      <c r="A237" s="125">
        <v>51002.0</v>
      </c>
      <c r="B237" s="124" t="s">
        <v>727</v>
      </c>
      <c r="C237" s="124">
        <v>0.010131712259371832</v>
      </c>
      <c r="D237" s="124">
        <v>0.010976021614319488</v>
      </c>
    </row>
    <row r="238" ht="14.25" customHeight="1">
      <c r="A238" s="125">
        <v>51102.0</v>
      </c>
      <c r="B238" s="124" t="s">
        <v>732</v>
      </c>
      <c r="C238" s="124">
        <v>0.019250253292806482</v>
      </c>
      <c r="D238" s="124">
        <v>0.018773380923228188</v>
      </c>
    </row>
    <row r="239" ht="14.25" customHeight="1">
      <c r="A239" s="125">
        <v>51301.0</v>
      </c>
      <c r="B239" s="124" t="s">
        <v>740</v>
      </c>
      <c r="C239" s="124">
        <v>0.011144883485309018</v>
      </c>
      <c r="D239" s="124">
        <v>0.028377004893084357</v>
      </c>
    </row>
    <row r="240" ht="14.25" customHeight="1">
      <c r="A240" s="125">
        <v>51302.0</v>
      </c>
      <c r="B240" s="124" t="s">
        <v>741</v>
      </c>
      <c r="C240" s="124">
        <v>0.016210739614994935</v>
      </c>
      <c r="D240" s="124">
        <v>0.01618554007563759</v>
      </c>
    </row>
    <row r="241" ht="14.25" customHeight="1">
      <c r="A241" s="125">
        <v>51501.0</v>
      </c>
      <c r="B241" s="124" t="s">
        <v>746</v>
      </c>
      <c r="C241" s="124">
        <v>0.0060790273556231</v>
      </c>
      <c r="D241" s="124">
        <v>0.017221594496324717</v>
      </c>
    </row>
    <row r="242" ht="14.25" customHeight="1">
      <c r="A242" s="125">
        <v>60401.0</v>
      </c>
      <c r="B242" s="124" t="s">
        <v>753</v>
      </c>
      <c r="C242" s="124">
        <v>0.016210739614994935</v>
      </c>
      <c r="D242" s="124">
        <v>0.05368502667937908</v>
      </c>
    </row>
    <row r="243" ht="14.25" customHeight="1">
      <c r="A243" s="125">
        <v>60402.0</v>
      </c>
      <c r="B243" s="124" t="s">
        <v>755</v>
      </c>
      <c r="C243" s="124">
        <v>0.0182370820668693</v>
      </c>
      <c r="D243" s="124">
        <v>0.01710227337145487</v>
      </c>
    </row>
    <row r="244" ht="14.25" customHeight="1">
      <c r="A244" s="125">
        <v>70901.0</v>
      </c>
      <c r="B244" s="124" t="s">
        <v>792</v>
      </c>
      <c r="C244" s="124">
        <v>0.008105369807497468</v>
      </c>
      <c r="D244" s="124">
        <v>0.17609393911992055</v>
      </c>
    </row>
    <row r="245" ht="14.25" customHeight="1">
      <c r="A245" s="125">
        <v>70904.0</v>
      </c>
      <c r="B245" s="124" t="s">
        <v>795</v>
      </c>
      <c r="C245" s="124">
        <v>0.020263424518743665</v>
      </c>
      <c r="D245" s="124">
        <v>0.3363728470111449</v>
      </c>
    </row>
    <row r="246" ht="14.25" customHeight="1">
      <c r="A246" s="125">
        <v>70804.0</v>
      </c>
      <c r="B246" s="124" t="s">
        <v>789</v>
      </c>
      <c r="C246" s="124">
        <v>0.02841703032941909</v>
      </c>
      <c r="D246" s="124">
        <v>0.0</v>
      </c>
    </row>
    <row r="247" ht="14.25" customHeight="1">
      <c r="A247" s="125">
        <v>10202.0</v>
      </c>
      <c r="B247" s="124" t="s">
        <v>134</v>
      </c>
      <c r="C247" s="124">
        <v>0.05065856129685917</v>
      </c>
      <c r="D247" s="124">
        <v>0.007546899262101924</v>
      </c>
    </row>
    <row r="248" ht="14.25" customHeight="1">
      <c r="A248" s="125">
        <v>10301.0</v>
      </c>
      <c r="B248" s="124" t="s">
        <v>147</v>
      </c>
      <c r="C248" s="124">
        <v>0.030395136778115502</v>
      </c>
      <c r="D248" s="124">
        <v>0.0091476551491225</v>
      </c>
    </row>
    <row r="249" ht="14.25" customHeight="1">
      <c r="A249" s="125">
        <v>10901.0</v>
      </c>
      <c r="B249" s="124" t="s">
        <v>476</v>
      </c>
      <c r="C249" s="124">
        <v>0.0364741641337386</v>
      </c>
      <c r="D249" s="124">
        <v>0.18302841468348555</v>
      </c>
    </row>
    <row r="250" ht="14.25" customHeight="1">
      <c r="A250" s="125">
        <v>20103.0</v>
      </c>
      <c r="B250" s="124" t="s">
        <v>487</v>
      </c>
      <c r="C250" s="124">
        <v>0.02735562310030395</v>
      </c>
      <c r="D250" s="124">
        <v>0.0010784153549091892</v>
      </c>
    </row>
    <row r="251" ht="14.25" customHeight="1">
      <c r="A251" s="125">
        <v>20901.0</v>
      </c>
      <c r="B251" s="124" t="s">
        <v>536</v>
      </c>
      <c r="C251" s="124">
        <v>0.0486322188449848</v>
      </c>
      <c r="D251" s="124">
        <v>0.04783978172962042</v>
      </c>
    </row>
    <row r="252" ht="14.25" customHeight="1">
      <c r="A252" s="125">
        <v>20902.0</v>
      </c>
      <c r="B252" s="124" t="s">
        <v>537</v>
      </c>
      <c r="C252" s="124">
        <v>0.029381965552178316</v>
      </c>
      <c r="D252" s="124">
        <v>0.05306220507001835</v>
      </c>
    </row>
    <row r="253" ht="14.25" customHeight="1">
      <c r="A253" s="125">
        <v>20905.0</v>
      </c>
      <c r="B253" s="124" t="s">
        <v>540</v>
      </c>
      <c r="C253" s="124">
        <v>0.03546099290780142</v>
      </c>
      <c r="D253" s="124">
        <v>0.017774933788371635</v>
      </c>
    </row>
    <row r="254" ht="14.25" customHeight="1">
      <c r="A254" s="125">
        <v>21101.0</v>
      </c>
      <c r="B254" s="124" t="s">
        <v>547</v>
      </c>
      <c r="C254" s="124">
        <v>0.024316109422492405</v>
      </c>
      <c r="D254" s="124">
        <v>0.3699502914639832</v>
      </c>
    </row>
    <row r="255" ht="14.25" customHeight="1">
      <c r="A255" s="125">
        <v>30301.0</v>
      </c>
      <c r="B255" s="124" t="s">
        <v>591</v>
      </c>
      <c r="C255" s="124">
        <v>0.0364741641337386</v>
      </c>
      <c r="D255" s="124">
        <v>0.02056885533895267</v>
      </c>
    </row>
    <row r="256" ht="14.25" customHeight="1">
      <c r="A256" s="125">
        <v>30501.0</v>
      </c>
      <c r="B256" s="124" t="s">
        <v>599</v>
      </c>
      <c r="C256" s="124">
        <v>0.053698074974670724</v>
      </c>
      <c r="D256" s="124">
        <v>0.04559756913445486</v>
      </c>
    </row>
    <row r="257" ht="14.25" customHeight="1">
      <c r="A257" s="125">
        <v>30801.0</v>
      </c>
      <c r="B257" s="124" t="s">
        <v>608</v>
      </c>
      <c r="C257" s="124">
        <v>0.026342451874366766</v>
      </c>
      <c r="D257" s="124">
        <v>0.02743702681712203</v>
      </c>
    </row>
    <row r="258" ht="14.25" customHeight="1">
      <c r="A258" s="125">
        <v>30904.0</v>
      </c>
      <c r="B258" s="124" t="s">
        <v>613</v>
      </c>
      <c r="C258" s="124">
        <v>0.025329280648429583</v>
      </c>
      <c r="D258" s="124">
        <v>0.07089239514950153</v>
      </c>
    </row>
    <row r="259" ht="14.25" customHeight="1">
      <c r="A259" s="125">
        <v>31101.0</v>
      </c>
      <c r="B259" s="124" t="s">
        <v>617</v>
      </c>
      <c r="C259" s="124">
        <v>0.04559270516717325</v>
      </c>
      <c r="D259" s="124">
        <v>0.010719510001119217</v>
      </c>
    </row>
    <row r="260" ht="14.25" customHeight="1">
      <c r="A260" s="125">
        <v>31201.0</v>
      </c>
      <c r="B260" s="124" t="s">
        <v>619</v>
      </c>
      <c r="C260" s="124">
        <v>0.026342451874366766</v>
      </c>
      <c r="D260" s="124">
        <v>0.01849790982777161</v>
      </c>
    </row>
    <row r="261" ht="14.25" customHeight="1">
      <c r="A261" s="125">
        <v>31402.0</v>
      </c>
      <c r="B261" s="124" t="s">
        <v>627</v>
      </c>
      <c r="C261" s="124">
        <v>0.028368794326241138</v>
      </c>
      <c r="D261" s="124">
        <v>0.018595963642375934</v>
      </c>
    </row>
    <row r="262" ht="14.25" customHeight="1">
      <c r="A262" s="125">
        <v>31403.0</v>
      </c>
      <c r="B262" s="124" t="s">
        <v>628</v>
      </c>
      <c r="C262" s="124">
        <v>0.0547112462006079</v>
      </c>
      <c r="D262" s="124">
        <v>0.007810558029006917</v>
      </c>
    </row>
    <row r="263" ht="14.25" customHeight="1">
      <c r="A263" s="125">
        <v>31405.0</v>
      </c>
      <c r="B263" s="124" t="s">
        <v>631</v>
      </c>
      <c r="C263" s="124">
        <v>0.05775075987841946</v>
      </c>
      <c r="D263" s="124">
        <v>0.004856949978086693</v>
      </c>
    </row>
    <row r="264" ht="14.25" customHeight="1">
      <c r="A264" s="125">
        <v>50402.0</v>
      </c>
      <c r="B264" s="124" t="s">
        <v>264</v>
      </c>
      <c r="C264" s="124">
        <v>0.026342451874366766</v>
      </c>
      <c r="D264" s="124">
        <v>0.11568538911170351</v>
      </c>
    </row>
    <row r="265" ht="14.25" customHeight="1">
      <c r="A265" s="125">
        <v>50403.0</v>
      </c>
      <c r="B265" s="124" t="s">
        <v>705</v>
      </c>
      <c r="C265" s="124">
        <v>0.05369807497467072</v>
      </c>
      <c r="D265" s="124">
        <v>0.053341359005697496</v>
      </c>
    </row>
    <row r="266" ht="14.25" customHeight="1">
      <c r="A266" s="125">
        <v>50501.0</v>
      </c>
      <c r="B266" s="124" t="s">
        <v>709</v>
      </c>
      <c r="C266" s="124">
        <v>0.037622066301983996</v>
      </c>
      <c r="D266" s="124">
        <v>0.07308836074869589</v>
      </c>
    </row>
    <row r="267" ht="14.25" customHeight="1">
      <c r="A267" s="125">
        <v>50601.0</v>
      </c>
      <c r="B267" s="124" t="s">
        <v>262</v>
      </c>
      <c r="C267" s="124">
        <v>0.022289766970618033</v>
      </c>
      <c r="D267" s="124">
        <v>0.04243989076909905</v>
      </c>
    </row>
    <row r="268" ht="14.25" customHeight="1">
      <c r="A268" s="125">
        <v>50602.0</v>
      </c>
      <c r="B268" s="124" t="s">
        <v>711</v>
      </c>
      <c r="C268" s="124">
        <v>0.05572441742654508</v>
      </c>
      <c r="D268" s="124">
        <v>0.028011440774901284</v>
      </c>
    </row>
    <row r="269" ht="14.25" customHeight="1">
      <c r="A269" s="125">
        <v>51101.0</v>
      </c>
      <c r="B269" s="124" t="s">
        <v>730</v>
      </c>
      <c r="C269" s="124">
        <v>0.05268490374873353</v>
      </c>
      <c r="D269" s="124">
        <v>0.05009085979941735</v>
      </c>
    </row>
    <row r="270" ht="14.25" customHeight="1">
      <c r="A270" s="125">
        <v>51202.0</v>
      </c>
      <c r="B270" s="124" t="s">
        <v>736</v>
      </c>
      <c r="C270" s="124">
        <v>0.03140830800405269</v>
      </c>
      <c r="D270" s="124">
        <v>0.006968693676280474</v>
      </c>
    </row>
    <row r="271" ht="14.25" customHeight="1">
      <c r="A271" s="125">
        <v>60201.0</v>
      </c>
      <c r="B271" s="124" t="s">
        <v>345</v>
      </c>
      <c r="C271" s="124">
        <v>0.025411362859099697</v>
      </c>
      <c r="D271" s="124">
        <v>0.043328883612434914</v>
      </c>
    </row>
    <row r="272" ht="14.25" customHeight="1">
      <c r="A272" s="125">
        <v>60501.0</v>
      </c>
      <c r="B272" s="124" t="s">
        <v>757</v>
      </c>
      <c r="C272" s="124">
        <v>0.045908188062063614</v>
      </c>
      <c r="D272" s="124">
        <v>0.056874979285826945</v>
      </c>
    </row>
    <row r="273" ht="14.25" customHeight="1">
      <c r="A273" s="125">
        <v>70701.0</v>
      </c>
      <c r="B273" s="124" t="s">
        <v>302</v>
      </c>
      <c r="C273" s="124">
        <v>0.03546099290780142</v>
      </c>
      <c r="D273" s="124">
        <v>0.07444234050739823</v>
      </c>
    </row>
    <row r="274" ht="14.25" customHeight="1">
      <c r="A274" s="125">
        <v>10201.0</v>
      </c>
      <c r="B274" s="124" t="s">
        <v>459</v>
      </c>
      <c r="C274" s="124">
        <v>0.056748787021062695</v>
      </c>
      <c r="D274" s="124">
        <v>0.16820411221186946</v>
      </c>
    </row>
    <row r="275" ht="14.25" customHeight="1">
      <c r="A275" s="125">
        <v>31001.0</v>
      </c>
      <c r="B275" s="124" t="s">
        <v>181</v>
      </c>
      <c r="C275" s="124">
        <v>0.09337771692882053</v>
      </c>
      <c r="D275" s="124">
        <v>0.056150238169796717</v>
      </c>
    </row>
    <row r="276" ht="14.25" customHeight="1">
      <c r="A276" s="125">
        <v>10101.0</v>
      </c>
      <c r="B276" s="124" t="s">
        <v>128</v>
      </c>
      <c r="C276" s="124">
        <v>0.1725347815395316</v>
      </c>
      <c r="D276" s="124">
        <v>0.06648504987671773</v>
      </c>
    </row>
    <row r="277" ht="14.25" customHeight="1">
      <c r="A277" s="125">
        <v>10102.0</v>
      </c>
      <c r="B277" s="124" t="s">
        <v>458</v>
      </c>
      <c r="C277" s="124">
        <v>0.16210739614994932</v>
      </c>
      <c r="D277" s="124">
        <v>0.1505190441678026</v>
      </c>
    </row>
    <row r="278" ht="14.25" customHeight="1">
      <c r="A278" s="125">
        <v>10302.0</v>
      </c>
      <c r="B278" s="124" t="s">
        <v>122</v>
      </c>
      <c r="C278" s="124">
        <v>0.07732788206077895</v>
      </c>
      <c r="D278" s="124">
        <v>0.2342942285471021</v>
      </c>
    </row>
    <row r="279" ht="14.25" customHeight="1">
      <c r="A279" s="125">
        <v>10303.0</v>
      </c>
      <c r="B279" s="124" t="s">
        <v>463</v>
      </c>
      <c r="C279" s="124">
        <v>0.08597711876241976</v>
      </c>
      <c r="D279" s="124">
        <v>0.3333333333333333</v>
      </c>
    </row>
    <row r="280" ht="14.25" customHeight="1">
      <c r="A280" s="125">
        <v>10304.0</v>
      </c>
      <c r="B280" s="124" t="s">
        <v>101</v>
      </c>
      <c r="C280" s="124">
        <v>0.06484295845997974</v>
      </c>
      <c r="D280" s="124">
        <v>0.1302682590063591</v>
      </c>
    </row>
    <row r="281" ht="14.25" customHeight="1">
      <c r="A281" s="125">
        <v>10402.0</v>
      </c>
      <c r="B281" s="124" t="s">
        <v>136</v>
      </c>
      <c r="C281" s="124">
        <v>0.1291462396932106</v>
      </c>
      <c r="D281" s="124">
        <v>0.26325441802018446</v>
      </c>
    </row>
    <row r="282" ht="14.25" customHeight="1">
      <c r="A282" s="125">
        <v>10404.0</v>
      </c>
      <c r="B282" s="124" t="s">
        <v>467</v>
      </c>
      <c r="C282" s="124">
        <v>0.08453274956984376</v>
      </c>
      <c r="D282" s="124">
        <v>0.0267815972973736</v>
      </c>
    </row>
    <row r="283" ht="14.25" customHeight="1">
      <c r="A283" s="125">
        <v>10405.0</v>
      </c>
      <c r="B283" s="124" t="s">
        <v>469</v>
      </c>
      <c r="C283" s="124">
        <v>0.1813576494427558</v>
      </c>
      <c r="D283" s="124">
        <v>0.12970234350937082</v>
      </c>
    </row>
    <row r="284" ht="14.25" customHeight="1">
      <c r="A284" s="125">
        <v>10601.0</v>
      </c>
      <c r="B284" s="124" t="s">
        <v>131</v>
      </c>
      <c r="C284" s="124">
        <v>0.1613316080128409</v>
      </c>
      <c r="D284" s="124">
        <v>0.22641231732840364</v>
      </c>
    </row>
    <row r="285" ht="14.25" customHeight="1">
      <c r="A285" s="125">
        <v>10602.0</v>
      </c>
      <c r="B285" s="124" t="s">
        <v>472</v>
      </c>
      <c r="C285" s="124">
        <v>0.2695035460992908</v>
      </c>
      <c r="D285" s="124">
        <v>0.07938577552754048</v>
      </c>
    </row>
    <row r="286" ht="14.25" customHeight="1">
      <c r="A286" s="125">
        <v>10701.0</v>
      </c>
      <c r="B286" s="124" t="s">
        <v>89</v>
      </c>
      <c r="C286" s="124">
        <v>0.0762468093523908</v>
      </c>
      <c r="D286" s="124">
        <v>0.08317215251908626</v>
      </c>
    </row>
    <row r="287" ht="14.25" customHeight="1">
      <c r="A287" s="125">
        <v>10702.0</v>
      </c>
      <c r="B287" s="124" t="s">
        <v>124</v>
      </c>
      <c r="C287" s="124">
        <v>0.05901160749543868</v>
      </c>
      <c r="D287" s="124">
        <v>0.29451434207327615</v>
      </c>
    </row>
    <row r="288" ht="14.25" customHeight="1">
      <c r="A288" s="125">
        <v>10703.0</v>
      </c>
      <c r="B288" s="124" t="s">
        <v>105</v>
      </c>
      <c r="C288" s="124">
        <v>0.09315394571686558</v>
      </c>
      <c r="D288" s="124">
        <v>0.02518933987136644</v>
      </c>
    </row>
    <row r="289" ht="14.25" customHeight="1">
      <c r="A289" s="125">
        <v>10704.0</v>
      </c>
      <c r="B289" s="124" t="s">
        <v>140</v>
      </c>
      <c r="C289" s="124">
        <v>0.06406873950734593</v>
      </c>
      <c r="D289" s="124">
        <v>0.3333333333333333</v>
      </c>
    </row>
    <row r="290" ht="14.25" customHeight="1">
      <c r="A290" s="125">
        <v>10801.0</v>
      </c>
      <c r="B290" s="124" t="s">
        <v>142</v>
      </c>
      <c r="C290" s="124">
        <v>0.08769579234130093</v>
      </c>
      <c r="D290" s="124">
        <v>0.026747987903346346</v>
      </c>
    </row>
    <row r="291" ht="14.25" customHeight="1">
      <c r="A291" s="125">
        <v>10902.0</v>
      </c>
      <c r="B291" s="124" t="s">
        <v>93</v>
      </c>
      <c r="C291" s="124">
        <v>0.11149113503189578</v>
      </c>
      <c r="D291" s="124">
        <v>0.13443178343008874</v>
      </c>
    </row>
    <row r="292" ht="14.25" customHeight="1">
      <c r="A292" s="125">
        <v>10903.0</v>
      </c>
      <c r="B292" s="124" t="s">
        <v>477</v>
      </c>
      <c r="C292" s="124">
        <v>0.1276595744680851</v>
      </c>
      <c r="D292" s="124">
        <v>0.20575357250697138</v>
      </c>
    </row>
    <row r="293" ht="14.25" customHeight="1">
      <c r="A293" s="125">
        <v>11001.0</v>
      </c>
      <c r="B293" s="124" t="s">
        <v>479</v>
      </c>
      <c r="C293" s="124">
        <v>0.2951136867813582</v>
      </c>
      <c r="D293" s="124">
        <v>0.6666666666666666</v>
      </c>
    </row>
    <row r="294" ht="14.25" customHeight="1">
      <c r="A294" s="125">
        <v>11002.0</v>
      </c>
      <c r="B294" s="124" t="s">
        <v>480</v>
      </c>
      <c r="C294" s="124">
        <v>0.3292806484295846</v>
      </c>
      <c r="D294" s="124">
        <v>0.6666666666666666</v>
      </c>
    </row>
    <row r="295" ht="14.25" customHeight="1">
      <c r="A295" s="125">
        <v>20102.0</v>
      </c>
      <c r="B295" s="124" t="s">
        <v>486</v>
      </c>
      <c r="C295" s="124">
        <v>0.06382978723404255</v>
      </c>
      <c r="D295" s="124">
        <v>0.021460808694851247</v>
      </c>
    </row>
    <row r="296" ht="14.25" customHeight="1">
      <c r="A296" s="125">
        <v>30101.0</v>
      </c>
      <c r="B296" s="124" t="s">
        <v>44</v>
      </c>
      <c r="C296" s="124">
        <v>0.33334619555448036</v>
      </c>
      <c r="D296" s="124">
        <v>0.34388385379856995</v>
      </c>
    </row>
    <row r="297" ht="14.25" customHeight="1">
      <c r="A297" s="125">
        <v>30201.0</v>
      </c>
      <c r="B297" s="124" t="s">
        <v>150</v>
      </c>
      <c r="C297" s="124">
        <v>0.12563323201621077</v>
      </c>
      <c r="D297" s="124">
        <v>0.3753450844189887</v>
      </c>
    </row>
    <row r="298" ht="14.25" customHeight="1">
      <c r="A298" s="125">
        <v>30202.0</v>
      </c>
      <c r="B298" s="124" t="s">
        <v>167</v>
      </c>
      <c r="C298" s="124">
        <v>0.09321175278622086</v>
      </c>
      <c r="D298" s="124">
        <v>0.08244177910953641</v>
      </c>
    </row>
    <row r="299" ht="14.25" customHeight="1">
      <c r="A299" s="125">
        <v>30203.0</v>
      </c>
      <c r="B299" s="124" t="s">
        <v>164</v>
      </c>
      <c r="C299" s="124">
        <v>0.1092116860618793</v>
      </c>
      <c r="D299" s="124">
        <v>0.3731683607693373</v>
      </c>
    </row>
    <row r="300" ht="14.25" customHeight="1">
      <c r="A300" s="125">
        <v>30302.0</v>
      </c>
      <c r="B300" s="124" t="s">
        <v>593</v>
      </c>
      <c r="C300" s="124">
        <v>0.11854103343465044</v>
      </c>
      <c r="D300" s="124">
        <v>0.006960579308855984</v>
      </c>
    </row>
    <row r="301" ht="14.25" customHeight="1">
      <c r="A301" s="125">
        <v>30402.0</v>
      </c>
      <c r="B301" s="124" t="s">
        <v>153</v>
      </c>
      <c r="C301" s="124">
        <v>0.08206686930091185</v>
      </c>
      <c r="D301" s="124">
        <v>0.061616813628675764</v>
      </c>
    </row>
    <row r="302" ht="14.25" customHeight="1">
      <c r="A302" s="125">
        <v>30403.0</v>
      </c>
      <c r="B302" s="124" t="s">
        <v>597</v>
      </c>
      <c r="C302" s="124">
        <v>0.1945288753799392</v>
      </c>
      <c r="D302" s="124">
        <v>0.05225267765707681</v>
      </c>
    </row>
    <row r="303" ht="14.25" customHeight="1">
      <c r="A303" s="125">
        <v>30601.0</v>
      </c>
      <c r="B303" s="124" t="s">
        <v>601</v>
      </c>
      <c r="C303" s="124">
        <v>0.06990881458966566</v>
      </c>
      <c r="D303" s="124">
        <v>0.0828902007861106</v>
      </c>
    </row>
    <row r="304" ht="14.25" customHeight="1">
      <c r="A304" s="125">
        <v>30701.0</v>
      </c>
      <c r="B304" s="124" t="s">
        <v>603</v>
      </c>
      <c r="C304" s="124">
        <v>0.1773049645390071</v>
      </c>
      <c r="D304" s="124">
        <v>0.381056339846454</v>
      </c>
    </row>
    <row r="305" ht="14.25" customHeight="1">
      <c r="A305" s="125">
        <v>30702.0</v>
      </c>
      <c r="B305" s="124" t="s">
        <v>604</v>
      </c>
      <c r="C305" s="124">
        <v>0.15096251266464036</v>
      </c>
      <c r="D305" s="124">
        <v>0.039073404489743634</v>
      </c>
    </row>
    <row r="306" ht="14.25" customHeight="1">
      <c r="A306" s="125">
        <v>30703.0</v>
      </c>
      <c r="B306" s="124" t="s">
        <v>606</v>
      </c>
      <c r="C306" s="124">
        <v>0.09321175278622086</v>
      </c>
      <c r="D306" s="124">
        <v>0.06726045205407478</v>
      </c>
    </row>
    <row r="307" ht="14.25" customHeight="1">
      <c r="A307" s="125">
        <v>30901.0</v>
      </c>
      <c r="B307" s="124" t="s">
        <v>178</v>
      </c>
      <c r="C307" s="124">
        <v>0.18034447821681865</v>
      </c>
      <c r="D307" s="124">
        <v>0.1162118518366867</v>
      </c>
    </row>
    <row r="308" ht="14.25" customHeight="1">
      <c r="A308" s="125">
        <v>30902.0</v>
      </c>
      <c r="B308" s="124" t="s">
        <v>611</v>
      </c>
      <c r="C308" s="124">
        <v>0.11246200607902734</v>
      </c>
      <c r="D308" s="124">
        <v>0.19078749572463385</v>
      </c>
    </row>
    <row r="309" ht="14.25" customHeight="1">
      <c r="A309" s="125">
        <v>31202.0</v>
      </c>
      <c r="B309" s="124" t="s">
        <v>170</v>
      </c>
      <c r="C309" s="124">
        <v>0.10131712259371833</v>
      </c>
      <c r="D309" s="124">
        <v>0.03117126047045257</v>
      </c>
    </row>
    <row r="310" ht="14.25" customHeight="1">
      <c r="A310" s="125">
        <v>31301.0</v>
      </c>
      <c r="B310" s="124" t="s">
        <v>161</v>
      </c>
      <c r="C310" s="124">
        <v>0.2249240121580547</v>
      </c>
      <c r="D310" s="124">
        <v>0.35209646885025786</v>
      </c>
    </row>
    <row r="311" ht="14.25" customHeight="1">
      <c r="A311" s="125">
        <v>31302.0</v>
      </c>
      <c r="B311" s="124" t="s">
        <v>193</v>
      </c>
      <c r="C311" s="124">
        <v>0.1580547112462006</v>
      </c>
      <c r="D311" s="124">
        <v>0.05037760775593216</v>
      </c>
    </row>
    <row r="312" ht="14.25" customHeight="1">
      <c r="A312" s="125">
        <v>31401.0</v>
      </c>
      <c r="B312" s="124" t="s">
        <v>175</v>
      </c>
      <c r="C312" s="124">
        <v>0.0726361263819994</v>
      </c>
      <c r="D312" s="124">
        <v>0.061902786016611755</v>
      </c>
    </row>
    <row r="313" ht="14.25" customHeight="1">
      <c r="A313" s="125">
        <v>31404.0</v>
      </c>
      <c r="B313" s="124" t="s">
        <v>630</v>
      </c>
      <c r="C313" s="124">
        <v>0.132725430597771</v>
      </c>
      <c r="D313" s="124">
        <v>0.03709581491543457</v>
      </c>
    </row>
    <row r="314" ht="14.25" customHeight="1">
      <c r="A314" s="125">
        <v>50301.0</v>
      </c>
      <c r="B314" s="124" t="s">
        <v>700</v>
      </c>
      <c r="C314" s="124">
        <v>0.08915906788247215</v>
      </c>
      <c r="D314" s="124">
        <v>0.13318324651664828</v>
      </c>
    </row>
    <row r="315" ht="14.25" customHeight="1">
      <c r="A315" s="125">
        <v>50303.0</v>
      </c>
      <c r="B315" s="124" t="s">
        <v>703</v>
      </c>
      <c r="C315" s="124">
        <v>0.07092198581560284</v>
      </c>
      <c r="D315" s="124">
        <v>0.03963280695812375</v>
      </c>
    </row>
    <row r="316" ht="14.25" customHeight="1">
      <c r="A316" s="125">
        <v>50401.0</v>
      </c>
      <c r="B316" s="124" t="s">
        <v>704</v>
      </c>
      <c r="C316" s="124">
        <v>0.06889564336372848</v>
      </c>
      <c r="D316" s="124">
        <v>0.11522905674701789</v>
      </c>
    </row>
    <row r="317" ht="14.25" customHeight="1">
      <c r="A317" s="125">
        <v>50404.0</v>
      </c>
      <c r="B317" s="124" t="s">
        <v>706</v>
      </c>
      <c r="C317" s="124">
        <v>0.0911854103343465</v>
      </c>
      <c r="D317" s="124">
        <v>0.02306107039821925</v>
      </c>
    </row>
    <row r="318" ht="14.25" customHeight="1">
      <c r="A318" s="125">
        <v>51103.0</v>
      </c>
      <c r="B318" s="124" t="s">
        <v>733</v>
      </c>
      <c r="C318" s="124">
        <v>0.21377912867274573</v>
      </c>
      <c r="D318" s="124">
        <v>0.0765081915512361</v>
      </c>
    </row>
    <row r="319" ht="14.25" customHeight="1">
      <c r="A319" s="125">
        <v>60101.0</v>
      </c>
      <c r="B319" s="124" t="s">
        <v>68</v>
      </c>
      <c r="C319" s="124">
        <v>0.0873677890600088</v>
      </c>
      <c r="D319" s="124">
        <v>0.2096063117344937</v>
      </c>
    </row>
    <row r="320" ht="14.25" customHeight="1">
      <c r="A320" s="125">
        <v>60502.0</v>
      </c>
      <c r="B320" s="124" t="s">
        <v>759</v>
      </c>
      <c r="C320" s="124">
        <v>0.06889564336372847</v>
      </c>
      <c r="D320" s="124">
        <v>0.03583920873180748</v>
      </c>
    </row>
    <row r="321" ht="14.25" customHeight="1">
      <c r="A321" s="125">
        <v>70702.0</v>
      </c>
      <c r="B321" s="124" t="s">
        <v>278</v>
      </c>
      <c r="C321" s="124">
        <v>0.1894630192502533</v>
      </c>
      <c r="D321" s="124">
        <v>0.03079846072828614</v>
      </c>
    </row>
    <row r="322" ht="14.25" customHeight="1">
      <c r="A322" s="125">
        <v>70704.0</v>
      </c>
      <c r="B322" s="124" t="s">
        <v>291</v>
      </c>
      <c r="C322" s="124">
        <v>0.09625126646403241</v>
      </c>
      <c r="D322" s="124">
        <v>0.40225286696686924</v>
      </c>
    </row>
    <row r="323" ht="14.25" customHeight="1">
      <c r="A323" s="125">
        <v>70705.0</v>
      </c>
      <c r="B323" s="124" t="s">
        <v>784</v>
      </c>
      <c r="C323" s="124">
        <v>0.3333333333333333</v>
      </c>
      <c r="D323" s="124">
        <v>0.00687828395069371</v>
      </c>
    </row>
    <row r="324" ht="14.25" customHeight="1">
      <c r="A324" s="125">
        <v>70803.0</v>
      </c>
      <c r="B324" s="124" t="s">
        <v>787</v>
      </c>
      <c r="C324" s="124">
        <v>0.0921985815602837</v>
      </c>
      <c r="D324" s="124">
        <v>0.0</v>
      </c>
    </row>
    <row r="325" ht="14.25" customHeight="1">
      <c r="A325" s="125">
        <v>70805.0</v>
      </c>
      <c r="B325" s="124" t="s">
        <v>790</v>
      </c>
      <c r="C325" s="124">
        <v>0.12360688956433637</v>
      </c>
      <c r="D325" s="124">
        <v>0.09373331210328949</v>
      </c>
    </row>
    <row r="326" ht="14.25" customHeight="1">
      <c r="A326" s="125">
        <v>71105.0</v>
      </c>
      <c r="B326" s="124" t="s">
        <v>804</v>
      </c>
      <c r="C326" s="124">
        <v>0.07801418439716312</v>
      </c>
      <c r="D326" s="124">
        <v>0.0</v>
      </c>
    </row>
    <row r="327" ht="14.25" customHeight="1">
      <c r="A327" s="125">
        <v>71301.0</v>
      </c>
      <c r="B327" s="124" t="s">
        <v>282</v>
      </c>
      <c r="C327" s="124">
        <v>0.20567375886524822</v>
      </c>
      <c r="D327" s="124">
        <v>0.1326874739964356</v>
      </c>
    </row>
    <row r="328" ht="14.25" customHeight="1">
      <c r="A328" s="125">
        <v>10103.0</v>
      </c>
      <c r="B328" s="124" t="s">
        <v>119</v>
      </c>
      <c r="C328" s="124">
        <v>0.09942053106435546</v>
      </c>
      <c r="D328" s="124">
        <v>0.29350078661382895</v>
      </c>
    </row>
    <row r="329" ht="14.25" customHeight="1">
      <c r="A329" s="125">
        <v>10401.0</v>
      </c>
      <c r="B329" s="124" t="s">
        <v>116</v>
      </c>
      <c r="C329" s="124">
        <v>0.14381390841047434</v>
      </c>
      <c r="D329" s="124">
        <v>0.036556852677470685</v>
      </c>
    </row>
    <row r="330" ht="14.25" customHeight="1">
      <c r="A330" s="125">
        <v>10502.0</v>
      </c>
      <c r="B330" s="124" t="s">
        <v>471</v>
      </c>
      <c r="C330" s="124">
        <v>0.17041386665499947</v>
      </c>
      <c r="D330" s="124">
        <v>0.420757853932701</v>
      </c>
    </row>
    <row r="331" ht="14.25" customHeight="1">
      <c r="A331" s="125">
        <v>50502.0</v>
      </c>
      <c r="B331" s="124" t="s">
        <v>267</v>
      </c>
      <c r="C331" s="124">
        <v>0.11489206645198058</v>
      </c>
      <c r="D331" s="124">
        <v>0.3544508673789642</v>
      </c>
    </row>
    <row r="332" ht="14.25" customHeight="1">
      <c r="A332" s="125">
        <v>71302.0</v>
      </c>
      <c r="B332" s="124" t="s">
        <v>318</v>
      </c>
      <c r="C332" s="124">
        <v>0.2684456840956356</v>
      </c>
      <c r="D332" s="124">
        <v>0.1504824188368835</v>
      </c>
    </row>
    <row r="333" ht="14.25" customHeight="1">
      <c r="A333" s="125">
        <v>70703.0</v>
      </c>
      <c r="B333" s="124" t="s">
        <v>273</v>
      </c>
      <c r="C333" s="124">
        <v>0.09205625191655893</v>
      </c>
      <c r="D333" s="124">
        <v>0.0758152341263569</v>
      </c>
    </row>
    <row r="334" ht="14.25" customHeight="1">
      <c r="A334" s="125">
        <v>70801.0</v>
      </c>
      <c r="B334" s="124" t="s">
        <v>330</v>
      </c>
      <c r="C334" s="124">
        <v>0.1648614972748583</v>
      </c>
      <c r="D334" s="124">
        <v>0.2112947615618185</v>
      </c>
    </row>
    <row r="335" ht="14.25" customHeight="1">
      <c r="A335" s="125">
        <v>60601.0</v>
      </c>
      <c r="B335" s="124" t="s">
        <v>622</v>
      </c>
      <c r="C335" s="124">
        <v>0.1893490856721749</v>
      </c>
      <c r="D335" s="124">
        <v>0.4064243330222271</v>
      </c>
    </row>
    <row r="336" ht="14.25" customHeight="1">
      <c r="A336" s="125">
        <v>71104.0</v>
      </c>
      <c r="B336" s="124" t="s">
        <v>803</v>
      </c>
      <c r="C336" s="124">
        <v>0.37625482793426057</v>
      </c>
      <c r="D336" s="124">
        <v>0.3290066850895737</v>
      </c>
    </row>
    <row r="337" ht="14.25" customHeight="1">
      <c r="A337" s="125">
        <v>10501.0</v>
      </c>
      <c r="B337" s="124" t="s">
        <v>114</v>
      </c>
      <c r="C337" s="124">
        <v>0.20210372005727772</v>
      </c>
      <c r="D337" s="124">
        <v>0.4287979094964534</v>
      </c>
    </row>
    <row r="338" ht="14.25" customHeight="1">
      <c r="A338" s="125">
        <v>11003.0</v>
      </c>
      <c r="B338" s="124" t="s">
        <v>482</v>
      </c>
      <c r="C338" s="124">
        <v>0.6390540545618174</v>
      </c>
      <c r="D338" s="124">
        <v>0.6666666666666666</v>
      </c>
    </row>
    <row r="339" ht="14.25" customHeight="1">
      <c r="A339" s="125">
        <v>60301.0</v>
      </c>
      <c r="B339" s="124" t="s">
        <v>359</v>
      </c>
      <c r="C339" s="124">
        <v>0.6754540221579198</v>
      </c>
      <c r="D339" s="124">
        <v>0.6667097419386826</v>
      </c>
    </row>
    <row r="340" ht="14.25" customHeight="1">
      <c r="A340" s="125">
        <v>70105.0</v>
      </c>
      <c r="B340" s="124" t="s">
        <v>294</v>
      </c>
      <c r="C340" s="124">
        <v>0.29992796324511606</v>
      </c>
      <c r="D340" s="124">
        <v>0.606091658042488</v>
      </c>
    </row>
    <row r="341" ht="14.25" customHeight="1">
      <c r="A341" s="125">
        <v>70706.0</v>
      </c>
      <c r="B341" s="124" t="s">
        <v>275</v>
      </c>
      <c r="C341" s="124">
        <v>0.33806709998919526</v>
      </c>
      <c r="D341" s="124">
        <v>0.3333333333333333</v>
      </c>
    </row>
    <row r="342" ht="14.25" customHeight="1">
      <c r="A342" s="125">
        <v>70707.0</v>
      </c>
      <c r="B342" s="124" t="s">
        <v>785</v>
      </c>
      <c r="C342" s="124">
        <v>0.3741272663175403</v>
      </c>
      <c r="D342" s="124">
        <v>0.08715451405911255</v>
      </c>
    </row>
    <row r="343" ht="14.25" customHeight="1">
      <c r="A343" s="125">
        <v>60302.0</v>
      </c>
      <c r="B343" s="124" t="s">
        <v>751</v>
      </c>
      <c r="C343" s="124">
        <v>0.45890554117733634</v>
      </c>
      <c r="D343" s="124">
        <v>0.3922099098062166</v>
      </c>
    </row>
    <row r="344" ht="14.25" customHeight="1">
      <c r="A344" s="125">
        <v>60303.0</v>
      </c>
      <c r="B344" s="124" t="s">
        <v>356</v>
      </c>
      <c r="C344" s="124">
        <v>0.3985951555560649</v>
      </c>
      <c r="D344" s="124">
        <v>0.39218753713780946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4" width="28.57"/>
    <col customWidth="1" min="5" max="26" width="10.71"/>
  </cols>
  <sheetData>
    <row r="1" ht="45.0" customHeight="1">
      <c r="A1" s="121" t="s">
        <v>448</v>
      </c>
      <c r="B1" s="121" t="s">
        <v>446</v>
      </c>
      <c r="C1" s="123" t="s">
        <v>844</v>
      </c>
      <c r="D1" s="123" t="s">
        <v>845</v>
      </c>
    </row>
    <row r="2" ht="14.25" customHeight="1">
      <c r="A2" s="125">
        <v>20101.0</v>
      </c>
      <c r="B2" s="124" t="s">
        <v>485</v>
      </c>
      <c r="C2" s="124"/>
      <c r="D2" s="124"/>
    </row>
    <row r="3" ht="14.25" customHeight="1">
      <c r="A3" s="125">
        <v>20104.0</v>
      </c>
      <c r="B3" s="124" t="s">
        <v>488</v>
      </c>
      <c r="C3" s="124"/>
      <c r="D3" s="124"/>
    </row>
    <row r="4" ht="14.25" customHeight="1">
      <c r="A4" s="125">
        <v>20105.0</v>
      </c>
      <c r="B4" s="124" t="s">
        <v>211</v>
      </c>
      <c r="C4" s="124"/>
      <c r="D4" s="124"/>
    </row>
    <row r="5" ht="14.25" customHeight="1">
      <c r="A5" s="125">
        <v>20201.0</v>
      </c>
      <c r="B5" s="124" t="s">
        <v>490</v>
      </c>
      <c r="C5" s="124"/>
      <c r="D5" s="124"/>
    </row>
    <row r="6" ht="14.25" customHeight="1">
      <c r="A6" s="125">
        <v>20202.0</v>
      </c>
      <c r="B6" s="124" t="s">
        <v>491</v>
      </c>
      <c r="C6" s="124"/>
      <c r="D6" s="124"/>
    </row>
    <row r="7" ht="14.25" customHeight="1">
      <c r="A7" s="125">
        <v>20203.0</v>
      </c>
      <c r="B7" s="124" t="s">
        <v>493</v>
      </c>
      <c r="C7" s="124"/>
      <c r="D7" s="124"/>
    </row>
    <row r="8" ht="14.25" customHeight="1">
      <c r="A8" s="125">
        <v>20204.0</v>
      </c>
      <c r="B8" s="124" t="s">
        <v>494</v>
      </c>
      <c r="C8" s="124"/>
      <c r="D8" s="124"/>
    </row>
    <row r="9" ht="14.25" customHeight="1">
      <c r="A9" s="125">
        <v>20205.0</v>
      </c>
      <c r="B9" s="124" t="s">
        <v>495</v>
      </c>
      <c r="C9" s="124"/>
      <c r="D9" s="124"/>
    </row>
    <row r="10" ht="14.25" customHeight="1">
      <c r="A10" s="125">
        <v>20206.0</v>
      </c>
      <c r="B10" s="124" t="s">
        <v>496</v>
      </c>
      <c r="C10" s="124"/>
      <c r="D10" s="124"/>
    </row>
    <row r="11" ht="14.25" customHeight="1">
      <c r="A11" s="125">
        <v>20301.0</v>
      </c>
      <c r="B11" s="124" t="s">
        <v>498</v>
      </c>
      <c r="C11" s="124"/>
      <c r="D11" s="124"/>
    </row>
    <row r="12" ht="14.25" customHeight="1">
      <c r="A12" s="125">
        <v>20302.0</v>
      </c>
      <c r="B12" s="124" t="s">
        <v>500</v>
      </c>
      <c r="C12" s="124"/>
      <c r="D12" s="124"/>
    </row>
    <row r="13" ht="14.25" customHeight="1">
      <c r="A13" s="125">
        <v>20303.0</v>
      </c>
      <c r="B13" s="124" t="s">
        <v>501</v>
      </c>
      <c r="C13" s="124"/>
      <c r="D13" s="124"/>
    </row>
    <row r="14" ht="14.25" customHeight="1">
      <c r="A14" s="125">
        <v>20304.0</v>
      </c>
      <c r="B14" s="124" t="s">
        <v>502</v>
      </c>
      <c r="C14" s="124"/>
      <c r="D14" s="124"/>
    </row>
    <row r="15" ht="14.25" customHeight="1">
      <c r="A15" s="125">
        <v>20305.0</v>
      </c>
      <c r="B15" s="124" t="s">
        <v>503</v>
      </c>
      <c r="C15" s="124"/>
      <c r="D15" s="124"/>
    </row>
    <row r="16" ht="14.25" customHeight="1">
      <c r="A16" s="125">
        <v>20306.0</v>
      </c>
      <c r="B16" s="124" t="s">
        <v>504</v>
      </c>
      <c r="C16" s="124"/>
      <c r="D16" s="124"/>
    </row>
    <row r="17" ht="14.25" customHeight="1">
      <c r="A17" s="125">
        <v>20307.0</v>
      </c>
      <c r="B17" s="124" t="s">
        <v>505</v>
      </c>
      <c r="C17" s="124"/>
      <c r="D17" s="124"/>
    </row>
    <row r="18" ht="14.25" customHeight="1">
      <c r="A18" s="125">
        <v>20308.0</v>
      </c>
      <c r="B18" s="124" t="s">
        <v>506</v>
      </c>
      <c r="C18" s="124"/>
      <c r="D18" s="124"/>
    </row>
    <row r="19" ht="14.25" customHeight="1">
      <c r="A19" s="125">
        <v>20401.0</v>
      </c>
      <c r="B19" s="124" t="s">
        <v>508</v>
      </c>
      <c r="C19" s="124"/>
      <c r="D19" s="124"/>
    </row>
    <row r="20" ht="14.25" customHeight="1">
      <c r="A20" s="125">
        <v>20402.0</v>
      </c>
      <c r="B20" s="124" t="s">
        <v>509</v>
      </c>
      <c r="C20" s="124"/>
      <c r="D20" s="124"/>
    </row>
    <row r="21" ht="14.25" customHeight="1">
      <c r="A21" s="125">
        <v>20403.0</v>
      </c>
      <c r="B21" s="124" t="s">
        <v>510</v>
      </c>
      <c r="C21" s="124"/>
      <c r="D21" s="124"/>
    </row>
    <row r="22" ht="14.25" customHeight="1">
      <c r="A22" s="125">
        <v>20404.0</v>
      </c>
      <c r="B22" s="124" t="s">
        <v>512</v>
      </c>
      <c r="C22" s="124"/>
      <c r="D22" s="124"/>
    </row>
    <row r="23" ht="14.25" customHeight="1">
      <c r="A23" s="125">
        <v>20405.0</v>
      </c>
      <c r="B23" s="124" t="s">
        <v>513</v>
      </c>
      <c r="C23" s="124"/>
      <c r="D23" s="124"/>
    </row>
    <row r="24" ht="14.25" customHeight="1">
      <c r="A24" s="125">
        <v>20501.0</v>
      </c>
      <c r="B24" s="124" t="s">
        <v>515</v>
      </c>
      <c r="C24" s="124"/>
      <c r="D24" s="124"/>
    </row>
    <row r="25" ht="14.25" customHeight="1">
      <c r="A25" s="125">
        <v>20502.0</v>
      </c>
      <c r="B25" s="124" t="s">
        <v>202</v>
      </c>
      <c r="C25" s="124"/>
      <c r="D25" s="124"/>
    </row>
    <row r="26" ht="14.25" customHeight="1">
      <c r="A26" s="125">
        <v>20503.0</v>
      </c>
      <c r="B26" s="124" t="s">
        <v>516</v>
      </c>
      <c r="C26" s="124"/>
      <c r="D26" s="124"/>
    </row>
    <row r="27" ht="14.25" customHeight="1">
      <c r="A27" s="125">
        <v>20601.0</v>
      </c>
      <c r="B27" s="124" t="s">
        <v>518</v>
      </c>
      <c r="C27" s="124"/>
      <c r="D27" s="124"/>
    </row>
    <row r="28" ht="14.25" customHeight="1">
      <c r="A28" s="125">
        <v>20604.0</v>
      </c>
      <c r="B28" s="124" t="s">
        <v>520</v>
      </c>
      <c r="C28" s="124"/>
      <c r="D28" s="124"/>
    </row>
    <row r="29" ht="14.25" customHeight="1">
      <c r="A29" s="125">
        <v>20605.0</v>
      </c>
      <c r="B29" s="124" t="s">
        <v>521</v>
      </c>
      <c r="C29" s="124"/>
      <c r="D29" s="124"/>
    </row>
    <row r="30" ht="14.25" customHeight="1">
      <c r="A30" s="125">
        <v>20701.0</v>
      </c>
      <c r="B30" s="124" t="s">
        <v>199</v>
      </c>
      <c r="C30" s="124"/>
      <c r="D30" s="124"/>
    </row>
    <row r="31" ht="14.25" customHeight="1">
      <c r="A31" s="125">
        <v>20702.0</v>
      </c>
      <c r="B31" s="124" t="s">
        <v>523</v>
      </c>
      <c r="C31" s="124"/>
      <c r="D31" s="124"/>
    </row>
    <row r="32" ht="14.25" customHeight="1">
      <c r="A32" s="125">
        <v>20801.0</v>
      </c>
      <c r="B32" s="124" t="s">
        <v>525</v>
      </c>
      <c r="C32" s="124"/>
      <c r="D32" s="124"/>
    </row>
    <row r="33" ht="14.25" customHeight="1">
      <c r="A33" s="125">
        <v>20802.0</v>
      </c>
      <c r="B33" s="124" t="s">
        <v>526</v>
      </c>
      <c r="C33" s="124"/>
      <c r="D33" s="124"/>
    </row>
    <row r="34" ht="14.25" customHeight="1">
      <c r="A34" s="125">
        <v>20803.0</v>
      </c>
      <c r="B34" s="124" t="s">
        <v>528</v>
      </c>
      <c r="C34" s="124"/>
      <c r="D34" s="124"/>
    </row>
    <row r="35" ht="14.25" customHeight="1">
      <c r="A35" s="125">
        <v>20804.0</v>
      </c>
      <c r="B35" s="124" t="s">
        <v>529</v>
      </c>
      <c r="C35" s="124"/>
      <c r="D35" s="124"/>
    </row>
    <row r="36" ht="14.25" customHeight="1">
      <c r="A36" s="125">
        <v>20805.0</v>
      </c>
      <c r="B36" s="124" t="s">
        <v>530</v>
      </c>
      <c r="C36" s="124"/>
      <c r="D36" s="124"/>
    </row>
    <row r="37" ht="14.25" customHeight="1">
      <c r="A37" s="125">
        <v>20806.0</v>
      </c>
      <c r="B37" s="124" t="s">
        <v>532</v>
      </c>
      <c r="C37" s="124"/>
      <c r="D37" s="124"/>
    </row>
    <row r="38" ht="14.25" customHeight="1">
      <c r="A38" s="125">
        <v>20807.0</v>
      </c>
      <c r="B38" s="124" t="s">
        <v>534</v>
      </c>
      <c r="C38" s="124"/>
      <c r="D38" s="124"/>
    </row>
    <row r="39" ht="14.25" customHeight="1">
      <c r="A39" s="125">
        <v>20903.0</v>
      </c>
      <c r="B39" s="124" t="s">
        <v>538</v>
      </c>
      <c r="C39" s="124"/>
      <c r="D39" s="124"/>
    </row>
    <row r="40" ht="14.25" customHeight="1">
      <c r="A40" s="125">
        <v>20904.0</v>
      </c>
      <c r="B40" s="124" t="s">
        <v>539</v>
      </c>
      <c r="C40" s="124"/>
      <c r="D40" s="124"/>
    </row>
    <row r="41" ht="14.25" customHeight="1">
      <c r="A41" s="125">
        <v>21002.0</v>
      </c>
      <c r="B41" s="124" t="s">
        <v>541</v>
      </c>
      <c r="C41" s="124"/>
      <c r="D41" s="124"/>
    </row>
    <row r="42" ht="14.25" customHeight="1">
      <c r="A42" s="125">
        <v>21004.0</v>
      </c>
      <c r="B42" s="124" t="s">
        <v>543</v>
      </c>
      <c r="C42" s="124"/>
      <c r="D42" s="124"/>
    </row>
    <row r="43" ht="14.25" customHeight="1">
      <c r="A43" s="125">
        <v>21005.0</v>
      </c>
      <c r="B43" s="124" t="s">
        <v>544</v>
      </c>
      <c r="C43" s="124"/>
      <c r="D43" s="124"/>
    </row>
    <row r="44" ht="14.25" customHeight="1">
      <c r="A44" s="125">
        <v>21105.0</v>
      </c>
      <c r="B44" s="124" t="s">
        <v>552</v>
      </c>
      <c r="C44" s="124"/>
      <c r="D44" s="124"/>
    </row>
    <row r="45" ht="14.25" customHeight="1">
      <c r="A45" s="125">
        <v>21201.0</v>
      </c>
      <c r="B45" s="124" t="s">
        <v>554</v>
      </c>
      <c r="C45" s="124"/>
      <c r="D45" s="124"/>
    </row>
    <row r="46" ht="14.25" customHeight="1">
      <c r="A46" s="125">
        <v>21202.0</v>
      </c>
      <c r="B46" s="124" t="s">
        <v>555</v>
      </c>
      <c r="C46" s="124"/>
      <c r="D46" s="124"/>
    </row>
    <row r="47" ht="14.25" customHeight="1">
      <c r="A47" s="125">
        <v>21203.0</v>
      </c>
      <c r="B47" s="124" t="s">
        <v>556</v>
      </c>
      <c r="C47" s="124"/>
      <c r="D47" s="124"/>
    </row>
    <row r="48" ht="14.25" customHeight="1">
      <c r="A48" s="125">
        <v>21204.0</v>
      </c>
      <c r="B48" s="124" t="s">
        <v>557</v>
      </c>
      <c r="C48" s="124"/>
      <c r="D48" s="124"/>
    </row>
    <row r="49" ht="14.25" customHeight="1">
      <c r="A49" s="125">
        <v>21301.0</v>
      </c>
      <c r="B49" s="124" t="s">
        <v>559</v>
      </c>
      <c r="C49" s="124"/>
      <c r="D49" s="124"/>
    </row>
    <row r="50" ht="14.25" customHeight="1">
      <c r="A50" s="125">
        <v>21302.0</v>
      </c>
      <c r="B50" s="124" t="s">
        <v>561</v>
      </c>
      <c r="C50" s="124"/>
      <c r="D50" s="124"/>
    </row>
    <row r="51" ht="14.25" customHeight="1">
      <c r="A51" s="125">
        <v>21303.0</v>
      </c>
      <c r="B51" s="124" t="s">
        <v>562</v>
      </c>
      <c r="C51" s="124"/>
      <c r="D51" s="124"/>
    </row>
    <row r="52" ht="14.25" customHeight="1">
      <c r="A52" s="125">
        <v>21304.0</v>
      </c>
      <c r="B52" s="124" t="s">
        <v>563</v>
      </c>
      <c r="C52" s="124"/>
      <c r="D52" s="124"/>
    </row>
    <row r="53" ht="14.25" customHeight="1">
      <c r="A53" s="125">
        <v>21305.0</v>
      </c>
      <c r="B53" s="124" t="s">
        <v>564</v>
      </c>
      <c r="C53" s="124"/>
      <c r="D53" s="124"/>
    </row>
    <row r="54" ht="14.25" customHeight="1">
      <c r="A54" s="125">
        <v>21306.0</v>
      </c>
      <c r="B54" s="124" t="s">
        <v>565</v>
      </c>
      <c r="C54" s="124"/>
      <c r="D54" s="124"/>
    </row>
    <row r="55" ht="14.25" customHeight="1">
      <c r="A55" s="125">
        <v>21307.0</v>
      </c>
      <c r="B55" s="124" t="s">
        <v>566</v>
      </c>
      <c r="C55" s="124"/>
      <c r="D55" s="124"/>
    </row>
    <row r="56" ht="14.25" customHeight="1">
      <c r="A56" s="125">
        <v>21601.0</v>
      </c>
      <c r="B56" s="124" t="s">
        <v>572</v>
      </c>
      <c r="C56" s="124"/>
      <c r="D56" s="124"/>
    </row>
    <row r="57" ht="14.25" customHeight="1">
      <c r="A57" s="125">
        <v>21602.0</v>
      </c>
      <c r="B57" s="124" t="s">
        <v>574</v>
      </c>
      <c r="C57" s="124"/>
      <c r="D57" s="124"/>
    </row>
    <row r="58" ht="14.25" customHeight="1">
      <c r="A58" s="125">
        <v>21701.0</v>
      </c>
      <c r="B58" s="124" t="s">
        <v>576</v>
      </c>
      <c r="C58" s="124"/>
      <c r="D58" s="124"/>
    </row>
    <row r="59" ht="14.25" customHeight="1">
      <c r="A59" s="125">
        <v>21702.0</v>
      </c>
      <c r="B59" s="124" t="s">
        <v>577</v>
      </c>
      <c r="C59" s="124"/>
      <c r="D59" s="124"/>
    </row>
    <row r="60" ht="14.25" customHeight="1">
      <c r="A60" s="125">
        <v>21703.0</v>
      </c>
      <c r="B60" s="124" t="s">
        <v>578</v>
      </c>
      <c r="C60" s="124"/>
      <c r="D60" s="124"/>
    </row>
    <row r="61" ht="14.25" customHeight="1">
      <c r="A61" s="125">
        <v>21801.0</v>
      </c>
      <c r="B61" s="124" t="s">
        <v>580</v>
      </c>
      <c r="C61" s="124"/>
      <c r="D61" s="124"/>
    </row>
    <row r="62" ht="14.25" customHeight="1">
      <c r="A62" s="125">
        <v>21802.0</v>
      </c>
      <c r="B62" s="124" t="s">
        <v>582</v>
      </c>
      <c r="C62" s="124"/>
      <c r="D62" s="124"/>
    </row>
    <row r="63" ht="14.25" customHeight="1">
      <c r="A63" s="125">
        <v>21803.0</v>
      </c>
      <c r="B63" s="124" t="s">
        <v>583</v>
      </c>
      <c r="C63" s="124"/>
      <c r="D63" s="124"/>
    </row>
    <row r="64" ht="14.25" customHeight="1">
      <c r="A64" s="125">
        <v>21901.0</v>
      </c>
      <c r="B64" s="124" t="s">
        <v>585</v>
      </c>
      <c r="C64" s="124"/>
      <c r="D64" s="124"/>
    </row>
    <row r="65" ht="14.25" customHeight="1">
      <c r="A65" s="125">
        <v>21902.0</v>
      </c>
      <c r="B65" s="124" t="s">
        <v>586</v>
      </c>
      <c r="C65" s="124"/>
      <c r="D65" s="124"/>
    </row>
    <row r="66" ht="14.25" customHeight="1">
      <c r="A66" s="125">
        <v>30502.0</v>
      </c>
      <c r="B66" s="124" t="s">
        <v>600</v>
      </c>
      <c r="C66" s="124"/>
      <c r="D66" s="124"/>
    </row>
    <row r="67" ht="14.25" customHeight="1">
      <c r="A67" s="125">
        <v>31002.0</v>
      </c>
      <c r="B67" s="124" t="s">
        <v>616</v>
      </c>
      <c r="C67" s="124"/>
      <c r="D67" s="124"/>
    </row>
    <row r="68" ht="14.25" customHeight="1">
      <c r="A68" s="125">
        <v>31204.0</v>
      </c>
      <c r="B68" s="124" t="s">
        <v>621</v>
      </c>
      <c r="C68" s="124"/>
      <c r="D68" s="124"/>
    </row>
    <row r="69" ht="14.25" customHeight="1">
      <c r="A69" s="125">
        <v>31303.0</v>
      </c>
      <c r="B69" s="124" t="s">
        <v>623</v>
      </c>
      <c r="C69" s="124"/>
      <c r="D69" s="124"/>
    </row>
    <row r="70" ht="14.25" customHeight="1">
      <c r="A70" s="125">
        <v>31304.0</v>
      </c>
      <c r="B70" s="124" t="s">
        <v>624</v>
      </c>
      <c r="C70" s="124"/>
      <c r="D70" s="124"/>
    </row>
    <row r="71" ht="14.25" customHeight="1">
      <c r="A71" s="125">
        <v>31501.0</v>
      </c>
      <c r="B71" s="124" t="s">
        <v>633</v>
      </c>
      <c r="C71" s="124"/>
      <c r="D71" s="124"/>
    </row>
    <row r="72" ht="14.25" customHeight="1">
      <c r="A72" s="125">
        <v>31601.0</v>
      </c>
      <c r="B72" s="124" t="s">
        <v>634</v>
      </c>
      <c r="C72" s="124"/>
      <c r="D72" s="124"/>
    </row>
    <row r="73" ht="14.25" customHeight="1">
      <c r="A73" s="125">
        <v>40101.0</v>
      </c>
      <c r="B73" s="124" t="s">
        <v>636</v>
      </c>
      <c r="C73" s="124"/>
      <c r="D73" s="124"/>
    </row>
    <row r="74" ht="14.25" customHeight="1">
      <c r="A74" s="125">
        <v>40102.0</v>
      </c>
      <c r="B74" s="124" t="s">
        <v>637</v>
      </c>
      <c r="C74" s="124"/>
      <c r="D74" s="124"/>
    </row>
    <row r="75" ht="14.25" customHeight="1">
      <c r="A75" s="125">
        <v>40103.0</v>
      </c>
      <c r="B75" s="124" t="s">
        <v>638</v>
      </c>
      <c r="C75" s="124"/>
      <c r="D75" s="124"/>
    </row>
    <row r="76" ht="14.25" customHeight="1">
      <c r="A76" s="125">
        <v>40104.0</v>
      </c>
      <c r="B76" s="124" t="s">
        <v>639</v>
      </c>
      <c r="C76" s="124"/>
      <c r="D76" s="124"/>
    </row>
    <row r="77" ht="14.25" customHeight="1">
      <c r="A77" s="125">
        <v>40201.0</v>
      </c>
      <c r="B77" s="124" t="s">
        <v>642</v>
      </c>
      <c r="C77" s="124"/>
      <c r="D77" s="124"/>
    </row>
    <row r="78" ht="14.25" customHeight="1">
      <c r="A78" s="125">
        <v>40202.0</v>
      </c>
      <c r="B78" s="124" t="s">
        <v>643</v>
      </c>
      <c r="C78" s="124"/>
      <c r="D78" s="124"/>
    </row>
    <row r="79" ht="14.25" customHeight="1">
      <c r="A79" s="125">
        <v>40301.0</v>
      </c>
      <c r="B79" s="124" t="s">
        <v>645</v>
      </c>
      <c r="C79" s="124"/>
      <c r="D79" s="124"/>
    </row>
    <row r="80" ht="14.25" customHeight="1">
      <c r="A80" s="125">
        <v>40302.0</v>
      </c>
      <c r="B80" s="124" t="s">
        <v>646</v>
      </c>
      <c r="C80" s="124"/>
      <c r="D80" s="124"/>
    </row>
    <row r="81" ht="14.25" customHeight="1">
      <c r="A81" s="125">
        <v>40401.0</v>
      </c>
      <c r="B81" s="124" t="s">
        <v>648</v>
      </c>
      <c r="C81" s="124"/>
      <c r="D81" s="124"/>
    </row>
    <row r="82" ht="14.25" customHeight="1">
      <c r="A82" s="125">
        <v>40402.0</v>
      </c>
      <c r="B82" s="124" t="s">
        <v>649</v>
      </c>
      <c r="C82" s="124"/>
      <c r="D82" s="124"/>
    </row>
    <row r="83" ht="14.25" customHeight="1">
      <c r="A83" s="125">
        <v>40501.0</v>
      </c>
      <c r="B83" s="124" t="s">
        <v>651</v>
      </c>
      <c r="C83" s="124"/>
      <c r="D83" s="124"/>
    </row>
    <row r="84" ht="14.25" customHeight="1">
      <c r="A84" s="125">
        <v>40502.0</v>
      </c>
      <c r="B84" s="124" t="s">
        <v>652</v>
      </c>
      <c r="C84" s="124"/>
      <c r="D84" s="124"/>
    </row>
    <row r="85" ht="14.25" customHeight="1">
      <c r="A85" s="125">
        <v>40503.0</v>
      </c>
      <c r="B85" s="124" t="s">
        <v>653</v>
      </c>
      <c r="C85" s="124"/>
      <c r="D85" s="124"/>
    </row>
    <row r="86" ht="14.25" customHeight="1">
      <c r="A86" s="125">
        <v>40504.0</v>
      </c>
      <c r="B86" s="124" t="s">
        <v>654</v>
      </c>
      <c r="C86" s="124"/>
      <c r="D86" s="124"/>
    </row>
    <row r="87" ht="14.25" customHeight="1">
      <c r="A87" s="125">
        <v>40505.0</v>
      </c>
      <c r="B87" s="124" t="s">
        <v>655</v>
      </c>
      <c r="C87" s="124"/>
      <c r="D87" s="124"/>
    </row>
    <row r="88" ht="14.25" customHeight="1">
      <c r="A88" s="125">
        <v>40601.0</v>
      </c>
      <c r="B88" s="124" t="s">
        <v>656</v>
      </c>
      <c r="C88" s="124"/>
      <c r="D88" s="124"/>
    </row>
    <row r="89" ht="14.25" customHeight="1">
      <c r="A89" s="125">
        <v>40602.0</v>
      </c>
      <c r="B89" s="124" t="s">
        <v>658</v>
      </c>
      <c r="C89" s="124"/>
      <c r="D89" s="124"/>
    </row>
    <row r="90" ht="14.25" customHeight="1">
      <c r="A90" s="125">
        <v>40603.0</v>
      </c>
      <c r="B90" s="124" t="s">
        <v>659</v>
      </c>
      <c r="C90" s="124"/>
      <c r="D90" s="124"/>
    </row>
    <row r="91" ht="14.25" customHeight="1">
      <c r="A91" s="125">
        <v>40701.0</v>
      </c>
      <c r="B91" s="124" t="s">
        <v>661</v>
      </c>
      <c r="C91" s="124"/>
      <c r="D91" s="124"/>
    </row>
    <row r="92" ht="14.25" customHeight="1">
      <c r="A92" s="125">
        <v>40702.0</v>
      </c>
      <c r="B92" s="124" t="s">
        <v>663</v>
      </c>
      <c r="C92" s="124"/>
      <c r="D92" s="124"/>
    </row>
    <row r="93" ht="14.25" customHeight="1">
      <c r="A93" s="125">
        <v>40801.0</v>
      </c>
      <c r="B93" s="124" t="s">
        <v>665</v>
      </c>
      <c r="C93" s="124"/>
      <c r="D93" s="124"/>
    </row>
    <row r="94" ht="14.25" customHeight="1">
      <c r="A94" s="125">
        <v>40802.0</v>
      </c>
      <c r="B94" s="124" t="s">
        <v>666</v>
      </c>
      <c r="C94" s="124"/>
      <c r="D94" s="124"/>
    </row>
    <row r="95" ht="14.25" customHeight="1">
      <c r="A95" s="125">
        <v>40901.0</v>
      </c>
      <c r="B95" s="124" t="s">
        <v>667</v>
      </c>
      <c r="C95" s="124"/>
      <c r="D95" s="124"/>
    </row>
    <row r="96" ht="14.25" customHeight="1">
      <c r="A96" s="125">
        <v>40902.0</v>
      </c>
      <c r="B96" s="124" t="s">
        <v>668</v>
      </c>
      <c r="C96" s="124"/>
      <c r="D96" s="124"/>
    </row>
    <row r="97" ht="14.25" customHeight="1">
      <c r="A97" s="125">
        <v>40903.0</v>
      </c>
      <c r="B97" s="124" t="s">
        <v>669</v>
      </c>
      <c r="C97" s="124"/>
      <c r="D97" s="124"/>
    </row>
    <row r="98" ht="14.25" customHeight="1">
      <c r="A98" s="125">
        <v>41001.0</v>
      </c>
      <c r="B98" s="124" t="s">
        <v>671</v>
      </c>
      <c r="C98" s="124"/>
      <c r="D98" s="124"/>
    </row>
    <row r="99" ht="14.25" customHeight="1">
      <c r="A99" s="125">
        <v>41101.0</v>
      </c>
      <c r="B99" s="124" t="s">
        <v>673</v>
      </c>
      <c r="C99" s="124"/>
      <c r="D99" s="124"/>
    </row>
    <row r="100" ht="14.25" customHeight="1">
      <c r="A100" s="125">
        <v>41201.0</v>
      </c>
      <c r="B100" s="124" t="s">
        <v>675</v>
      </c>
      <c r="C100" s="124"/>
      <c r="D100" s="124"/>
    </row>
    <row r="101" ht="14.25" customHeight="1">
      <c r="A101" s="125">
        <v>41202.0</v>
      </c>
      <c r="B101" s="124" t="s">
        <v>677</v>
      </c>
      <c r="C101" s="124"/>
      <c r="D101" s="124"/>
    </row>
    <row r="102" ht="14.25" customHeight="1">
      <c r="A102" s="125">
        <v>41301.0</v>
      </c>
      <c r="B102" s="124" t="s">
        <v>619</v>
      </c>
      <c r="C102" s="124"/>
      <c r="D102" s="124"/>
    </row>
    <row r="103" ht="14.25" customHeight="1">
      <c r="A103" s="125">
        <v>41401.0</v>
      </c>
      <c r="B103" s="124" t="s">
        <v>680</v>
      </c>
      <c r="C103" s="124"/>
      <c r="D103" s="124"/>
    </row>
    <row r="104" ht="14.25" customHeight="1">
      <c r="A104" s="125">
        <v>41501.0</v>
      </c>
      <c r="B104" s="124" t="s">
        <v>682</v>
      </c>
      <c r="C104" s="124"/>
      <c r="D104" s="124"/>
    </row>
    <row r="105" ht="14.25" customHeight="1">
      <c r="A105" s="125">
        <v>41502.0</v>
      </c>
      <c r="B105" s="124" t="s">
        <v>683</v>
      </c>
      <c r="C105" s="124"/>
      <c r="D105" s="124"/>
    </row>
    <row r="106" ht="14.25" customHeight="1">
      <c r="A106" s="125">
        <v>41503.0</v>
      </c>
      <c r="B106" s="124" t="s">
        <v>644</v>
      </c>
      <c r="C106" s="124"/>
      <c r="D106" s="124"/>
    </row>
    <row r="107" ht="14.25" customHeight="1">
      <c r="A107" s="125">
        <v>41601.0</v>
      </c>
      <c r="B107" s="124" t="s">
        <v>685</v>
      </c>
      <c r="C107" s="124"/>
      <c r="D107" s="124"/>
    </row>
    <row r="108" ht="14.25" customHeight="1">
      <c r="A108" s="125">
        <v>50101.0</v>
      </c>
      <c r="B108" s="124" t="s">
        <v>687</v>
      </c>
      <c r="C108" s="124"/>
      <c r="D108" s="124"/>
    </row>
    <row r="109" ht="14.25" customHeight="1">
      <c r="A109" s="125">
        <v>50103.0</v>
      </c>
      <c r="B109" s="124" t="s">
        <v>690</v>
      </c>
      <c r="C109" s="124"/>
      <c r="D109" s="124"/>
    </row>
    <row r="110" ht="14.25" customHeight="1">
      <c r="A110" s="125">
        <v>50104.0</v>
      </c>
      <c r="B110" s="124" t="s">
        <v>692</v>
      </c>
      <c r="C110" s="124"/>
      <c r="D110" s="124"/>
    </row>
    <row r="111" ht="14.25" customHeight="1">
      <c r="A111" s="125">
        <v>50201.0</v>
      </c>
      <c r="B111" s="124" t="s">
        <v>695</v>
      </c>
      <c r="C111" s="124"/>
      <c r="D111" s="124"/>
    </row>
    <row r="112" ht="14.25" customHeight="1">
      <c r="A112" s="125">
        <v>50202.0</v>
      </c>
      <c r="B112" s="124" t="s">
        <v>696</v>
      </c>
      <c r="C112" s="124"/>
      <c r="D112" s="124"/>
    </row>
    <row r="113" ht="14.25" customHeight="1">
      <c r="A113" s="125">
        <v>50203.0</v>
      </c>
      <c r="B113" s="124" t="s">
        <v>697</v>
      </c>
      <c r="C113" s="124"/>
      <c r="D113" s="124"/>
    </row>
    <row r="114" ht="14.25" customHeight="1">
      <c r="A114" s="125">
        <v>50204.0</v>
      </c>
      <c r="B114" s="124" t="s">
        <v>698</v>
      </c>
      <c r="C114" s="124"/>
      <c r="D114" s="124"/>
    </row>
    <row r="115" ht="14.25" customHeight="1">
      <c r="A115" s="125">
        <v>50405.0</v>
      </c>
      <c r="B115" s="124" t="s">
        <v>707</v>
      </c>
      <c r="C115" s="124"/>
      <c r="D115" s="124"/>
    </row>
    <row r="116" ht="14.25" customHeight="1">
      <c r="A116" s="125">
        <v>50701.0</v>
      </c>
      <c r="B116" s="124" t="s">
        <v>713</v>
      </c>
      <c r="C116" s="124"/>
      <c r="D116" s="124"/>
    </row>
    <row r="117" ht="14.25" customHeight="1">
      <c r="A117" s="125">
        <v>50702.0</v>
      </c>
      <c r="B117" s="124" t="s">
        <v>715</v>
      </c>
      <c r="C117" s="124"/>
      <c r="D117" s="124"/>
    </row>
    <row r="118" ht="14.25" customHeight="1">
      <c r="A118" s="125">
        <v>50802.0</v>
      </c>
      <c r="B118" s="124" t="s">
        <v>718</v>
      </c>
      <c r="C118" s="124"/>
      <c r="D118" s="124"/>
    </row>
    <row r="119" ht="14.25" customHeight="1">
      <c r="A119" s="125">
        <v>50901.0</v>
      </c>
      <c r="B119" s="124" t="s">
        <v>720</v>
      </c>
      <c r="C119" s="124"/>
      <c r="D119" s="124"/>
    </row>
    <row r="120" ht="14.25" customHeight="1">
      <c r="A120" s="125">
        <v>50902.0</v>
      </c>
      <c r="B120" s="124" t="s">
        <v>722</v>
      </c>
      <c r="C120" s="124"/>
      <c r="D120" s="124"/>
    </row>
    <row r="121" ht="14.25" customHeight="1">
      <c r="A121" s="125">
        <v>51001.0</v>
      </c>
      <c r="B121" s="124" t="s">
        <v>725</v>
      </c>
      <c r="C121" s="124"/>
      <c r="D121" s="124"/>
    </row>
    <row r="122" ht="14.25" customHeight="1">
      <c r="A122" s="125">
        <v>51003.0</v>
      </c>
      <c r="B122" s="124" t="s">
        <v>728</v>
      </c>
      <c r="C122" s="124"/>
      <c r="D122" s="124"/>
    </row>
    <row r="123" ht="14.25" customHeight="1">
      <c r="A123" s="125">
        <v>51201.0</v>
      </c>
      <c r="B123" s="124" t="s">
        <v>735</v>
      </c>
      <c r="C123" s="124"/>
      <c r="D123" s="124"/>
    </row>
    <row r="124" ht="14.25" customHeight="1">
      <c r="A124" s="125">
        <v>51203.0</v>
      </c>
      <c r="B124" s="124" t="s">
        <v>737</v>
      </c>
      <c r="C124" s="124"/>
      <c r="D124" s="124"/>
    </row>
    <row r="125" ht="14.25" customHeight="1">
      <c r="A125" s="125">
        <v>51204.0</v>
      </c>
      <c r="B125" s="124" t="s">
        <v>738</v>
      </c>
      <c r="C125" s="124"/>
      <c r="D125" s="124"/>
    </row>
    <row r="126" ht="14.25" customHeight="1">
      <c r="A126" s="125">
        <v>51401.0</v>
      </c>
      <c r="B126" s="124" t="s">
        <v>743</v>
      </c>
      <c r="C126" s="124"/>
      <c r="D126" s="124"/>
    </row>
    <row r="127" ht="14.25" customHeight="1">
      <c r="A127" s="125">
        <v>51402.0</v>
      </c>
      <c r="B127" s="124" t="s">
        <v>744</v>
      </c>
      <c r="C127" s="124"/>
      <c r="D127" s="124"/>
    </row>
    <row r="128" ht="14.25" customHeight="1">
      <c r="A128" s="125">
        <v>51601.0</v>
      </c>
      <c r="B128" s="124" t="s">
        <v>748</v>
      </c>
      <c r="C128" s="124"/>
      <c r="D128" s="124"/>
    </row>
    <row r="129" ht="14.25" customHeight="1">
      <c r="A129" s="125">
        <v>70202.0</v>
      </c>
      <c r="B129" s="124" t="s">
        <v>764</v>
      </c>
      <c r="C129" s="124"/>
      <c r="D129" s="124"/>
    </row>
    <row r="130" ht="14.25" customHeight="1">
      <c r="A130" s="125">
        <v>70303.0</v>
      </c>
      <c r="B130" s="124" t="s">
        <v>770</v>
      </c>
      <c r="C130" s="124"/>
      <c r="D130" s="124"/>
    </row>
    <row r="131" ht="14.25" customHeight="1">
      <c r="A131" s="125">
        <v>70402.0</v>
      </c>
      <c r="B131" s="124" t="s">
        <v>772</v>
      </c>
      <c r="C131" s="124"/>
      <c r="D131" s="124"/>
    </row>
    <row r="132" ht="14.25" customHeight="1">
      <c r="A132" s="125">
        <v>70502.0</v>
      </c>
      <c r="B132" s="124" t="s">
        <v>778</v>
      </c>
      <c r="C132" s="124"/>
      <c r="D132" s="124"/>
    </row>
    <row r="133" ht="14.25" customHeight="1">
      <c r="A133" s="125">
        <v>70603.0</v>
      </c>
      <c r="B133" s="124" t="s">
        <v>782</v>
      </c>
      <c r="C133" s="124"/>
      <c r="D133" s="124"/>
    </row>
    <row r="134" ht="14.25" customHeight="1">
      <c r="A134" s="125">
        <v>70802.0</v>
      </c>
      <c r="B134" s="124" t="s">
        <v>786</v>
      </c>
      <c r="C134" s="124"/>
      <c r="D134" s="124"/>
    </row>
    <row r="135" ht="14.25" customHeight="1">
      <c r="A135" s="125">
        <v>70902.0</v>
      </c>
      <c r="B135" s="124" t="s">
        <v>793</v>
      </c>
      <c r="C135" s="124"/>
      <c r="D135" s="124"/>
    </row>
    <row r="136" ht="14.25" customHeight="1">
      <c r="A136" s="125">
        <v>70903.0</v>
      </c>
      <c r="B136" s="124" t="s">
        <v>794</v>
      </c>
      <c r="C136" s="124"/>
      <c r="D136" s="124"/>
    </row>
    <row r="137" ht="14.25" customHeight="1">
      <c r="A137" s="125">
        <v>71003.0</v>
      </c>
      <c r="B137" s="124" t="s">
        <v>798</v>
      </c>
      <c r="C137" s="124"/>
      <c r="D137" s="124"/>
    </row>
    <row r="138" ht="14.25" customHeight="1">
      <c r="A138" s="125">
        <v>71101.0</v>
      </c>
      <c r="B138" s="124" t="s">
        <v>754</v>
      </c>
      <c r="C138" s="124"/>
      <c r="D138" s="124"/>
    </row>
    <row r="139" ht="14.25" customHeight="1">
      <c r="A139" s="125">
        <v>71401.0</v>
      </c>
      <c r="B139" s="124" t="s">
        <v>810</v>
      </c>
      <c r="C139" s="124"/>
      <c r="D139" s="124"/>
    </row>
    <row r="140" ht="14.25" customHeight="1">
      <c r="A140" s="125">
        <v>71403.0</v>
      </c>
      <c r="B140" s="124" t="s">
        <v>812</v>
      </c>
      <c r="C140" s="124"/>
      <c r="D140" s="124"/>
    </row>
    <row r="141" ht="14.25" customHeight="1">
      <c r="A141" s="125">
        <v>71502.0</v>
      </c>
      <c r="B141" s="124" t="s">
        <v>815</v>
      </c>
      <c r="C141" s="124"/>
      <c r="D141" s="124"/>
    </row>
    <row r="142" ht="14.25" customHeight="1">
      <c r="A142" s="125">
        <v>71503.0</v>
      </c>
      <c r="B142" s="124" t="s">
        <v>759</v>
      </c>
      <c r="C142" s="124"/>
      <c r="D142" s="124"/>
    </row>
    <row r="143" ht="14.25" customHeight="1">
      <c r="A143" s="125">
        <v>80102.0</v>
      </c>
      <c r="B143" s="124" t="s">
        <v>801</v>
      </c>
      <c r="C143" s="124"/>
      <c r="D143" s="124"/>
    </row>
    <row r="144" ht="14.25" customHeight="1">
      <c r="A144" s="125">
        <v>80401.0</v>
      </c>
      <c r="B144" s="124" t="s">
        <v>822</v>
      </c>
      <c r="C144" s="124"/>
      <c r="D144" s="124"/>
    </row>
    <row r="145" ht="14.25" customHeight="1">
      <c r="A145" s="125">
        <v>80402.0</v>
      </c>
      <c r="B145" s="124" t="s">
        <v>824</v>
      </c>
      <c r="C145" s="124"/>
      <c r="D145" s="124"/>
    </row>
    <row r="146" ht="14.25" customHeight="1">
      <c r="A146" s="125">
        <v>80601.0</v>
      </c>
      <c r="B146" s="124" t="s">
        <v>827</v>
      </c>
      <c r="C146" s="124"/>
      <c r="D146" s="124"/>
    </row>
    <row r="147" ht="14.25" customHeight="1">
      <c r="A147" s="125">
        <v>80701.0</v>
      </c>
      <c r="B147" s="124" t="s">
        <v>830</v>
      </c>
      <c r="C147" s="124"/>
      <c r="D147" s="124"/>
    </row>
    <row r="148" ht="14.25" customHeight="1">
      <c r="A148" s="125">
        <v>80703.0</v>
      </c>
      <c r="B148" s="124" t="s">
        <v>48</v>
      </c>
      <c r="C148" s="124"/>
      <c r="D148" s="124"/>
    </row>
    <row r="149" ht="14.25" customHeight="1">
      <c r="A149" s="125">
        <v>80901.0</v>
      </c>
      <c r="B149" s="124" t="s">
        <v>833</v>
      </c>
      <c r="C149" s="124"/>
      <c r="D149" s="124"/>
    </row>
    <row r="150" ht="14.25" customHeight="1">
      <c r="A150" s="125">
        <v>90103.0</v>
      </c>
      <c r="B150" s="124" t="s">
        <v>835</v>
      </c>
      <c r="C150" s="124"/>
      <c r="D150" s="124"/>
    </row>
    <row r="151" ht="14.25" customHeight="1">
      <c r="A151" s="125">
        <v>70103.0</v>
      </c>
      <c r="B151" s="124" t="s">
        <v>310</v>
      </c>
      <c r="C151" s="124"/>
      <c r="D151" s="124"/>
    </row>
    <row r="152" ht="14.25" customHeight="1">
      <c r="A152" s="125">
        <v>80301.0</v>
      </c>
      <c r="B152" s="124" t="s">
        <v>53</v>
      </c>
      <c r="C152" s="124"/>
      <c r="D152" s="124"/>
    </row>
    <row r="153" ht="14.25" customHeight="1">
      <c r="A153" s="125">
        <v>80802.0</v>
      </c>
      <c r="B153" s="124" t="s">
        <v>28</v>
      </c>
      <c r="C153" s="124"/>
      <c r="D153" s="124"/>
    </row>
    <row r="154" ht="14.25" customHeight="1">
      <c r="A154" s="125">
        <v>90201.0</v>
      </c>
      <c r="B154" s="124" t="s">
        <v>247</v>
      </c>
      <c r="C154" s="124"/>
      <c r="D154" s="124"/>
    </row>
    <row r="155" ht="14.25" customHeight="1">
      <c r="A155" s="125">
        <v>90202.0</v>
      </c>
      <c r="B155" s="124" t="s">
        <v>709</v>
      </c>
      <c r="C155" s="124"/>
      <c r="D155" s="124"/>
    </row>
    <row r="156" ht="14.25" customHeight="1">
      <c r="A156" s="125">
        <v>90203.0</v>
      </c>
      <c r="B156" s="124" t="s">
        <v>237</v>
      </c>
      <c r="C156" s="124"/>
      <c r="D156" s="124"/>
    </row>
    <row r="157" ht="14.25" customHeight="1">
      <c r="A157" s="125">
        <v>90301.0</v>
      </c>
      <c r="B157" s="124" t="s">
        <v>245</v>
      </c>
      <c r="C157" s="124"/>
      <c r="D157" s="124"/>
    </row>
    <row r="158" ht="14.25" customHeight="1">
      <c r="A158" s="125">
        <v>90302.0</v>
      </c>
      <c r="B158" s="124" t="s">
        <v>757</v>
      </c>
      <c r="C158" s="124"/>
      <c r="D158" s="124"/>
    </row>
    <row r="159" ht="14.25" customHeight="1">
      <c r="A159" s="125">
        <v>21501.0</v>
      </c>
      <c r="B159" s="124" t="s">
        <v>220</v>
      </c>
      <c r="C159" s="124"/>
      <c r="D159" s="124"/>
    </row>
    <row r="160" ht="14.25" customHeight="1">
      <c r="A160" s="125">
        <v>90104.0</v>
      </c>
      <c r="B160" s="124" t="s">
        <v>231</v>
      </c>
      <c r="C160" s="124"/>
      <c r="D160" s="124"/>
    </row>
    <row r="161" ht="14.25" customHeight="1">
      <c r="A161" s="125">
        <v>90303.0</v>
      </c>
      <c r="B161" s="124" t="s">
        <v>253</v>
      </c>
      <c r="C161" s="124"/>
      <c r="D161" s="124"/>
    </row>
    <row r="162" ht="14.25" customHeight="1">
      <c r="A162" s="125">
        <v>90401.0</v>
      </c>
      <c r="B162" s="124" t="s">
        <v>80</v>
      </c>
      <c r="C162" s="124"/>
      <c r="D162" s="124"/>
    </row>
    <row r="163" ht="14.25" customHeight="1">
      <c r="A163" s="125">
        <v>90402.0</v>
      </c>
      <c r="B163" s="124" t="s">
        <v>524</v>
      </c>
      <c r="C163" s="124"/>
      <c r="D163" s="124"/>
    </row>
    <row r="164" ht="14.25" customHeight="1">
      <c r="A164" s="125">
        <v>90502.0</v>
      </c>
      <c r="B164" s="124" t="s">
        <v>841</v>
      </c>
      <c r="C164" s="124"/>
      <c r="D164" s="124"/>
    </row>
    <row r="165" ht="14.25" customHeight="1">
      <c r="A165" s="125">
        <v>90501.0</v>
      </c>
      <c r="B165" s="124" t="s">
        <v>840</v>
      </c>
      <c r="C165" s="124"/>
      <c r="D165" s="124"/>
    </row>
    <row r="166" ht="14.25" customHeight="1">
      <c r="A166" s="125">
        <v>90503.0</v>
      </c>
      <c r="B166" s="124" t="s">
        <v>843</v>
      </c>
      <c r="C166" s="124"/>
      <c r="D166" s="124"/>
    </row>
    <row r="167" ht="14.25" customHeight="1">
      <c r="A167" s="125">
        <v>21104.0</v>
      </c>
      <c r="B167" s="124" t="s">
        <v>225</v>
      </c>
      <c r="C167" s="124"/>
      <c r="D167" s="124"/>
    </row>
    <row r="168" ht="14.25" customHeight="1">
      <c r="A168" s="125">
        <v>31206.0</v>
      </c>
      <c r="B168" s="124" t="s">
        <v>622</v>
      </c>
      <c r="C168" s="124"/>
      <c r="D168" s="124"/>
    </row>
    <row r="169" ht="14.25" customHeight="1">
      <c r="A169" s="125">
        <v>70302.0</v>
      </c>
      <c r="B169" s="124" t="s">
        <v>768</v>
      </c>
      <c r="C169" s="124"/>
      <c r="D169" s="124"/>
    </row>
    <row r="170" ht="14.25" customHeight="1">
      <c r="A170" s="125">
        <v>70501.0</v>
      </c>
      <c r="B170" s="124" t="s">
        <v>776</v>
      </c>
      <c r="C170" s="124"/>
      <c r="D170" s="124"/>
    </row>
    <row r="171" ht="14.25" customHeight="1">
      <c r="A171" s="125">
        <v>70503.0</v>
      </c>
      <c r="B171" s="124" t="s">
        <v>779</v>
      </c>
      <c r="C171" s="124"/>
      <c r="D171" s="124"/>
    </row>
    <row r="172" ht="14.25" customHeight="1">
      <c r="A172" s="125">
        <v>70601.0</v>
      </c>
      <c r="B172" s="124" t="s">
        <v>312</v>
      </c>
      <c r="C172" s="124"/>
      <c r="D172" s="124"/>
    </row>
    <row r="173" ht="14.25" customHeight="1">
      <c r="A173" s="125">
        <v>71002.0</v>
      </c>
      <c r="B173" s="124" t="s">
        <v>797</v>
      </c>
      <c r="C173" s="124"/>
      <c r="D173" s="124"/>
    </row>
    <row r="174" ht="14.25" customHeight="1">
      <c r="A174" s="125">
        <v>71004.0</v>
      </c>
      <c r="B174" s="124" t="s">
        <v>799</v>
      </c>
      <c r="C174" s="124"/>
      <c r="D174" s="124"/>
    </row>
    <row r="175" ht="14.25" customHeight="1">
      <c r="A175" s="125">
        <v>71005.0</v>
      </c>
      <c r="B175" s="124" t="s">
        <v>709</v>
      </c>
      <c r="C175" s="124"/>
      <c r="D175" s="124"/>
    </row>
    <row r="176" ht="14.25" customHeight="1">
      <c r="A176" s="125">
        <v>71102.0</v>
      </c>
      <c r="B176" s="124" t="s">
        <v>801</v>
      </c>
      <c r="C176" s="124"/>
      <c r="D176" s="124"/>
    </row>
    <row r="177" ht="14.25" customHeight="1">
      <c r="A177" s="125">
        <v>71103.0</v>
      </c>
      <c r="B177" s="124" t="s">
        <v>802</v>
      </c>
      <c r="C177" s="124"/>
      <c r="D177" s="124"/>
    </row>
    <row r="178" ht="14.25" customHeight="1">
      <c r="A178" s="125">
        <v>71106.0</v>
      </c>
      <c r="B178" s="124" t="s">
        <v>805</v>
      </c>
      <c r="C178" s="124"/>
      <c r="D178" s="124"/>
    </row>
    <row r="179" ht="14.25" customHeight="1">
      <c r="A179" s="125">
        <v>71201.0</v>
      </c>
      <c r="B179" s="124" t="s">
        <v>807</v>
      </c>
      <c r="C179" s="124"/>
      <c r="D179" s="124"/>
    </row>
    <row r="180" ht="14.25" customHeight="1">
      <c r="A180" s="125">
        <v>71402.0</v>
      </c>
      <c r="B180" s="124" t="s">
        <v>811</v>
      </c>
      <c r="C180" s="124"/>
      <c r="D180" s="124"/>
    </row>
    <row r="181" ht="14.25" customHeight="1">
      <c r="A181" s="125">
        <v>80302.0</v>
      </c>
      <c r="B181" s="124" t="s">
        <v>67</v>
      </c>
      <c r="C181" s="124"/>
      <c r="D181" s="124"/>
    </row>
    <row r="182" ht="14.25" customHeight="1">
      <c r="A182" s="125">
        <v>80303.0</v>
      </c>
      <c r="B182" s="124" t="s">
        <v>80</v>
      </c>
      <c r="C182" s="124"/>
      <c r="D182" s="124"/>
    </row>
    <row r="183" ht="14.25" customHeight="1">
      <c r="A183" s="125">
        <v>80501.0</v>
      </c>
      <c r="B183" s="124" t="s">
        <v>767</v>
      </c>
      <c r="C183" s="124"/>
      <c r="D183" s="124"/>
    </row>
    <row r="184" ht="14.25" customHeight="1">
      <c r="A184" s="125">
        <v>20606.0</v>
      </c>
      <c r="B184" s="124" t="s">
        <v>230</v>
      </c>
      <c r="C184" s="124"/>
      <c r="D184" s="124"/>
    </row>
    <row r="185" ht="14.25" customHeight="1">
      <c r="A185" s="125">
        <v>22002.0</v>
      </c>
      <c r="B185" s="124" t="s">
        <v>587</v>
      </c>
      <c r="C185" s="124"/>
      <c r="D185" s="124"/>
    </row>
    <row r="186" ht="14.25" customHeight="1">
      <c r="A186" s="125">
        <v>71501.0</v>
      </c>
      <c r="B186" s="124" t="s">
        <v>814</v>
      </c>
      <c r="C186" s="124"/>
      <c r="D186" s="124"/>
    </row>
    <row r="187" ht="14.25" customHeight="1">
      <c r="A187" s="125">
        <v>80702.0</v>
      </c>
      <c r="B187" s="124" t="s">
        <v>802</v>
      </c>
      <c r="C187" s="124"/>
      <c r="D187" s="124"/>
    </row>
    <row r="188" ht="14.25" customHeight="1">
      <c r="A188" s="125">
        <v>90102.0</v>
      </c>
      <c r="B188" s="124" t="s">
        <v>243</v>
      </c>
      <c r="C188" s="124"/>
      <c r="D188" s="124"/>
    </row>
    <row r="189" ht="14.25" customHeight="1">
      <c r="A189" s="125">
        <v>20602.0</v>
      </c>
      <c r="B189" s="124" t="s">
        <v>215</v>
      </c>
      <c r="C189" s="124"/>
      <c r="D189" s="124"/>
    </row>
    <row r="190" ht="14.25" customHeight="1">
      <c r="A190" s="125">
        <v>20607.0</v>
      </c>
      <c r="B190" s="124" t="s">
        <v>223</v>
      </c>
      <c r="C190" s="124"/>
      <c r="D190" s="124"/>
    </row>
    <row r="191" ht="14.25" customHeight="1">
      <c r="A191" s="125">
        <v>20608.0</v>
      </c>
      <c r="B191" s="124" t="s">
        <v>229</v>
      </c>
      <c r="C191" s="124"/>
      <c r="D191" s="124"/>
    </row>
    <row r="192" ht="14.25" customHeight="1">
      <c r="A192" s="125">
        <v>21502.0</v>
      </c>
      <c r="B192" s="124" t="s">
        <v>570</v>
      </c>
      <c r="C192" s="124"/>
      <c r="D192" s="124"/>
    </row>
    <row r="193" ht="14.25" customHeight="1">
      <c r="A193" s="125">
        <v>22001.0</v>
      </c>
      <c r="B193" s="124" t="s">
        <v>205</v>
      </c>
      <c r="C193" s="124"/>
      <c r="D193" s="124"/>
    </row>
    <row r="194" ht="14.25" customHeight="1">
      <c r="A194" s="125">
        <v>31003.0</v>
      </c>
      <c r="B194" s="124" t="s">
        <v>196</v>
      </c>
      <c r="C194" s="124"/>
      <c r="D194" s="124"/>
    </row>
    <row r="195" ht="14.25" customHeight="1">
      <c r="A195" s="125">
        <v>31205.0</v>
      </c>
      <c r="B195" s="124" t="s">
        <v>173</v>
      </c>
      <c r="C195" s="124"/>
      <c r="D195" s="124"/>
    </row>
    <row r="196" ht="14.25" customHeight="1">
      <c r="A196" s="125">
        <v>31602.0</v>
      </c>
      <c r="B196" s="124" t="s">
        <v>635</v>
      </c>
      <c r="C196" s="124"/>
      <c r="D196" s="124"/>
    </row>
    <row r="197" ht="14.25" customHeight="1">
      <c r="A197" s="125">
        <v>60202.0</v>
      </c>
      <c r="B197" s="124" t="s">
        <v>336</v>
      </c>
      <c r="C197" s="124"/>
      <c r="D197" s="124"/>
    </row>
    <row r="198" ht="14.25" customHeight="1">
      <c r="A198" s="125">
        <v>70101.0</v>
      </c>
      <c r="B198" s="124" t="s">
        <v>762</v>
      </c>
      <c r="C198" s="124"/>
      <c r="D198" s="124"/>
    </row>
    <row r="199" ht="14.25" customHeight="1">
      <c r="A199" s="125">
        <v>70102.0</v>
      </c>
      <c r="B199" s="124" t="s">
        <v>288</v>
      </c>
      <c r="C199" s="124"/>
      <c r="D199" s="124"/>
    </row>
    <row r="200" ht="14.25" customHeight="1">
      <c r="A200" s="125">
        <v>70104.0</v>
      </c>
      <c r="B200" s="124" t="s">
        <v>300</v>
      </c>
      <c r="C200" s="124"/>
      <c r="D200" s="124"/>
    </row>
    <row r="201" ht="14.25" customHeight="1">
      <c r="A201" s="125">
        <v>70201.0</v>
      </c>
      <c r="B201" s="124" t="s">
        <v>333</v>
      </c>
      <c r="C201" s="124"/>
      <c r="D201" s="124"/>
    </row>
    <row r="202" ht="14.25" customHeight="1">
      <c r="A202" s="125">
        <v>70301.0</v>
      </c>
      <c r="B202" s="124" t="s">
        <v>766</v>
      </c>
      <c r="C202" s="124"/>
      <c r="D202" s="124"/>
    </row>
    <row r="203" ht="14.25" customHeight="1">
      <c r="A203" s="125">
        <v>70401.0</v>
      </c>
      <c r="B203" s="124" t="s">
        <v>270</v>
      </c>
      <c r="C203" s="124"/>
      <c r="D203" s="124"/>
    </row>
    <row r="204" ht="14.25" customHeight="1">
      <c r="A204" s="125">
        <v>70403.0</v>
      </c>
      <c r="B204" s="124" t="s">
        <v>773</v>
      </c>
      <c r="C204" s="124"/>
      <c r="D204" s="124"/>
    </row>
    <row r="205" ht="14.25" customHeight="1">
      <c r="A205" s="125">
        <v>70404.0</v>
      </c>
      <c r="B205" s="124" t="s">
        <v>774</v>
      </c>
      <c r="C205" s="124"/>
      <c r="D205" s="124"/>
    </row>
    <row r="206" ht="14.25" customHeight="1">
      <c r="A206" s="125">
        <v>70602.0</v>
      </c>
      <c r="B206" s="124" t="s">
        <v>781</v>
      </c>
      <c r="C206" s="124"/>
      <c r="D206" s="124"/>
    </row>
    <row r="207" ht="14.25" customHeight="1">
      <c r="A207" s="125">
        <v>71001.0</v>
      </c>
      <c r="B207" s="124" t="s">
        <v>304</v>
      </c>
      <c r="C207" s="124"/>
      <c r="D207" s="124"/>
    </row>
    <row r="208" ht="14.25" customHeight="1">
      <c r="A208" s="125">
        <v>80101.0</v>
      </c>
      <c r="B208" s="124" t="s">
        <v>83</v>
      </c>
      <c r="C208" s="124"/>
      <c r="D208" s="124"/>
    </row>
    <row r="209" ht="14.25" customHeight="1">
      <c r="A209" s="125">
        <v>80304.0</v>
      </c>
      <c r="B209" s="124" t="s">
        <v>820</v>
      </c>
      <c r="C209" s="124"/>
      <c r="D209" s="124"/>
    </row>
    <row r="210" ht="14.25" customHeight="1">
      <c r="A210" s="125">
        <v>80602.0</v>
      </c>
      <c r="B210" s="124" t="s">
        <v>828</v>
      </c>
      <c r="C210" s="124"/>
      <c r="D210" s="124"/>
    </row>
    <row r="211" ht="14.25" customHeight="1">
      <c r="A211" s="125">
        <v>80801.0</v>
      </c>
      <c r="B211" s="124" t="s">
        <v>43</v>
      </c>
      <c r="C211" s="124"/>
      <c r="D211" s="124"/>
    </row>
    <row r="212" ht="14.25" customHeight="1">
      <c r="A212" s="125">
        <v>80803.0</v>
      </c>
      <c r="B212" s="124" t="s">
        <v>832</v>
      </c>
      <c r="C212" s="124"/>
      <c r="D212" s="124"/>
    </row>
    <row r="213" ht="14.25" customHeight="1">
      <c r="A213" s="125">
        <v>90101.0</v>
      </c>
      <c r="B213" s="124" t="s">
        <v>232</v>
      </c>
      <c r="C213" s="124"/>
      <c r="D213" s="124"/>
    </row>
    <row r="214" ht="14.25" customHeight="1">
      <c r="A214" s="125">
        <v>80201.0</v>
      </c>
      <c r="B214" s="124" t="s">
        <v>58</v>
      </c>
      <c r="C214" s="124"/>
      <c r="D214" s="124"/>
    </row>
    <row r="215" ht="14.25" customHeight="1">
      <c r="A215" s="125">
        <v>80202.0</v>
      </c>
      <c r="B215" s="124" t="s">
        <v>818</v>
      </c>
      <c r="C215" s="124"/>
      <c r="D215" s="124"/>
    </row>
    <row r="216" ht="14.25" customHeight="1">
      <c r="A216" s="125">
        <v>10403.0</v>
      </c>
      <c r="B216" s="124" t="s">
        <v>126</v>
      </c>
      <c r="C216" s="124"/>
      <c r="D216" s="124"/>
    </row>
    <row r="217" ht="14.25" customHeight="1">
      <c r="A217" s="125">
        <v>20603.0</v>
      </c>
      <c r="B217" s="124" t="s">
        <v>519</v>
      </c>
      <c r="C217" s="124"/>
      <c r="D217" s="124"/>
    </row>
    <row r="218" ht="14.25" customHeight="1">
      <c r="A218" s="125">
        <v>21001.0</v>
      </c>
      <c r="B218" s="124" t="s">
        <v>218</v>
      </c>
      <c r="C218" s="124"/>
      <c r="D218" s="124"/>
    </row>
    <row r="219" ht="14.25" customHeight="1">
      <c r="A219" s="125">
        <v>21003.0</v>
      </c>
      <c r="B219" s="124" t="s">
        <v>542</v>
      </c>
      <c r="C219" s="124"/>
      <c r="D219" s="124"/>
    </row>
    <row r="220" ht="14.25" customHeight="1">
      <c r="A220" s="125">
        <v>21006.0</v>
      </c>
      <c r="B220" s="124" t="s">
        <v>545</v>
      </c>
      <c r="C220" s="124"/>
      <c r="D220" s="124"/>
    </row>
    <row r="221" ht="14.25" customHeight="1">
      <c r="A221" s="125">
        <v>21102.0</v>
      </c>
      <c r="B221" s="124" t="s">
        <v>549</v>
      </c>
      <c r="C221" s="124"/>
      <c r="D221" s="124"/>
    </row>
    <row r="222" ht="14.25" customHeight="1">
      <c r="A222" s="125">
        <v>21103.0</v>
      </c>
      <c r="B222" s="124" t="s">
        <v>551</v>
      </c>
      <c r="C222" s="124"/>
      <c r="D222" s="124"/>
    </row>
    <row r="223" ht="14.25" customHeight="1">
      <c r="A223" s="125">
        <v>21401.0</v>
      </c>
      <c r="B223" s="124" t="s">
        <v>208</v>
      </c>
      <c r="C223" s="124"/>
      <c r="D223" s="124"/>
    </row>
    <row r="224" ht="14.25" customHeight="1">
      <c r="A224" s="125">
        <v>21402.0</v>
      </c>
      <c r="B224" s="124" t="s">
        <v>568</v>
      </c>
      <c r="C224" s="124"/>
      <c r="D224" s="124"/>
    </row>
    <row r="225" ht="14.25" customHeight="1">
      <c r="A225" s="125">
        <v>30303.0</v>
      </c>
      <c r="B225" s="124" t="s">
        <v>594</v>
      </c>
      <c r="C225" s="124"/>
      <c r="D225" s="124"/>
    </row>
    <row r="226" ht="14.25" customHeight="1">
      <c r="A226" s="125">
        <v>30401.0</v>
      </c>
      <c r="B226" s="124" t="s">
        <v>190</v>
      </c>
      <c r="C226" s="124"/>
      <c r="D226" s="124"/>
    </row>
    <row r="227" ht="14.25" customHeight="1">
      <c r="A227" s="125">
        <v>30404.0</v>
      </c>
      <c r="B227" s="124" t="s">
        <v>598</v>
      </c>
      <c r="C227" s="124"/>
      <c r="D227" s="124"/>
    </row>
    <row r="228" ht="14.25" customHeight="1">
      <c r="A228" s="125">
        <v>30602.0</v>
      </c>
      <c r="B228" s="124" t="s">
        <v>187</v>
      </c>
      <c r="C228" s="124"/>
      <c r="D228" s="124"/>
    </row>
    <row r="229" ht="14.25" customHeight="1">
      <c r="A229" s="125">
        <v>30802.0</v>
      </c>
      <c r="B229" s="124" t="s">
        <v>609</v>
      </c>
      <c r="C229" s="124"/>
      <c r="D229" s="124"/>
    </row>
    <row r="230" ht="14.25" customHeight="1">
      <c r="A230" s="125">
        <v>30803.0</v>
      </c>
      <c r="B230" s="124" t="s">
        <v>610</v>
      </c>
      <c r="C230" s="124"/>
      <c r="D230" s="124"/>
    </row>
    <row r="231" ht="14.25" customHeight="1">
      <c r="A231" s="125">
        <v>30903.0</v>
      </c>
      <c r="B231" s="124" t="s">
        <v>612</v>
      </c>
      <c r="C231" s="124"/>
      <c r="D231" s="124"/>
    </row>
    <row r="232" ht="14.25" customHeight="1">
      <c r="A232" s="125">
        <v>30905.0</v>
      </c>
      <c r="B232" s="124" t="s">
        <v>614</v>
      </c>
      <c r="C232" s="124"/>
      <c r="D232" s="124"/>
    </row>
    <row r="233" ht="14.25" customHeight="1">
      <c r="A233" s="125">
        <v>31203.0</v>
      </c>
      <c r="B233" s="124" t="s">
        <v>620</v>
      </c>
      <c r="C233" s="124"/>
      <c r="D233" s="124"/>
    </row>
    <row r="234" ht="14.25" customHeight="1">
      <c r="A234" s="125">
        <v>50102.0</v>
      </c>
      <c r="B234" s="124" t="s">
        <v>689</v>
      </c>
      <c r="C234" s="124"/>
      <c r="D234" s="124"/>
    </row>
    <row r="235" ht="14.25" customHeight="1">
      <c r="A235" s="125">
        <v>50302.0</v>
      </c>
      <c r="B235" s="124" t="s">
        <v>702</v>
      </c>
      <c r="C235" s="124"/>
      <c r="D235" s="124"/>
    </row>
    <row r="236" ht="14.25" customHeight="1">
      <c r="A236" s="125">
        <v>50801.0</v>
      </c>
      <c r="B236" s="124" t="s">
        <v>717</v>
      </c>
      <c r="C236" s="124"/>
      <c r="D236" s="124"/>
    </row>
    <row r="237" ht="14.25" customHeight="1">
      <c r="A237" s="125">
        <v>51002.0</v>
      </c>
      <c r="B237" s="124" t="s">
        <v>727</v>
      </c>
      <c r="C237" s="124"/>
      <c r="D237" s="124"/>
    </row>
    <row r="238" ht="14.25" customHeight="1">
      <c r="A238" s="125">
        <v>51102.0</v>
      </c>
      <c r="B238" s="124" t="s">
        <v>732</v>
      </c>
      <c r="C238" s="124"/>
      <c r="D238" s="124"/>
    </row>
    <row r="239" ht="14.25" customHeight="1">
      <c r="A239" s="125">
        <v>51301.0</v>
      </c>
      <c r="B239" s="124" t="s">
        <v>740</v>
      </c>
      <c r="C239" s="124"/>
      <c r="D239" s="124"/>
    </row>
    <row r="240" ht="14.25" customHeight="1">
      <c r="A240" s="125">
        <v>51302.0</v>
      </c>
      <c r="B240" s="124" t="s">
        <v>741</v>
      </c>
      <c r="C240" s="124"/>
      <c r="D240" s="124"/>
    </row>
    <row r="241" ht="14.25" customHeight="1">
      <c r="A241" s="125">
        <v>51501.0</v>
      </c>
      <c r="B241" s="124" t="s">
        <v>746</v>
      </c>
      <c r="C241" s="124"/>
      <c r="D241" s="124"/>
    </row>
    <row r="242" ht="14.25" customHeight="1">
      <c r="A242" s="125">
        <v>60401.0</v>
      </c>
      <c r="B242" s="124" t="s">
        <v>753</v>
      </c>
      <c r="C242" s="124"/>
      <c r="D242" s="124"/>
    </row>
    <row r="243" ht="14.25" customHeight="1">
      <c r="A243" s="125">
        <v>60402.0</v>
      </c>
      <c r="B243" s="124" t="s">
        <v>755</v>
      </c>
      <c r="C243" s="124"/>
      <c r="D243" s="124"/>
    </row>
    <row r="244" ht="14.25" customHeight="1">
      <c r="A244" s="125">
        <v>70901.0</v>
      </c>
      <c r="B244" s="124" t="s">
        <v>792</v>
      </c>
      <c r="C244" s="124"/>
      <c r="D244" s="124"/>
    </row>
    <row r="245" ht="14.25" customHeight="1">
      <c r="A245" s="125">
        <v>70904.0</v>
      </c>
      <c r="B245" s="124" t="s">
        <v>795</v>
      </c>
      <c r="C245" s="124"/>
      <c r="D245" s="124"/>
    </row>
    <row r="246" ht="14.25" customHeight="1">
      <c r="A246" s="125">
        <v>70804.0</v>
      </c>
      <c r="B246" s="124" t="s">
        <v>789</v>
      </c>
      <c r="C246" s="124"/>
      <c r="D246" s="124"/>
    </row>
    <row r="247" ht="14.25" customHeight="1">
      <c r="A247" s="125">
        <v>10202.0</v>
      </c>
      <c r="B247" s="124" t="s">
        <v>134</v>
      </c>
      <c r="C247" s="124"/>
      <c r="D247" s="124"/>
    </row>
    <row r="248" ht="14.25" customHeight="1">
      <c r="A248" s="125">
        <v>10301.0</v>
      </c>
      <c r="B248" s="124" t="s">
        <v>147</v>
      </c>
      <c r="C248" s="124"/>
      <c r="D248" s="124"/>
    </row>
    <row r="249" ht="14.25" customHeight="1">
      <c r="A249" s="125">
        <v>10901.0</v>
      </c>
      <c r="B249" s="124" t="s">
        <v>476</v>
      </c>
      <c r="C249" s="124"/>
      <c r="D249" s="124"/>
    </row>
    <row r="250" ht="14.25" customHeight="1">
      <c r="A250" s="125">
        <v>20103.0</v>
      </c>
      <c r="B250" s="124" t="s">
        <v>487</v>
      </c>
      <c r="C250" s="124"/>
      <c r="D250" s="124"/>
    </row>
    <row r="251" ht="14.25" customHeight="1">
      <c r="A251" s="125">
        <v>20901.0</v>
      </c>
      <c r="B251" s="124" t="s">
        <v>536</v>
      </c>
      <c r="C251" s="124"/>
      <c r="D251" s="124"/>
    </row>
    <row r="252" ht="14.25" customHeight="1">
      <c r="A252" s="125">
        <v>20902.0</v>
      </c>
      <c r="B252" s="124" t="s">
        <v>537</v>
      </c>
      <c r="C252" s="124"/>
      <c r="D252" s="124"/>
    </row>
    <row r="253" ht="14.25" customHeight="1">
      <c r="A253" s="125">
        <v>20905.0</v>
      </c>
      <c r="B253" s="124" t="s">
        <v>540</v>
      </c>
      <c r="C253" s="124"/>
      <c r="D253" s="124"/>
    </row>
    <row r="254" ht="14.25" customHeight="1">
      <c r="A254" s="125">
        <v>21101.0</v>
      </c>
      <c r="B254" s="124" t="s">
        <v>547</v>
      </c>
      <c r="C254" s="124"/>
      <c r="D254" s="124"/>
    </row>
    <row r="255" ht="14.25" customHeight="1">
      <c r="A255" s="125">
        <v>30301.0</v>
      </c>
      <c r="B255" s="124" t="s">
        <v>591</v>
      </c>
      <c r="C255" s="124"/>
      <c r="D255" s="124"/>
    </row>
    <row r="256" ht="14.25" customHeight="1">
      <c r="A256" s="125">
        <v>30501.0</v>
      </c>
      <c r="B256" s="124" t="s">
        <v>599</v>
      </c>
      <c r="C256" s="124"/>
      <c r="D256" s="124"/>
    </row>
    <row r="257" ht="14.25" customHeight="1">
      <c r="A257" s="125">
        <v>30801.0</v>
      </c>
      <c r="B257" s="124" t="s">
        <v>608</v>
      </c>
      <c r="C257" s="124"/>
      <c r="D257" s="124"/>
    </row>
    <row r="258" ht="14.25" customHeight="1">
      <c r="A258" s="125">
        <v>30904.0</v>
      </c>
      <c r="B258" s="124" t="s">
        <v>613</v>
      </c>
      <c r="C258" s="124"/>
      <c r="D258" s="124"/>
    </row>
    <row r="259" ht="14.25" customHeight="1">
      <c r="A259" s="125">
        <v>31101.0</v>
      </c>
      <c r="B259" s="124" t="s">
        <v>617</v>
      </c>
      <c r="C259" s="124"/>
      <c r="D259" s="124"/>
    </row>
    <row r="260" ht="14.25" customHeight="1">
      <c r="A260" s="125">
        <v>31201.0</v>
      </c>
      <c r="B260" s="124" t="s">
        <v>619</v>
      </c>
      <c r="C260" s="124"/>
      <c r="D260" s="124"/>
    </row>
    <row r="261" ht="14.25" customHeight="1">
      <c r="A261" s="125">
        <v>31402.0</v>
      </c>
      <c r="B261" s="124" t="s">
        <v>627</v>
      </c>
      <c r="C261" s="124"/>
      <c r="D261" s="124"/>
    </row>
    <row r="262" ht="14.25" customHeight="1">
      <c r="A262" s="125">
        <v>31403.0</v>
      </c>
      <c r="B262" s="124" t="s">
        <v>628</v>
      </c>
      <c r="C262" s="124"/>
      <c r="D262" s="124"/>
    </row>
    <row r="263" ht="14.25" customHeight="1">
      <c r="A263" s="125">
        <v>31405.0</v>
      </c>
      <c r="B263" s="124" t="s">
        <v>631</v>
      </c>
      <c r="C263" s="124"/>
      <c r="D263" s="124"/>
    </row>
    <row r="264" ht="14.25" customHeight="1">
      <c r="A264" s="125">
        <v>50402.0</v>
      </c>
      <c r="B264" s="124" t="s">
        <v>264</v>
      </c>
      <c r="C264" s="124"/>
      <c r="D264" s="124"/>
    </row>
    <row r="265" ht="14.25" customHeight="1">
      <c r="A265" s="125">
        <v>50403.0</v>
      </c>
      <c r="B265" s="124" t="s">
        <v>705</v>
      </c>
      <c r="C265" s="124"/>
      <c r="D265" s="124"/>
    </row>
    <row r="266" ht="14.25" customHeight="1">
      <c r="A266" s="125">
        <v>50501.0</v>
      </c>
      <c r="B266" s="124" t="s">
        <v>709</v>
      </c>
      <c r="C266" s="124"/>
      <c r="D266" s="124"/>
    </row>
    <row r="267" ht="14.25" customHeight="1">
      <c r="A267" s="125">
        <v>50601.0</v>
      </c>
      <c r="B267" s="124" t="s">
        <v>262</v>
      </c>
      <c r="C267" s="124"/>
      <c r="D267" s="124"/>
    </row>
    <row r="268" ht="14.25" customHeight="1">
      <c r="A268" s="125">
        <v>50602.0</v>
      </c>
      <c r="B268" s="124" t="s">
        <v>711</v>
      </c>
      <c r="C268" s="124"/>
      <c r="D268" s="124"/>
    </row>
    <row r="269" ht="14.25" customHeight="1">
      <c r="A269" s="125">
        <v>51101.0</v>
      </c>
      <c r="B269" s="124" t="s">
        <v>730</v>
      </c>
      <c r="C269" s="124"/>
      <c r="D269" s="124"/>
    </row>
    <row r="270" ht="14.25" customHeight="1">
      <c r="A270" s="125">
        <v>51202.0</v>
      </c>
      <c r="B270" s="124" t="s">
        <v>736</v>
      </c>
      <c r="C270" s="124"/>
      <c r="D270" s="124"/>
    </row>
    <row r="271" ht="14.25" customHeight="1">
      <c r="A271" s="125">
        <v>60201.0</v>
      </c>
      <c r="B271" s="124" t="s">
        <v>345</v>
      </c>
      <c r="C271" s="124"/>
      <c r="D271" s="124"/>
    </row>
    <row r="272" ht="14.25" customHeight="1">
      <c r="A272" s="125">
        <v>60501.0</v>
      </c>
      <c r="B272" s="124" t="s">
        <v>757</v>
      </c>
      <c r="C272" s="124"/>
      <c r="D272" s="124"/>
    </row>
    <row r="273" ht="14.25" customHeight="1">
      <c r="A273" s="125">
        <v>70701.0</v>
      </c>
      <c r="B273" s="124" t="s">
        <v>302</v>
      </c>
      <c r="C273" s="124"/>
      <c r="D273" s="124"/>
    </row>
    <row r="274" ht="14.25" customHeight="1">
      <c r="A274" s="125">
        <v>10201.0</v>
      </c>
      <c r="B274" s="124" t="s">
        <v>459</v>
      </c>
      <c r="C274" s="124"/>
      <c r="D274" s="124"/>
    </row>
    <row r="275" ht="14.25" customHeight="1">
      <c r="A275" s="125">
        <v>31001.0</v>
      </c>
      <c r="B275" s="124" t="s">
        <v>181</v>
      </c>
      <c r="C275" s="124"/>
      <c r="D275" s="124"/>
    </row>
    <row r="276" ht="14.25" customHeight="1">
      <c r="A276" s="125">
        <v>10101.0</v>
      </c>
      <c r="B276" s="124" t="s">
        <v>128</v>
      </c>
      <c r="C276" s="124"/>
      <c r="D276" s="124"/>
    </row>
    <row r="277" ht="14.25" customHeight="1">
      <c r="A277" s="125">
        <v>10102.0</v>
      </c>
      <c r="B277" s="124" t="s">
        <v>458</v>
      </c>
      <c r="C277" s="124"/>
      <c r="D277" s="124"/>
    </row>
    <row r="278" ht="14.25" customHeight="1">
      <c r="A278" s="125">
        <v>10302.0</v>
      </c>
      <c r="B278" s="124" t="s">
        <v>122</v>
      </c>
      <c r="C278" s="124"/>
      <c r="D278" s="124"/>
    </row>
    <row r="279" ht="14.25" customHeight="1">
      <c r="A279" s="125">
        <v>10303.0</v>
      </c>
      <c r="B279" s="124" t="s">
        <v>463</v>
      </c>
      <c r="C279" s="124"/>
      <c r="D279" s="124"/>
    </row>
    <row r="280" ht="14.25" customHeight="1">
      <c r="A280" s="125">
        <v>10304.0</v>
      </c>
      <c r="B280" s="124" t="s">
        <v>101</v>
      </c>
      <c r="C280" s="124"/>
      <c r="D280" s="124"/>
    </row>
    <row r="281" ht="14.25" customHeight="1">
      <c r="A281" s="125">
        <v>10402.0</v>
      </c>
      <c r="B281" s="124" t="s">
        <v>136</v>
      </c>
      <c r="C281" s="124"/>
      <c r="D281" s="124"/>
    </row>
    <row r="282" ht="14.25" customHeight="1">
      <c r="A282" s="125">
        <v>10404.0</v>
      </c>
      <c r="B282" s="124" t="s">
        <v>467</v>
      </c>
      <c r="C282" s="124"/>
      <c r="D282" s="124"/>
    </row>
    <row r="283" ht="14.25" customHeight="1">
      <c r="A283" s="125">
        <v>10405.0</v>
      </c>
      <c r="B283" s="124" t="s">
        <v>469</v>
      </c>
      <c r="C283" s="124"/>
      <c r="D283" s="124"/>
    </row>
    <row r="284" ht="14.25" customHeight="1">
      <c r="A284" s="125">
        <v>10601.0</v>
      </c>
      <c r="B284" s="124" t="s">
        <v>131</v>
      </c>
      <c r="C284" s="124"/>
      <c r="D284" s="124"/>
    </row>
    <row r="285" ht="14.25" customHeight="1">
      <c r="A285" s="125">
        <v>10602.0</v>
      </c>
      <c r="B285" s="124" t="s">
        <v>472</v>
      </c>
      <c r="C285" s="124"/>
      <c r="D285" s="124"/>
    </row>
    <row r="286" ht="14.25" customHeight="1">
      <c r="A286" s="125">
        <v>10701.0</v>
      </c>
      <c r="B286" s="124" t="s">
        <v>89</v>
      </c>
      <c r="C286" s="124"/>
      <c r="D286" s="124"/>
    </row>
    <row r="287" ht="14.25" customHeight="1">
      <c r="A287" s="125">
        <v>10702.0</v>
      </c>
      <c r="B287" s="124" t="s">
        <v>124</v>
      </c>
      <c r="C287" s="124"/>
      <c r="D287" s="124"/>
    </row>
    <row r="288" ht="14.25" customHeight="1">
      <c r="A288" s="125">
        <v>10703.0</v>
      </c>
      <c r="B288" s="124" t="s">
        <v>105</v>
      </c>
      <c r="C288" s="124"/>
      <c r="D288" s="124"/>
    </row>
    <row r="289" ht="14.25" customHeight="1">
      <c r="A289" s="125">
        <v>10704.0</v>
      </c>
      <c r="B289" s="124" t="s">
        <v>140</v>
      </c>
      <c r="C289" s="124"/>
      <c r="D289" s="124"/>
    </row>
    <row r="290" ht="14.25" customHeight="1">
      <c r="A290" s="125">
        <v>10801.0</v>
      </c>
      <c r="B290" s="124" t="s">
        <v>142</v>
      </c>
      <c r="C290" s="124"/>
      <c r="D290" s="124"/>
    </row>
    <row r="291" ht="14.25" customHeight="1">
      <c r="A291" s="125">
        <v>10902.0</v>
      </c>
      <c r="B291" s="124" t="s">
        <v>93</v>
      </c>
      <c r="C291" s="124"/>
      <c r="D291" s="124"/>
    </row>
    <row r="292" ht="14.25" customHeight="1">
      <c r="A292" s="125">
        <v>10903.0</v>
      </c>
      <c r="B292" s="124" t="s">
        <v>477</v>
      </c>
      <c r="C292" s="124"/>
      <c r="D292" s="124"/>
    </row>
    <row r="293" ht="14.25" customHeight="1">
      <c r="A293" s="125">
        <v>11001.0</v>
      </c>
      <c r="B293" s="124" t="s">
        <v>479</v>
      </c>
      <c r="C293" s="124"/>
      <c r="D293" s="124"/>
    </row>
    <row r="294" ht="14.25" customHeight="1">
      <c r="A294" s="125">
        <v>11002.0</v>
      </c>
      <c r="B294" s="124" t="s">
        <v>480</v>
      </c>
      <c r="C294" s="124"/>
      <c r="D294" s="124"/>
    </row>
    <row r="295" ht="14.25" customHeight="1">
      <c r="A295" s="125">
        <v>20102.0</v>
      </c>
      <c r="B295" s="124" t="s">
        <v>486</v>
      </c>
      <c r="C295" s="124"/>
      <c r="D295" s="124"/>
    </row>
    <row r="296" ht="14.25" customHeight="1">
      <c r="A296" s="125">
        <v>30101.0</v>
      </c>
      <c r="B296" s="124" t="s">
        <v>44</v>
      </c>
      <c r="C296" s="124"/>
      <c r="D296" s="124"/>
    </row>
    <row r="297" ht="14.25" customHeight="1">
      <c r="A297" s="125">
        <v>30201.0</v>
      </c>
      <c r="B297" s="124" t="s">
        <v>150</v>
      </c>
      <c r="C297" s="124"/>
      <c r="D297" s="124"/>
    </row>
    <row r="298" ht="14.25" customHeight="1">
      <c r="A298" s="125">
        <v>30202.0</v>
      </c>
      <c r="B298" s="124" t="s">
        <v>167</v>
      </c>
      <c r="C298" s="124"/>
      <c r="D298" s="124"/>
    </row>
    <row r="299" ht="14.25" customHeight="1">
      <c r="A299" s="125">
        <v>30203.0</v>
      </c>
      <c r="B299" s="124" t="s">
        <v>164</v>
      </c>
      <c r="C299" s="124"/>
      <c r="D299" s="124"/>
    </row>
    <row r="300" ht="14.25" customHeight="1">
      <c r="A300" s="125">
        <v>30302.0</v>
      </c>
      <c r="B300" s="124" t="s">
        <v>593</v>
      </c>
      <c r="C300" s="124"/>
      <c r="D300" s="124"/>
    </row>
    <row r="301" ht="14.25" customHeight="1">
      <c r="A301" s="125">
        <v>30402.0</v>
      </c>
      <c r="B301" s="124" t="s">
        <v>153</v>
      </c>
      <c r="C301" s="124"/>
      <c r="D301" s="124"/>
    </row>
    <row r="302" ht="14.25" customHeight="1">
      <c r="A302" s="125">
        <v>30403.0</v>
      </c>
      <c r="B302" s="124" t="s">
        <v>597</v>
      </c>
      <c r="C302" s="124"/>
      <c r="D302" s="124"/>
    </row>
    <row r="303" ht="14.25" customHeight="1">
      <c r="A303" s="125">
        <v>30601.0</v>
      </c>
      <c r="B303" s="124" t="s">
        <v>601</v>
      </c>
      <c r="C303" s="124"/>
      <c r="D303" s="124"/>
    </row>
    <row r="304" ht="14.25" customHeight="1">
      <c r="A304" s="125">
        <v>30701.0</v>
      </c>
      <c r="B304" s="124" t="s">
        <v>603</v>
      </c>
      <c r="C304" s="124"/>
      <c r="D304" s="124"/>
    </row>
    <row r="305" ht="14.25" customHeight="1">
      <c r="A305" s="125">
        <v>30702.0</v>
      </c>
      <c r="B305" s="124" t="s">
        <v>604</v>
      </c>
      <c r="C305" s="124"/>
      <c r="D305" s="124"/>
    </row>
    <row r="306" ht="14.25" customHeight="1">
      <c r="A306" s="125">
        <v>30703.0</v>
      </c>
      <c r="B306" s="124" t="s">
        <v>606</v>
      </c>
      <c r="C306" s="124"/>
      <c r="D306" s="124"/>
    </row>
    <row r="307" ht="14.25" customHeight="1">
      <c r="A307" s="125">
        <v>30901.0</v>
      </c>
      <c r="B307" s="124" t="s">
        <v>178</v>
      </c>
      <c r="C307" s="124"/>
      <c r="D307" s="124"/>
    </row>
    <row r="308" ht="14.25" customHeight="1">
      <c r="A308" s="125">
        <v>30902.0</v>
      </c>
      <c r="B308" s="124" t="s">
        <v>611</v>
      </c>
      <c r="C308" s="124"/>
      <c r="D308" s="124"/>
    </row>
    <row r="309" ht="14.25" customHeight="1">
      <c r="A309" s="125">
        <v>31202.0</v>
      </c>
      <c r="B309" s="124" t="s">
        <v>170</v>
      </c>
      <c r="C309" s="124"/>
      <c r="D309" s="124"/>
    </row>
    <row r="310" ht="14.25" customHeight="1">
      <c r="A310" s="125">
        <v>31301.0</v>
      </c>
      <c r="B310" s="124" t="s">
        <v>161</v>
      </c>
      <c r="C310" s="124"/>
      <c r="D310" s="124"/>
    </row>
    <row r="311" ht="14.25" customHeight="1">
      <c r="A311" s="125">
        <v>31302.0</v>
      </c>
      <c r="B311" s="124" t="s">
        <v>193</v>
      </c>
      <c r="C311" s="124"/>
      <c r="D311" s="124"/>
    </row>
    <row r="312" ht="14.25" customHeight="1">
      <c r="A312" s="125">
        <v>31401.0</v>
      </c>
      <c r="B312" s="124" t="s">
        <v>175</v>
      </c>
      <c r="C312" s="124"/>
      <c r="D312" s="124"/>
    </row>
    <row r="313" ht="14.25" customHeight="1">
      <c r="A313" s="125">
        <v>31404.0</v>
      </c>
      <c r="B313" s="124" t="s">
        <v>630</v>
      </c>
      <c r="C313" s="124"/>
      <c r="D313" s="124"/>
    </row>
    <row r="314" ht="14.25" customHeight="1">
      <c r="A314" s="125">
        <v>50301.0</v>
      </c>
      <c r="B314" s="124" t="s">
        <v>700</v>
      </c>
      <c r="C314" s="124"/>
      <c r="D314" s="124"/>
    </row>
    <row r="315" ht="14.25" customHeight="1">
      <c r="A315" s="125">
        <v>50303.0</v>
      </c>
      <c r="B315" s="124" t="s">
        <v>703</v>
      </c>
      <c r="C315" s="124"/>
      <c r="D315" s="124"/>
    </row>
    <row r="316" ht="14.25" customHeight="1">
      <c r="A316" s="125">
        <v>50401.0</v>
      </c>
      <c r="B316" s="124" t="s">
        <v>704</v>
      </c>
      <c r="C316" s="124"/>
      <c r="D316" s="124"/>
    </row>
    <row r="317" ht="14.25" customHeight="1">
      <c r="A317" s="125">
        <v>50404.0</v>
      </c>
      <c r="B317" s="124" t="s">
        <v>706</v>
      </c>
      <c r="C317" s="124"/>
      <c r="D317" s="124"/>
    </row>
    <row r="318" ht="14.25" customHeight="1">
      <c r="A318" s="125">
        <v>51103.0</v>
      </c>
      <c r="B318" s="124" t="s">
        <v>733</v>
      </c>
      <c r="C318" s="124"/>
      <c r="D318" s="124"/>
    </row>
    <row r="319" ht="14.25" customHeight="1">
      <c r="A319" s="125">
        <v>60101.0</v>
      </c>
      <c r="B319" s="124" t="s">
        <v>68</v>
      </c>
      <c r="C319" s="124"/>
      <c r="D319" s="124"/>
    </row>
    <row r="320" ht="14.25" customHeight="1">
      <c r="A320" s="125">
        <v>60502.0</v>
      </c>
      <c r="B320" s="124" t="s">
        <v>759</v>
      </c>
      <c r="C320" s="124"/>
      <c r="D320" s="124"/>
    </row>
    <row r="321" ht="14.25" customHeight="1">
      <c r="A321" s="125">
        <v>70702.0</v>
      </c>
      <c r="B321" s="124" t="s">
        <v>278</v>
      </c>
      <c r="C321" s="124"/>
      <c r="D321" s="124"/>
    </row>
    <row r="322" ht="14.25" customHeight="1">
      <c r="A322" s="125">
        <v>70704.0</v>
      </c>
      <c r="B322" s="124" t="s">
        <v>291</v>
      </c>
      <c r="C322" s="124"/>
      <c r="D322" s="124"/>
    </row>
    <row r="323" ht="14.25" customHeight="1">
      <c r="A323" s="125">
        <v>70705.0</v>
      </c>
      <c r="B323" s="124" t="s">
        <v>784</v>
      </c>
      <c r="C323" s="124"/>
      <c r="D323" s="124"/>
    </row>
    <row r="324" ht="14.25" customHeight="1">
      <c r="A324" s="125">
        <v>70803.0</v>
      </c>
      <c r="B324" s="124" t="s">
        <v>787</v>
      </c>
      <c r="C324" s="124"/>
      <c r="D324" s="124"/>
    </row>
    <row r="325" ht="14.25" customHeight="1">
      <c r="A325" s="125">
        <v>70805.0</v>
      </c>
      <c r="B325" s="124" t="s">
        <v>790</v>
      </c>
      <c r="C325" s="124"/>
      <c r="D325" s="124"/>
    </row>
    <row r="326" ht="14.25" customHeight="1">
      <c r="A326" s="125">
        <v>71105.0</v>
      </c>
      <c r="B326" s="124" t="s">
        <v>804</v>
      </c>
      <c r="C326" s="124"/>
      <c r="D326" s="124"/>
    </row>
    <row r="327" ht="14.25" customHeight="1">
      <c r="A327" s="125">
        <v>71301.0</v>
      </c>
      <c r="B327" s="124" t="s">
        <v>282</v>
      </c>
      <c r="C327" s="124"/>
      <c r="D327" s="124"/>
    </row>
    <row r="328" ht="14.25" customHeight="1">
      <c r="A328" s="125">
        <v>10103.0</v>
      </c>
      <c r="B328" s="124" t="s">
        <v>119</v>
      </c>
      <c r="C328" s="124"/>
      <c r="D328" s="124"/>
    </row>
    <row r="329" ht="14.25" customHeight="1">
      <c r="A329" s="125">
        <v>10401.0</v>
      </c>
      <c r="B329" s="124" t="s">
        <v>116</v>
      </c>
      <c r="C329" s="124"/>
      <c r="D329" s="124"/>
    </row>
    <row r="330" ht="14.25" customHeight="1">
      <c r="A330" s="125">
        <v>10502.0</v>
      </c>
      <c r="B330" s="124" t="s">
        <v>471</v>
      </c>
      <c r="C330" s="124"/>
      <c r="D330" s="124"/>
    </row>
    <row r="331" ht="14.25" customHeight="1">
      <c r="A331" s="125">
        <v>50502.0</v>
      </c>
      <c r="B331" s="124" t="s">
        <v>267</v>
      </c>
      <c r="C331" s="124"/>
      <c r="D331" s="124"/>
    </row>
    <row r="332" ht="14.25" customHeight="1">
      <c r="A332" s="125">
        <v>71302.0</v>
      </c>
      <c r="B332" s="124" t="s">
        <v>318</v>
      </c>
      <c r="C332" s="124"/>
      <c r="D332" s="124"/>
    </row>
    <row r="333" ht="14.25" customHeight="1">
      <c r="A333" s="125">
        <v>70703.0</v>
      </c>
      <c r="B333" s="124" t="s">
        <v>273</v>
      </c>
      <c r="C333" s="124"/>
      <c r="D333" s="124"/>
    </row>
    <row r="334" ht="14.25" customHeight="1">
      <c r="A334" s="125">
        <v>70801.0</v>
      </c>
      <c r="B334" s="124" t="s">
        <v>330</v>
      </c>
      <c r="C334" s="124"/>
      <c r="D334" s="124"/>
    </row>
    <row r="335" ht="14.25" customHeight="1">
      <c r="A335" s="125">
        <v>60601.0</v>
      </c>
      <c r="B335" s="124" t="s">
        <v>622</v>
      </c>
      <c r="C335" s="124"/>
      <c r="D335" s="124"/>
    </row>
    <row r="336" ht="14.25" customHeight="1">
      <c r="A336" s="125">
        <v>71104.0</v>
      </c>
      <c r="B336" s="124" t="s">
        <v>803</v>
      </c>
      <c r="C336" s="124"/>
      <c r="D336" s="124"/>
    </row>
    <row r="337" ht="14.25" customHeight="1">
      <c r="A337" s="125">
        <v>10501.0</v>
      </c>
      <c r="B337" s="124" t="s">
        <v>114</v>
      </c>
      <c r="C337" s="124"/>
      <c r="D337" s="124"/>
    </row>
    <row r="338" ht="14.25" customHeight="1">
      <c r="A338" s="125">
        <v>11003.0</v>
      </c>
      <c r="B338" s="124" t="s">
        <v>482</v>
      </c>
      <c r="C338" s="124"/>
      <c r="D338" s="124"/>
    </row>
    <row r="339" ht="14.25" customHeight="1">
      <c r="A339" s="125">
        <v>60301.0</v>
      </c>
      <c r="B339" s="124" t="s">
        <v>359</v>
      </c>
      <c r="C339" s="124"/>
      <c r="D339" s="124"/>
    </row>
    <row r="340" ht="14.25" customHeight="1">
      <c r="A340" s="125">
        <v>70105.0</v>
      </c>
      <c r="B340" s="124" t="s">
        <v>294</v>
      </c>
      <c r="C340" s="124"/>
      <c r="D340" s="124"/>
    </row>
    <row r="341" ht="14.25" customHeight="1">
      <c r="A341" s="125">
        <v>70706.0</v>
      </c>
      <c r="B341" s="124" t="s">
        <v>275</v>
      </c>
      <c r="C341" s="124"/>
      <c r="D341" s="124"/>
    </row>
    <row r="342" ht="14.25" customHeight="1">
      <c r="A342" s="125">
        <v>70707.0</v>
      </c>
      <c r="B342" s="124" t="s">
        <v>785</v>
      </c>
      <c r="C342" s="124"/>
      <c r="D342" s="124"/>
    </row>
    <row r="343" ht="14.25" customHeight="1">
      <c r="A343" s="125">
        <v>60302.0</v>
      </c>
      <c r="B343" s="124" t="s">
        <v>751</v>
      </c>
      <c r="C343" s="124"/>
      <c r="D343" s="124"/>
    </row>
    <row r="344" ht="14.25" customHeight="1">
      <c r="A344" s="125">
        <v>60303.0</v>
      </c>
      <c r="B344" s="124" t="s">
        <v>356</v>
      </c>
      <c r="C344" s="124"/>
      <c r="D344" s="124"/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4" width="28.0"/>
    <col customWidth="1" min="5" max="5" width="17.57"/>
    <col customWidth="1" min="6" max="26" width="10.71"/>
  </cols>
  <sheetData>
    <row r="1" ht="14.25" customHeight="1">
      <c r="A1" s="128" t="s">
        <v>846</v>
      </c>
      <c r="B1" s="128" t="s">
        <v>40</v>
      </c>
      <c r="C1" s="123" t="s">
        <v>847</v>
      </c>
      <c r="D1" s="123" t="s">
        <v>848</v>
      </c>
      <c r="E1" s="122"/>
    </row>
    <row r="2" ht="14.25" customHeight="1">
      <c r="A2" s="124">
        <v>1.0</v>
      </c>
      <c r="B2" s="124" t="s">
        <v>34</v>
      </c>
      <c r="C2" s="129">
        <v>0.14019032013094193</v>
      </c>
      <c r="D2" s="129">
        <v>0.21708432608021533</v>
      </c>
    </row>
    <row r="3" ht="14.25" customHeight="1">
      <c r="A3" s="124">
        <v>2.0</v>
      </c>
      <c r="B3" s="124" t="s">
        <v>49</v>
      </c>
      <c r="C3" s="129">
        <v>0.020500406486257738</v>
      </c>
      <c r="D3" s="129">
        <v>0.0701411463500231</v>
      </c>
    </row>
    <row r="4" ht="14.25" customHeight="1">
      <c r="A4" s="124">
        <v>3.0</v>
      </c>
      <c r="B4" s="124" t="s">
        <v>44</v>
      </c>
      <c r="C4" s="129">
        <v>0.07167543109039672</v>
      </c>
      <c r="D4" s="129">
        <v>0.10025820314070895</v>
      </c>
    </row>
    <row r="5" ht="14.25" customHeight="1">
      <c r="A5" s="124">
        <v>4.0</v>
      </c>
      <c r="B5" s="124" t="s">
        <v>636</v>
      </c>
      <c r="C5" s="124">
        <v>0.0</v>
      </c>
      <c r="D5" s="124">
        <v>0.0</v>
      </c>
    </row>
    <row r="6" ht="14.25" customHeight="1">
      <c r="A6" s="124">
        <v>5.0</v>
      </c>
      <c r="B6" s="124" t="s">
        <v>687</v>
      </c>
      <c r="C6" s="129">
        <v>0.02423243713581712</v>
      </c>
      <c r="D6" s="129">
        <v>0.0314420437880653</v>
      </c>
    </row>
    <row r="7" ht="14.25" customHeight="1">
      <c r="A7" s="124">
        <v>6.0</v>
      </c>
      <c r="B7" s="124" t="s">
        <v>68</v>
      </c>
      <c r="C7" s="129">
        <v>0.18989410865026715</v>
      </c>
      <c r="D7" s="129">
        <v>0.23702741260487872</v>
      </c>
    </row>
    <row r="8" ht="14.25" customHeight="1">
      <c r="A8" s="124">
        <v>7.0</v>
      </c>
      <c r="B8" s="124" t="s">
        <v>64</v>
      </c>
      <c r="C8" s="129">
        <v>0.08963563221898001</v>
      </c>
      <c r="D8" s="129">
        <v>0.1499771388187278</v>
      </c>
    </row>
    <row r="9" ht="14.25" customHeight="1">
      <c r="A9" s="124">
        <v>8.0</v>
      </c>
      <c r="B9" s="124" t="s">
        <v>27</v>
      </c>
      <c r="C9" s="129">
        <v>0.1304156113156633</v>
      </c>
      <c r="D9" s="129">
        <v>0.19599568819942192</v>
      </c>
    </row>
    <row r="10" ht="14.25" customHeight="1">
      <c r="A10" s="124">
        <v>9.0</v>
      </c>
      <c r="B10" s="124" t="s">
        <v>54</v>
      </c>
      <c r="C10" s="129">
        <v>0.18640516332595794</v>
      </c>
      <c r="D10" s="129">
        <v>0.3363752517267075</v>
      </c>
    </row>
    <row r="11" ht="14.25" customHeight="1">
      <c r="A11" s="124">
        <v>10.0</v>
      </c>
      <c r="B11" s="124" t="s">
        <v>750</v>
      </c>
      <c r="C11" s="129">
        <v>0.510984906297107</v>
      </c>
      <c r="D11" s="129">
        <v>0.4837023962942362</v>
      </c>
    </row>
    <row r="12" ht="14.25" customHeight="1">
      <c r="A12" s="124">
        <v>11.0</v>
      </c>
      <c r="B12" s="124" t="s">
        <v>849</v>
      </c>
      <c r="C12" s="129">
        <v>0.06653078127044769</v>
      </c>
      <c r="D12" s="129">
        <v>0.11225145373475948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4" width="28.0"/>
    <col customWidth="1" min="5" max="5" width="17.57"/>
    <col customWidth="1" min="6" max="26" width="10.71"/>
  </cols>
  <sheetData>
    <row r="1" ht="14.25" customHeight="1">
      <c r="A1" s="128" t="s">
        <v>846</v>
      </c>
      <c r="B1" s="128" t="s">
        <v>40</v>
      </c>
      <c r="C1" s="123" t="s">
        <v>844</v>
      </c>
      <c r="D1" s="123" t="s">
        <v>845</v>
      </c>
      <c r="E1" s="122"/>
    </row>
    <row r="2" ht="14.25" customHeight="1">
      <c r="A2" s="124">
        <v>1.0</v>
      </c>
      <c r="B2" s="124" t="s">
        <v>34</v>
      </c>
      <c r="C2" s="129"/>
      <c r="D2" s="129"/>
    </row>
    <row r="3" ht="14.25" customHeight="1">
      <c r="A3" s="124">
        <v>2.0</v>
      </c>
      <c r="B3" s="124" t="s">
        <v>49</v>
      </c>
      <c r="C3" s="129"/>
      <c r="D3" s="129"/>
    </row>
    <row r="4" ht="14.25" customHeight="1">
      <c r="A4" s="124">
        <v>3.0</v>
      </c>
      <c r="B4" s="124" t="s">
        <v>44</v>
      </c>
      <c r="C4" s="129"/>
      <c r="D4" s="129"/>
    </row>
    <row r="5" ht="14.25" customHeight="1">
      <c r="A5" s="124">
        <v>4.0</v>
      </c>
      <c r="B5" s="124" t="s">
        <v>636</v>
      </c>
      <c r="C5" s="124"/>
      <c r="D5" s="124"/>
    </row>
    <row r="6" ht="14.25" customHeight="1">
      <c r="A6" s="124">
        <v>5.0</v>
      </c>
      <c r="B6" s="124" t="s">
        <v>687</v>
      </c>
      <c r="C6" s="129"/>
      <c r="D6" s="129"/>
    </row>
    <row r="7" ht="14.25" customHeight="1">
      <c r="A7" s="124">
        <v>6.0</v>
      </c>
      <c r="B7" s="124" t="s">
        <v>68</v>
      </c>
      <c r="C7" s="129"/>
      <c r="D7" s="129"/>
    </row>
    <row r="8" ht="14.25" customHeight="1">
      <c r="A8" s="124">
        <v>7.0</v>
      </c>
      <c r="B8" s="124" t="s">
        <v>64</v>
      </c>
      <c r="C8" s="129"/>
      <c r="D8" s="129"/>
    </row>
    <row r="9" ht="14.25" customHeight="1">
      <c r="A9" s="124">
        <v>8.0</v>
      </c>
      <c r="B9" s="124" t="s">
        <v>27</v>
      </c>
      <c r="C9" s="129"/>
      <c r="D9" s="129"/>
    </row>
    <row r="10" ht="14.25" customHeight="1">
      <c r="A10" s="124">
        <v>9.0</v>
      </c>
      <c r="B10" s="124" t="s">
        <v>54</v>
      </c>
      <c r="C10" s="129"/>
      <c r="D10" s="129"/>
    </row>
    <row r="11" ht="14.25" customHeight="1">
      <c r="A11" s="124">
        <v>10.0</v>
      </c>
      <c r="B11" s="124" t="s">
        <v>750</v>
      </c>
      <c r="C11" s="129"/>
      <c r="D11" s="129"/>
    </row>
    <row r="12" ht="14.25" customHeight="1">
      <c r="A12" s="124">
        <v>11.0</v>
      </c>
      <c r="B12" s="124" t="s">
        <v>849</v>
      </c>
      <c r="C12" s="129"/>
      <c r="D12" s="129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0.14"/>
    <col customWidth="1" min="12" max="26" width="10.71"/>
  </cols>
  <sheetData>
    <row r="1" ht="14.25" customHeight="1">
      <c r="A1" s="130" t="s">
        <v>850</v>
      </c>
      <c r="B1" s="130" t="s">
        <v>851</v>
      </c>
      <c r="C1" s="131" t="s">
        <v>852</v>
      </c>
      <c r="D1" s="131" t="s">
        <v>853</v>
      </c>
      <c r="E1" s="132" t="s">
        <v>854</v>
      </c>
      <c r="F1" s="132" t="s">
        <v>855</v>
      </c>
      <c r="G1" s="133" t="s">
        <v>856</v>
      </c>
      <c r="H1" s="133" t="s">
        <v>857</v>
      </c>
      <c r="I1" s="134" t="s">
        <v>858</v>
      </c>
      <c r="J1" s="134" t="s">
        <v>859</v>
      </c>
      <c r="K1" s="135" t="s">
        <v>860</v>
      </c>
    </row>
    <row r="2" ht="14.25" customHeight="1">
      <c r="A2" s="124">
        <v>3.0</v>
      </c>
      <c r="B2" s="124" t="s">
        <v>861</v>
      </c>
      <c r="C2" s="124">
        <v>0.0</v>
      </c>
      <c r="D2" s="124">
        <v>0.0</v>
      </c>
      <c r="E2" s="124">
        <v>1.0E-6</v>
      </c>
      <c r="F2" s="124">
        <v>0.1</v>
      </c>
      <c r="G2" s="124">
        <v>0.1</v>
      </c>
      <c r="H2" s="124">
        <v>0.3</v>
      </c>
      <c r="I2" s="124">
        <v>0.3</v>
      </c>
      <c r="J2" s="124">
        <v>1.0</v>
      </c>
      <c r="K2" s="136" t="s">
        <v>862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2026-05-29T16:03:19Z</dcterms:created>
  <dc:creator>ALVARO MUÑOS</dc:creator>
</cp:coreProperties>
</file>