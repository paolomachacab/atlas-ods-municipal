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94F6BA31-1906-4998-8850-9808ED2F612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os procesados 2012" sheetId="1" r:id="rId1"/>
    <sheet name="Datos procesados 2024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calcPr calcId="191029"/>
  <extLst>
    <ext uri="GoogleSheetsCustomDataVersion2">
      <go:sheetsCustomData xmlns:go="http://customooxmlschemas.google.com/" r:id="rId12" roundtripDataChecksum="UKskriVLAyNso4hTfKipQOdACoypiaAe8DbImj1cq7I="/>
    </ext>
  </extLst>
</workbook>
</file>

<file path=xl/calcChain.xml><?xml version="1.0" encoding="utf-8"?>
<calcChain xmlns="http://schemas.openxmlformats.org/spreadsheetml/2006/main">
  <c r="O179" i="2" l="1"/>
  <c r="O178" i="2"/>
  <c r="K346" i="2"/>
  <c r="J346" i="2"/>
  <c r="I346" i="2"/>
  <c r="L346" i="2" s="1"/>
  <c r="E346" i="2"/>
  <c r="D346" i="2"/>
  <c r="G346" i="2" s="1"/>
  <c r="C346" i="2"/>
  <c r="F346" i="2" s="1"/>
  <c r="H346" i="2" s="1"/>
  <c r="N345" i="2"/>
  <c r="M345" i="2"/>
  <c r="K345" i="2"/>
  <c r="J345" i="2"/>
  <c r="I345" i="2"/>
  <c r="L345" i="2" s="1"/>
  <c r="G345" i="2"/>
  <c r="E345" i="2"/>
  <c r="F345" i="2" s="1"/>
  <c r="H345" i="2" s="1"/>
  <c r="O345" i="2" s="1"/>
  <c r="D345" i="2"/>
  <c r="C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AC10" i="2"/>
  <c r="AB10" i="2"/>
  <c r="AD10" i="2" s="1"/>
  <c r="W10" i="2"/>
  <c r="V10" i="2"/>
  <c r="X10" i="2" s="1"/>
  <c r="AE10" i="2" s="1"/>
  <c r="O10" i="2"/>
  <c r="AC9" i="2"/>
  <c r="AB9" i="2"/>
  <c r="AD9" i="2" s="1"/>
  <c r="W9" i="2"/>
  <c r="V9" i="2"/>
  <c r="X9" i="2" s="1"/>
  <c r="AE9" i="2" s="1"/>
  <c r="O9" i="2"/>
  <c r="AC8" i="2"/>
  <c r="AB8" i="2"/>
  <c r="AD8" i="2" s="1"/>
  <c r="W8" i="2"/>
  <c r="V8" i="2"/>
  <c r="X8" i="2" s="1"/>
  <c r="O8" i="2"/>
  <c r="AC7" i="2"/>
  <c r="AB7" i="2"/>
  <c r="AD7" i="2" s="1"/>
  <c r="W7" i="2"/>
  <c r="V7" i="2"/>
  <c r="X7" i="2" s="1"/>
  <c r="O7" i="2"/>
  <c r="AC6" i="2"/>
  <c r="AB6" i="2"/>
  <c r="AD6" i="2" s="1"/>
  <c r="W6" i="2"/>
  <c r="V6" i="2"/>
  <c r="X6" i="2" s="1"/>
  <c r="AE6" i="2" s="1"/>
  <c r="O6" i="2"/>
  <c r="AC5" i="2"/>
  <c r="AB5" i="2"/>
  <c r="AD5" i="2" s="1"/>
  <c r="W5" i="2"/>
  <c r="V5" i="2"/>
  <c r="X5" i="2" s="1"/>
  <c r="AE5" i="2" s="1"/>
  <c r="O5" i="2"/>
  <c r="AC4" i="2"/>
  <c r="AB4" i="2"/>
  <c r="AD4" i="2" s="1"/>
  <c r="W4" i="2"/>
  <c r="V4" i="2"/>
  <c r="X4" i="2" s="1"/>
  <c r="O4" i="2"/>
  <c r="AC3" i="2"/>
  <c r="AB3" i="2"/>
  <c r="AD3" i="2" s="1"/>
  <c r="W3" i="2"/>
  <c r="V3" i="2"/>
  <c r="X3" i="2" s="1"/>
  <c r="AE3" i="2" s="1"/>
  <c r="O3" i="2"/>
  <c r="AC2" i="2"/>
  <c r="AB2" i="2"/>
  <c r="AD2" i="2" s="1"/>
  <c r="W2" i="2"/>
  <c r="V2" i="2"/>
  <c r="X2" i="2" s="1"/>
  <c r="AE2" i="2" s="1"/>
  <c r="O2" i="2"/>
  <c r="M346" i="1"/>
  <c r="L346" i="1"/>
  <c r="N346" i="1" s="1"/>
  <c r="G346" i="1"/>
  <c r="F346" i="1"/>
  <c r="H346" i="1" s="1"/>
  <c r="O346" i="1" s="1"/>
  <c r="M345" i="1"/>
  <c r="L345" i="1"/>
  <c r="N345" i="1" s="1"/>
  <c r="G345" i="1"/>
  <c r="H345" i="1" s="1"/>
  <c r="O345" i="1" s="1"/>
  <c r="F345" i="1"/>
  <c r="N344" i="1"/>
  <c r="O344" i="1" s="1"/>
  <c r="M344" i="1"/>
  <c r="L344" i="1"/>
  <c r="G344" i="1"/>
  <c r="F344" i="1"/>
  <c r="H344" i="1" s="1"/>
  <c r="M343" i="1"/>
  <c r="N343" i="1" s="1"/>
  <c r="L343" i="1"/>
  <c r="G343" i="1"/>
  <c r="F343" i="1"/>
  <c r="H343" i="1" s="1"/>
  <c r="M342" i="1"/>
  <c r="L342" i="1"/>
  <c r="G342" i="1"/>
  <c r="F342" i="1"/>
  <c r="H342" i="1" s="1"/>
  <c r="M341" i="1"/>
  <c r="L341" i="1"/>
  <c r="N341" i="1" s="1"/>
  <c r="H341" i="1"/>
  <c r="O341" i="1" s="1"/>
  <c r="G341" i="1"/>
  <c r="F341" i="1"/>
  <c r="M340" i="1"/>
  <c r="N340" i="1" s="1"/>
  <c r="L340" i="1"/>
  <c r="G340" i="1"/>
  <c r="H340" i="1" s="1"/>
  <c r="O340" i="1" s="1"/>
  <c r="F340" i="1"/>
  <c r="M339" i="1"/>
  <c r="L339" i="1"/>
  <c r="N339" i="1" s="1"/>
  <c r="G339" i="1"/>
  <c r="F339" i="1"/>
  <c r="H339" i="1" s="1"/>
  <c r="M338" i="1"/>
  <c r="L338" i="1"/>
  <c r="N338" i="1" s="1"/>
  <c r="G338" i="1"/>
  <c r="F338" i="1"/>
  <c r="H338" i="1" s="1"/>
  <c r="O338" i="1" s="1"/>
  <c r="O337" i="1"/>
  <c r="M337" i="1"/>
  <c r="L337" i="1"/>
  <c r="N337" i="1" s="1"/>
  <c r="G337" i="1"/>
  <c r="H337" i="1" s="1"/>
  <c r="F337" i="1"/>
  <c r="N336" i="1"/>
  <c r="O336" i="1" s="1"/>
  <c r="M336" i="1"/>
  <c r="L336" i="1"/>
  <c r="G336" i="1"/>
  <c r="F336" i="1"/>
  <c r="H336" i="1" s="1"/>
  <c r="M335" i="1"/>
  <c r="N335" i="1" s="1"/>
  <c r="L335" i="1"/>
  <c r="G335" i="1"/>
  <c r="F335" i="1"/>
  <c r="H335" i="1" s="1"/>
  <c r="M334" i="1"/>
  <c r="L334" i="1"/>
  <c r="G334" i="1"/>
  <c r="F334" i="1"/>
  <c r="H334" i="1" s="1"/>
  <c r="M333" i="1"/>
  <c r="L333" i="1"/>
  <c r="N333" i="1" s="1"/>
  <c r="H333" i="1"/>
  <c r="O333" i="1" s="1"/>
  <c r="G333" i="1"/>
  <c r="F333" i="1"/>
  <c r="M332" i="1"/>
  <c r="N332" i="1" s="1"/>
  <c r="L332" i="1"/>
  <c r="G332" i="1"/>
  <c r="H332" i="1" s="1"/>
  <c r="O332" i="1" s="1"/>
  <c r="F332" i="1"/>
  <c r="M331" i="1"/>
  <c r="L331" i="1"/>
  <c r="N331" i="1" s="1"/>
  <c r="G331" i="1"/>
  <c r="F331" i="1"/>
  <c r="M330" i="1"/>
  <c r="L330" i="1"/>
  <c r="N330" i="1" s="1"/>
  <c r="G330" i="1"/>
  <c r="F330" i="1"/>
  <c r="H330" i="1" s="1"/>
  <c r="O330" i="1" s="1"/>
  <c r="M329" i="1"/>
  <c r="L329" i="1"/>
  <c r="N329" i="1" s="1"/>
  <c r="G329" i="1"/>
  <c r="H329" i="1" s="1"/>
  <c r="O329" i="1" s="1"/>
  <c r="F329" i="1"/>
  <c r="N328" i="1"/>
  <c r="M328" i="1"/>
  <c r="L328" i="1"/>
  <c r="G328" i="1"/>
  <c r="F328" i="1"/>
  <c r="H328" i="1" s="1"/>
  <c r="O328" i="1" s="1"/>
  <c r="N327" i="1"/>
  <c r="M327" i="1"/>
  <c r="L327" i="1"/>
  <c r="G327" i="1"/>
  <c r="F327" i="1"/>
  <c r="H327" i="1" s="1"/>
  <c r="M326" i="1"/>
  <c r="L326" i="1"/>
  <c r="N326" i="1" s="1"/>
  <c r="G326" i="1"/>
  <c r="F326" i="1"/>
  <c r="H326" i="1" s="1"/>
  <c r="O326" i="1" s="1"/>
  <c r="M325" i="1"/>
  <c r="L325" i="1"/>
  <c r="N325" i="1" s="1"/>
  <c r="H325" i="1"/>
  <c r="O325" i="1" s="1"/>
  <c r="G325" i="1"/>
  <c r="F325" i="1"/>
  <c r="M324" i="1"/>
  <c r="N324" i="1" s="1"/>
  <c r="L324" i="1"/>
  <c r="H324" i="1"/>
  <c r="O324" i="1" s="1"/>
  <c r="G324" i="1"/>
  <c r="F324" i="1"/>
  <c r="M323" i="1"/>
  <c r="L323" i="1"/>
  <c r="N323" i="1" s="1"/>
  <c r="G323" i="1"/>
  <c r="F323" i="1"/>
  <c r="H323" i="1" s="1"/>
  <c r="O323" i="1" s="1"/>
  <c r="M322" i="1"/>
  <c r="L322" i="1"/>
  <c r="N322" i="1" s="1"/>
  <c r="G322" i="1"/>
  <c r="F322" i="1"/>
  <c r="H322" i="1" s="1"/>
  <c r="M321" i="1"/>
  <c r="L321" i="1"/>
  <c r="N321" i="1" s="1"/>
  <c r="G321" i="1"/>
  <c r="H321" i="1" s="1"/>
  <c r="O321" i="1" s="1"/>
  <c r="F321" i="1"/>
  <c r="O320" i="1"/>
  <c r="N320" i="1"/>
  <c r="M320" i="1"/>
  <c r="L320" i="1"/>
  <c r="G320" i="1"/>
  <c r="F320" i="1"/>
  <c r="H320" i="1" s="1"/>
  <c r="M319" i="1"/>
  <c r="N319" i="1" s="1"/>
  <c r="L319" i="1"/>
  <c r="G319" i="1"/>
  <c r="F319" i="1"/>
  <c r="H319" i="1" s="1"/>
  <c r="M318" i="1"/>
  <c r="L318" i="1"/>
  <c r="G318" i="1"/>
  <c r="F318" i="1"/>
  <c r="H318" i="1" s="1"/>
  <c r="M317" i="1"/>
  <c r="L317" i="1"/>
  <c r="N317" i="1" s="1"/>
  <c r="H317" i="1"/>
  <c r="G317" i="1"/>
  <c r="F317" i="1"/>
  <c r="M316" i="1"/>
  <c r="N316" i="1" s="1"/>
  <c r="L316" i="1"/>
  <c r="G316" i="1"/>
  <c r="H316" i="1" s="1"/>
  <c r="O316" i="1" s="1"/>
  <c r="F316" i="1"/>
  <c r="M315" i="1"/>
  <c r="L315" i="1"/>
  <c r="N315" i="1" s="1"/>
  <c r="G315" i="1"/>
  <c r="F315" i="1"/>
  <c r="M314" i="1"/>
  <c r="L314" i="1"/>
  <c r="N314" i="1" s="1"/>
  <c r="G314" i="1"/>
  <c r="F314" i="1"/>
  <c r="H314" i="1" s="1"/>
  <c r="O314" i="1" s="1"/>
  <c r="M313" i="1"/>
  <c r="L313" i="1"/>
  <c r="N313" i="1" s="1"/>
  <c r="G313" i="1"/>
  <c r="H313" i="1" s="1"/>
  <c r="O313" i="1" s="1"/>
  <c r="F313" i="1"/>
  <c r="N312" i="1"/>
  <c r="O312" i="1" s="1"/>
  <c r="M312" i="1"/>
  <c r="L312" i="1"/>
  <c r="G312" i="1"/>
  <c r="F312" i="1"/>
  <c r="H312" i="1" s="1"/>
  <c r="M311" i="1"/>
  <c r="N311" i="1" s="1"/>
  <c r="L311" i="1"/>
  <c r="G311" i="1"/>
  <c r="F311" i="1"/>
  <c r="H311" i="1" s="1"/>
  <c r="M310" i="1"/>
  <c r="L310" i="1"/>
  <c r="N310" i="1" s="1"/>
  <c r="G310" i="1"/>
  <c r="F310" i="1"/>
  <c r="H310" i="1" s="1"/>
  <c r="O310" i="1" s="1"/>
  <c r="M309" i="1"/>
  <c r="L309" i="1"/>
  <c r="N309" i="1" s="1"/>
  <c r="H309" i="1"/>
  <c r="O309" i="1" s="1"/>
  <c r="G309" i="1"/>
  <c r="F309" i="1"/>
  <c r="M308" i="1"/>
  <c r="N308" i="1" s="1"/>
  <c r="L308" i="1"/>
  <c r="G308" i="1"/>
  <c r="H308" i="1" s="1"/>
  <c r="O308" i="1" s="1"/>
  <c r="F308" i="1"/>
  <c r="M307" i="1"/>
  <c r="L307" i="1"/>
  <c r="N307" i="1" s="1"/>
  <c r="G307" i="1"/>
  <c r="F307" i="1"/>
  <c r="H307" i="1" s="1"/>
  <c r="M306" i="1"/>
  <c r="L306" i="1"/>
  <c r="N306" i="1" s="1"/>
  <c r="G306" i="1"/>
  <c r="F306" i="1"/>
  <c r="H306" i="1" s="1"/>
  <c r="O306" i="1" s="1"/>
  <c r="O305" i="1"/>
  <c r="M305" i="1"/>
  <c r="L305" i="1"/>
  <c r="N305" i="1" s="1"/>
  <c r="G305" i="1"/>
  <c r="H305" i="1" s="1"/>
  <c r="F305" i="1"/>
  <c r="N304" i="1"/>
  <c r="O304" i="1" s="1"/>
  <c r="M304" i="1"/>
  <c r="L304" i="1"/>
  <c r="G304" i="1"/>
  <c r="F304" i="1"/>
  <c r="H304" i="1" s="1"/>
  <c r="M303" i="1"/>
  <c r="N303" i="1" s="1"/>
  <c r="L303" i="1"/>
  <c r="G303" i="1"/>
  <c r="F303" i="1"/>
  <c r="H303" i="1" s="1"/>
  <c r="M302" i="1"/>
  <c r="L302" i="1"/>
  <c r="G302" i="1"/>
  <c r="F302" i="1"/>
  <c r="H302" i="1" s="1"/>
  <c r="M301" i="1"/>
  <c r="L301" i="1"/>
  <c r="N301" i="1" s="1"/>
  <c r="H301" i="1"/>
  <c r="O301" i="1" s="1"/>
  <c r="G301" i="1"/>
  <c r="F301" i="1"/>
  <c r="M300" i="1"/>
  <c r="N300" i="1" s="1"/>
  <c r="L300" i="1"/>
  <c r="G300" i="1"/>
  <c r="H300" i="1" s="1"/>
  <c r="O300" i="1" s="1"/>
  <c r="F300" i="1"/>
  <c r="M299" i="1"/>
  <c r="L299" i="1"/>
  <c r="N299" i="1" s="1"/>
  <c r="G299" i="1"/>
  <c r="F299" i="1"/>
  <c r="M298" i="1"/>
  <c r="L298" i="1"/>
  <c r="N298" i="1" s="1"/>
  <c r="G298" i="1"/>
  <c r="F298" i="1"/>
  <c r="H298" i="1" s="1"/>
  <c r="O298" i="1" s="1"/>
  <c r="M297" i="1"/>
  <c r="L297" i="1"/>
  <c r="N297" i="1" s="1"/>
  <c r="G297" i="1"/>
  <c r="H297" i="1" s="1"/>
  <c r="O297" i="1" s="1"/>
  <c r="F297" i="1"/>
  <c r="N296" i="1"/>
  <c r="M296" i="1"/>
  <c r="L296" i="1"/>
  <c r="G296" i="1"/>
  <c r="F296" i="1"/>
  <c r="H296" i="1" s="1"/>
  <c r="O296" i="1" s="1"/>
  <c r="N295" i="1"/>
  <c r="M295" i="1"/>
  <c r="L295" i="1"/>
  <c r="G295" i="1"/>
  <c r="F295" i="1"/>
  <c r="H295" i="1" s="1"/>
  <c r="M294" i="1"/>
  <c r="L294" i="1"/>
  <c r="N294" i="1" s="1"/>
  <c r="G294" i="1"/>
  <c r="F294" i="1"/>
  <c r="H294" i="1" s="1"/>
  <c r="O294" i="1" s="1"/>
  <c r="M293" i="1"/>
  <c r="L293" i="1"/>
  <c r="N293" i="1" s="1"/>
  <c r="H293" i="1"/>
  <c r="O293" i="1" s="1"/>
  <c r="G293" i="1"/>
  <c r="F293" i="1"/>
  <c r="M292" i="1"/>
  <c r="N292" i="1" s="1"/>
  <c r="L292" i="1"/>
  <c r="H292" i="1"/>
  <c r="O292" i="1" s="1"/>
  <c r="G292" i="1"/>
  <c r="F292" i="1"/>
  <c r="M291" i="1"/>
  <c r="L291" i="1"/>
  <c r="N291" i="1" s="1"/>
  <c r="G291" i="1"/>
  <c r="F291" i="1"/>
  <c r="H291" i="1" s="1"/>
  <c r="O291" i="1" s="1"/>
  <c r="M290" i="1"/>
  <c r="L290" i="1"/>
  <c r="N290" i="1" s="1"/>
  <c r="G290" i="1"/>
  <c r="F290" i="1"/>
  <c r="H290" i="1" s="1"/>
  <c r="M289" i="1"/>
  <c r="L289" i="1"/>
  <c r="N289" i="1" s="1"/>
  <c r="G289" i="1"/>
  <c r="H289" i="1" s="1"/>
  <c r="O289" i="1" s="1"/>
  <c r="F289" i="1"/>
  <c r="O288" i="1"/>
  <c r="N288" i="1"/>
  <c r="M288" i="1"/>
  <c r="L288" i="1"/>
  <c r="G288" i="1"/>
  <c r="F288" i="1"/>
  <c r="H288" i="1" s="1"/>
  <c r="M287" i="1"/>
  <c r="N287" i="1" s="1"/>
  <c r="L287" i="1"/>
  <c r="G287" i="1"/>
  <c r="F287" i="1"/>
  <c r="H287" i="1" s="1"/>
  <c r="M286" i="1"/>
  <c r="L286" i="1"/>
  <c r="G286" i="1"/>
  <c r="F286" i="1"/>
  <c r="H286" i="1" s="1"/>
  <c r="M285" i="1"/>
  <c r="L285" i="1"/>
  <c r="N285" i="1" s="1"/>
  <c r="H285" i="1"/>
  <c r="G285" i="1"/>
  <c r="F285" i="1"/>
  <c r="M284" i="1"/>
  <c r="N284" i="1" s="1"/>
  <c r="L284" i="1"/>
  <c r="G284" i="1"/>
  <c r="H284" i="1" s="1"/>
  <c r="O284" i="1" s="1"/>
  <c r="F284" i="1"/>
  <c r="M283" i="1"/>
  <c r="L283" i="1"/>
  <c r="N283" i="1" s="1"/>
  <c r="G283" i="1"/>
  <c r="F283" i="1"/>
  <c r="M282" i="1"/>
  <c r="L282" i="1"/>
  <c r="N282" i="1" s="1"/>
  <c r="G282" i="1"/>
  <c r="F282" i="1"/>
  <c r="H282" i="1" s="1"/>
  <c r="O282" i="1" s="1"/>
  <c r="M281" i="1"/>
  <c r="L281" i="1"/>
  <c r="N281" i="1" s="1"/>
  <c r="G281" i="1"/>
  <c r="H281" i="1" s="1"/>
  <c r="O281" i="1" s="1"/>
  <c r="F281" i="1"/>
  <c r="N280" i="1"/>
  <c r="O280" i="1" s="1"/>
  <c r="M280" i="1"/>
  <c r="L280" i="1"/>
  <c r="G280" i="1"/>
  <c r="F280" i="1"/>
  <c r="H280" i="1" s="1"/>
  <c r="N279" i="1"/>
  <c r="M279" i="1"/>
  <c r="L279" i="1"/>
  <c r="G279" i="1"/>
  <c r="F279" i="1"/>
  <c r="H279" i="1" s="1"/>
  <c r="O279" i="1" s="1"/>
  <c r="M278" i="1"/>
  <c r="L278" i="1"/>
  <c r="N278" i="1" s="1"/>
  <c r="G278" i="1"/>
  <c r="F278" i="1"/>
  <c r="H278" i="1" s="1"/>
  <c r="O278" i="1" s="1"/>
  <c r="M277" i="1"/>
  <c r="L277" i="1"/>
  <c r="N277" i="1" s="1"/>
  <c r="H277" i="1"/>
  <c r="O277" i="1" s="1"/>
  <c r="G277" i="1"/>
  <c r="F277" i="1"/>
  <c r="M276" i="1"/>
  <c r="N276" i="1" s="1"/>
  <c r="L276" i="1"/>
  <c r="H276" i="1"/>
  <c r="O276" i="1" s="1"/>
  <c r="G276" i="1"/>
  <c r="F276" i="1"/>
  <c r="M275" i="1"/>
  <c r="L275" i="1"/>
  <c r="N275" i="1" s="1"/>
  <c r="G275" i="1"/>
  <c r="F275" i="1"/>
  <c r="H275" i="1" s="1"/>
  <c r="M274" i="1"/>
  <c r="L274" i="1"/>
  <c r="N274" i="1" s="1"/>
  <c r="G274" i="1"/>
  <c r="F274" i="1"/>
  <c r="H274" i="1" s="1"/>
  <c r="O274" i="1" s="1"/>
  <c r="O273" i="1"/>
  <c r="M273" i="1"/>
  <c r="L273" i="1"/>
  <c r="N273" i="1" s="1"/>
  <c r="G273" i="1"/>
  <c r="H273" i="1" s="1"/>
  <c r="F273" i="1"/>
  <c r="O272" i="1"/>
  <c r="N272" i="1"/>
  <c r="M272" i="1"/>
  <c r="L272" i="1"/>
  <c r="G272" i="1"/>
  <c r="F272" i="1"/>
  <c r="H272" i="1" s="1"/>
  <c r="M271" i="1"/>
  <c r="N271" i="1" s="1"/>
  <c r="L271" i="1"/>
  <c r="G271" i="1"/>
  <c r="F271" i="1"/>
  <c r="H271" i="1" s="1"/>
  <c r="M270" i="1"/>
  <c r="L270" i="1"/>
  <c r="G270" i="1"/>
  <c r="F270" i="1"/>
  <c r="H270" i="1" s="1"/>
  <c r="M269" i="1"/>
  <c r="L269" i="1"/>
  <c r="N269" i="1" s="1"/>
  <c r="H269" i="1"/>
  <c r="G269" i="1"/>
  <c r="F269" i="1"/>
  <c r="M268" i="1"/>
  <c r="N268" i="1" s="1"/>
  <c r="L268" i="1"/>
  <c r="G268" i="1"/>
  <c r="H268" i="1" s="1"/>
  <c r="O268" i="1" s="1"/>
  <c r="F268" i="1"/>
  <c r="M267" i="1"/>
  <c r="L267" i="1"/>
  <c r="N267" i="1" s="1"/>
  <c r="G267" i="1"/>
  <c r="F267" i="1"/>
  <c r="M266" i="1"/>
  <c r="L266" i="1"/>
  <c r="N266" i="1" s="1"/>
  <c r="G266" i="1"/>
  <c r="F266" i="1"/>
  <c r="H266" i="1" s="1"/>
  <c r="O266" i="1" s="1"/>
  <c r="M265" i="1"/>
  <c r="L265" i="1"/>
  <c r="N265" i="1" s="1"/>
  <c r="G265" i="1"/>
  <c r="H265" i="1" s="1"/>
  <c r="O265" i="1" s="1"/>
  <c r="F265" i="1"/>
  <c r="N264" i="1"/>
  <c r="M264" i="1"/>
  <c r="L264" i="1"/>
  <c r="G264" i="1"/>
  <c r="F264" i="1"/>
  <c r="H264" i="1" s="1"/>
  <c r="O264" i="1" s="1"/>
  <c r="N263" i="1"/>
  <c r="M263" i="1"/>
  <c r="L263" i="1"/>
  <c r="G263" i="1"/>
  <c r="F263" i="1"/>
  <c r="H263" i="1" s="1"/>
  <c r="M262" i="1"/>
  <c r="L262" i="1"/>
  <c r="N262" i="1" s="1"/>
  <c r="G262" i="1"/>
  <c r="F262" i="1"/>
  <c r="H262" i="1" s="1"/>
  <c r="O262" i="1" s="1"/>
  <c r="M261" i="1"/>
  <c r="L261" i="1"/>
  <c r="N261" i="1" s="1"/>
  <c r="H261" i="1"/>
  <c r="G261" i="1"/>
  <c r="F261" i="1"/>
  <c r="M260" i="1"/>
  <c r="N260" i="1" s="1"/>
  <c r="L260" i="1"/>
  <c r="H260" i="1"/>
  <c r="O260" i="1" s="1"/>
  <c r="G260" i="1"/>
  <c r="F260" i="1"/>
  <c r="M259" i="1"/>
  <c r="L259" i="1"/>
  <c r="N259" i="1" s="1"/>
  <c r="G259" i="1"/>
  <c r="F259" i="1"/>
  <c r="H259" i="1" s="1"/>
  <c r="O259" i="1" s="1"/>
  <c r="M258" i="1"/>
  <c r="L258" i="1"/>
  <c r="N258" i="1" s="1"/>
  <c r="G258" i="1"/>
  <c r="F258" i="1"/>
  <c r="H258" i="1" s="1"/>
  <c r="M257" i="1"/>
  <c r="L257" i="1"/>
  <c r="N257" i="1" s="1"/>
  <c r="G257" i="1"/>
  <c r="H257" i="1" s="1"/>
  <c r="O257" i="1" s="1"/>
  <c r="F257" i="1"/>
  <c r="O256" i="1"/>
  <c r="N256" i="1"/>
  <c r="M256" i="1"/>
  <c r="L256" i="1"/>
  <c r="G256" i="1"/>
  <c r="F256" i="1"/>
  <c r="H256" i="1" s="1"/>
  <c r="M255" i="1"/>
  <c r="N255" i="1" s="1"/>
  <c r="L255" i="1"/>
  <c r="G255" i="1"/>
  <c r="F255" i="1"/>
  <c r="H255" i="1" s="1"/>
  <c r="M254" i="1"/>
  <c r="L254" i="1"/>
  <c r="N254" i="1" s="1"/>
  <c r="G254" i="1"/>
  <c r="F254" i="1"/>
  <c r="H254" i="1" s="1"/>
  <c r="O254" i="1" s="1"/>
  <c r="M253" i="1"/>
  <c r="L253" i="1"/>
  <c r="N253" i="1" s="1"/>
  <c r="H253" i="1"/>
  <c r="G253" i="1"/>
  <c r="F253" i="1"/>
  <c r="M252" i="1"/>
  <c r="N252" i="1" s="1"/>
  <c r="L252" i="1"/>
  <c r="G252" i="1"/>
  <c r="H252" i="1" s="1"/>
  <c r="O252" i="1" s="1"/>
  <c r="F252" i="1"/>
  <c r="M251" i="1"/>
  <c r="L251" i="1"/>
  <c r="N251" i="1" s="1"/>
  <c r="G251" i="1"/>
  <c r="F251" i="1"/>
  <c r="H251" i="1" s="1"/>
  <c r="O251" i="1" s="1"/>
  <c r="M250" i="1"/>
  <c r="L250" i="1"/>
  <c r="N250" i="1" s="1"/>
  <c r="G250" i="1"/>
  <c r="F250" i="1"/>
  <c r="H250" i="1" s="1"/>
  <c r="O250" i="1" s="1"/>
  <c r="M249" i="1"/>
  <c r="L249" i="1"/>
  <c r="N249" i="1" s="1"/>
  <c r="G249" i="1"/>
  <c r="H249" i="1" s="1"/>
  <c r="O249" i="1" s="1"/>
  <c r="F249" i="1"/>
  <c r="N248" i="1"/>
  <c r="O248" i="1" s="1"/>
  <c r="M248" i="1"/>
  <c r="L248" i="1"/>
  <c r="G248" i="1"/>
  <c r="F248" i="1"/>
  <c r="H248" i="1" s="1"/>
  <c r="N247" i="1"/>
  <c r="M247" i="1"/>
  <c r="L247" i="1"/>
  <c r="G247" i="1"/>
  <c r="F247" i="1"/>
  <c r="H247" i="1" s="1"/>
  <c r="O247" i="1" s="1"/>
  <c r="M246" i="1"/>
  <c r="L246" i="1"/>
  <c r="N246" i="1" s="1"/>
  <c r="G246" i="1"/>
  <c r="F246" i="1"/>
  <c r="H246" i="1" s="1"/>
  <c r="O246" i="1" s="1"/>
  <c r="M245" i="1"/>
  <c r="L245" i="1"/>
  <c r="N245" i="1" s="1"/>
  <c r="H245" i="1"/>
  <c r="O245" i="1" s="1"/>
  <c r="G245" i="1"/>
  <c r="F245" i="1"/>
  <c r="M244" i="1"/>
  <c r="N244" i="1" s="1"/>
  <c r="L244" i="1"/>
  <c r="H244" i="1"/>
  <c r="O244" i="1" s="1"/>
  <c r="G244" i="1"/>
  <c r="F244" i="1"/>
  <c r="M243" i="1"/>
  <c r="L243" i="1"/>
  <c r="N243" i="1" s="1"/>
  <c r="G243" i="1"/>
  <c r="F243" i="1"/>
  <c r="H243" i="1" s="1"/>
  <c r="M242" i="1"/>
  <c r="L242" i="1"/>
  <c r="N242" i="1" s="1"/>
  <c r="G242" i="1"/>
  <c r="F242" i="1"/>
  <c r="H242" i="1" s="1"/>
  <c r="O242" i="1" s="1"/>
  <c r="O241" i="1"/>
  <c r="M241" i="1"/>
  <c r="L241" i="1"/>
  <c r="N241" i="1" s="1"/>
  <c r="G241" i="1"/>
  <c r="H241" i="1" s="1"/>
  <c r="F241" i="1"/>
  <c r="O240" i="1"/>
  <c r="N240" i="1"/>
  <c r="M240" i="1"/>
  <c r="L240" i="1"/>
  <c r="G240" i="1"/>
  <c r="F240" i="1"/>
  <c r="H240" i="1" s="1"/>
  <c r="N239" i="1"/>
  <c r="M239" i="1"/>
  <c r="L239" i="1"/>
  <c r="G239" i="1"/>
  <c r="F239" i="1"/>
  <c r="H239" i="1" s="1"/>
  <c r="O239" i="1" s="1"/>
  <c r="M238" i="1"/>
  <c r="L238" i="1"/>
  <c r="G238" i="1"/>
  <c r="F238" i="1"/>
  <c r="H238" i="1" s="1"/>
  <c r="M237" i="1"/>
  <c r="L237" i="1"/>
  <c r="N237" i="1" s="1"/>
  <c r="H237" i="1"/>
  <c r="G237" i="1"/>
  <c r="F237" i="1"/>
  <c r="M236" i="1"/>
  <c r="N236" i="1" s="1"/>
  <c r="L236" i="1"/>
  <c r="H236" i="1"/>
  <c r="G236" i="1"/>
  <c r="F236" i="1"/>
  <c r="M235" i="1"/>
  <c r="L235" i="1"/>
  <c r="N235" i="1" s="1"/>
  <c r="G235" i="1"/>
  <c r="F235" i="1"/>
  <c r="M234" i="1"/>
  <c r="L234" i="1"/>
  <c r="N234" i="1" s="1"/>
  <c r="G234" i="1"/>
  <c r="F234" i="1"/>
  <c r="H234" i="1" s="1"/>
  <c r="O234" i="1" s="1"/>
  <c r="M233" i="1"/>
  <c r="L233" i="1"/>
  <c r="N233" i="1" s="1"/>
  <c r="G233" i="1"/>
  <c r="H233" i="1" s="1"/>
  <c r="O233" i="1" s="1"/>
  <c r="F233" i="1"/>
  <c r="N232" i="1"/>
  <c r="M232" i="1"/>
  <c r="L232" i="1"/>
  <c r="G232" i="1"/>
  <c r="F232" i="1"/>
  <c r="H232" i="1" s="1"/>
  <c r="O232" i="1" s="1"/>
  <c r="N231" i="1"/>
  <c r="M231" i="1"/>
  <c r="L231" i="1"/>
  <c r="G231" i="1"/>
  <c r="F231" i="1"/>
  <c r="H231" i="1" s="1"/>
  <c r="M230" i="1"/>
  <c r="L230" i="1"/>
  <c r="N230" i="1" s="1"/>
  <c r="G230" i="1"/>
  <c r="F230" i="1"/>
  <c r="H230" i="1" s="1"/>
  <c r="O230" i="1" s="1"/>
  <c r="M229" i="1"/>
  <c r="L229" i="1"/>
  <c r="N229" i="1" s="1"/>
  <c r="H229" i="1"/>
  <c r="G229" i="1"/>
  <c r="F229" i="1"/>
  <c r="M228" i="1"/>
  <c r="L228" i="1"/>
  <c r="N228" i="1" s="1"/>
  <c r="H228" i="1"/>
  <c r="G228" i="1"/>
  <c r="F228" i="1"/>
  <c r="M227" i="1"/>
  <c r="L227" i="1"/>
  <c r="N227" i="1" s="1"/>
  <c r="G227" i="1"/>
  <c r="F227" i="1"/>
  <c r="H227" i="1" s="1"/>
  <c r="O227" i="1" s="1"/>
  <c r="M226" i="1"/>
  <c r="L226" i="1"/>
  <c r="N226" i="1" s="1"/>
  <c r="G226" i="1"/>
  <c r="F226" i="1"/>
  <c r="H226" i="1" s="1"/>
  <c r="M225" i="1"/>
  <c r="L225" i="1"/>
  <c r="N225" i="1" s="1"/>
  <c r="G225" i="1"/>
  <c r="H225" i="1" s="1"/>
  <c r="O225" i="1" s="1"/>
  <c r="F225" i="1"/>
  <c r="O224" i="1"/>
  <c r="N224" i="1"/>
  <c r="M224" i="1"/>
  <c r="L224" i="1"/>
  <c r="G224" i="1"/>
  <c r="F224" i="1"/>
  <c r="H224" i="1" s="1"/>
  <c r="M223" i="1"/>
  <c r="N223" i="1" s="1"/>
  <c r="L223" i="1"/>
  <c r="G223" i="1"/>
  <c r="F223" i="1"/>
  <c r="H223" i="1" s="1"/>
  <c r="M222" i="1"/>
  <c r="L222" i="1"/>
  <c r="N222" i="1" s="1"/>
  <c r="G222" i="1"/>
  <c r="F222" i="1"/>
  <c r="H222" i="1" s="1"/>
  <c r="O222" i="1" s="1"/>
  <c r="M221" i="1"/>
  <c r="L221" i="1"/>
  <c r="N221" i="1" s="1"/>
  <c r="H221" i="1"/>
  <c r="G221" i="1"/>
  <c r="F221" i="1"/>
  <c r="M220" i="1"/>
  <c r="N220" i="1" s="1"/>
  <c r="L220" i="1"/>
  <c r="G220" i="1"/>
  <c r="H220" i="1" s="1"/>
  <c r="O220" i="1" s="1"/>
  <c r="F220" i="1"/>
  <c r="M219" i="1"/>
  <c r="L219" i="1"/>
  <c r="N219" i="1" s="1"/>
  <c r="G219" i="1"/>
  <c r="F219" i="1"/>
  <c r="H219" i="1" s="1"/>
  <c r="M218" i="1"/>
  <c r="L218" i="1"/>
  <c r="N218" i="1" s="1"/>
  <c r="G218" i="1"/>
  <c r="F218" i="1"/>
  <c r="H218" i="1" s="1"/>
  <c r="O218" i="1" s="1"/>
  <c r="M217" i="1"/>
  <c r="L217" i="1"/>
  <c r="N217" i="1" s="1"/>
  <c r="G217" i="1"/>
  <c r="H217" i="1" s="1"/>
  <c r="O217" i="1" s="1"/>
  <c r="F217" i="1"/>
  <c r="N216" i="1"/>
  <c r="O216" i="1" s="1"/>
  <c r="M216" i="1"/>
  <c r="L216" i="1"/>
  <c r="G216" i="1"/>
  <c r="F216" i="1"/>
  <c r="H216" i="1" s="1"/>
  <c r="N215" i="1"/>
  <c r="M215" i="1"/>
  <c r="L215" i="1"/>
  <c r="G215" i="1"/>
  <c r="F215" i="1"/>
  <c r="H215" i="1" s="1"/>
  <c r="O215" i="1" s="1"/>
  <c r="M214" i="1"/>
  <c r="L214" i="1"/>
  <c r="N214" i="1" s="1"/>
  <c r="G214" i="1"/>
  <c r="F214" i="1"/>
  <c r="H214" i="1" s="1"/>
  <c r="O214" i="1" s="1"/>
  <c r="M213" i="1"/>
  <c r="L213" i="1"/>
  <c r="N213" i="1" s="1"/>
  <c r="H213" i="1"/>
  <c r="O213" i="1" s="1"/>
  <c r="G213" i="1"/>
  <c r="F213" i="1"/>
  <c r="N212" i="1"/>
  <c r="M212" i="1"/>
  <c r="L212" i="1"/>
  <c r="G212" i="1"/>
  <c r="H212" i="1" s="1"/>
  <c r="O212" i="1" s="1"/>
  <c r="F212" i="1"/>
  <c r="M211" i="1"/>
  <c r="L211" i="1"/>
  <c r="N211" i="1" s="1"/>
  <c r="G211" i="1"/>
  <c r="F211" i="1"/>
  <c r="M210" i="1"/>
  <c r="L210" i="1"/>
  <c r="N210" i="1" s="1"/>
  <c r="G210" i="1"/>
  <c r="F210" i="1"/>
  <c r="H210" i="1" s="1"/>
  <c r="O210" i="1" s="1"/>
  <c r="O209" i="1"/>
  <c r="M209" i="1"/>
  <c r="L209" i="1"/>
  <c r="N209" i="1" s="1"/>
  <c r="H209" i="1"/>
  <c r="G209" i="1"/>
  <c r="F209" i="1"/>
  <c r="N208" i="1"/>
  <c r="O208" i="1" s="1"/>
  <c r="M208" i="1"/>
  <c r="L208" i="1"/>
  <c r="G208" i="1"/>
  <c r="F208" i="1"/>
  <c r="H208" i="1" s="1"/>
  <c r="N207" i="1"/>
  <c r="M207" i="1"/>
  <c r="L207" i="1"/>
  <c r="G207" i="1"/>
  <c r="F207" i="1"/>
  <c r="H207" i="1" s="1"/>
  <c r="O207" i="1" s="1"/>
  <c r="M206" i="1"/>
  <c r="L206" i="1"/>
  <c r="N206" i="1" s="1"/>
  <c r="G206" i="1"/>
  <c r="F206" i="1"/>
  <c r="H206" i="1" s="1"/>
  <c r="O206" i="1" s="1"/>
  <c r="M205" i="1"/>
  <c r="L205" i="1"/>
  <c r="N205" i="1" s="1"/>
  <c r="H205" i="1"/>
  <c r="O205" i="1" s="1"/>
  <c r="G205" i="1"/>
  <c r="F205" i="1"/>
  <c r="M204" i="1"/>
  <c r="L204" i="1"/>
  <c r="N204" i="1" s="1"/>
  <c r="H204" i="1"/>
  <c r="O204" i="1" s="1"/>
  <c r="G204" i="1"/>
  <c r="F204" i="1"/>
  <c r="M203" i="1"/>
  <c r="L203" i="1"/>
  <c r="N203" i="1" s="1"/>
  <c r="G203" i="1"/>
  <c r="F203" i="1"/>
  <c r="H203" i="1" s="1"/>
  <c r="M202" i="1"/>
  <c r="L202" i="1"/>
  <c r="N202" i="1" s="1"/>
  <c r="G202" i="1"/>
  <c r="F202" i="1"/>
  <c r="H202" i="1" s="1"/>
  <c r="O202" i="1" s="1"/>
  <c r="O201" i="1"/>
  <c r="M201" i="1"/>
  <c r="L201" i="1"/>
  <c r="N201" i="1" s="1"/>
  <c r="G201" i="1"/>
  <c r="H201" i="1" s="1"/>
  <c r="F201" i="1"/>
  <c r="O200" i="1"/>
  <c r="N200" i="1"/>
  <c r="M200" i="1"/>
  <c r="L200" i="1"/>
  <c r="G200" i="1"/>
  <c r="F200" i="1"/>
  <c r="H200" i="1" s="1"/>
  <c r="N199" i="1"/>
  <c r="M199" i="1"/>
  <c r="L199" i="1"/>
  <c r="G199" i="1"/>
  <c r="F199" i="1"/>
  <c r="H199" i="1" s="1"/>
  <c r="O199" i="1" s="1"/>
  <c r="M198" i="1"/>
  <c r="L198" i="1"/>
  <c r="G198" i="1"/>
  <c r="F198" i="1"/>
  <c r="H198" i="1" s="1"/>
  <c r="M197" i="1"/>
  <c r="L197" i="1"/>
  <c r="N197" i="1" s="1"/>
  <c r="H197" i="1"/>
  <c r="G197" i="1"/>
  <c r="F197" i="1"/>
  <c r="M196" i="1"/>
  <c r="N196" i="1" s="1"/>
  <c r="L196" i="1"/>
  <c r="H196" i="1"/>
  <c r="G196" i="1"/>
  <c r="F196" i="1"/>
  <c r="M195" i="1"/>
  <c r="L195" i="1"/>
  <c r="N195" i="1" s="1"/>
  <c r="G195" i="1"/>
  <c r="F195" i="1"/>
  <c r="M194" i="1"/>
  <c r="L194" i="1"/>
  <c r="N194" i="1" s="1"/>
  <c r="G194" i="1"/>
  <c r="F194" i="1"/>
  <c r="H194" i="1" s="1"/>
  <c r="M193" i="1"/>
  <c r="L193" i="1"/>
  <c r="N193" i="1" s="1"/>
  <c r="G193" i="1"/>
  <c r="H193" i="1" s="1"/>
  <c r="O193" i="1" s="1"/>
  <c r="F193" i="1"/>
  <c r="N192" i="1"/>
  <c r="M192" i="1"/>
  <c r="L192" i="1"/>
  <c r="G192" i="1"/>
  <c r="F192" i="1"/>
  <c r="H192" i="1" s="1"/>
  <c r="O192" i="1" s="1"/>
  <c r="N191" i="1"/>
  <c r="M191" i="1"/>
  <c r="L191" i="1"/>
  <c r="G191" i="1"/>
  <c r="F191" i="1"/>
  <c r="H191" i="1" s="1"/>
  <c r="M190" i="1"/>
  <c r="L190" i="1"/>
  <c r="N190" i="1" s="1"/>
  <c r="G190" i="1"/>
  <c r="F190" i="1"/>
  <c r="H190" i="1" s="1"/>
  <c r="O190" i="1" s="1"/>
  <c r="M189" i="1"/>
  <c r="L189" i="1"/>
  <c r="N189" i="1" s="1"/>
  <c r="H189" i="1"/>
  <c r="G189" i="1"/>
  <c r="F189" i="1"/>
  <c r="N188" i="1"/>
  <c r="M188" i="1"/>
  <c r="L188" i="1"/>
  <c r="G188" i="1"/>
  <c r="H188" i="1" s="1"/>
  <c r="O188" i="1" s="1"/>
  <c r="F188" i="1"/>
  <c r="M187" i="1"/>
  <c r="L187" i="1"/>
  <c r="N187" i="1" s="1"/>
  <c r="G187" i="1"/>
  <c r="F187" i="1"/>
  <c r="H187" i="1" s="1"/>
  <c r="O187" i="1" s="1"/>
  <c r="M186" i="1"/>
  <c r="L186" i="1"/>
  <c r="N186" i="1" s="1"/>
  <c r="G186" i="1"/>
  <c r="F186" i="1"/>
  <c r="H186" i="1" s="1"/>
  <c r="O186" i="1" s="1"/>
  <c r="M185" i="1"/>
  <c r="L185" i="1"/>
  <c r="N185" i="1" s="1"/>
  <c r="O185" i="1" s="1"/>
  <c r="H185" i="1"/>
  <c r="G185" i="1"/>
  <c r="F185" i="1"/>
  <c r="N184" i="1"/>
  <c r="M184" i="1"/>
  <c r="L184" i="1"/>
  <c r="G184" i="1"/>
  <c r="F184" i="1"/>
  <c r="H184" i="1" s="1"/>
  <c r="O184" i="1" s="1"/>
  <c r="N183" i="1"/>
  <c r="M183" i="1"/>
  <c r="L183" i="1"/>
  <c r="G183" i="1"/>
  <c r="F183" i="1"/>
  <c r="H183" i="1" s="1"/>
  <c r="M182" i="1"/>
  <c r="L182" i="1"/>
  <c r="N182" i="1" s="1"/>
  <c r="G182" i="1"/>
  <c r="F182" i="1"/>
  <c r="H182" i="1" s="1"/>
  <c r="O182" i="1" s="1"/>
  <c r="M181" i="1"/>
  <c r="L181" i="1"/>
  <c r="N181" i="1" s="1"/>
  <c r="H181" i="1"/>
  <c r="G181" i="1"/>
  <c r="F181" i="1"/>
  <c r="N180" i="1"/>
  <c r="M180" i="1"/>
  <c r="L180" i="1"/>
  <c r="G180" i="1"/>
  <c r="H180" i="1" s="1"/>
  <c r="O180" i="1" s="1"/>
  <c r="F180" i="1"/>
  <c r="M179" i="1"/>
  <c r="L179" i="1"/>
  <c r="N179" i="1" s="1"/>
  <c r="G179" i="1"/>
  <c r="F179" i="1"/>
  <c r="H179" i="1" s="1"/>
  <c r="O179" i="1" s="1"/>
  <c r="M178" i="1"/>
  <c r="L178" i="1"/>
  <c r="N178" i="1" s="1"/>
  <c r="G178" i="1"/>
  <c r="F178" i="1"/>
  <c r="H178" i="1" s="1"/>
  <c r="O178" i="1" s="1"/>
  <c r="M177" i="1"/>
  <c r="L177" i="1"/>
  <c r="N177" i="1" s="1"/>
  <c r="G177" i="1"/>
  <c r="F177" i="1"/>
  <c r="H177" i="1" s="1"/>
  <c r="O177" i="1" s="1"/>
  <c r="N176" i="1"/>
  <c r="M176" i="1"/>
  <c r="L176" i="1"/>
  <c r="G176" i="1"/>
  <c r="F176" i="1"/>
  <c r="H176" i="1" s="1"/>
  <c r="O176" i="1" s="1"/>
  <c r="N175" i="1"/>
  <c r="M175" i="1"/>
  <c r="L175" i="1"/>
  <c r="G175" i="1"/>
  <c r="F175" i="1"/>
  <c r="H175" i="1" s="1"/>
  <c r="M174" i="1"/>
  <c r="L174" i="1"/>
  <c r="G174" i="1"/>
  <c r="F174" i="1"/>
  <c r="H174" i="1" s="1"/>
  <c r="M173" i="1"/>
  <c r="L173" i="1"/>
  <c r="N173" i="1" s="1"/>
  <c r="H173" i="1"/>
  <c r="O173" i="1" s="1"/>
  <c r="G173" i="1"/>
  <c r="F173" i="1"/>
  <c r="M172" i="1"/>
  <c r="L172" i="1"/>
  <c r="N172" i="1" s="1"/>
  <c r="H172" i="1"/>
  <c r="O172" i="1" s="1"/>
  <c r="G172" i="1"/>
  <c r="F172" i="1"/>
  <c r="M171" i="1"/>
  <c r="L171" i="1"/>
  <c r="N171" i="1" s="1"/>
  <c r="G171" i="1"/>
  <c r="F171" i="1"/>
  <c r="M170" i="1"/>
  <c r="L170" i="1"/>
  <c r="N170" i="1" s="1"/>
  <c r="G170" i="1"/>
  <c r="F170" i="1"/>
  <c r="H170" i="1" s="1"/>
  <c r="M169" i="1"/>
  <c r="L169" i="1"/>
  <c r="N169" i="1" s="1"/>
  <c r="G169" i="1"/>
  <c r="F169" i="1"/>
  <c r="H169" i="1" s="1"/>
  <c r="O169" i="1" s="1"/>
  <c r="O168" i="1"/>
  <c r="N168" i="1"/>
  <c r="M168" i="1"/>
  <c r="L168" i="1"/>
  <c r="G168" i="1"/>
  <c r="F168" i="1"/>
  <c r="H168" i="1" s="1"/>
  <c r="M167" i="1"/>
  <c r="N167" i="1" s="1"/>
  <c r="L167" i="1"/>
  <c r="G167" i="1"/>
  <c r="F167" i="1"/>
  <c r="H167" i="1" s="1"/>
  <c r="M166" i="1"/>
  <c r="L166" i="1"/>
  <c r="G166" i="1"/>
  <c r="F166" i="1"/>
  <c r="H166" i="1" s="1"/>
  <c r="M165" i="1"/>
  <c r="L165" i="1"/>
  <c r="N165" i="1" s="1"/>
  <c r="H165" i="1"/>
  <c r="G165" i="1"/>
  <c r="F165" i="1"/>
  <c r="M164" i="1"/>
  <c r="N164" i="1" s="1"/>
  <c r="L164" i="1"/>
  <c r="G164" i="1"/>
  <c r="H164" i="1" s="1"/>
  <c r="O164" i="1" s="1"/>
  <c r="F164" i="1"/>
  <c r="M163" i="1"/>
  <c r="L163" i="1"/>
  <c r="N163" i="1" s="1"/>
  <c r="G163" i="1"/>
  <c r="F163" i="1"/>
  <c r="M162" i="1"/>
  <c r="L162" i="1"/>
  <c r="N162" i="1" s="1"/>
  <c r="G162" i="1"/>
  <c r="F162" i="1"/>
  <c r="H162" i="1" s="1"/>
  <c r="O162" i="1" s="1"/>
  <c r="O161" i="1"/>
  <c r="M161" i="1"/>
  <c r="L161" i="1"/>
  <c r="N161" i="1" s="1"/>
  <c r="H161" i="1"/>
  <c r="G161" i="1"/>
  <c r="F161" i="1"/>
  <c r="N160" i="1"/>
  <c r="O160" i="1" s="1"/>
  <c r="M160" i="1"/>
  <c r="L160" i="1"/>
  <c r="G160" i="1"/>
  <c r="F160" i="1"/>
  <c r="H160" i="1" s="1"/>
  <c r="N159" i="1"/>
  <c r="M159" i="1"/>
  <c r="L159" i="1"/>
  <c r="G159" i="1"/>
  <c r="F159" i="1"/>
  <c r="H159" i="1" s="1"/>
  <c r="O159" i="1" s="1"/>
  <c r="M158" i="1"/>
  <c r="L158" i="1"/>
  <c r="N158" i="1" s="1"/>
  <c r="G158" i="1"/>
  <c r="F158" i="1"/>
  <c r="H158" i="1" s="1"/>
  <c r="M157" i="1"/>
  <c r="L157" i="1"/>
  <c r="N157" i="1" s="1"/>
  <c r="H157" i="1"/>
  <c r="O157" i="1" s="1"/>
  <c r="G157" i="1"/>
  <c r="F157" i="1"/>
  <c r="N156" i="1"/>
  <c r="M156" i="1"/>
  <c r="L156" i="1"/>
  <c r="G156" i="1"/>
  <c r="H156" i="1" s="1"/>
  <c r="O156" i="1" s="1"/>
  <c r="F156" i="1"/>
  <c r="M155" i="1"/>
  <c r="L155" i="1"/>
  <c r="N155" i="1" s="1"/>
  <c r="G155" i="1"/>
  <c r="F155" i="1"/>
  <c r="M154" i="1"/>
  <c r="L154" i="1"/>
  <c r="N154" i="1" s="1"/>
  <c r="G154" i="1"/>
  <c r="F154" i="1"/>
  <c r="H154" i="1" s="1"/>
  <c r="O154" i="1" s="1"/>
  <c r="O153" i="1"/>
  <c r="N153" i="1"/>
  <c r="M153" i="1"/>
  <c r="L153" i="1"/>
  <c r="H153" i="1"/>
  <c r="G153" i="1"/>
  <c r="F153" i="1"/>
  <c r="N152" i="1"/>
  <c r="M152" i="1"/>
  <c r="L152" i="1"/>
  <c r="G152" i="1"/>
  <c r="H152" i="1" s="1"/>
  <c r="O152" i="1" s="1"/>
  <c r="F152" i="1"/>
  <c r="N151" i="1"/>
  <c r="O151" i="1" s="1"/>
  <c r="M151" i="1"/>
  <c r="L151" i="1"/>
  <c r="H151" i="1"/>
  <c r="G151" i="1"/>
  <c r="F151" i="1"/>
  <c r="M150" i="1"/>
  <c r="L150" i="1"/>
  <c r="N150" i="1" s="1"/>
  <c r="G150" i="1"/>
  <c r="F150" i="1"/>
  <c r="H150" i="1" s="1"/>
  <c r="M149" i="1"/>
  <c r="L149" i="1"/>
  <c r="N149" i="1" s="1"/>
  <c r="H149" i="1"/>
  <c r="O149" i="1" s="1"/>
  <c r="G149" i="1"/>
  <c r="F149" i="1"/>
  <c r="M148" i="1"/>
  <c r="L148" i="1"/>
  <c r="N148" i="1" s="1"/>
  <c r="H148" i="1"/>
  <c r="G148" i="1"/>
  <c r="F148" i="1"/>
  <c r="M147" i="1"/>
  <c r="N147" i="1" s="1"/>
  <c r="L147" i="1"/>
  <c r="G147" i="1"/>
  <c r="F147" i="1"/>
  <c r="H147" i="1" s="1"/>
  <c r="O147" i="1" s="1"/>
  <c r="N146" i="1"/>
  <c r="M146" i="1"/>
  <c r="L146" i="1"/>
  <c r="G146" i="1"/>
  <c r="F146" i="1"/>
  <c r="H146" i="1" s="1"/>
  <c r="O146" i="1" s="1"/>
  <c r="M145" i="1"/>
  <c r="L145" i="1"/>
  <c r="N145" i="1" s="1"/>
  <c r="G145" i="1"/>
  <c r="F145" i="1"/>
  <c r="H145" i="1" s="1"/>
  <c r="N144" i="1"/>
  <c r="M144" i="1"/>
  <c r="L144" i="1"/>
  <c r="G144" i="1"/>
  <c r="H144" i="1" s="1"/>
  <c r="O144" i="1" s="1"/>
  <c r="F144" i="1"/>
  <c r="N143" i="1"/>
  <c r="O143" i="1" s="1"/>
  <c r="M143" i="1"/>
  <c r="L143" i="1"/>
  <c r="H143" i="1"/>
  <c r="G143" i="1"/>
  <c r="F143" i="1"/>
  <c r="M142" i="1"/>
  <c r="L142" i="1"/>
  <c r="N142" i="1" s="1"/>
  <c r="G142" i="1"/>
  <c r="F142" i="1"/>
  <c r="H142" i="1" s="1"/>
  <c r="O142" i="1" s="1"/>
  <c r="M141" i="1"/>
  <c r="L141" i="1"/>
  <c r="N141" i="1" s="1"/>
  <c r="H141" i="1"/>
  <c r="O141" i="1" s="1"/>
  <c r="G141" i="1"/>
  <c r="F141" i="1"/>
  <c r="M140" i="1"/>
  <c r="L140" i="1"/>
  <c r="N140" i="1" s="1"/>
  <c r="H140" i="1"/>
  <c r="O140" i="1" s="1"/>
  <c r="G140" i="1"/>
  <c r="F140" i="1"/>
  <c r="M139" i="1"/>
  <c r="N139" i="1" s="1"/>
  <c r="L139" i="1"/>
  <c r="G139" i="1"/>
  <c r="F139" i="1"/>
  <c r="H139" i="1" s="1"/>
  <c r="O139" i="1" s="1"/>
  <c r="N138" i="1"/>
  <c r="M138" i="1"/>
  <c r="L138" i="1"/>
  <c r="G138" i="1"/>
  <c r="F138" i="1"/>
  <c r="H138" i="1" s="1"/>
  <c r="O138" i="1" s="1"/>
  <c r="M137" i="1"/>
  <c r="L137" i="1"/>
  <c r="N137" i="1" s="1"/>
  <c r="G137" i="1"/>
  <c r="F137" i="1"/>
  <c r="H137" i="1" s="1"/>
  <c r="N136" i="1"/>
  <c r="M136" i="1"/>
  <c r="L136" i="1"/>
  <c r="G136" i="1"/>
  <c r="H136" i="1" s="1"/>
  <c r="O136" i="1" s="1"/>
  <c r="F136" i="1"/>
  <c r="N135" i="1"/>
  <c r="O135" i="1" s="1"/>
  <c r="M135" i="1"/>
  <c r="L135" i="1"/>
  <c r="H135" i="1"/>
  <c r="G135" i="1"/>
  <c r="F135" i="1"/>
  <c r="M134" i="1"/>
  <c r="L134" i="1"/>
  <c r="N134" i="1" s="1"/>
  <c r="G134" i="1"/>
  <c r="F134" i="1"/>
  <c r="H134" i="1" s="1"/>
  <c r="O134" i="1" s="1"/>
  <c r="M133" i="1"/>
  <c r="L133" i="1"/>
  <c r="N133" i="1" s="1"/>
  <c r="H133" i="1"/>
  <c r="G133" i="1"/>
  <c r="F133" i="1"/>
  <c r="M132" i="1"/>
  <c r="L132" i="1"/>
  <c r="N132" i="1" s="1"/>
  <c r="H132" i="1"/>
  <c r="G132" i="1"/>
  <c r="F132" i="1"/>
  <c r="M131" i="1"/>
  <c r="N131" i="1" s="1"/>
  <c r="L131" i="1"/>
  <c r="G131" i="1"/>
  <c r="F131" i="1"/>
  <c r="H131" i="1" s="1"/>
  <c r="N130" i="1"/>
  <c r="M130" i="1"/>
  <c r="L130" i="1"/>
  <c r="G130" i="1"/>
  <c r="F130" i="1"/>
  <c r="H130" i="1" s="1"/>
  <c r="O130" i="1" s="1"/>
  <c r="M129" i="1"/>
  <c r="L129" i="1"/>
  <c r="N129" i="1" s="1"/>
  <c r="G129" i="1"/>
  <c r="F129" i="1"/>
  <c r="H129" i="1" s="1"/>
  <c r="O129" i="1" s="1"/>
  <c r="N128" i="1"/>
  <c r="M128" i="1"/>
  <c r="L128" i="1"/>
  <c r="G128" i="1"/>
  <c r="H128" i="1" s="1"/>
  <c r="O128" i="1" s="1"/>
  <c r="F128" i="1"/>
  <c r="N127" i="1"/>
  <c r="O127" i="1" s="1"/>
  <c r="M127" i="1"/>
  <c r="L127" i="1"/>
  <c r="H127" i="1"/>
  <c r="G127" i="1"/>
  <c r="F127" i="1"/>
  <c r="M126" i="1"/>
  <c r="L126" i="1"/>
  <c r="N126" i="1" s="1"/>
  <c r="G126" i="1"/>
  <c r="F126" i="1"/>
  <c r="H126" i="1" s="1"/>
  <c r="O126" i="1" s="1"/>
  <c r="M125" i="1"/>
  <c r="L125" i="1"/>
  <c r="N125" i="1" s="1"/>
  <c r="H125" i="1"/>
  <c r="G125" i="1"/>
  <c r="F125" i="1"/>
  <c r="M124" i="1"/>
  <c r="L124" i="1"/>
  <c r="N124" i="1" s="1"/>
  <c r="H124" i="1"/>
  <c r="G124" i="1"/>
  <c r="F124" i="1"/>
  <c r="M123" i="1"/>
  <c r="N123" i="1" s="1"/>
  <c r="L123" i="1"/>
  <c r="G123" i="1"/>
  <c r="F123" i="1"/>
  <c r="H123" i="1" s="1"/>
  <c r="N122" i="1"/>
  <c r="M122" i="1"/>
  <c r="L122" i="1"/>
  <c r="G122" i="1"/>
  <c r="F122" i="1"/>
  <c r="H122" i="1" s="1"/>
  <c r="O122" i="1" s="1"/>
  <c r="M121" i="1"/>
  <c r="L121" i="1"/>
  <c r="N121" i="1" s="1"/>
  <c r="G121" i="1"/>
  <c r="F121" i="1"/>
  <c r="H121" i="1" s="1"/>
  <c r="O121" i="1" s="1"/>
  <c r="N120" i="1"/>
  <c r="M120" i="1"/>
  <c r="L120" i="1"/>
  <c r="G120" i="1"/>
  <c r="H120" i="1" s="1"/>
  <c r="O120" i="1" s="1"/>
  <c r="F120" i="1"/>
  <c r="N119" i="1"/>
  <c r="O119" i="1" s="1"/>
  <c r="M119" i="1"/>
  <c r="L119" i="1"/>
  <c r="H119" i="1"/>
  <c r="G119" i="1"/>
  <c r="F119" i="1"/>
  <c r="M118" i="1"/>
  <c r="L118" i="1"/>
  <c r="N118" i="1" s="1"/>
  <c r="G118" i="1"/>
  <c r="F118" i="1"/>
  <c r="H118" i="1" s="1"/>
  <c r="M117" i="1"/>
  <c r="L117" i="1"/>
  <c r="N117" i="1" s="1"/>
  <c r="H117" i="1"/>
  <c r="O117" i="1" s="1"/>
  <c r="G117" i="1"/>
  <c r="F117" i="1"/>
  <c r="M116" i="1"/>
  <c r="L116" i="1"/>
  <c r="N116" i="1" s="1"/>
  <c r="H116" i="1"/>
  <c r="G116" i="1"/>
  <c r="F116" i="1"/>
  <c r="M115" i="1"/>
  <c r="N115" i="1" s="1"/>
  <c r="L115" i="1"/>
  <c r="G115" i="1"/>
  <c r="F115" i="1"/>
  <c r="H115" i="1" s="1"/>
  <c r="O115" i="1" s="1"/>
  <c r="N114" i="1"/>
  <c r="M114" i="1"/>
  <c r="L114" i="1"/>
  <c r="G114" i="1"/>
  <c r="F114" i="1"/>
  <c r="H114" i="1" s="1"/>
  <c r="O114" i="1" s="1"/>
  <c r="M113" i="1"/>
  <c r="L113" i="1"/>
  <c r="N113" i="1" s="1"/>
  <c r="G113" i="1"/>
  <c r="F113" i="1"/>
  <c r="H113" i="1" s="1"/>
  <c r="N112" i="1"/>
  <c r="M112" i="1"/>
  <c r="L112" i="1"/>
  <c r="G112" i="1"/>
  <c r="H112" i="1" s="1"/>
  <c r="O112" i="1" s="1"/>
  <c r="F112" i="1"/>
  <c r="N111" i="1"/>
  <c r="O111" i="1" s="1"/>
  <c r="M111" i="1"/>
  <c r="L111" i="1"/>
  <c r="H111" i="1"/>
  <c r="G111" i="1"/>
  <c r="F111" i="1"/>
  <c r="M110" i="1"/>
  <c r="L110" i="1"/>
  <c r="N110" i="1" s="1"/>
  <c r="G110" i="1"/>
  <c r="F110" i="1"/>
  <c r="H110" i="1" s="1"/>
  <c r="O110" i="1" s="1"/>
  <c r="M109" i="1"/>
  <c r="L109" i="1"/>
  <c r="N109" i="1" s="1"/>
  <c r="H109" i="1"/>
  <c r="O109" i="1" s="1"/>
  <c r="G109" i="1"/>
  <c r="F109" i="1"/>
  <c r="M108" i="1"/>
  <c r="L108" i="1"/>
  <c r="N108" i="1" s="1"/>
  <c r="H108" i="1"/>
  <c r="O108" i="1" s="1"/>
  <c r="G108" i="1"/>
  <c r="F108" i="1"/>
  <c r="M107" i="1"/>
  <c r="N107" i="1" s="1"/>
  <c r="L107" i="1"/>
  <c r="G107" i="1"/>
  <c r="F107" i="1"/>
  <c r="H107" i="1" s="1"/>
  <c r="O107" i="1" s="1"/>
  <c r="N106" i="1"/>
  <c r="M106" i="1"/>
  <c r="L106" i="1"/>
  <c r="G106" i="1"/>
  <c r="F106" i="1"/>
  <c r="H106" i="1" s="1"/>
  <c r="O106" i="1" s="1"/>
  <c r="M105" i="1"/>
  <c r="L105" i="1"/>
  <c r="N105" i="1" s="1"/>
  <c r="G105" i="1"/>
  <c r="F105" i="1"/>
  <c r="H105" i="1" s="1"/>
  <c r="N104" i="1"/>
  <c r="M104" i="1"/>
  <c r="L104" i="1"/>
  <c r="G104" i="1"/>
  <c r="H104" i="1" s="1"/>
  <c r="O104" i="1" s="1"/>
  <c r="F104" i="1"/>
  <c r="N103" i="1"/>
  <c r="O103" i="1" s="1"/>
  <c r="M103" i="1"/>
  <c r="L103" i="1"/>
  <c r="H103" i="1"/>
  <c r="G103" i="1"/>
  <c r="F103" i="1"/>
  <c r="M102" i="1"/>
  <c r="L102" i="1"/>
  <c r="N102" i="1" s="1"/>
  <c r="G102" i="1"/>
  <c r="F102" i="1"/>
  <c r="H102" i="1" s="1"/>
  <c r="O102" i="1" s="1"/>
  <c r="M101" i="1"/>
  <c r="L101" i="1"/>
  <c r="N101" i="1" s="1"/>
  <c r="H101" i="1"/>
  <c r="G101" i="1"/>
  <c r="F101" i="1"/>
  <c r="M100" i="1"/>
  <c r="L100" i="1"/>
  <c r="N100" i="1" s="1"/>
  <c r="H100" i="1"/>
  <c r="G100" i="1"/>
  <c r="F100" i="1"/>
  <c r="M99" i="1"/>
  <c r="N99" i="1" s="1"/>
  <c r="L99" i="1"/>
  <c r="G99" i="1"/>
  <c r="F99" i="1"/>
  <c r="H99" i="1" s="1"/>
  <c r="N98" i="1"/>
  <c r="M98" i="1"/>
  <c r="L98" i="1"/>
  <c r="G98" i="1"/>
  <c r="F98" i="1"/>
  <c r="H98" i="1" s="1"/>
  <c r="O98" i="1" s="1"/>
  <c r="M97" i="1"/>
  <c r="L97" i="1"/>
  <c r="N97" i="1" s="1"/>
  <c r="G97" i="1"/>
  <c r="F97" i="1"/>
  <c r="H97" i="1" s="1"/>
  <c r="O97" i="1" s="1"/>
  <c r="N96" i="1"/>
  <c r="M96" i="1"/>
  <c r="L96" i="1"/>
  <c r="G96" i="1"/>
  <c r="H96" i="1" s="1"/>
  <c r="O96" i="1" s="1"/>
  <c r="F96" i="1"/>
  <c r="N95" i="1"/>
  <c r="O95" i="1" s="1"/>
  <c r="M95" i="1"/>
  <c r="L95" i="1"/>
  <c r="H95" i="1"/>
  <c r="G95" i="1"/>
  <c r="F95" i="1"/>
  <c r="M94" i="1"/>
  <c r="L94" i="1"/>
  <c r="N94" i="1" s="1"/>
  <c r="G94" i="1"/>
  <c r="F94" i="1"/>
  <c r="H94" i="1" s="1"/>
  <c r="O94" i="1" s="1"/>
  <c r="M93" i="1"/>
  <c r="L93" i="1"/>
  <c r="N93" i="1" s="1"/>
  <c r="H93" i="1"/>
  <c r="G93" i="1"/>
  <c r="F93" i="1"/>
  <c r="M92" i="1"/>
  <c r="L92" i="1"/>
  <c r="N92" i="1" s="1"/>
  <c r="H92" i="1"/>
  <c r="G92" i="1"/>
  <c r="F92" i="1"/>
  <c r="M91" i="1"/>
  <c r="N91" i="1" s="1"/>
  <c r="L91" i="1"/>
  <c r="G91" i="1"/>
  <c r="F91" i="1"/>
  <c r="H91" i="1" s="1"/>
  <c r="N90" i="1"/>
  <c r="M90" i="1"/>
  <c r="L90" i="1"/>
  <c r="G90" i="1"/>
  <c r="F90" i="1"/>
  <c r="H90" i="1" s="1"/>
  <c r="O90" i="1" s="1"/>
  <c r="M89" i="1"/>
  <c r="L89" i="1"/>
  <c r="N89" i="1" s="1"/>
  <c r="G89" i="1"/>
  <c r="F89" i="1"/>
  <c r="H89" i="1" s="1"/>
  <c r="O89" i="1" s="1"/>
  <c r="N88" i="1"/>
  <c r="M88" i="1"/>
  <c r="L88" i="1"/>
  <c r="G88" i="1"/>
  <c r="H88" i="1" s="1"/>
  <c r="O88" i="1" s="1"/>
  <c r="F88" i="1"/>
  <c r="N87" i="1"/>
  <c r="O87" i="1" s="1"/>
  <c r="M87" i="1"/>
  <c r="L87" i="1"/>
  <c r="H87" i="1"/>
  <c r="G87" i="1"/>
  <c r="F87" i="1"/>
  <c r="M86" i="1"/>
  <c r="L86" i="1"/>
  <c r="N86" i="1" s="1"/>
  <c r="G86" i="1"/>
  <c r="F86" i="1"/>
  <c r="H86" i="1" s="1"/>
  <c r="M85" i="1"/>
  <c r="L85" i="1"/>
  <c r="N85" i="1" s="1"/>
  <c r="H85" i="1"/>
  <c r="O85" i="1" s="1"/>
  <c r="G85" i="1"/>
  <c r="F85" i="1"/>
  <c r="M84" i="1"/>
  <c r="L84" i="1"/>
  <c r="N84" i="1" s="1"/>
  <c r="H84" i="1"/>
  <c r="G84" i="1"/>
  <c r="F84" i="1"/>
  <c r="M83" i="1"/>
  <c r="N83" i="1" s="1"/>
  <c r="L83" i="1"/>
  <c r="G83" i="1"/>
  <c r="F83" i="1"/>
  <c r="H83" i="1" s="1"/>
  <c r="O83" i="1" s="1"/>
  <c r="N82" i="1"/>
  <c r="M82" i="1"/>
  <c r="L82" i="1"/>
  <c r="G82" i="1"/>
  <c r="F82" i="1"/>
  <c r="H82" i="1" s="1"/>
  <c r="O82" i="1" s="1"/>
  <c r="M81" i="1"/>
  <c r="L81" i="1"/>
  <c r="N81" i="1" s="1"/>
  <c r="G81" i="1"/>
  <c r="F81" i="1"/>
  <c r="H81" i="1" s="1"/>
  <c r="N80" i="1"/>
  <c r="M80" i="1"/>
  <c r="L80" i="1"/>
  <c r="G80" i="1"/>
  <c r="H80" i="1" s="1"/>
  <c r="O80" i="1" s="1"/>
  <c r="F80" i="1"/>
  <c r="N79" i="1"/>
  <c r="O79" i="1" s="1"/>
  <c r="M79" i="1"/>
  <c r="L79" i="1"/>
  <c r="H79" i="1"/>
  <c r="G79" i="1"/>
  <c r="F79" i="1"/>
  <c r="M78" i="1"/>
  <c r="L78" i="1"/>
  <c r="N78" i="1" s="1"/>
  <c r="G78" i="1"/>
  <c r="F78" i="1"/>
  <c r="H78" i="1" s="1"/>
  <c r="O78" i="1" s="1"/>
  <c r="M77" i="1"/>
  <c r="L77" i="1"/>
  <c r="N77" i="1" s="1"/>
  <c r="H77" i="1"/>
  <c r="O77" i="1" s="1"/>
  <c r="G77" i="1"/>
  <c r="F77" i="1"/>
  <c r="M76" i="1"/>
  <c r="L76" i="1"/>
  <c r="N76" i="1" s="1"/>
  <c r="H76" i="1"/>
  <c r="O76" i="1" s="1"/>
  <c r="G76" i="1"/>
  <c r="F76" i="1"/>
  <c r="M75" i="1"/>
  <c r="N75" i="1" s="1"/>
  <c r="L75" i="1"/>
  <c r="G75" i="1"/>
  <c r="F75" i="1"/>
  <c r="H75" i="1" s="1"/>
  <c r="O75" i="1" s="1"/>
  <c r="N74" i="1"/>
  <c r="M74" i="1"/>
  <c r="L74" i="1"/>
  <c r="G74" i="1"/>
  <c r="F74" i="1"/>
  <c r="H74" i="1" s="1"/>
  <c r="O74" i="1" s="1"/>
  <c r="M73" i="1"/>
  <c r="L73" i="1"/>
  <c r="N73" i="1" s="1"/>
  <c r="G73" i="1"/>
  <c r="F73" i="1"/>
  <c r="H73" i="1" s="1"/>
  <c r="N72" i="1"/>
  <c r="M72" i="1"/>
  <c r="L72" i="1"/>
  <c r="G72" i="1"/>
  <c r="H72" i="1" s="1"/>
  <c r="O72" i="1" s="1"/>
  <c r="F72" i="1"/>
  <c r="N71" i="1"/>
  <c r="O71" i="1" s="1"/>
  <c r="M71" i="1"/>
  <c r="L71" i="1"/>
  <c r="H71" i="1"/>
  <c r="G71" i="1"/>
  <c r="F71" i="1"/>
  <c r="M70" i="1"/>
  <c r="L70" i="1"/>
  <c r="N70" i="1" s="1"/>
  <c r="G70" i="1"/>
  <c r="F70" i="1"/>
  <c r="H70" i="1" s="1"/>
  <c r="O70" i="1" s="1"/>
  <c r="M69" i="1"/>
  <c r="L69" i="1"/>
  <c r="N69" i="1" s="1"/>
  <c r="H69" i="1"/>
  <c r="G69" i="1"/>
  <c r="F69" i="1"/>
  <c r="M68" i="1"/>
  <c r="L68" i="1"/>
  <c r="N68" i="1" s="1"/>
  <c r="H68" i="1"/>
  <c r="G68" i="1"/>
  <c r="F68" i="1"/>
  <c r="M67" i="1"/>
  <c r="N67" i="1" s="1"/>
  <c r="L67" i="1"/>
  <c r="G67" i="1"/>
  <c r="F67" i="1"/>
  <c r="H67" i="1" s="1"/>
  <c r="N66" i="1"/>
  <c r="M66" i="1"/>
  <c r="L66" i="1"/>
  <c r="G66" i="1"/>
  <c r="F66" i="1"/>
  <c r="H66" i="1" s="1"/>
  <c r="O66" i="1" s="1"/>
  <c r="M65" i="1"/>
  <c r="L65" i="1"/>
  <c r="N65" i="1" s="1"/>
  <c r="G65" i="1"/>
  <c r="F65" i="1"/>
  <c r="H65" i="1" s="1"/>
  <c r="O65" i="1" s="1"/>
  <c r="N64" i="1"/>
  <c r="M64" i="1"/>
  <c r="L64" i="1"/>
  <c r="G64" i="1"/>
  <c r="H64" i="1" s="1"/>
  <c r="O64" i="1" s="1"/>
  <c r="F64" i="1"/>
  <c r="N63" i="1"/>
  <c r="O63" i="1" s="1"/>
  <c r="M63" i="1"/>
  <c r="L63" i="1"/>
  <c r="H63" i="1"/>
  <c r="G63" i="1"/>
  <c r="F63" i="1"/>
  <c r="M62" i="1"/>
  <c r="L62" i="1"/>
  <c r="N62" i="1" s="1"/>
  <c r="G62" i="1"/>
  <c r="F62" i="1"/>
  <c r="H62" i="1" s="1"/>
  <c r="O62" i="1" s="1"/>
  <c r="M61" i="1"/>
  <c r="L61" i="1"/>
  <c r="N61" i="1" s="1"/>
  <c r="H61" i="1"/>
  <c r="G61" i="1"/>
  <c r="F61" i="1"/>
  <c r="M60" i="1"/>
  <c r="L60" i="1"/>
  <c r="N60" i="1" s="1"/>
  <c r="H60" i="1"/>
  <c r="G60" i="1"/>
  <c r="F60" i="1"/>
  <c r="M59" i="1"/>
  <c r="N59" i="1" s="1"/>
  <c r="L59" i="1"/>
  <c r="G59" i="1"/>
  <c r="F59" i="1"/>
  <c r="H59" i="1" s="1"/>
  <c r="N58" i="1"/>
  <c r="M58" i="1"/>
  <c r="L58" i="1"/>
  <c r="G58" i="1"/>
  <c r="F58" i="1"/>
  <c r="H58" i="1" s="1"/>
  <c r="O58" i="1" s="1"/>
  <c r="M57" i="1"/>
  <c r="L57" i="1"/>
  <c r="N57" i="1" s="1"/>
  <c r="G57" i="1"/>
  <c r="F57" i="1"/>
  <c r="H57" i="1" s="1"/>
  <c r="O57" i="1" s="1"/>
  <c r="N56" i="1"/>
  <c r="M56" i="1"/>
  <c r="L56" i="1"/>
  <c r="G56" i="1"/>
  <c r="H56" i="1" s="1"/>
  <c r="O56" i="1" s="1"/>
  <c r="F56" i="1"/>
  <c r="N55" i="1"/>
  <c r="O55" i="1" s="1"/>
  <c r="M55" i="1"/>
  <c r="L55" i="1"/>
  <c r="H55" i="1"/>
  <c r="G55" i="1"/>
  <c r="F55" i="1"/>
  <c r="M54" i="1"/>
  <c r="L54" i="1"/>
  <c r="N54" i="1" s="1"/>
  <c r="G54" i="1"/>
  <c r="F54" i="1"/>
  <c r="H54" i="1" s="1"/>
  <c r="M53" i="1"/>
  <c r="L53" i="1"/>
  <c r="N53" i="1" s="1"/>
  <c r="H53" i="1"/>
  <c r="O53" i="1" s="1"/>
  <c r="G53" i="1"/>
  <c r="F53" i="1"/>
  <c r="M52" i="1"/>
  <c r="L52" i="1"/>
  <c r="N52" i="1" s="1"/>
  <c r="H52" i="1"/>
  <c r="G52" i="1"/>
  <c r="F52" i="1"/>
  <c r="M51" i="1"/>
  <c r="N51" i="1" s="1"/>
  <c r="L51" i="1"/>
  <c r="G51" i="1"/>
  <c r="F51" i="1"/>
  <c r="H51" i="1" s="1"/>
  <c r="O51" i="1" s="1"/>
  <c r="N50" i="1"/>
  <c r="M50" i="1"/>
  <c r="L50" i="1"/>
  <c r="G50" i="1"/>
  <c r="F50" i="1"/>
  <c r="H50" i="1" s="1"/>
  <c r="O50" i="1" s="1"/>
  <c r="M49" i="1"/>
  <c r="L49" i="1"/>
  <c r="N49" i="1" s="1"/>
  <c r="G49" i="1"/>
  <c r="F49" i="1"/>
  <c r="H49" i="1" s="1"/>
  <c r="N48" i="1"/>
  <c r="M48" i="1"/>
  <c r="L48" i="1"/>
  <c r="G48" i="1"/>
  <c r="H48" i="1" s="1"/>
  <c r="O48" i="1" s="1"/>
  <c r="F48" i="1"/>
  <c r="N47" i="1"/>
  <c r="O47" i="1" s="1"/>
  <c r="M47" i="1"/>
  <c r="L47" i="1"/>
  <c r="H47" i="1"/>
  <c r="G47" i="1"/>
  <c r="F47" i="1"/>
  <c r="M46" i="1"/>
  <c r="L46" i="1"/>
  <c r="N46" i="1" s="1"/>
  <c r="G46" i="1"/>
  <c r="F46" i="1"/>
  <c r="H46" i="1" s="1"/>
  <c r="O46" i="1" s="1"/>
  <c r="M45" i="1"/>
  <c r="L45" i="1"/>
  <c r="N45" i="1" s="1"/>
  <c r="H45" i="1"/>
  <c r="O45" i="1" s="1"/>
  <c r="G45" i="1"/>
  <c r="F45" i="1"/>
  <c r="M44" i="1"/>
  <c r="L44" i="1"/>
  <c r="N44" i="1" s="1"/>
  <c r="H44" i="1"/>
  <c r="O44" i="1" s="1"/>
  <c r="G44" i="1"/>
  <c r="F44" i="1"/>
  <c r="M43" i="1"/>
  <c r="N43" i="1" s="1"/>
  <c r="L43" i="1"/>
  <c r="G43" i="1"/>
  <c r="F43" i="1"/>
  <c r="H43" i="1" s="1"/>
  <c r="O43" i="1" s="1"/>
  <c r="N42" i="1"/>
  <c r="M42" i="1"/>
  <c r="L42" i="1"/>
  <c r="G42" i="1"/>
  <c r="F42" i="1"/>
  <c r="H42" i="1" s="1"/>
  <c r="O42" i="1" s="1"/>
  <c r="M41" i="1"/>
  <c r="L41" i="1"/>
  <c r="N41" i="1" s="1"/>
  <c r="G41" i="1"/>
  <c r="F41" i="1"/>
  <c r="H41" i="1" s="1"/>
  <c r="N40" i="1"/>
  <c r="M40" i="1"/>
  <c r="L40" i="1"/>
  <c r="G40" i="1"/>
  <c r="H40" i="1" s="1"/>
  <c r="O40" i="1" s="1"/>
  <c r="F40" i="1"/>
  <c r="N39" i="1"/>
  <c r="O39" i="1" s="1"/>
  <c r="M39" i="1"/>
  <c r="L39" i="1"/>
  <c r="H39" i="1"/>
  <c r="G39" i="1"/>
  <c r="F39" i="1"/>
  <c r="M38" i="1"/>
  <c r="L38" i="1"/>
  <c r="N38" i="1" s="1"/>
  <c r="G38" i="1"/>
  <c r="F38" i="1"/>
  <c r="H38" i="1" s="1"/>
  <c r="O38" i="1" s="1"/>
  <c r="M37" i="1"/>
  <c r="L37" i="1"/>
  <c r="N37" i="1" s="1"/>
  <c r="H37" i="1"/>
  <c r="G37" i="1"/>
  <c r="F37" i="1"/>
  <c r="M36" i="1"/>
  <c r="L36" i="1"/>
  <c r="N36" i="1" s="1"/>
  <c r="H36" i="1"/>
  <c r="G36" i="1"/>
  <c r="F36" i="1"/>
  <c r="M35" i="1"/>
  <c r="N35" i="1" s="1"/>
  <c r="L35" i="1"/>
  <c r="G35" i="1"/>
  <c r="F35" i="1"/>
  <c r="H35" i="1" s="1"/>
  <c r="N34" i="1"/>
  <c r="M34" i="1"/>
  <c r="L34" i="1"/>
  <c r="G34" i="1"/>
  <c r="F34" i="1"/>
  <c r="H34" i="1" s="1"/>
  <c r="O34" i="1" s="1"/>
  <c r="M33" i="1"/>
  <c r="L33" i="1"/>
  <c r="N33" i="1" s="1"/>
  <c r="G33" i="1"/>
  <c r="F33" i="1"/>
  <c r="H33" i="1" s="1"/>
  <c r="O33" i="1" s="1"/>
  <c r="N32" i="1"/>
  <c r="M32" i="1"/>
  <c r="L32" i="1"/>
  <c r="G32" i="1"/>
  <c r="H32" i="1" s="1"/>
  <c r="O32" i="1" s="1"/>
  <c r="F32" i="1"/>
  <c r="N31" i="1"/>
  <c r="O31" i="1" s="1"/>
  <c r="M31" i="1"/>
  <c r="L31" i="1"/>
  <c r="H31" i="1"/>
  <c r="G31" i="1"/>
  <c r="F31" i="1"/>
  <c r="M30" i="1"/>
  <c r="L30" i="1"/>
  <c r="N30" i="1" s="1"/>
  <c r="G30" i="1"/>
  <c r="F30" i="1"/>
  <c r="H30" i="1" s="1"/>
  <c r="O30" i="1" s="1"/>
  <c r="M29" i="1"/>
  <c r="L29" i="1"/>
  <c r="N29" i="1" s="1"/>
  <c r="H29" i="1"/>
  <c r="G29" i="1"/>
  <c r="F29" i="1"/>
  <c r="M28" i="1"/>
  <c r="L28" i="1"/>
  <c r="N28" i="1" s="1"/>
  <c r="H28" i="1"/>
  <c r="G28" i="1"/>
  <c r="F28" i="1"/>
  <c r="M27" i="1"/>
  <c r="N27" i="1" s="1"/>
  <c r="L27" i="1"/>
  <c r="G27" i="1"/>
  <c r="F27" i="1"/>
  <c r="H27" i="1" s="1"/>
  <c r="N26" i="1"/>
  <c r="M26" i="1"/>
  <c r="L26" i="1"/>
  <c r="G26" i="1"/>
  <c r="F26" i="1"/>
  <c r="H26" i="1" s="1"/>
  <c r="O26" i="1" s="1"/>
  <c r="M25" i="1"/>
  <c r="L25" i="1"/>
  <c r="N25" i="1" s="1"/>
  <c r="G25" i="1"/>
  <c r="F25" i="1"/>
  <c r="H25" i="1" s="1"/>
  <c r="O25" i="1" s="1"/>
  <c r="N24" i="1"/>
  <c r="M24" i="1"/>
  <c r="L24" i="1"/>
  <c r="G24" i="1"/>
  <c r="H24" i="1" s="1"/>
  <c r="O24" i="1" s="1"/>
  <c r="F24" i="1"/>
  <c r="N23" i="1"/>
  <c r="O23" i="1" s="1"/>
  <c r="M23" i="1"/>
  <c r="L23" i="1"/>
  <c r="H23" i="1"/>
  <c r="G23" i="1"/>
  <c r="F23" i="1"/>
  <c r="M22" i="1"/>
  <c r="L22" i="1"/>
  <c r="N22" i="1" s="1"/>
  <c r="G22" i="1"/>
  <c r="F22" i="1"/>
  <c r="H22" i="1" s="1"/>
  <c r="M21" i="1"/>
  <c r="L21" i="1"/>
  <c r="N21" i="1" s="1"/>
  <c r="H21" i="1"/>
  <c r="O21" i="1" s="1"/>
  <c r="G21" i="1"/>
  <c r="F21" i="1"/>
  <c r="M20" i="1"/>
  <c r="L20" i="1"/>
  <c r="N20" i="1" s="1"/>
  <c r="H20" i="1"/>
  <c r="G20" i="1"/>
  <c r="F20" i="1"/>
  <c r="M19" i="1"/>
  <c r="N19" i="1" s="1"/>
  <c r="L19" i="1"/>
  <c r="G19" i="1"/>
  <c r="F19" i="1"/>
  <c r="H19" i="1" s="1"/>
  <c r="O19" i="1" s="1"/>
  <c r="N18" i="1"/>
  <c r="M18" i="1"/>
  <c r="L18" i="1"/>
  <c r="G18" i="1"/>
  <c r="F18" i="1"/>
  <c r="H18" i="1" s="1"/>
  <c r="O18" i="1" s="1"/>
  <c r="M17" i="1"/>
  <c r="L17" i="1"/>
  <c r="N17" i="1" s="1"/>
  <c r="G17" i="1"/>
  <c r="F17" i="1"/>
  <c r="H17" i="1" s="1"/>
  <c r="N16" i="1"/>
  <c r="M16" i="1"/>
  <c r="L16" i="1"/>
  <c r="G16" i="1"/>
  <c r="H16" i="1" s="1"/>
  <c r="O16" i="1" s="1"/>
  <c r="F16" i="1"/>
  <c r="N15" i="1"/>
  <c r="M15" i="1"/>
  <c r="L15" i="1"/>
  <c r="G15" i="1"/>
  <c r="H15" i="1" s="1"/>
  <c r="O15" i="1" s="1"/>
  <c r="F15" i="1"/>
  <c r="N14" i="1"/>
  <c r="M14" i="1"/>
  <c r="L14" i="1"/>
  <c r="G14" i="1"/>
  <c r="H14" i="1" s="1"/>
  <c r="O14" i="1" s="1"/>
  <c r="F14" i="1"/>
  <c r="N13" i="1"/>
  <c r="O13" i="1" s="1"/>
  <c r="M13" i="1"/>
  <c r="L13" i="1"/>
  <c r="H13" i="1"/>
  <c r="G13" i="1"/>
  <c r="F13" i="1"/>
  <c r="AH12" i="1"/>
  <c r="N12" i="1"/>
  <c r="O12" i="1" s="1"/>
  <c r="M12" i="1"/>
  <c r="L12" i="1"/>
  <c r="H12" i="1"/>
  <c r="G12" i="1"/>
  <c r="F12" i="1"/>
  <c r="AH11" i="1"/>
  <c r="N11" i="1"/>
  <c r="M11" i="1"/>
  <c r="L11" i="1"/>
  <c r="G11" i="1"/>
  <c r="H11" i="1" s="1"/>
  <c r="O11" i="1" s="1"/>
  <c r="F11" i="1"/>
  <c r="AG10" i="1"/>
  <c r="AH10" i="1" s="1"/>
  <c r="AF10" i="1"/>
  <c r="AE10" i="1"/>
  <c r="AA10" i="1"/>
  <c r="Z10" i="1"/>
  <c r="Y10" i="1"/>
  <c r="N10" i="1"/>
  <c r="O10" i="1" s="1"/>
  <c r="M10" i="1"/>
  <c r="L10" i="1"/>
  <c r="H10" i="1"/>
  <c r="G10" i="1"/>
  <c r="F10" i="1"/>
  <c r="AF9" i="1"/>
  <c r="AE9" i="1"/>
  <c r="AG9" i="1" s="1"/>
  <c r="Z9" i="1"/>
  <c r="Y9" i="1"/>
  <c r="AA9" i="1" s="1"/>
  <c r="M9" i="1"/>
  <c r="L9" i="1"/>
  <c r="N9" i="1" s="1"/>
  <c r="G9" i="1"/>
  <c r="F9" i="1"/>
  <c r="H9" i="1" s="1"/>
  <c r="AF8" i="1"/>
  <c r="AE8" i="1"/>
  <c r="AG8" i="1" s="1"/>
  <c r="AA8" i="1"/>
  <c r="Z8" i="1"/>
  <c r="Y8" i="1"/>
  <c r="M8" i="1"/>
  <c r="L8" i="1"/>
  <c r="N8" i="1" s="1"/>
  <c r="H8" i="1"/>
  <c r="O8" i="1" s="1"/>
  <c r="G8" i="1"/>
  <c r="F8" i="1"/>
  <c r="AF7" i="1"/>
  <c r="AE7" i="1"/>
  <c r="AG7" i="1" s="1"/>
  <c r="AA7" i="1"/>
  <c r="Z7" i="1"/>
  <c r="Y7" i="1"/>
  <c r="M7" i="1"/>
  <c r="L7" i="1"/>
  <c r="N7" i="1" s="1"/>
  <c r="H7" i="1"/>
  <c r="G7" i="1"/>
  <c r="F7" i="1"/>
  <c r="AF6" i="1"/>
  <c r="AG6" i="1" s="1"/>
  <c r="AE6" i="1"/>
  <c r="Z6" i="1"/>
  <c r="Y6" i="1"/>
  <c r="AA6" i="1" s="1"/>
  <c r="AH6" i="1" s="1"/>
  <c r="N6" i="1"/>
  <c r="M6" i="1"/>
  <c r="L6" i="1"/>
  <c r="G6" i="1"/>
  <c r="F6" i="1"/>
  <c r="H6" i="1" s="1"/>
  <c r="O6" i="1" s="1"/>
  <c r="AF5" i="1"/>
  <c r="AE5" i="1"/>
  <c r="AG5" i="1" s="1"/>
  <c r="Z5" i="1"/>
  <c r="Y5" i="1"/>
  <c r="AA5" i="1" s="1"/>
  <c r="AH5" i="1" s="1"/>
  <c r="M5" i="1"/>
  <c r="L5" i="1"/>
  <c r="N5" i="1" s="1"/>
  <c r="G5" i="1"/>
  <c r="F5" i="1"/>
  <c r="H5" i="1" s="1"/>
  <c r="O5" i="1" s="1"/>
  <c r="AG4" i="1"/>
  <c r="AF4" i="1"/>
  <c r="AE4" i="1"/>
  <c r="Z4" i="1"/>
  <c r="AA4" i="1" s="1"/>
  <c r="AH4" i="1" s="1"/>
  <c r="Y4" i="1"/>
  <c r="N4" i="1"/>
  <c r="O4" i="1" s="1"/>
  <c r="M4" i="1"/>
  <c r="L4" i="1"/>
  <c r="H4" i="1"/>
  <c r="G4" i="1"/>
  <c r="F4" i="1"/>
  <c r="AF3" i="1"/>
  <c r="AE3" i="1"/>
  <c r="AG3" i="1" s="1"/>
  <c r="Z3" i="1"/>
  <c r="Y3" i="1"/>
  <c r="AA3" i="1" s="1"/>
  <c r="M3" i="1"/>
  <c r="L3" i="1"/>
  <c r="N3" i="1" s="1"/>
  <c r="G3" i="1"/>
  <c r="F3" i="1"/>
  <c r="H3" i="1" s="1"/>
  <c r="AF2" i="1"/>
  <c r="AE2" i="1"/>
  <c r="AG2" i="1" s="1"/>
  <c r="AA2" i="1"/>
  <c r="Z2" i="1"/>
  <c r="Y2" i="1"/>
  <c r="M2" i="1"/>
  <c r="L2" i="1"/>
  <c r="N2" i="1" s="1"/>
  <c r="H2" i="1"/>
  <c r="O2" i="1" s="1"/>
  <c r="G2" i="1"/>
  <c r="F2" i="1"/>
  <c r="O3" i="1" l="1"/>
  <c r="O9" i="1"/>
  <c r="O29" i="1"/>
  <c r="O41" i="1"/>
  <c r="O61" i="1"/>
  <c r="O73" i="1"/>
  <c r="O93" i="1"/>
  <c r="O105" i="1"/>
  <c r="O125" i="1"/>
  <c r="O137" i="1"/>
  <c r="O36" i="1"/>
  <c r="O68" i="1"/>
  <c r="O100" i="1"/>
  <c r="O132" i="1"/>
  <c r="AH7" i="1"/>
  <c r="O28" i="1"/>
  <c r="O35" i="1"/>
  <c r="O60" i="1"/>
  <c r="O67" i="1"/>
  <c r="O92" i="1"/>
  <c r="O99" i="1"/>
  <c r="O124" i="1"/>
  <c r="O131" i="1"/>
  <c r="AH3" i="1"/>
  <c r="AH9" i="1"/>
  <c r="AH2" i="1"/>
  <c r="AH8" i="1"/>
  <c r="O20" i="1"/>
  <c r="O22" i="1"/>
  <c r="O27" i="1"/>
  <c r="O52" i="1"/>
  <c r="O54" i="1"/>
  <c r="O59" i="1"/>
  <c r="O84" i="1"/>
  <c r="O86" i="1"/>
  <c r="O91" i="1"/>
  <c r="O116" i="1"/>
  <c r="O118" i="1"/>
  <c r="O123" i="1"/>
  <c r="O148" i="1"/>
  <c r="O150" i="1"/>
  <c r="O7" i="1"/>
  <c r="O17" i="1"/>
  <c r="O37" i="1"/>
  <c r="O49" i="1"/>
  <c r="O69" i="1"/>
  <c r="O81" i="1"/>
  <c r="O101" i="1"/>
  <c r="O113" i="1"/>
  <c r="O133" i="1"/>
  <c r="O145" i="1"/>
  <c r="O165" i="1"/>
  <c r="H195" i="1"/>
  <c r="O195" i="1" s="1"/>
  <c r="N198" i="1"/>
  <c r="O198" i="1" s="1"/>
  <c r="O228" i="1"/>
  <c r="H235" i="1"/>
  <c r="O235" i="1" s="1"/>
  <c r="N238" i="1"/>
  <c r="O238" i="1" s="1"/>
  <c r="H267" i="1"/>
  <c r="O267" i="1" s="1"/>
  <c r="N270" i="1"/>
  <c r="O270" i="1" s="1"/>
  <c r="H299" i="1"/>
  <c r="O299" i="1" s="1"/>
  <c r="N302" i="1"/>
  <c r="O302" i="1" s="1"/>
  <c r="O311" i="1"/>
  <c r="H331" i="1"/>
  <c r="O331" i="1" s="1"/>
  <c r="N334" i="1"/>
  <c r="O343" i="1"/>
  <c r="O271" i="1"/>
  <c r="O286" i="1"/>
  <c r="O303" i="1"/>
  <c r="O335" i="1"/>
  <c r="H171" i="1"/>
  <c r="O171" i="1" s="1"/>
  <c r="N174" i="1"/>
  <c r="O197" i="1"/>
  <c r="O237" i="1"/>
  <c r="O269" i="1"/>
  <c r="AE8" i="2"/>
  <c r="O158" i="1"/>
  <c r="O183" i="1"/>
  <c r="O191" i="1"/>
  <c r="O194" i="1"/>
  <c r="O219" i="1"/>
  <c r="O231" i="1"/>
  <c r="O263" i="1"/>
  <c r="H283" i="1"/>
  <c r="O283" i="1" s="1"/>
  <c r="N286" i="1"/>
  <c r="O295" i="1"/>
  <c r="H315" i="1"/>
  <c r="O315" i="1" s="1"/>
  <c r="N318" i="1"/>
  <c r="O318" i="1" s="1"/>
  <c r="O327" i="1"/>
  <c r="O342" i="1"/>
  <c r="H155" i="1"/>
  <c r="O155" i="1" s="1"/>
  <c r="H163" i="1"/>
  <c r="O163" i="1" s="1"/>
  <c r="N166" i="1"/>
  <c r="O166" i="1" s="1"/>
  <c r="O175" i="1"/>
  <c r="O181" i="1"/>
  <c r="O189" i="1"/>
  <c r="H211" i="1"/>
  <c r="O211" i="1" s="1"/>
  <c r="O229" i="1"/>
  <c r="O261" i="1"/>
  <c r="N346" i="2"/>
  <c r="O346" i="2" s="1"/>
  <c r="O196" i="1"/>
  <c r="O203" i="1"/>
  <c r="O223" i="1"/>
  <c r="O226" i="1"/>
  <c r="O236" i="1"/>
  <c r="O243" i="1"/>
  <c r="O255" i="1"/>
  <c r="O258" i="1"/>
  <c r="O275" i="1"/>
  <c r="O287" i="1"/>
  <c r="O290" i="1"/>
  <c r="O307" i="1"/>
  <c r="O319" i="1"/>
  <c r="O322" i="1"/>
  <c r="O334" i="1"/>
  <c r="O339" i="1"/>
  <c r="N342" i="1"/>
  <c r="AE7" i="2"/>
  <c r="M346" i="2"/>
  <c r="O174" i="1"/>
  <c r="O167" i="1"/>
  <c r="O170" i="1"/>
  <c r="O221" i="1"/>
  <c r="O253" i="1"/>
  <c r="O285" i="1"/>
  <c r="O317" i="1"/>
  <c r="AE4" i="2"/>
  <c r="R3" i="1" l="1"/>
  <c r="R5" i="1"/>
  <c r="R15" i="1"/>
  <c r="R14" i="1"/>
  <c r="R11" i="1" l="1"/>
  <c r="R7" i="1"/>
  <c r="R8" i="1"/>
  <c r="R9" i="1"/>
  <c r="R10" i="1"/>
</calcChain>
</file>

<file path=xl/sharedStrings.xml><?xml version="1.0" encoding="utf-8"?>
<sst xmlns="http://schemas.openxmlformats.org/spreadsheetml/2006/main" count="1511" uniqueCount="382">
  <si>
    <t>id</t>
  </si>
  <si>
    <t>Municipio</t>
  </si>
  <si>
    <t>Cantidad de personas con jefe de hogar pobre</t>
  </si>
  <si>
    <t>Suma de privaciones de personas con jefe de hogar hombre</t>
  </si>
  <si>
    <t>Cantidad de personas con jefe de hogar hombre</t>
  </si>
  <si>
    <t>H de jefe de hogar hombre</t>
  </si>
  <si>
    <t>A de jefe de hogar hombre</t>
  </si>
  <si>
    <t>IPM de jefe de hogar hombre</t>
  </si>
  <si>
    <t>Cantidad de personas con jefa de hogar pobre</t>
  </si>
  <si>
    <t>Suma de privaciones de personas con jefa de hogar mujer</t>
  </si>
  <si>
    <t>Cantidad de personas con jefa de hogar mujer</t>
  </si>
  <si>
    <t>H de jefa de hogar mujer</t>
  </si>
  <si>
    <t>A de jefa de hogar mujer</t>
  </si>
  <si>
    <t>IPM de jefa de hogar mujer</t>
  </si>
  <si>
    <t>paridad2012</t>
  </si>
  <si>
    <t>id_departamento</t>
  </si>
  <si>
    <t>Departamento</t>
  </si>
  <si>
    <t>Sucre</t>
  </si>
  <si>
    <t>Chuquisaca</t>
  </si>
  <si>
    <t>Yotala</t>
  </si>
  <si>
    <t>promedio</t>
  </si>
  <si>
    <t>La Paz</t>
  </si>
  <si>
    <t>Poroma</t>
  </si>
  <si>
    <t>Cochabamba</t>
  </si>
  <si>
    <t>Villa Azurduy</t>
  </si>
  <si>
    <t>desv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</si>
  <si>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</si>
  <si>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</si>
  <si>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</si>
  <si>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</si>
  <si>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</si>
  <si>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</si>
  <si>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</si>
  <si>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</si>
  <si>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</si>
  <si>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</si>
  <si>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</si>
  <si>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</si>
  <si>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</si>
  <si>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</si>
  <si>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</si>
  <si>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</si>
  <si>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Villa Alcalá</t>
  </si>
  <si>
    <t>max</t>
  </si>
  <si>
    <t>El Villar</t>
  </si>
  <si>
    <t>min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</si>
  <si>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</si>
  <si>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</si>
  <si>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</si>
  <si>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</si>
  <si>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</si>
  <si>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</si>
  <si>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</si>
  <si>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</si>
  <si>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</si>
  <si>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</si>
  <si>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</si>
  <si>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</si>
  <si>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</si>
  <si>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</si>
  <si>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</si>
  <si>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</si>
  <si>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</si>
  <si>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</si>
  <si>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</si>
  <si>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</si>
  <si>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</si>
  <si>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</si>
  <si>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</si>
  <si>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</si>
  <si>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</si>
  <si>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</si>
  <si>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</si>
  <si>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</si>
  <si>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</si>
  <si>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</si>
  <si>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</si>
  <si>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</si>
  <si>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</si>
  <si>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</si>
  <si>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</si>
  <si>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</si>
  <si>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</si>
  <si>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</si>
  <si>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</si>
  <si>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</si>
  <si>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</si>
  <si>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</si>
  <si>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</si>
  <si>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</si>
  <si>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</si>
  <si>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</si>
  <si>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</si>
  <si>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</si>
  <si>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</si>
  <si>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</si>
  <si>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</si>
  <si>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</si>
  <si>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</si>
  <si>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</si>
  <si>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</si>
  <si>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</si>
  <si>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</si>
  <si>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</si>
  <si>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</si>
  <si>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</si>
  <si>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</si>
  <si>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</si>
  <si>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</si>
  <si>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</si>
  <si>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</si>
  <si>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</si>
  <si>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</si>
  <si>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</si>
  <si>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</si>
  <si>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</si>
  <si>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</si>
  <si>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</si>
  <si>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</si>
  <si>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</si>
  <si>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</si>
  <si>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</si>
  <si>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</si>
  <si>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</si>
  <si>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</si>
  <si>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</si>
  <si>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</si>
  <si>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</si>
  <si>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</si>
  <si>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</si>
  <si>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</si>
  <si>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</si>
  <si>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</si>
  <si>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</si>
  <si>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</si>
  <si>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</si>
  <si>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</si>
  <si>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</si>
  <si>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</si>
  <si>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</si>
  <si>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</si>
  <si>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</si>
  <si>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</si>
  <si>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</si>
  <si>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</si>
  <si>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</si>
  <si>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</si>
  <si>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</si>
  <si>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</si>
  <si>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</si>
  <si>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</si>
  <si>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</si>
  <si>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</si>
  <si>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</si>
  <si>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</si>
  <si>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</si>
  <si>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</si>
  <si>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</si>
  <si>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</si>
  <si>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</si>
  <si>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</si>
  <si>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</si>
  <si>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</si>
  <si>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</si>
  <si>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</si>
  <si>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</si>
  <si>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</si>
  <si>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</si>
  <si>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</si>
  <si>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</si>
  <si>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</si>
  <si>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</si>
  <si>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</si>
  <si>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</si>
  <si>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</si>
  <si>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</si>
  <si>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</si>
  <si>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</si>
  <si>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</si>
  <si>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</si>
  <si>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</si>
  <si>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</si>
  <si>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</si>
  <si>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</si>
  <si>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</si>
  <si>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</si>
  <si>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</si>
  <si>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</si>
  <si>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</si>
  <si>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</si>
  <si>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</si>
  <si>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</si>
  <si>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</si>
  <si>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</si>
  <si>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</si>
  <si>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</si>
  <si>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</si>
  <si>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</si>
  <si>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</si>
  <si>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</si>
  <si>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</si>
  <si>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</si>
  <si>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</si>
  <si>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</si>
  <si>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</si>
  <si>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</si>
  <si>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</si>
  <si>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</si>
  <si>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</si>
  <si>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</si>
  <si>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</si>
  <si>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</si>
  <si>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</si>
  <si>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</si>
  <si>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</si>
  <si>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</si>
  <si>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</si>
  <si>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</si>
  <si>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</si>
  <si>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</si>
  <si>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</si>
  <si>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</si>
  <si>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</si>
  <si>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</si>
  <si>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</si>
  <si>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</si>
  <si>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</si>
  <si>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</si>
  <si>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</si>
  <si>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</si>
  <si>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</si>
  <si>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</si>
  <si>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</si>
  <si>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</si>
  <si>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</si>
  <si>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</si>
  <si>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</si>
  <si>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</si>
  <si>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</si>
  <si>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</si>
  <si>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</si>
  <si>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</si>
  <si>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</si>
  <si>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</si>
  <si>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</si>
  <si>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</si>
  <si>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</si>
  <si>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</si>
  <si>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</si>
  <si>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</si>
  <si>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</si>
  <si>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</si>
  <si>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</si>
  <si>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</si>
  <si>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</si>
  <si>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</si>
  <si>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</si>
  <si>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</si>
  <si>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</si>
  <si>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</si>
  <si>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</si>
  <si>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</si>
  <si>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</si>
  <si>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</si>
  <si>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</si>
  <si>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</si>
  <si>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</si>
  <si>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</si>
  <si>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</si>
  <si>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</si>
  <si>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</si>
  <si>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</si>
  <si>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</si>
  <si>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</si>
  <si>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</si>
  <si>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</si>
  <si>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</si>
  <si>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</si>
  <si>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</si>
  <si>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</si>
  <si>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</si>
  <si>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</si>
  <si>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</si>
  <si>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</si>
  <si>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</si>
  <si>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</si>
  <si>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</si>
  <si>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</si>
  <si>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</si>
  <si>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</si>
  <si>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</si>
  <si>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</si>
  <si>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</si>
  <si>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</si>
  <si>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</si>
  <si>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</si>
  <si>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</si>
  <si>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</si>
  <si>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</si>
  <si>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</si>
  <si>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</si>
  <si>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</si>
  <si>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</si>
  <si>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</si>
  <si>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</si>
  <si>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</si>
  <si>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</si>
  <si>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</si>
  <si>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</si>
  <si>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</si>
  <si>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</si>
  <si>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</si>
  <si>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</si>
  <si>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</si>
  <si>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</si>
  <si>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</si>
  <si>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</si>
  <si>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</si>
  <si>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</si>
  <si>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</si>
  <si>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</si>
  <si>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</si>
  <si>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</si>
  <si>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</si>
  <si>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</si>
  <si>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</si>
  <si>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</si>
  <si>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</si>
  <si>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</si>
  <si>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</si>
  <si>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</si>
  <si>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</si>
  <si>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</si>
  <si>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</si>
  <si>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</si>
  <si>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</si>
  <si>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</si>
  <si>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</si>
  <si>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</si>
  <si>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</si>
  <si>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</si>
  <si>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</si>
  <si>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</si>
  <si>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</si>
  <si>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</si>
  <si>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</si>
  <si>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</si>
  <si>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</si>
  <si>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</si>
  <si>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</si>
  <si>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</si>
  <si>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</si>
  <si>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</si>
  <si>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</si>
  <si>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</si>
  <si>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</si>
  <si>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</si>
  <si>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</si>
  <si>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</si>
  <si>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</si>
  <si>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</si>
  <si>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</si>
  <si>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</si>
  <si>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</si>
  <si>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</si>
  <si>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</si>
  <si>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paridad2024</t>
  </si>
  <si>
    <t xml:space="preserve">paridad2024 </t>
  </si>
  <si>
    <t>paridad2012ipm</t>
  </si>
  <si>
    <t>paridad2024ipm</t>
  </si>
  <si>
    <t xml:space="preserve">paridad2024ipm 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</si>
  <si>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</si>
  <si>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</si>
  <si>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</si>
  <si>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</si>
  <si>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</si>
  <si>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</si>
  <si>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</si>
  <si>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</si>
  <si>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</si>
  <si>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</si>
  <si>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Paridad de género en el índice de pobreza multidimensional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</si>
</sst>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"/>
    <numFmt numFmtId="166" formatCode="0.0000"/>
    <numFmt numFmtId="167" formatCode="0.0"/>
  </numFmts>
  <fonts count="6"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165" fontId="1" fillId="0" borderId="1" xfId="0" applyNumberFormat="1" applyFont="1" applyBorder="1" applyAlignment="1">
      <alignment wrapText="1"/>
    </xf>
    <xf numFmtId="165" fontId="1" fillId="0" borderId="1" xfId="0" applyNumberFormat="1" applyFont="1" applyBorder="1"/>
    <xf numFmtId="4" fontId="1" fillId="0" borderId="0" xfId="0" applyNumberFormat="1" applyFont="1"/>
    <xf numFmtId="2" fontId="1" fillId="0" borderId="0" xfId="0" applyNumberFormat="1" applyFont="1"/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/>
    <xf numFmtId="1" fontId="1" fillId="0" borderId="1" xfId="0" applyNumberFormat="1" applyFont="1" applyBorder="1"/>
    <xf numFmtId="164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0" xfId="0" applyFont="1"/>
    <xf numFmtId="166" fontId="1" fillId="0" borderId="0" xfId="0" applyNumberFormat="1" applyFont="1" applyAlignment="1">
      <alignment horizontal="right"/>
    </xf>
    <xf numFmtId="166" fontId="1" fillId="0" borderId="0" xfId="0" applyNumberFormat="1" applyFont="1"/>
    <xf numFmtId="167" fontId="1" fillId="0" borderId="0" xfId="0" applyNumberFormat="1" applyFont="1"/>
    <xf numFmtId="165" fontId="2" fillId="0" borderId="0" xfId="0" applyNumberFormat="1" applyFont="1"/>
    <xf numFmtId="2" fontId="1" fillId="0" borderId="0" xfId="0" applyNumberFormat="1" applyFont="1" applyAlignment="1">
      <alignment horizontal="right"/>
    </xf>
    <xf numFmtId="164" fontId="1" fillId="0" borderId="0" xfId="0" applyNumberFormat="1" applyFont="1"/>
    <xf numFmtId="165" fontId="1" fillId="0" borderId="0" xfId="0" applyNumberFormat="1" applyFont="1"/>
    <xf numFmtId="49" fontId="1" fillId="0" borderId="1" xfId="0" applyNumberFormat="1" applyFont="1" applyBorder="1" applyAlignment="1">
      <alignment wrapText="1"/>
    </xf>
    <xf numFmtId="166" fontId="1" fillId="0" borderId="1" xfId="0" applyNumberFormat="1" applyFont="1" applyBorder="1" applyAlignment="1">
      <alignment wrapText="1"/>
    </xf>
    <xf numFmtId="166" fontId="1" fillId="0" borderId="1" xfId="0" applyNumberFormat="1" applyFont="1" applyBorder="1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4" fontId="1" fillId="0" borderId="1" xfId="0" applyNumberFormat="1" applyFont="1" applyBorder="1"/>
    <xf numFmtId="4" fontId="1" fillId="0" borderId="1" xfId="0" applyNumberFormat="1" applyFont="1" applyBorder="1" applyAlignment="1">
      <alignment horizontal="right"/>
    </xf>
    <xf numFmtId="4" fontId="1" fillId="0" borderId="2" xfId="0" applyNumberFormat="1" applyFont="1" applyBorder="1"/>
    <xf numFmtId="4" fontId="1" fillId="0" borderId="2" xfId="0" applyNumberFormat="1" applyFont="1" applyBorder="1" applyAlignment="1">
      <alignment horizontal="right"/>
    </xf>
    <xf numFmtId="1" fontId="1" fillId="0" borderId="0" xfId="0" applyNumberFormat="1" applyFont="1"/>
    <xf numFmtId="49" fontId="1" fillId="0" borderId="0" xfId="0" applyNumberFormat="1" applyFont="1"/>
    <xf numFmtId="4" fontId="1" fillId="0" borderId="3" xfId="0" applyNumberFormat="1" applyFont="1" applyBorder="1"/>
    <xf numFmtId="4" fontId="1" fillId="0" borderId="3" xfId="0" applyNumberFormat="1" applyFont="1" applyBorder="1" applyAlignment="1">
      <alignment horizontal="right"/>
    </xf>
    <xf numFmtId="4" fontId="2" fillId="0" borderId="0" xfId="0" applyNumberFormat="1" applyFont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2" fontId="1" fillId="0" borderId="1" xfId="0" applyNumberFormat="1" applyFont="1" applyBorder="1"/>
    <xf numFmtId="167" fontId="1" fillId="0" borderId="1" xfId="0" applyNumberFormat="1" applyFont="1" applyBorder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/>
  <cols>
    <col min="1" max="14" width="8.6640625" customWidth="1"/>
    <col min="15" max="15" width="9.109375" customWidth="1"/>
    <col min="16" max="43" width="8.6640625" customWidth="1"/>
  </cols>
  <sheetData>
    <row r="1" spans="1:36" ht="100.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T1" s="1" t="s">
        <v>15</v>
      </c>
      <c r="U1" s="1" t="s">
        <v>16</v>
      </c>
      <c r="V1" s="2" t="s">
        <v>2</v>
      </c>
      <c r="W1" s="2" t="s">
        <v>3</v>
      </c>
      <c r="X1" s="2" t="s">
        <v>4</v>
      </c>
      <c r="Y1" s="3" t="s">
        <v>5</v>
      </c>
      <c r="Z1" s="3" t="s">
        <v>6</v>
      </c>
      <c r="AA1" s="3" t="s">
        <v>7</v>
      </c>
      <c r="AB1" s="2" t="s">
        <v>8</v>
      </c>
      <c r="AC1" s="2" t="s">
        <v>9</v>
      </c>
      <c r="AD1" s="2" t="s">
        <v>10</v>
      </c>
      <c r="AE1" s="3" t="s">
        <v>11</v>
      </c>
      <c r="AF1" s="3" t="s">
        <v>12</v>
      </c>
      <c r="AG1" s="3" t="s">
        <v>13</v>
      </c>
      <c r="AH1" s="5" t="s">
        <v>14</v>
      </c>
      <c r="AI1" s="6"/>
      <c r="AJ1" s="7"/>
    </row>
    <row r="2" spans="1:36" ht="14.4">
      <c r="A2" s="8">
        <v>10101</v>
      </c>
      <c r="B2" s="9" t="s">
        <v>17</v>
      </c>
      <c r="C2" s="10">
        <v>15390</v>
      </c>
      <c r="D2" s="10">
        <v>6726.7779546976089</v>
      </c>
      <c r="E2" s="10">
        <v>95776</v>
      </c>
      <c r="F2" s="11">
        <f t="shared" ref="F2:F256" si="0">C2/E2</f>
        <v>0.1606874373538256</v>
      </c>
      <c r="G2" s="11">
        <f t="shared" ref="G2:G256" si="1">D2/C2</f>
        <v>0.43708758640010453</v>
      </c>
      <c r="H2" s="11">
        <f t="shared" ref="H2:H256" si="2">F2*G2</f>
        <v>7.0234484157801633E-2</v>
      </c>
      <c r="I2" s="12">
        <v>25016</v>
      </c>
      <c r="J2" s="12">
        <v>11163.33362659812</v>
      </c>
      <c r="K2" s="12">
        <v>157622</v>
      </c>
      <c r="L2" s="13">
        <f t="shared" ref="L2:L256" si="3">I2/K2</f>
        <v>0.15870880968392737</v>
      </c>
      <c r="M2" s="13">
        <f t="shared" ref="M2:M256" si="4">J2/I2</f>
        <v>0.44624774650616084</v>
      </c>
      <c r="N2" s="13">
        <f t="shared" ref="N2:N256" si="5">L2*M2</f>
        <v>7.082344867212774E-2</v>
      </c>
      <c r="O2" s="5">
        <f t="shared" ref="O2:O256" si="6">H2/N2</f>
        <v>0.9916840463805614</v>
      </c>
      <c r="T2" s="8">
        <v>1</v>
      </c>
      <c r="U2" s="1" t="s">
        <v>18</v>
      </c>
      <c r="V2" s="12">
        <v>64014</v>
      </c>
      <c r="W2" s="12">
        <v>31878.445308476686</v>
      </c>
      <c r="X2" s="12">
        <v>178440</v>
      </c>
      <c r="Y2" s="14">
        <f t="shared" ref="Y2:Y10" si="7">V2/X2</f>
        <v>0.35874243443174175</v>
      </c>
      <c r="Z2" s="14">
        <f t="shared" ref="Z2:Z10" si="8">W2/V2</f>
        <v>0.4979917722447697</v>
      </c>
      <c r="AA2" s="14">
        <f t="shared" ref="AA2:AA10" si="9">Y2*Z2</f>
        <v>0.17865078070206616</v>
      </c>
      <c r="AB2" s="12">
        <v>178098</v>
      </c>
      <c r="AC2" s="12">
        <v>92987.446956157684</v>
      </c>
      <c r="AD2" s="12">
        <v>384189</v>
      </c>
      <c r="AE2" s="15">
        <f t="shared" ref="AE2:AE10" si="10">AB2/AD2</f>
        <v>0.46356871227442742</v>
      </c>
      <c r="AF2" s="15">
        <f t="shared" ref="AF2:AF10" si="11">AC2/AB2</f>
        <v>0.52211393140943574</v>
      </c>
      <c r="AG2" s="15">
        <f t="shared" ref="AG2:AG10" si="12">AE2*AF2</f>
        <v>0.24203568284401084</v>
      </c>
      <c r="AH2" s="5">
        <f t="shared" ref="AH2:AH12" si="13">AA2/AG2</f>
        <v>0.73811753127824753</v>
      </c>
    </row>
    <row r="3" spans="1:36" ht="14.4">
      <c r="A3" s="8">
        <v>10102</v>
      </c>
      <c r="B3" s="9" t="s">
        <v>19</v>
      </c>
      <c r="C3" s="10">
        <v>876</v>
      </c>
      <c r="D3" s="10">
        <v>381.88889902830124</v>
      </c>
      <c r="E3" s="10">
        <v>2752</v>
      </c>
      <c r="F3" s="11">
        <f t="shared" si="0"/>
        <v>0.3183139534883721</v>
      </c>
      <c r="G3" s="11">
        <f t="shared" si="1"/>
        <v>0.43594623176746716</v>
      </c>
      <c r="H3" s="11">
        <f t="shared" si="2"/>
        <v>0.13876776854226064</v>
      </c>
      <c r="I3" s="12">
        <v>2087</v>
      </c>
      <c r="J3" s="12">
        <v>914.555578738451</v>
      </c>
      <c r="K3" s="12">
        <v>6273</v>
      </c>
      <c r="L3" s="13">
        <f t="shared" si="3"/>
        <v>0.33269567989797544</v>
      </c>
      <c r="M3" s="13">
        <f t="shared" si="4"/>
        <v>0.43821541865761909</v>
      </c>
      <c r="N3" s="13">
        <f t="shared" si="5"/>
        <v>0.14579237665207254</v>
      </c>
      <c r="O3" s="5">
        <f t="shared" si="6"/>
        <v>0.95181772688584509</v>
      </c>
      <c r="Q3" s="16" t="s">
        <v>20</v>
      </c>
      <c r="R3" s="17">
        <f>AVERAGE(O2:O344)</f>
        <v>1.031307444945311</v>
      </c>
      <c r="T3" s="8">
        <v>2</v>
      </c>
      <c r="U3" s="1" t="s">
        <v>21</v>
      </c>
      <c r="V3" s="12">
        <v>228126</v>
      </c>
      <c r="W3" s="12">
        <v>98272.335823118687</v>
      </c>
      <c r="X3" s="12">
        <v>891104</v>
      </c>
      <c r="Y3" s="14">
        <f t="shared" si="7"/>
        <v>0.2560037885589112</v>
      </c>
      <c r="Z3" s="14">
        <f t="shared" si="8"/>
        <v>0.43078095360949076</v>
      </c>
      <c r="AA3" s="14">
        <f t="shared" si="9"/>
        <v>0.11028155616305022</v>
      </c>
      <c r="AB3" s="12">
        <v>450276</v>
      </c>
      <c r="AC3" s="12">
        <v>194223.22706881166</v>
      </c>
      <c r="AD3" s="12">
        <v>1772393</v>
      </c>
      <c r="AE3" s="15">
        <f t="shared" si="10"/>
        <v>0.25404975081711562</v>
      </c>
      <c r="AF3" s="15">
        <f t="shared" si="11"/>
        <v>0.43134261446049016</v>
      </c>
      <c r="AG3" s="15">
        <f t="shared" si="12"/>
        <v>0.10958248372049069</v>
      </c>
      <c r="AH3" s="5">
        <f t="shared" si="13"/>
        <v>1.0063794177575189</v>
      </c>
    </row>
    <row r="4" spans="1:36" ht="14.4">
      <c r="A4" s="8">
        <v>10103</v>
      </c>
      <c r="B4" s="9" t="s">
        <v>22</v>
      </c>
      <c r="C4" s="10">
        <v>3853</v>
      </c>
      <c r="D4" s="10">
        <v>2199.4445063769817</v>
      </c>
      <c r="E4" s="10">
        <v>4290</v>
      </c>
      <c r="F4" s="11">
        <f t="shared" si="0"/>
        <v>0.89813519813519815</v>
      </c>
      <c r="G4" s="11">
        <f t="shared" si="1"/>
        <v>0.57083947738826413</v>
      </c>
      <c r="H4" s="11">
        <f t="shared" si="2"/>
        <v>0.51269102712750159</v>
      </c>
      <c r="I4" s="12">
        <v>11335</v>
      </c>
      <c r="J4" s="12">
        <v>6592.4446278214455</v>
      </c>
      <c r="K4" s="12">
        <v>11926</v>
      </c>
      <c r="L4" s="13">
        <f t="shared" si="3"/>
        <v>0.95044440717759515</v>
      </c>
      <c r="M4" s="13">
        <f t="shared" si="4"/>
        <v>0.58160076116642656</v>
      </c>
      <c r="N4" s="13">
        <f t="shared" si="5"/>
        <v>0.55277919066086245</v>
      </c>
      <c r="O4" s="5">
        <f t="shared" si="6"/>
        <v>0.92747888449738058</v>
      </c>
      <c r="Q4" s="16"/>
      <c r="R4" s="18"/>
      <c r="T4" s="8">
        <v>3</v>
      </c>
      <c r="U4" s="1" t="s">
        <v>23</v>
      </c>
      <c r="V4" s="12">
        <v>193221</v>
      </c>
      <c r="W4" s="12">
        <v>84475.002190321684</v>
      </c>
      <c r="X4" s="12">
        <v>595070</v>
      </c>
      <c r="Y4" s="14">
        <f t="shared" si="7"/>
        <v>0.3247029761204564</v>
      </c>
      <c r="Z4" s="14">
        <f t="shared" si="8"/>
        <v>0.43719369111184436</v>
      </c>
      <c r="AA4" s="14">
        <f t="shared" si="9"/>
        <v>0.1419580926451034</v>
      </c>
      <c r="AB4" s="12">
        <v>359948</v>
      </c>
      <c r="AC4" s="12">
        <v>159902.33743491769</v>
      </c>
      <c r="AD4" s="12">
        <v>1128099</v>
      </c>
      <c r="AE4" s="15">
        <f t="shared" si="10"/>
        <v>0.31907483297121975</v>
      </c>
      <c r="AF4" s="15">
        <f t="shared" si="11"/>
        <v>0.44423732715536046</v>
      </c>
      <c r="AG4" s="15">
        <f t="shared" si="12"/>
        <v>0.14174495096167775</v>
      </c>
      <c r="AH4" s="5">
        <f t="shared" si="13"/>
        <v>1.0015036985937036</v>
      </c>
    </row>
    <row r="5" spans="1:36" ht="14.4">
      <c r="A5" s="8">
        <v>10201</v>
      </c>
      <c r="B5" s="9" t="s">
        <v>24</v>
      </c>
      <c r="C5" s="10">
        <v>1829</v>
      </c>
      <c r="D5" s="10">
        <v>1044.7778069376945</v>
      </c>
      <c r="E5" s="10">
        <v>2328</v>
      </c>
      <c r="F5" s="11">
        <f t="shared" si="0"/>
        <v>0.7856529209621993</v>
      </c>
      <c r="G5" s="11">
        <f t="shared" si="1"/>
        <v>0.57122898137654154</v>
      </c>
      <c r="H5" s="11">
        <f t="shared" si="2"/>
        <v>0.44878771775674159</v>
      </c>
      <c r="I5" s="12">
        <v>7020</v>
      </c>
      <c r="J5" s="12">
        <v>4242.2223362624645</v>
      </c>
      <c r="K5" s="12">
        <v>7967</v>
      </c>
      <c r="L5" s="13">
        <f t="shared" si="3"/>
        <v>0.88113468055729882</v>
      </c>
      <c r="M5" s="13">
        <f t="shared" si="4"/>
        <v>0.60430517610576417</v>
      </c>
      <c r="N5" s="13">
        <f t="shared" si="5"/>
        <v>0.53247424830707468</v>
      </c>
      <c r="O5" s="5">
        <f t="shared" si="6"/>
        <v>0.8428345956327421</v>
      </c>
      <c r="Q5" s="16" t="s">
        <v>25</v>
      </c>
      <c r="R5" s="17">
        <f>STDEV(O2:O344)</f>
        <v>0.17890169555635738</v>
      </c>
      <c r="T5" s="8">
        <v>4</v>
      </c>
      <c r="U5" s="1" t="s">
        <v>26</v>
      </c>
      <c r="V5" s="12">
        <v>47742</v>
      </c>
      <c r="W5" s="12">
        <v>20797.444964468479</v>
      </c>
      <c r="X5" s="12">
        <v>161706</v>
      </c>
      <c r="Y5" s="14">
        <f t="shared" si="7"/>
        <v>0.29523950873808025</v>
      </c>
      <c r="Z5" s="14">
        <f t="shared" si="8"/>
        <v>0.43562156936174601</v>
      </c>
      <c r="AA5" s="14">
        <f t="shared" si="9"/>
        <v>0.12861269813407344</v>
      </c>
      <c r="AB5" s="12">
        <v>96115</v>
      </c>
      <c r="AC5" s="12">
        <v>41954.556581616402</v>
      </c>
      <c r="AD5" s="12">
        <v>321087</v>
      </c>
      <c r="AE5" s="15">
        <f t="shared" si="10"/>
        <v>0.29934254578977038</v>
      </c>
      <c r="AF5" s="15">
        <f t="shared" si="11"/>
        <v>0.43650373595813768</v>
      </c>
      <c r="AG5" s="15">
        <f t="shared" si="12"/>
        <v>0.13066413956845466</v>
      </c>
      <c r="AH5" s="5">
        <f t="shared" si="13"/>
        <v>0.98429988946350144</v>
      </c>
    </row>
    <row r="6" spans="1:36" ht="14.4">
      <c r="A6" s="8">
        <v>10202</v>
      </c>
      <c r="B6" s="9" t="s">
        <v>27</v>
      </c>
      <c r="C6" s="10">
        <v>2386</v>
      </c>
      <c r="D6" s="10">
        <v>1326.7778129577637</v>
      </c>
      <c r="E6" s="10">
        <v>3254</v>
      </c>
      <c r="F6" s="11">
        <f t="shared" si="0"/>
        <v>0.73325138291333747</v>
      </c>
      <c r="G6" s="11">
        <f t="shared" si="1"/>
        <v>0.55606781766880287</v>
      </c>
      <c r="H6" s="11">
        <f t="shared" si="2"/>
        <v>0.40773749629925127</v>
      </c>
      <c r="I6" s="12">
        <v>8969</v>
      </c>
      <c r="J6" s="12">
        <v>5035.6668073832989</v>
      </c>
      <c r="K6" s="12">
        <v>10786</v>
      </c>
      <c r="L6" s="13">
        <f t="shared" si="3"/>
        <v>0.83154088633413681</v>
      </c>
      <c r="M6" s="13">
        <f t="shared" si="4"/>
        <v>0.56145242584271371</v>
      </c>
      <c r="N6" s="13">
        <f t="shared" si="5"/>
        <v>0.46687064781970139</v>
      </c>
      <c r="O6" s="5">
        <f t="shared" si="6"/>
        <v>0.87334146664262668</v>
      </c>
      <c r="Q6" s="16"/>
      <c r="R6" s="18"/>
      <c r="T6" s="8">
        <v>5</v>
      </c>
      <c r="U6" s="1" t="s">
        <v>28</v>
      </c>
      <c r="V6" s="12">
        <v>108419</v>
      </c>
      <c r="W6" s="12">
        <v>50841.668018758297</v>
      </c>
      <c r="X6" s="12">
        <v>248286</v>
      </c>
      <c r="Y6" s="14">
        <f t="shared" si="7"/>
        <v>0.43666980820505386</v>
      </c>
      <c r="Z6" s="14">
        <f t="shared" si="8"/>
        <v>0.46893688392955385</v>
      </c>
      <c r="AA6" s="14">
        <f t="shared" si="9"/>
        <v>0.20477057916579389</v>
      </c>
      <c r="AB6" s="12">
        <v>274119</v>
      </c>
      <c r="AC6" s="12">
        <v>131654.00348550081</v>
      </c>
      <c r="AD6" s="12">
        <v>561226</v>
      </c>
      <c r="AE6" s="15">
        <f t="shared" si="10"/>
        <v>0.48842890386404053</v>
      </c>
      <c r="AF6" s="15">
        <f t="shared" si="11"/>
        <v>0.4802804748503417</v>
      </c>
      <c r="AG6" s="15">
        <f t="shared" si="12"/>
        <v>0.23458286587845328</v>
      </c>
      <c r="AH6" s="5">
        <f t="shared" si="13"/>
        <v>0.87291362222462432</v>
      </c>
    </row>
    <row r="7" spans="1:36" ht="14.4">
      <c r="A7" s="8">
        <v>10301</v>
      </c>
      <c r="B7" s="9" t="s">
        <v>29</v>
      </c>
      <c r="C7" s="10">
        <v>2013</v>
      </c>
      <c r="D7" s="10">
        <v>1020.333359837532</v>
      </c>
      <c r="E7" s="10">
        <v>3457</v>
      </c>
      <c r="F7" s="11">
        <f t="shared" si="0"/>
        <v>0.58229678912351746</v>
      </c>
      <c r="G7" s="11">
        <f t="shared" si="1"/>
        <v>0.50687201184179431</v>
      </c>
      <c r="H7" s="11">
        <f t="shared" si="2"/>
        <v>0.29514994499205432</v>
      </c>
      <c r="I7" s="12">
        <v>4620</v>
      </c>
      <c r="J7" s="12">
        <v>2353.1111741960049</v>
      </c>
      <c r="K7" s="12">
        <v>7454</v>
      </c>
      <c r="L7" s="13">
        <f t="shared" si="3"/>
        <v>0.6198014488865039</v>
      </c>
      <c r="M7" s="13">
        <f t="shared" si="4"/>
        <v>0.5093314229861482</v>
      </c>
      <c r="N7" s="13">
        <f t="shared" si="5"/>
        <v>0.31568435393023941</v>
      </c>
      <c r="O7" s="5">
        <f t="shared" si="6"/>
        <v>0.93495271880746167</v>
      </c>
      <c r="Q7" s="16"/>
      <c r="R7" s="17">
        <f>R3-(2*R5)</f>
        <v>0.67350405383259626</v>
      </c>
      <c r="T7" s="8">
        <v>6</v>
      </c>
      <c r="U7" s="1" t="s">
        <v>30</v>
      </c>
      <c r="V7" s="12">
        <v>26302</v>
      </c>
      <c r="W7" s="12">
        <v>11074.666948229074</v>
      </c>
      <c r="X7" s="12">
        <v>146635</v>
      </c>
      <c r="Y7" s="14">
        <f t="shared" si="7"/>
        <v>0.17937054591332219</v>
      </c>
      <c r="Z7" s="14">
        <f t="shared" si="8"/>
        <v>0.42105797841339343</v>
      </c>
      <c r="AA7" s="14">
        <f t="shared" si="9"/>
        <v>7.5525399449170208E-2</v>
      </c>
      <c r="AB7" s="12">
        <v>60041</v>
      </c>
      <c r="AC7" s="12">
        <v>25551.55621239543</v>
      </c>
      <c r="AD7" s="12">
        <v>315550</v>
      </c>
      <c r="AE7" s="15">
        <f t="shared" si="10"/>
        <v>0.1902741245444462</v>
      </c>
      <c r="AF7" s="15">
        <f t="shared" si="11"/>
        <v>0.42556846508877982</v>
      </c>
      <c r="AG7" s="15">
        <f t="shared" si="12"/>
        <v>8.0974667128491301E-2</v>
      </c>
      <c r="AH7" s="5">
        <f t="shared" si="13"/>
        <v>0.93270404346739522</v>
      </c>
    </row>
    <row r="8" spans="1:36" ht="14.4">
      <c r="A8" s="8">
        <v>10302</v>
      </c>
      <c r="B8" s="9" t="s">
        <v>31</v>
      </c>
      <c r="C8" s="10">
        <v>1879</v>
      </c>
      <c r="D8" s="10">
        <v>1061.4444724023342</v>
      </c>
      <c r="E8" s="10">
        <v>2567</v>
      </c>
      <c r="F8" s="11">
        <f t="shared" si="0"/>
        <v>0.73198285936891316</v>
      </c>
      <c r="G8" s="11">
        <f t="shared" si="1"/>
        <v>0.56489860159783623</v>
      </c>
      <c r="H8" s="11">
        <f t="shared" si="2"/>
        <v>0.41349609365108464</v>
      </c>
      <c r="I8" s="12">
        <v>7364</v>
      </c>
      <c r="J8" s="12">
        <v>4303.4445578455925</v>
      </c>
      <c r="K8" s="12">
        <v>9192</v>
      </c>
      <c r="L8" s="13">
        <f t="shared" si="3"/>
        <v>0.80113141862489123</v>
      </c>
      <c r="M8" s="13">
        <f t="shared" si="4"/>
        <v>0.58438953800184579</v>
      </c>
      <c r="N8" s="13">
        <f t="shared" si="5"/>
        <v>0.46817281960896351</v>
      </c>
      <c r="O8" s="5">
        <f t="shared" si="6"/>
        <v>0.88321251540500145</v>
      </c>
      <c r="Q8" s="16"/>
      <c r="R8" s="17">
        <f>R3-R5</f>
        <v>0.85240574938895364</v>
      </c>
      <c r="T8" s="8">
        <v>7</v>
      </c>
      <c r="U8" s="1" t="s">
        <v>32</v>
      </c>
      <c r="V8" s="12">
        <v>181063</v>
      </c>
      <c r="W8" s="12">
        <v>72781.335184961557</v>
      </c>
      <c r="X8" s="12">
        <v>786318</v>
      </c>
      <c r="Y8" s="14">
        <f t="shared" si="7"/>
        <v>0.23026688947728527</v>
      </c>
      <c r="Z8" s="14">
        <f t="shared" si="8"/>
        <v>0.40196691309081123</v>
      </c>
      <c r="AA8" s="14">
        <f t="shared" si="9"/>
        <v>9.2559670750207365E-2</v>
      </c>
      <c r="AB8" s="12">
        <v>420377</v>
      </c>
      <c r="AC8" s="12">
        <v>171347.00435709953</v>
      </c>
      <c r="AD8" s="12">
        <v>1789216</v>
      </c>
      <c r="AE8" s="15">
        <f t="shared" si="10"/>
        <v>0.23495039167993131</v>
      </c>
      <c r="AF8" s="15">
        <f t="shared" si="11"/>
        <v>0.40760318560982056</v>
      </c>
      <c r="AG8" s="15">
        <f t="shared" si="12"/>
        <v>9.5766528109015078E-2</v>
      </c>
      <c r="AH8" s="5">
        <f t="shared" si="13"/>
        <v>0.966513797439151</v>
      </c>
    </row>
    <row r="9" spans="1:36" ht="14.4">
      <c r="A9" s="8">
        <v>10303</v>
      </c>
      <c r="B9" s="9" t="s">
        <v>33</v>
      </c>
      <c r="C9" s="10">
        <v>1481</v>
      </c>
      <c r="D9" s="10">
        <v>766.33335518836975</v>
      </c>
      <c r="E9" s="10">
        <v>2309</v>
      </c>
      <c r="F9" s="11">
        <f t="shared" si="0"/>
        <v>0.64140320485058466</v>
      </c>
      <c r="G9" s="11">
        <f t="shared" si="1"/>
        <v>0.51744318378688037</v>
      </c>
      <c r="H9" s="11">
        <f t="shared" si="2"/>
        <v>0.33188971640899517</v>
      </c>
      <c r="I9" s="12">
        <v>3769</v>
      </c>
      <c r="J9" s="12">
        <v>1926.1111673116684</v>
      </c>
      <c r="K9" s="12">
        <v>5550</v>
      </c>
      <c r="L9" s="13">
        <f t="shared" si="3"/>
        <v>0.67909909909909905</v>
      </c>
      <c r="M9" s="13">
        <f t="shared" si="4"/>
        <v>0.51104037339126251</v>
      </c>
      <c r="N9" s="13">
        <f t="shared" si="5"/>
        <v>0.34704705717327355</v>
      </c>
      <c r="O9" s="5">
        <f t="shared" si="6"/>
        <v>0.95632482555035581</v>
      </c>
      <c r="Q9" s="16"/>
      <c r="R9" s="18">
        <f>R3-(0.5*R5)</f>
        <v>0.94185659716713233</v>
      </c>
      <c r="T9" s="8">
        <v>8</v>
      </c>
      <c r="U9" s="1" t="s">
        <v>34</v>
      </c>
      <c r="V9" s="12">
        <v>62110</v>
      </c>
      <c r="W9" s="12">
        <v>26852.889580905437</v>
      </c>
      <c r="X9" s="12">
        <v>124291</v>
      </c>
      <c r="Y9" s="14">
        <f t="shared" si="7"/>
        <v>0.49971437996315099</v>
      </c>
      <c r="Z9" s="14">
        <f t="shared" si="8"/>
        <v>0.43234406023032423</v>
      </c>
      <c r="AA9" s="14">
        <f t="shared" si="9"/>
        <v>0.21604854398874768</v>
      </c>
      <c r="AB9" s="12">
        <v>146447</v>
      </c>
      <c r="AC9" s="12">
        <v>66277.335010409355</v>
      </c>
      <c r="AD9" s="12">
        <v>282612</v>
      </c>
      <c r="AE9" s="15">
        <f t="shared" si="10"/>
        <v>0.51819101807425016</v>
      </c>
      <c r="AF9" s="15">
        <f t="shared" si="11"/>
        <v>0.45256874507780531</v>
      </c>
      <c r="AG9" s="15">
        <f t="shared" si="12"/>
        <v>0.23451705876045373</v>
      </c>
      <c r="AH9" s="5">
        <f t="shared" si="13"/>
        <v>0.92124873615027458</v>
      </c>
    </row>
    <row r="10" spans="1:36" ht="14.4">
      <c r="A10" s="8">
        <v>10304</v>
      </c>
      <c r="B10" s="9" t="s">
        <v>35</v>
      </c>
      <c r="C10" s="10">
        <v>1128</v>
      </c>
      <c r="D10" s="10">
        <v>560.44445985555649</v>
      </c>
      <c r="E10" s="10">
        <v>1877</v>
      </c>
      <c r="F10" s="11">
        <f t="shared" si="0"/>
        <v>0.6009589770911028</v>
      </c>
      <c r="G10" s="11">
        <f t="shared" si="1"/>
        <v>0.49684792540386213</v>
      </c>
      <c r="H10" s="11">
        <f t="shared" si="2"/>
        <v>0.29858522102054152</v>
      </c>
      <c r="I10" s="12">
        <v>3431</v>
      </c>
      <c r="J10" s="12">
        <v>1758.333381652832</v>
      </c>
      <c r="K10" s="12">
        <v>5695</v>
      </c>
      <c r="L10" s="13">
        <f t="shared" si="3"/>
        <v>0.60245829675153639</v>
      </c>
      <c r="M10" s="13">
        <f t="shared" si="4"/>
        <v>0.51248422665486215</v>
      </c>
      <c r="N10" s="13">
        <f t="shared" si="5"/>
        <v>0.30875037430251656</v>
      </c>
      <c r="O10" s="5">
        <f t="shared" si="6"/>
        <v>0.96707646653080614</v>
      </c>
      <c r="Q10" s="16"/>
      <c r="R10" s="17">
        <f>R3</f>
        <v>1.031307444945311</v>
      </c>
      <c r="T10" s="8">
        <v>9</v>
      </c>
      <c r="U10" s="1" t="s">
        <v>36</v>
      </c>
      <c r="V10" s="12">
        <v>9889</v>
      </c>
      <c r="W10" s="12">
        <v>4427.000113338232</v>
      </c>
      <c r="X10" s="12">
        <v>23760</v>
      </c>
      <c r="Y10" s="14">
        <f t="shared" si="7"/>
        <v>0.41620370370370369</v>
      </c>
      <c r="Z10" s="14">
        <f t="shared" si="8"/>
        <v>0.44766913877421699</v>
      </c>
      <c r="AA10" s="14">
        <f t="shared" si="9"/>
        <v>0.1863215535916764</v>
      </c>
      <c r="AB10" s="12">
        <v>43303</v>
      </c>
      <c r="AC10" s="12">
        <v>20235.333865553141</v>
      </c>
      <c r="AD10" s="12">
        <v>80037</v>
      </c>
      <c r="AE10" s="15">
        <f t="shared" si="10"/>
        <v>0.54103727026250359</v>
      </c>
      <c r="AF10" s="15">
        <f t="shared" si="11"/>
        <v>0.46729635049657392</v>
      </c>
      <c r="AG10" s="15">
        <f t="shared" si="12"/>
        <v>0.25282474187629644</v>
      </c>
      <c r="AH10" s="5">
        <f t="shared" si="13"/>
        <v>0.7369593347902671</v>
      </c>
    </row>
    <row r="11" spans="1:36" ht="14.4">
      <c r="A11" s="8">
        <v>10401</v>
      </c>
      <c r="B11" s="9" t="s">
        <v>37</v>
      </c>
      <c r="C11" s="10">
        <v>1428</v>
      </c>
      <c r="D11" s="10">
        <v>721.22224172949791</v>
      </c>
      <c r="E11" s="10">
        <v>2953</v>
      </c>
      <c r="F11" s="11">
        <f t="shared" si="0"/>
        <v>0.48357602438198444</v>
      </c>
      <c r="G11" s="11">
        <f t="shared" si="1"/>
        <v>0.50505759224754754</v>
      </c>
      <c r="H11" s="11">
        <f t="shared" si="2"/>
        <v>0.24423374254300639</v>
      </c>
      <c r="I11" s="12">
        <v>4637</v>
      </c>
      <c r="J11" s="12">
        <v>2420.2222923636436</v>
      </c>
      <c r="K11" s="12">
        <v>7099</v>
      </c>
      <c r="L11" s="13">
        <f t="shared" si="3"/>
        <v>0.65319059022397519</v>
      </c>
      <c r="M11" s="13">
        <f t="shared" si="4"/>
        <v>0.52193709130119548</v>
      </c>
      <c r="N11" s="13">
        <f t="shared" si="5"/>
        <v>0.34092439672681268</v>
      </c>
      <c r="O11" s="5">
        <f t="shared" si="6"/>
        <v>0.71638681446055086</v>
      </c>
      <c r="Q11" s="19"/>
      <c r="R11" s="17">
        <f>R3+R5</f>
        <v>1.2102091405016684</v>
      </c>
      <c r="T11" s="1">
        <v>10</v>
      </c>
      <c r="U11" s="1" t="s">
        <v>38</v>
      </c>
      <c r="V11" s="12">
        <v>7586</v>
      </c>
      <c r="W11" s="12">
        <v>3134.3334138393402</v>
      </c>
      <c r="X11" s="12">
        <v>41540</v>
      </c>
      <c r="Y11" s="15">
        <v>0.18261916225324987</v>
      </c>
      <c r="Z11" s="15">
        <v>0.41317340018973636</v>
      </c>
      <c r="AA11" s="15">
        <v>7.54533802079764E-2</v>
      </c>
      <c r="AB11" s="12">
        <v>19135</v>
      </c>
      <c r="AC11" s="12">
        <v>8027.4446521699429</v>
      </c>
      <c r="AD11" s="12">
        <v>97062</v>
      </c>
      <c r="AE11" s="13">
        <v>0.19714203292740723</v>
      </c>
      <c r="AF11" s="13">
        <v>0.41951631315233567</v>
      </c>
      <c r="AG11" s="13">
        <v>8.2704298821062242E-2</v>
      </c>
      <c r="AH11" s="5">
        <f t="shared" si="13"/>
        <v>0.9123271859329366</v>
      </c>
    </row>
    <row r="12" spans="1:36" ht="14.4">
      <c r="A12" s="8">
        <v>10402</v>
      </c>
      <c r="B12" s="9" t="s">
        <v>39</v>
      </c>
      <c r="C12" s="10">
        <v>1134</v>
      </c>
      <c r="D12" s="10">
        <v>535.77779218554497</v>
      </c>
      <c r="E12" s="10">
        <v>1959</v>
      </c>
      <c r="F12" s="11">
        <f t="shared" si="0"/>
        <v>0.57886676875957122</v>
      </c>
      <c r="G12" s="11">
        <f t="shared" si="1"/>
        <v>0.47246718887614192</v>
      </c>
      <c r="H12" s="11">
        <f t="shared" si="2"/>
        <v>0.27349555496965028</v>
      </c>
      <c r="I12" s="12">
        <v>4274</v>
      </c>
      <c r="J12" s="12">
        <v>2093.2222805917263</v>
      </c>
      <c r="K12" s="12">
        <v>6300</v>
      </c>
      <c r="L12" s="13">
        <f t="shared" si="3"/>
        <v>0.67841269841269847</v>
      </c>
      <c r="M12" s="13">
        <f t="shared" si="4"/>
        <v>0.48975720182305249</v>
      </c>
      <c r="N12" s="13">
        <f t="shared" si="5"/>
        <v>0.33225750485582961</v>
      </c>
      <c r="O12" s="5">
        <f t="shared" si="6"/>
        <v>0.82314334807372724</v>
      </c>
      <c r="Q12" s="19"/>
      <c r="R12" s="19"/>
      <c r="T12" s="1">
        <v>11</v>
      </c>
      <c r="U12" s="1" t="s">
        <v>40</v>
      </c>
      <c r="V12" s="12">
        <v>920886</v>
      </c>
      <c r="W12" s="12">
        <v>401400.78813257813</v>
      </c>
      <c r="X12" s="12">
        <v>3155610</v>
      </c>
      <c r="Y12" s="11">
        <v>0.29182503541312138</v>
      </c>
      <c r="Z12" s="11">
        <v>0.43588542787335038</v>
      </c>
      <c r="AA12" s="11">
        <v>0.12720228042520404</v>
      </c>
      <c r="AB12" s="12">
        <v>2028724</v>
      </c>
      <c r="AC12" s="12">
        <v>904132.8009724617</v>
      </c>
      <c r="AD12" s="12">
        <v>6634409</v>
      </c>
      <c r="AE12" s="5">
        <v>0.3057882020840138</v>
      </c>
      <c r="AF12" s="5">
        <v>0.44566574899910572</v>
      </c>
      <c r="AG12" s="5">
        <v>0.13627932811686191</v>
      </c>
      <c r="AH12" s="5">
        <f t="shared" si="13"/>
        <v>0.93339380361580482</v>
      </c>
    </row>
    <row r="13" spans="1:36" ht="14.4">
      <c r="A13" s="8">
        <v>10403</v>
      </c>
      <c r="B13" s="9" t="s">
        <v>41</v>
      </c>
      <c r="C13" s="10">
        <v>1343</v>
      </c>
      <c r="D13" s="10">
        <v>707.66668757796288</v>
      </c>
      <c r="E13" s="10">
        <v>2172</v>
      </c>
      <c r="F13" s="11">
        <f t="shared" si="0"/>
        <v>0.61832412523020253</v>
      </c>
      <c r="G13" s="11">
        <f t="shared" si="1"/>
        <v>0.52692977481605574</v>
      </c>
      <c r="H13" s="11">
        <f t="shared" si="2"/>
        <v>0.32581339207088528</v>
      </c>
      <c r="I13" s="12">
        <v>3617</v>
      </c>
      <c r="J13" s="12">
        <v>1968.1111684143543</v>
      </c>
      <c r="K13" s="12">
        <v>4953</v>
      </c>
      <c r="L13" s="13">
        <f t="shared" si="3"/>
        <v>0.73026448616999795</v>
      </c>
      <c r="M13" s="13">
        <f t="shared" si="4"/>
        <v>0.54412805319722268</v>
      </c>
      <c r="N13" s="13">
        <f t="shared" si="5"/>
        <v>0.39735739317875113</v>
      </c>
      <c r="O13" s="5">
        <f t="shared" si="6"/>
        <v>0.8199504971191468</v>
      </c>
      <c r="Q13" s="16"/>
      <c r="R13" s="19"/>
      <c r="AH13" s="20"/>
    </row>
    <row r="14" spans="1:36" ht="14.4">
      <c r="A14" s="8">
        <v>10404</v>
      </c>
      <c r="B14" s="9" t="s">
        <v>42</v>
      </c>
      <c r="C14" s="10">
        <v>710</v>
      </c>
      <c r="D14" s="10">
        <v>329.55556407570839</v>
      </c>
      <c r="E14" s="10">
        <v>1564</v>
      </c>
      <c r="F14" s="11">
        <f t="shared" si="0"/>
        <v>0.45396419437340152</v>
      </c>
      <c r="G14" s="11">
        <f t="shared" si="1"/>
        <v>0.46416276630381464</v>
      </c>
      <c r="H14" s="11">
        <f t="shared" si="2"/>
        <v>0.21071327626324066</v>
      </c>
      <c r="I14" s="12">
        <v>2078</v>
      </c>
      <c r="J14" s="12">
        <v>1010.3333601653576</v>
      </c>
      <c r="K14" s="12">
        <v>3252</v>
      </c>
      <c r="L14" s="13">
        <f t="shared" si="3"/>
        <v>0.63899138991389914</v>
      </c>
      <c r="M14" s="13">
        <f t="shared" si="4"/>
        <v>0.48620469690344448</v>
      </c>
      <c r="N14" s="13">
        <f t="shared" si="5"/>
        <v>0.31068061505699807</v>
      </c>
      <c r="O14" s="5">
        <f t="shared" si="6"/>
        <v>0.67823116747912571</v>
      </c>
      <c r="Q14" s="16" t="s">
        <v>43</v>
      </c>
      <c r="R14" s="21">
        <f>MAX(O2:O340)</f>
        <v>2.2413143161151692</v>
      </c>
      <c r="AH14" s="20"/>
    </row>
    <row r="15" spans="1:36" ht="14.4">
      <c r="A15" s="8">
        <v>10405</v>
      </c>
      <c r="B15" s="9" t="s">
        <v>44</v>
      </c>
      <c r="C15" s="10">
        <v>698</v>
      </c>
      <c r="D15" s="10">
        <v>350.66667640209198</v>
      </c>
      <c r="E15" s="10">
        <v>1164</v>
      </c>
      <c r="F15" s="11">
        <f t="shared" si="0"/>
        <v>0.59965635738831613</v>
      </c>
      <c r="G15" s="11">
        <f t="shared" si="1"/>
        <v>0.50238778854167909</v>
      </c>
      <c r="H15" s="11">
        <f t="shared" si="2"/>
        <v>0.30126003127327489</v>
      </c>
      <c r="I15" s="12">
        <v>2221</v>
      </c>
      <c r="J15" s="12">
        <v>1101.5555859208107</v>
      </c>
      <c r="K15" s="12">
        <v>3119</v>
      </c>
      <c r="L15" s="13">
        <f t="shared" si="3"/>
        <v>0.71208720743828147</v>
      </c>
      <c r="M15" s="13">
        <f t="shared" si="4"/>
        <v>0.4959727987036518</v>
      </c>
      <c r="N15" s="13">
        <f t="shared" si="5"/>
        <v>0.35317588519423232</v>
      </c>
      <c r="O15" s="5">
        <f t="shared" si="6"/>
        <v>0.85300283485548334</v>
      </c>
      <c r="Q15" s="16" t="s">
        <v>45</v>
      </c>
      <c r="R15" s="21">
        <f>MIN(O2:O340)</f>
        <v>0.571606694437095</v>
      </c>
      <c r="AH15" s="20"/>
    </row>
    <row r="16" spans="1:36" ht="14.4">
      <c r="A16" s="8">
        <v>10501</v>
      </c>
      <c r="B16" s="9" t="s">
        <v>46</v>
      </c>
      <c r="C16" s="10">
        <v>2945</v>
      </c>
      <c r="D16" s="10">
        <v>1422.0000402331352</v>
      </c>
      <c r="E16" s="10">
        <v>7492</v>
      </c>
      <c r="F16" s="11">
        <f t="shared" si="0"/>
        <v>0.3930859583555793</v>
      </c>
      <c r="G16" s="11">
        <f t="shared" si="1"/>
        <v>0.48285230568187953</v>
      </c>
      <c r="H16" s="11">
        <f t="shared" si="2"/>
        <v>0.18980246132316275</v>
      </c>
      <c r="I16" s="12">
        <v>7148</v>
      </c>
      <c r="J16" s="12">
        <v>3505.7778732180595</v>
      </c>
      <c r="K16" s="12">
        <v>15719</v>
      </c>
      <c r="L16" s="13">
        <f t="shared" si="3"/>
        <v>0.45473630638081303</v>
      </c>
      <c r="M16" s="13">
        <f t="shared" si="4"/>
        <v>0.49045577409318125</v>
      </c>
      <c r="N16" s="13">
        <f t="shared" si="5"/>
        <v>0.22302804715427568</v>
      </c>
      <c r="O16" s="5">
        <f t="shared" si="6"/>
        <v>0.85102507843719888</v>
      </c>
      <c r="AH16" s="20"/>
    </row>
    <row r="17" spans="1:34" ht="14.4">
      <c r="A17" s="8">
        <v>10502</v>
      </c>
      <c r="B17" s="9" t="s">
        <v>47</v>
      </c>
      <c r="C17" s="10">
        <v>1800</v>
      </c>
      <c r="D17" s="10">
        <v>896.55558049678802</v>
      </c>
      <c r="E17" s="10">
        <v>2695</v>
      </c>
      <c r="F17" s="11">
        <f t="shared" si="0"/>
        <v>0.66790352504638217</v>
      </c>
      <c r="G17" s="11">
        <f t="shared" si="1"/>
        <v>0.4980864336093267</v>
      </c>
      <c r="H17" s="11">
        <f t="shared" si="2"/>
        <v>0.33267368478545012</v>
      </c>
      <c r="I17" s="12">
        <v>3674</v>
      </c>
      <c r="J17" s="12">
        <v>1871.3333839178085</v>
      </c>
      <c r="K17" s="12">
        <v>5278</v>
      </c>
      <c r="L17" s="13">
        <f t="shared" si="3"/>
        <v>0.69609700644183403</v>
      </c>
      <c r="M17" s="13">
        <f t="shared" si="4"/>
        <v>0.5093449602389245</v>
      </c>
      <c r="N17" s="13">
        <f t="shared" si="5"/>
        <v>0.35455350206855035</v>
      </c>
      <c r="O17" s="5">
        <f t="shared" si="6"/>
        <v>0.93828909556541362</v>
      </c>
      <c r="AH17" s="20"/>
    </row>
    <row r="18" spans="1:34" ht="14.4">
      <c r="A18" s="8">
        <v>10601</v>
      </c>
      <c r="B18" s="9" t="s">
        <v>48</v>
      </c>
      <c r="C18" s="10">
        <v>2424</v>
      </c>
      <c r="D18" s="10">
        <v>1202.5555893480778</v>
      </c>
      <c r="E18" s="10">
        <v>4046</v>
      </c>
      <c r="F18" s="11">
        <f t="shared" si="0"/>
        <v>0.59911023232822536</v>
      </c>
      <c r="G18" s="11">
        <f t="shared" si="1"/>
        <v>0.49610379098518059</v>
      </c>
      <c r="H18" s="11">
        <f t="shared" si="2"/>
        <v>0.29722085747604488</v>
      </c>
      <c r="I18" s="12">
        <v>9012</v>
      </c>
      <c r="J18" s="12">
        <v>4619.5556818842888</v>
      </c>
      <c r="K18" s="12">
        <v>12580</v>
      </c>
      <c r="L18" s="13">
        <f t="shared" si="3"/>
        <v>0.71637519872813993</v>
      </c>
      <c r="M18" s="13">
        <f t="shared" si="4"/>
        <v>0.51260049732404445</v>
      </c>
      <c r="N18" s="13">
        <f t="shared" si="5"/>
        <v>0.36721428313865567</v>
      </c>
      <c r="O18" s="5">
        <f t="shared" si="6"/>
        <v>0.80939350979389291</v>
      </c>
      <c r="AH18" s="20"/>
    </row>
    <row r="19" spans="1:34" ht="14.4">
      <c r="A19" s="8">
        <v>10602</v>
      </c>
      <c r="B19" s="9" t="s">
        <v>49</v>
      </c>
      <c r="C19" s="10">
        <v>1689</v>
      </c>
      <c r="D19" s="10">
        <v>836.0000239610672</v>
      </c>
      <c r="E19" s="10">
        <v>2592</v>
      </c>
      <c r="F19" s="11">
        <f t="shared" si="0"/>
        <v>0.65162037037037035</v>
      </c>
      <c r="G19" s="11">
        <f t="shared" si="1"/>
        <v>0.49496745053941221</v>
      </c>
      <c r="H19" s="11">
        <f t="shared" si="2"/>
        <v>0.32253087344176973</v>
      </c>
      <c r="I19" s="12">
        <v>4543</v>
      </c>
      <c r="J19" s="12">
        <v>2294.1111762821674</v>
      </c>
      <c r="K19" s="12">
        <v>7238</v>
      </c>
      <c r="L19" s="13">
        <f t="shared" si="3"/>
        <v>0.62765957446808507</v>
      </c>
      <c r="M19" s="13">
        <f t="shared" si="4"/>
        <v>0.5049771464411551</v>
      </c>
      <c r="N19" s="13">
        <f t="shared" si="5"/>
        <v>0.3169537408513633</v>
      </c>
      <c r="O19" s="5">
        <f t="shared" si="6"/>
        <v>1.0175960459574505</v>
      </c>
      <c r="AH19" s="20"/>
    </row>
    <row r="20" spans="1:34" ht="14.4">
      <c r="A20" s="8">
        <v>10701</v>
      </c>
      <c r="B20" s="9" t="s">
        <v>50</v>
      </c>
      <c r="C20" s="10">
        <v>1703</v>
      </c>
      <c r="D20" s="10">
        <v>807.88891032338142</v>
      </c>
      <c r="E20" s="10">
        <v>4537</v>
      </c>
      <c r="F20" s="11">
        <f t="shared" si="0"/>
        <v>0.37535816618911177</v>
      </c>
      <c r="G20" s="11">
        <f t="shared" si="1"/>
        <v>0.47439160911531497</v>
      </c>
      <c r="H20" s="11">
        <f t="shared" si="2"/>
        <v>0.17806676445302655</v>
      </c>
      <c r="I20" s="12">
        <v>4493</v>
      </c>
      <c r="J20" s="12">
        <v>2152.1111685633659</v>
      </c>
      <c r="K20" s="12">
        <v>10411</v>
      </c>
      <c r="L20" s="13">
        <f t="shared" si="3"/>
        <v>0.43156277014695993</v>
      </c>
      <c r="M20" s="13">
        <f t="shared" si="4"/>
        <v>0.47899202505305272</v>
      </c>
      <c r="N20" s="13">
        <f t="shared" si="5"/>
        <v>0.20671512521019747</v>
      </c>
      <c r="O20" s="5">
        <f t="shared" si="6"/>
        <v>0.86141139537786626</v>
      </c>
      <c r="AH20" s="20"/>
    </row>
    <row r="21" spans="1:34" ht="15.75" customHeight="1">
      <c r="A21" s="8">
        <v>10702</v>
      </c>
      <c r="B21" s="9" t="s">
        <v>51</v>
      </c>
      <c r="C21" s="10">
        <v>5464</v>
      </c>
      <c r="D21" s="10">
        <v>2857.1111908257008</v>
      </c>
      <c r="E21" s="10">
        <v>8294</v>
      </c>
      <c r="F21" s="11">
        <f t="shared" si="0"/>
        <v>0.65878948637569323</v>
      </c>
      <c r="G21" s="11">
        <f t="shared" si="1"/>
        <v>0.52289736288903743</v>
      </c>
      <c r="H21" s="11">
        <f t="shared" si="2"/>
        <v>0.34447928512487347</v>
      </c>
      <c r="I21" s="12">
        <v>17703</v>
      </c>
      <c r="J21" s="12">
        <v>9837.0002638697624</v>
      </c>
      <c r="K21" s="12">
        <v>23677</v>
      </c>
      <c r="L21" s="13">
        <f t="shared" si="3"/>
        <v>0.74768762934493394</v>
      </c>
      <c r="M21" s="13">
        <f t="shared" si="4"/>
        <v>0.55566854566286861</v>
      </c>
      <c r="N21" s="13">
        <f t="shared" si="5"/>
        <v>0.41546649760821741</v>
      </c>
      <c r="O21" s="5">
        <f t="shared" si="6"/>
        <v>0.8291385397089599</v>
      </c>
      <c r="AH21" s="20"/>
    </row>
    <row r="22" spans="1:34" ht="15.75" customHeight="1">
      <c r="A22" s="8">
        <v>10703</v>
      </c>
      <c r="B22" s="9" t="s">
        <v>52</v>
      </c>
      <c r="C22" s="10">
        <v>2392</v>
      </c>
      <c r="D22" s="10">
        <v>1413.0000363886356</v>
      </c>
      <c r="E22" s="10">
        <v>3181</v>
      </c>
      <c r="F22" s="11">
        <f t="shared" si="0"/>
        <v>0.75196479094624336</v>
      </c>
      <c r="G22" s="11">
        <f t="shared" si="1"/>
        <v>0.59071907875779084</v>
      </c>
      <c r="H22" s="11">
        <f t="shared" si="2"/>
        <v>0.44419994856605965</v>
      </c>
      <c r="I22" s="12">
        <v>7715</v>
      </c>
      <c r="J22" s="12">
        <v>4516.8889993131161</v>
      </c>
      <c r="K22" s="12">
        <v>9621</v>
      </c>
      <c r="L22" s="13">
        <f t="shared" si="3"/>
        <v>0.80189169524997406</v>
      </c>
      <c r="M22" s="13">
        <f t="shared" si="4"/>
        <v>0.58546843801855042</v>
      </c>
      <c r="N22" s="13">
        <f t="shared" si="5"/>
        <v>0.46948227827804978</v>
      </c>
      <c r="O22" s="5">
        <f t="shared" si="6"/>
        <v>0.9461484897689435</v>
      </c>
      <c r="AH22" s="20"/>
    </row>
    <row r="23" spans="1:34" ht="15.75" customHeight="1">
      <c r="A23" s="8">
        <v>10704</v>
      </c>
      <c r="B23" s="9" t="s">
        <v>53</v>
      </c>
      <c r="C23" s="10">
        <v>2264</v>
      </c>
      <c r="D23" s="10">
        <v>1194.4444753825665</v>
      </c>
      <c r="E23" s="10">
        <v>3264</v>
      </c>
      <c r="F23" s="11">
        <f t="shared" si="0"/>
        <v>0.69362745098039214</v>
      </c>
      <c r="G23" s="11">
        <f t="shared" si="1"/>
        <v>0.52758148205943745</v>
      </c>
      <c r="H23" s="11">
        <f t="shared" si="2"/>
        <v>0.36594499858534507</v>
      </c>
      <c r="I23" s="12">
        <v>9288</v>
      </c>
      <c r="J23" s="12">
        <v>5135.1112484037876</v>
      </c>
      <c r="K23" s="12">
        <v>12369</v>
      </c>
      <c r="L23" s="13">
        <f t="shared" si="3"/>
        <v>0.7509095318942518</v>
      </c>
      <c r="M23" s="13">
        <f t="shared" si="4"/>
        <v>0.5528758880710366</v>
      </c>
      <c r="N23" s="13">
        <f t="shared" si="5"/>
        <v>0.41515977430704087</v>
      </c>
      <c r="O23" s="5">
        <f t="shared" si="6"/>
        <v>0.88145581829587882</v>
      </c>
      <c r="AH23" s="20"/>
    </row>
    <row r="24" spans="1:34" ht="15.75" customHeight="1">
      <c r="A24" s="8">
        <v>10801</v>
      </c>
      <c r="B24" s="9" t="s">
        <v>54</v>
      </c>
      <c r="C24" s="10">
        <v>1236</v>
      </c>
      <c r="D24" s="10">
        <v>614.00001668930054</v>
      </c>
      <c r="E24" s="10">
        <v>2741</v>
      </c>
      <c r="F24" s="11">
        <f t="shared" si="0"/>
        <v>0.45093031740240785</v>
      </c>
      <c r="G24" s="11">
        <f t="shared" si="1"/>
        <v>0.4967637675479778</v>
      </c>
      <c r="H24" s="11">
        <f t="shared" si="2"/>
        <v>0.22400584337442558</v>
      </c>
      <c r="I24" s="12">
        <v>4601</v>
      </c>
      <c r="J24" s="12">
        <v>2285.6667291522026</v>
      </c>
      <c r="K24" s="12">
        <v>8083</v>
      </c>
      <c r="L24" s="13">
        <f t="shared" si="3"/>
        <v>0.56921934925151552</v>
      </c>
      <c r="M24" s="13">
        <f t="shared" si="4"/>
        <v>0.49677607675553198</v>
      </c>
      <c r="N24" s="13">
        <f t="shared" si="5"/>
        <v>0.28277455513450483</v>
      </c>
      <c r="O24" s="5">
        <f t="shared" si="6"/>
        <v>0.79217114590764626</v>
      </c>
      <c r="AH24" s="20"/>
    </row>
    <row r="25" spans="1:34" ht="15.75" customHeight="1">
      <c r="A25" s="8">
        <v>10901</v>
      </c>
      <c r="B25" s="9" t="s">
        <v>55</v>
      </c>
      <c r="C25" s="10">
        <v>655</v>
      </c>
      <c r="D25" s="10">
        <v>320.11111971735954</v>
      </c>
      <c r="E25" s="10">
        <v>1089</v>
      </c>
      <c r="F25" s="11">
        <f t="shared" si="0"/>
        <v>0.6014692378328742</v>
      </c>
      <c r="G25" s="11">
        <f t="shared" si="1"/>
        <v>0.48871926674406035</v>
      </c>
      <c r="H25" s="11">
        <f t="shared" si="2"/>
        <v>0.29394960488279115</v>
      </c>
      <c r="I25" s="12">
        <v>1392</v>
      </c>
      <c r="J25" s="12">
        <v>670.44446271657944</v>
      </c>
      <c r="K25" s="12">
        <v>2281</v>
      </c>
      <c r="L25" s="13">
        <f t="shared" si="3"/>
        <v>0.61025865848312144</v>
      </c>
      <c r="M25" s="13">
        <f t="shared" si="4"/>
        <v>0.48164113700903693</v>
      </c>
      <c r="N25" s="13">
        <f t="shared" si="5"/>
        <v>0.29392567414142018</v>
      </c>
      <c r="O25" s="5">
        <f t="shared" si="6"/>
        <v>1.0000814176626145</v>
      </c>
      <c r="AH25" s="20"/>
    </row>
    <row r="26" spans="1:34" ht="15.75" customHeight="1">
      <c r="A26" s="8">
        <v>10902</v>
      </c>
      <c r="B26" s="9" t="s">
        <v>56</v>
      </c>
      <c r="C26" s="10">
        <v>2403</v>
      </c>
      <c r="D26" s="10">
        <v>1243.6667003035545</v>
      </c>
      <c r="E26" s="10">
        <v>3809</v>
      </c>
      <c r="F26" s="11">
        <f t="shared" si="0"/>
        <v>0.63087424520871616</v>
      </c>
      <c r="G26" s="11">
        <f t="shared" si="1"/>
        <v>0.51754752405474591</v>
      </c>
      <c r="H26" s="11">
        <f t="shared" si="2"/>
        <v>0.32650740359767771</v>
      </c>
      <c r="I26" s="12">
        <v>9245</v>
      </c>
      <c r="J26" s="12">
        <v>4987.2223525643349</v>
      </c>
      <c r="K26" s="12">
        <v>13650</v>
      </c>
      <c r="L26" s="13">
        <f t="shared" si="3"/>
        <v>0.67728937728937733</v>
      </c>
      <c r="M26" s="13">
        <f t="shared" si="4"/>
        <v>0.53945076826006866</v>
      </c>
      <c r="N26" s="13">
        <f t="shared" si="5"/>
        <v>0.36536427491313811</v>
      </c>
      <c r="O26" s="5">
        <f t="shared" si="6"/>
        <v>0.89364895808519251</v>
      </c>
      <c r="AH26" s="20"/>
    </row>
    <row r="27" spans="1:34" ht="15.75" customHeight="1">
      <c r="A27" s="8">
        <v>10903</v>
      </c>
      <c r="B27" s="9" t="s">
        <v>57</v>
      </c>
      <c r="C27" s="10">
        <v>675</v>
      </c>
      <c r="D27" s="10">
        <v>305.88889721035957</v>
      </c>
      <c r="E27" s="10">
        <v>1345</v>
      </c>
      <c r="F27" s="11">
        <f t="shared" si="0"/>
        <v>0.5018587360594795</v>
      </c>
      <c r="G27" s="11">
        <f t="shared" si="1"/>
        <v>0.4531687366079401</v>
      </c>
      <c r="H27" s="11">
        <f t="shared" si="2"/>
        <v>0.22742668937573199</v>
      </c>
      <c r="I27" s="12">
        <v>1229</v>
      </c>
      <c r="J27" s="12">
        <v>571.66668185591698</v>
      </c>
      <c r="K27" s="12">
        <v>2584</v>
      </c>
      <c r="L27" s="13">
        <f t="shared" si="3"/>
        <v>0.47561919504643962</v>
      </c>
      <c r="M27" s="13">
        <f t="shared" si="4"/>
        <v>0.46514782901213747</v>
      </c>
      <c r="N27" s="13">
        <f t="shared" si="5"/>
        <v>0.22123323601235176</v>
      </c>
      <c r="O27" s="5">
        <f t="shared" si="6"/>
        <v>1.0279951307272586</v>
      </c>
      <c r="AH27" s="20"/>
    </row>
    <row r="28" spans="1:34" ht="15.75" customHeight="1">
      <c r="A28" s="8">
        <v>11001</v>
      </c>
      <c r="B28" s="9" t="s">
        <v>58</v>
      </c>
      <c r="C28" s="10">
        <v>1089</v>
      </c>
      <c r="D28" s="10">
        <v>507.55556908249855</v>
      </c>
      <c r="E28" s="10">
        <v>2570</v>
      </c>
      <c r="F28" s="11">
        <f t="shared" si="0"/>
        <v>0.42373540856031128</v>
      </c>
      <c r="G28" s="11">
        <f t="shared" si="1"/>
        <v>0.4660749027387498</v>
      </c>
      <c r="H28" s="11">
        <f t="shared" si="2"/>
        <v>0.19749243933171148</v>
      </c>
      <c r="I28" s="12">
        <v>3886</v>
      </c>
      <c r="J28" s="12">
        <v>1921.1111652255058</v>
      </c>
      <c r="K28" s="12">
        <v>6726</v>
      </c>
      <c r="L28" s="13">
        <f t="shared" si="3"/>
        <v>0.57775795420755283</v>
      </c>
      <c r="M28" s="13">
        <f t="shared" si="4"/>
        <v>0.49436725816405191</v>
      </c>
      <c r="N28" s="13">
        <f t="shared" si="5"/>
        <v>0.28562461570405973</v>
      </c>
      <c r="O28" s="5">
        <f t="shared" si="6"/>
        <v>0.69144054284290601</v>
      </c>
      <c r="AH28" s="20"/>
    </row>
    <row r="29" spans="1:34" ht="15.75" customHeight="1">
      <c r="A29" s="8">
        <v>11002</v>
      </c>
      <c r="B29" s="9" t="s">
        <v>59</v>
      </c>
      <c r="C29" s="10">
        <v>327</v>
      </c>
      <c r="D29" s="10">
        <v>150.22222569584846</v>
      </c>
      <c r="E29" s="10">
        <v>565</v>
      </c>
      <c r="F29" s="11">
        <f t="shared" si="0"/>
        <v>0.57876106194690269</v>
      </c>
      <c r="G29" s="11">
        <f t="shared" si="1"/>
        <v>0.4593951856142155</v>
      </c>
      <c r="H29" s="11">
        <f t="shared" si="2"/>
        <v>0.26588004547937782</v>
      </c>
      <c r="I29" s="12">
        <v>1231</v>
      </c>
      <c r="J29" s="12">
        <v>574.00001445412636</v>
      </c>
      <c r="K29" s="12">
        <v>1862</v>
      </c>
      <c r="L29" s="13">
        <f t="shared" si="3"/>
        <v>0.66111707841031153</v>
      </c>
      <c r="M29" s="13">
        <f t="shared" si="4"/>
        <v>0.46628758282219851</v>
      </c>
      <c r="N29" s="13">
        <f t="shared" si="5"/>
        <v>0.30827068445441802</v>
      </c>
      <c r="O29" s="5">
        <f t="shared" si="6"/>
        <v>0.86248890629978725</v>
      </c>
      <c r="AH29" s="20"/>
    </row>
    <row r="30" spans="1:34" ht="15.75" customHeight="1">
      <c r="A30" s="8">
        <v>11003</v>
      </c>
      <c r="B30" s="9" t="s">
        <v>60</v>
      </c>
      <c r="C30" s="10">
        <v>800</v>
      </c>
      <c r="D30" s="10">
        <v>374.33334356546402</v>
      </c>
      <c r="E30" s="10">
        <v>1798</v>
      </c>
      <c r="F30" s="11">
        <f t="shared" si="0"/>
        <v>0.44493882091212456</v>
      </c>
      <c r="G30" s="11">
        <f t="shared" si="1"/>
        <v>0.46791667945683002</v>
      </c>
      <c r="H30" s="11">
        <f t="shared" si="2"/>
        <v>0.20819429564263847</v>
      </c>
      <c r="I30" s="12">
        <v>2500</v>
      </c>
      <c r="J30" s="12">
        <v>1162.777809470892</v>
      </c>
      <c r="K30" s="12">
        <v>4922</v>
      </c>
      <c r="L30" s="13">
        <f t="shared" si="3"/>
        <v>0.50792360828931327</v>
      </c>
      <c r="M30" s="13">
        <f t="shared" si="4"/>
        <v>0.46511112378835678</v>
      </c>
      <c r="N30" s="13">
        <f t="shared" si="5"/>
        <v>0.23624092025007962</v>
      </c>
      <c r="O30" s="5">
        <f t="shared" si="6"/>
        <v>0.88127956588658907</v>
      </c>
      <c r="AH30" s="20"/>
    </row>
    <row r="31" spans="1:34" ht="15.75" customHeight="1">
      <c r="A31" s="8">
        <v>20101</v>
      </c>
      <c r="B31" s="9" t="s">
        <v>61</v>
      </c>
      <c r="C31" s="10">
        <v>12473</v>
      </c>
      <c r="D31" s="10">
        <v>4860.5556782782078</v>
      </c>
      <c r="E31" s="10">
        <v>252635</v>
      </c>
      <c r="F31" s="11">
        <f t="shared" si="0"/>
        <v>4.9371623092603956E-2</v>
      </c>
      <c r="G31" s="11">
        <f t="shared" si="1"/>
        <v>0.38968617640328773</v>
      </c>
      <c r="H31" s="11">
        <f t="shared" si="2"/>
        <v>1.92394390257811E-2</v>
      </c>
      <c r="I31" s="12">
        <v>21224</v>
      </c>
      <c r="J31" s="12">
        <v>8287.5557642281055</v>
      </c>
      <c r="K31" s="12">
        <v>494381</v>
      </c>
      <c r="L31" s="13">
        <f t="shared" si="3"/>
        <v>4.2930452424344789E-2</v>
      </c>
      <c r="M31" s="13">
        <f t="shared" si="4"/>
        <v>0.39048038843894201</v>
      </c>
      <c r="N31" s="13">
        <f t="shared" si="5"/>
        <v>1.6763499738517672E-2</v>
      </c>
      <c r="O31" s="5">
        <f t="shared" si="6"/>
        <v>1.1476982328203482</v>
      </c>
      <c r="AH31" s="20"/>
    </row>
    <row r="32" spans="1:34" ht="15.75" customHeight="1">
      <c r="A32" s="8">
        <v>20102</v>
      </c>
      <c r="B32" s="9" t="s">
        <v>62</v>
      </c>
      <c r="C32" s="10">
        <v>2071</v>
      </c>
      <c r="D32" s="10">
        <v>912.00002294778824</v>
      </c>
      <c r="E32" s="10">
        <v>3721</v>
      </c>
      <c r="F32" s="11">
        <f t="shared" si="0"/>
        <v>0.55657081429723188</v>
      </c>
      <c r="G32" s="11">
        <f t="shared" si="1"/>
        <v>0.44036698355759935</v>
      </c>
      <c r="H32" s="11">
        <f t="shared" si="2"/>
        <v>0.24509541062826878</v>
      </c>
      <c r="I32" s="12">
        <v>6409</v>
      </c>
      <c r="J32" s="12">
        <v>2751.7778465151787</v>
      </c>
      <c r="K32" s="12">
        <v>12733</v>
      </c>
      <c r="L32" s="13">
        <f t="shared" si="3"/>
        <v>0.50333778371161553</v>
      </c>
      <c r="M32" s="13">
        <f t="shared" si="4"/>
        <v>0.42936149891015424</v>
      </c>
      <c r="N32" s="13">
        <f t="shared" si="5"/>
        <v>0.21611386527253426</v>
      </c>
      <c r="O32" s="5">
        <f t="shared" si="6"/>
        <v>1.1341031280856821</v>
      </c>
      <c r="AH32" s="20"/>
    </row>
    <row r="33" spans="1:34" ht="15.75" customHeight="1">
      <c r="A33" s="8">
        <v>20103</v>
      </c>
      <c r="B33" s="9" t="s">
        <v>63</v>
      </c>
      <c r="C33" s="10">
        <v>1505</v>
      </c>
      <c r="D33" s="10">
        <v>656.5555722117424</v>
      </c>
      <c r="E33" s="10">
        <v>3574</v>
      </c>
      <c r="F33" s="11">
        <f t="shared" si="0"/>
        <v>0.42109681029658647</v>
      </c>
      <c r="G33" s="11">
        <f t="shared" si="1"/>
        <v>0.43624954964235374</v>
      </c>
      <c r="H33" s="11">
        <f t="shared" si="2"/>
        <v>0.18370329384771752</v>
      </c>
      <c r="I33" s="12">
        <v>4635</v>
      </c>
      <c r="J33" s="12">
        <v>1975.2222727239132</v>
      </c>
      <c r="K33" s="12">
        <v>12143</v>
      </c>
      <c r="L33" s="13">
        <f t="shared" si="3"/>
        <v>0.3817013917483324</v>
      </c>
      <c r="M33" s="13">
        <f t="shared" si="4"/>
        <v>0.42615367264809345</v>
      </c>
      <c r="N33" s="13">
        <f t="shared" si="5"/>
        <v>0.16266344994844054</v>
      </c>
      <c r="O33" s="5">
        <f t="shared" si="6"/>
        <v>1.1293458604618678</v>
      </c>
      <c r="AH33" s="20"/>
    </row>
    <row r="34" spans="1:34" ht="15.75" customHeight="1">
      <c r="A34" s="8">
        <v>20104</v>
      </c>
      <c r="B34" s="9" t="s">
        <v>64</v>
      </c>
      <c r="C34" s="10">
        <v>3840</v>
      </c>
      <c r="D34" s="10">
        <v>1615.3333739042282</v>
      </c>
      <c r="E34" s="10">
        <v>7069</v>
      </c>
      <c r="F34" s="11">
        <f t="shared" si="0"/>
        <v>0.54321686235676903</v>
      </c>
      <c r="G34" s="11">
        <f t="shared" si="1"/>
        <v>0.42065973278755942</v>
      </c>
      <c r="H34" s="11">
        <f t="shared" si="2"/>
        <v>0.22850946016469489</v>
      </c>
      <c r="I34" s="12">
        <v>6593</v>
      </c>
      <c r="J34" s="12">
        <v>2706.8889544606209</v>
      </c>
      <c r="K34" s="12">
        <v>15088</v>
      </c>
      <c r="L34" s="13">
        <f t="shared" si="3"/>
        <v>0.43696977730646874</v>
      </c>
      <c r="M34" s="13">
        <f t="shared" si="4"/>
        <v>0.41057014325202806</v>
      </c>
      <c r="N34" s="13">
        <f t="shared" si="5"/>
        <v>0.17940674406552368</v>
      </c>
      <c r="O34" s="5">
        <f t="shared" si="6"/>
        <v>1.2736949291116821</v>
      </c>
      <c r="AH34" s="20"/>
    </row>
    <row r="35" spans="1:34" ht="15.75" customHeight="1">
      <c r="A35" s="8">
        <v>20105</v>
      </c>
      <c r="B35" s="9" t="s">
        <v>65</v>
      </c>
      <c r="C35" s="10">
        <v>46562</v>
      </c>
      <c r="D35" s="10">
        <v>18366.111573427916</v>
      </c>
      <c r="E35" s="10">
        <v>306650</v>
      </c>
      <c r="F35" s="11">
        <f t="shared" si="0"/>
        <v>0.15184086091635415</v>
      </c>
      <c r="G35" s="11">
        <f t="shared" si="1"/>
        <v>0.39444421574305044</v>
      </c>
      <c r="H35" s="11">
        <f t="shared" si="2"/>
        <v>5.9892749301900916E-2</v>
      </c>
      <c r="I35" s="12">
        <v>66887</v>
      </c>
      <c r="J35" s="12">
        <v>26165.445095896721</v>
      </c>
      <c r="K35" s="12">
        <v>529875</v>
      </c>
      <c r="L35" s="13">
        <f t="shared" si="3"/>
        <v>0.12623165841000236</v>
      </c>
      <c r="M35" s="13">
        <f t="shared" si="4"/>
        <v>0.39118879746283614</v>
      </c>
      <c r="N35" s="13">
        <f t="shared" si="5"/>
        <v>4.9380410655148331E-2</v>
      </c>
      <c r="O35" s="5">
        <f t="shared" si="6"/>
        <v>1.2128847959602091</v>
      </c>
      <c r="AH35" s="20"/>
    </row>
    <row r="36" spans="1:34" ht="15.75" customHeight="1">
      <c r="A36" s="8">
        <v>20201</v>
      </c>
      <c r="B36" s="9" t="s">
        <v>66</v>
      </c>
      <c r="C36" s="10">
        <v>5757</v>
      </c>
      <c r="D36" s="10">
        <v>2454.6667306125164</v>
      </c>
      <c r="E36" s="10">
        <v>13502</v>
      </c>
      <c r="F36" s="11">
        <f t="shared" si="0"/>
        <v>0.42638127684787441</v>
      </c>
      <c r="G36" s="11">
        <f t="shared" si="1"/>
        <v>0.42637949116076368</v>
      </c>
      <c r="H36" s="11">
        <f t="shared" si="2"/>
        <v>0.18180023186287339</v>
      </c>
      <c r="I36" s="12">
        <v>11711</v>
      </c>
      <c r="J36" s="12">
        <v>4922.3334546685219</v>
      </c>
      <c r="K36" s="12">
        <v>32020</v>
      </c>
      <c r="L36" s="13">
        <f t="shared" si="3"/>
        <v>0.36574016239850093</v>
      </c>
      <c r="M36" s="13">
        <f t="shared" si="4"/>
        <v>0.42031709116800631</v>
      </c>
      <c r="N36" s="13">
        <f t="shared" si="5"/>
        <v>0.15372684118265215</v>
      </c>
      <c r="O36" s="5">
        <f t="shared" si="6"/>
        <v>1.1826186660979103</v>
      </c>
      <c r="AH36" s="20"/>
    </row>
    <row r="37" spans="1:34" ht="15.75" customHeight="1">
      <c r="A37" s="8">
        <v>20202</v>
      </c>
      <c r="B37" s="9" t="s">
        <v>67</v>
      </c>
      <c r="C37" s="10">
        <v>2697</v>
      </c>
      <c r="D37" s="10">
        <v>1160.111141115427</v>
      </c>
      <c r="E37" s="10">
        <v>4339</v>
      </c>
      <c r="F37" s="11">
        <f t="shared" si="0"/>
        <v>0.62157179073519242</v>
      </c>
      <c r="G37" s="11">
        <f t="shared" si="1"/>
        <v>0.43014873604576453</v>
      </c>
      <c r="H37" s="11">
        <f t="shared" si="2"/>
        <v>0.26736832014644546</v>
      </c>
      <c r="I37" s="12">
        <v>4484</v>
      </c>
      <c r="J37" s="12">
        <v>1881.3333784937859</v>
      </c>
      <c r="K37" s="12">
        <v>8710</v>
      </c>
      <c r="L37" s="13">
        <f t="shared" si="3"/>
        <v>0.51481056257175661</v>
      </c>
      <c r="M37" s="13">
        <f t="shared" si="4"/>
        <v>0.41956587388353833</v>
      </c>
      <c r="N37" s="13">
        <f t="shared" si="5"/>
        <v>0.21599694356989504</v>
      </c>
      <c r="O37" s="5">
        <f t="shared" si="6"/>
        <v>1.2378338124952541</v>
      </c>
      <c r="AH37" s="20"/>
    </row>
    <row r="38" spans="1:34" ht="15.75" customHeight="1">
      <c r="A38" s="8">
        <v>20203</v>
      </c>
      <c r="B38" s="9" t="s">
        <v>68</v>
      </c>
      <c r="C38" s="10">
        <v>1405</v>
      </c>
      <c r="D38" s="10">
        <v>607.44445899128914</v>
      </c>
      <c r="E38" s="10">
        <v>2830</v>
      </c>
      <c r="F38" s="11">
        <f t="shared" si="0"/>
        <v>0.49646643109540634</v>
      </c>
      <c r="G38" s="11">
        <f t="shared" si="1"/>
        <v>0.43234481066995667</v>
      </c>
      <c r="H38" s="11">
        <f t="shared" si="2"/>
        <v>0.21464468515593255</v>
      </c>
      <c r="I38" s="12">
        <v>1964</v>
      </c>
      <c r="J38" s="12">
        <v>817.2222421169281</v>
      </c>
      <c r="K38" s="12">
        <v>5049</v>
      </c>
      <c r="L38" s="13">
        <f t="shared" si="3"/>
        <v>0.38898791839968311</v>
      </c>
      <c r="M38" s="13">
        <f t="shared" si="4"/>
        <v>0.4161009379414094</v>
      </c>
      <c r="N38" s="13">
        <f t="shared" si="5"/>
        <v>0.16185823769398455</v>
      </c>
      <c r="O38" s="5">
        <f t="shared" si="6"/>
        <v>1.3261276547551943</v>
      </c>
      <c r="AH38" s="20"/>
    </row>
    <row r="39" spans="1:34" ht="15.75" customHeight="1">
      <c r="A39" s="8">
        <v>20204</v>
      </c>
      <c r="B39" s="9" t="s">
        <v>69</v>
      </c>
      <c r="C39" s="10">
        <v>1328</v>
      </c>
      <c r="D39" s="10">
        <v>545.44445794820786</v>
      </c>
      <c r="E39" s="10">
        <v>2863</v>
      </c>
      <c r="F39" s="11">
        <f t="shared" si="0"/>
        <v>0.46384910932588197</v>
      </c>
      <c r="G39" s="11">
        <f t="shared" si="1"/>
        <v>0.4107262484549758</v>
      </c>
      <c r="H39" s="11">
        <f t="shared" si="2"/>
        <v>0.19051500452260142</v>
      </c>
      <c r="I39" s="12">
        <v>1899</v>
      </c>
      <c r="J39" s="12">
        <v>776.88890704512596</v>
      </c>
      <c r="K39" s="12">
        <v>5626</v>
      </c>
      <c r="L39" s="13">
        <f t="shared" si="3"/>
        <v>0.33753999289015285</v>
      </c>
      <c r="M39" s="13">
        <f t="shared" si="4"/>
        <v>0.40910421645346284</v>
      </c>
      <c r="N39" s="13">
        <f t="shared" si="5"/>
        <v>0.1380890343130334</v>
      </c>
      <c r="O39" s="5">
        <f t="shared" si="6"/>
        <v>1.379653391526541</v>
      </c>
      <c r="AH39" s="20"/>
    </row>
    <row r="40" spans="1:34" ht="15.75" customHeight="1">
      <c r="A40" s="8">
        <v>20205</v>
      </c>
      <c r="B40" s="9" t="s">
        <v>70</v>
      </c>
      <c r="C40" s="10">
        <v>337</v>
      </c>
      <c r="D40" s="10">
        <v>132.77778106927872</v>
      </c>
      <c r="E40" s="10">
        <v>1253</v>
      </c>
      <c r="F40" s="11">
        <f t="shared" si="0"/>
        <v>0.26895450917797287</v>
      </c>
      <c r="G40" s="11">
        <f t="shared" si="1"/>
        <v>0.39399935035394279</v>
      </c>
      <c r="H40" s="11">
        <f t="shared" si="2"/>
        <v>0.10596790189088486</v>
      </c>
      <c r="I40" s="12">
        <v>463</v>
      </c>
      <c r="J40" s="12">
        <v>179.66667062044144</v>
      </c>
      <c r="K40" s="12">
        <v>2610</v>
      </c>
      <c r="L40" s="13">
        <f t="shared" si="3"/>
        <v>0.17739463601532568</v>
      </c>
      <c r="M40" s="13">
        <f t="shared" si="4"/>
        <v>0.38804896462298366</v>
      </c>
      <c r="N40" s="13">
        <f t="shared" si="5"/>
        <v>6.8837804835418182E-2</v>
      </c>
      <c r="O40" s="5">
        <f t="shared" si="6"/>
        <v>1.5393852570435631</v>
      </c>
      <c r="AH40" s="20"/>
    </row>
    <row r="41" spans="1:34" ht="15.75" customHeight="1">
      <c r="A41" s="8">
        <v>20206</v>
      </c>
      <c r="B41" s="9" t="s">
        <v>71</v>
      </c>
      <c r="C41" s="10">
        <v>723</v>
      </c>
      <c r="D41" s="10">
        <v>290.00000724196434</v>
      </c>
      <c r="E41" s="10">
        <v>1671</v>
      </c>
      <c r="F41" s="11">
        <f t="shared" si="0"/>
        <v>0.43267504488330338</v>
      </c>
      <c r="G41" s="11">
        <f t="shared" si="1"/>
        <v>0.4011065107081111</v>
      </c>
      <c r="H41" s="11">
        <f t="shared" si="2"/>
        <v>0.17354877752361716</v>
      </c>
      <c r="I41" s="12">
        <v>1079</v>
      </c>
      <c r="J41" s="12">
        <v>431.55556628108025</v>
      </c>
      <c r="K41" s="12">
        <v>3168</v>
      </c>
      <c r="L41" s="13">
        <f t="shared" si="3"/>
        <v>0.34059343434343436</v>
      </c>
      <c r="M41" s="13">
        <f t="shared" si="4"/>
        <v>0.39995881953760914</v>
      </c>
      <c r="N41" s="13">
        <f t="shared" si="5"/>
        <v>0.13622334794226018</v>
      </c>
      <c r="O41" s="5">
        <f t="shared" si="6"/>
        <v>1.2740017048852579</v>
      </c>
      <c r="AH41" s="20"/>
    </row>
    <row r="42" spans="1:34" ht="15.75" customHeight="1">
      <c r="A42" s="8">
        <v>20301</v>
      </c>
      <c r="B42" s="9" t="s">
        <v>72</v>
      </c>
      <c r="C42" s="10">
        <v>2509</v>
      </c>
      <c r="D42" s="10">
        <v>1181.4444734752178</v>
      </c>
      <c r="E42" s="10">
        <v>3682</v>
      </c>
      <c r="F42" s="11">
        <f t="shared" si="0"/>
        <v>0.68142313959804457</v>
      </c>
      <c r="G42" s="11">
        <f t="shared" si="1"/>
        <v>0.47088261198693415</v>
      </c>
      <c r="H42" s="11">
        <f t="shared" si="2"/>
        <v>0.3208703078422645</v>
      </c>
      <c r="I42" s="12">
        <v>4027</v>
      </c>
      <c r="J42" s="12">
        <v>1845.0000469982624</v>
      </c>
      <c r="K42" s="12">
        <v>6593</v>
      </c>
      <c r="L42" s="13">
        <f t="shared" si="3"/>
        <v>0.61079933262551189</v>
      </c>
      <c r="M42" s="13">
        <f t="shared" si="4"/>
        <v>0.45815744896902466</v>
      </c>
      <c r="N42" s="13">
        <f t="shared" si="5"/>
        <v>0.27984226406768731</v>
      </c>
      <c r="O42" s="5">
        <f t="shared" si="6"/>
        <v>1.1466113201708998</v>
      </c>
      <c r="AH42" s="20"/>
    </row>
    <row r="43" spans="1:34" ht="15.75" customHeight="1">
      <c r="A43" s="8">
        <v>20302</v>
      </c>
      <c r="B43" s="9" t="s">
        <v>73</v>
      </c>
      <c r="C43" s="10">
        <v>3729</v>
      </c>
      <c r="D43" s="10">
        <v>1675.5555981397629</v>
      </c>
      <c r="E43" s="10">
        <v>5051</v>
      </c>
      <c r="F43" s="11">
        <f t="shared" si="0"/>
        <v>0.73826964957434171</v>
      </c>
      <c r="G43" s="11">
        <f t="shared" si="1"/>
        <v>0.44933108021983453</v>
      </c>
      <c r="H43" s="11">
        <f t="shared" si="2"/>
        <v>0.33172749913675764</v>
      </c>
      <c r="I43" s="12">
        <v>6597</v>
      </c>
      <c r="J43" s="12">
        <v>2978.1111838817596</v>
      </c>
      <c r="K43" s="12">
        <v>9527</v>
      </c>
      <c r="L43" s="13">
        <f t="shared" si="3"/>
        <v>0.69245302823554111</v>
      </c>
      <c r="M43" s="13">
        <f t="shared" si="4"/>
        <v>0.45143416460235858</v>
      </c>
      <c r="N43" s="13">
        <f t="shared" si="5"/>
        <v>0.31259695432788492</v>
      </c>
      <c r="O43" s="5">
        <f t="shared" si="6"/>
        <v>1.0611987562387015</v>
      </c>
      <c r="AH43" s="20"/>
    </row>
    <row r="44" spans="1:34" ht="15.75" customHeight="1">
      <c r="A44" s="8">
        <v>20303</v>
      </c>
      <c r="B44" s="9" t="s">
        <v>74</v>
      </c>
      <c r="C44" s="10">
        <v>2401</v>
      </c>
      <c r="D44" s="10">
        <v>1073.2222474813461</v>
      </c>
      <c r="E44" s="10">
        <v>3081</v>
      </c>
      <c r="F44" s="11">
        <f t="shared" si="0"/>
        <v>0.77929243752028565</v>
      </c>
      <c r="G44" s="11">
        <f t="shared" si="1"/>
        <v>0.44698969074608336</v>
      </c>
      <c r="H44" s="11">
        <f t="shared" si="2"/>
        <v>0.34833568564795397</v>
      </c>
      <c r="I44" s="12">
        <v>5421</v>
      </c>
      <c r="J44" s="12">
        <v>2435.6667262613773</v>
      </c>
      <c r="K44" s="12">
        <v>6697</v>
      </c>
      <c r="L44" s="13">
        <f t="shared" si="3"/>
        <v>0.80946692548902499</v>
      </c>
      <c r="M44" s="13">
        <f t="shared" si="4"/>
        <v>0.44930210777741697</v>
      </c>
      <c r="N44" s="13">
        <f t="shared" si="5"/>
        <v>0.36369519579832427</v>
      </c>
      <c r="O44" s="5">
        <f t="shared" si="6"/>
        <v>0.95776817970703298</v>
      </c>
      <c r="AH44" s="20"/>
    </row>
    <row r="45" spans="1:34" ht="15.75" customHeight="1">
      <c r="A45" s="8">
        <v>20304</v>
      </c>
      <c r="B45" s="9" t="s">
        <v>75</v>
      </c>
      <c r="C45" s="10">
        <v>896</v>
      </c>
      <c r="D45" s="10">
        <v>402.66667628288269</v>
      </c>
      <c r="E45" s="10">
        <v>1313</v>
      </c>
      <c r="F45" s="11">
        <f t="shared" si="0"/>
        <v>0.68240670220868238</v>
      </c>
      <c r="G45" s="11">
        <f t="shared" si="1"/>
        <v>0.44940477263714584</v>
      </c>
      <c r="H45" s="11">
        <f t="shared" si="2"/>
        <v>0.30667682885215741</v>
      </c>
      <c r="I45" s="12">
        <v>1517</v>
      </c>
      <c r="J45" s="12">
        <v>679.7777946293354</v>
      </c>
      <c r="K45" s="12">
        <v>2511</v>
      </c>
      <c r="L45" s="13">
        <f t="shared" si="3"/>
        <v>0.60414177618478693</v>
      </c>
      <c r="M45" s="13">
        <f t="shared" si="4"/>
        <v>0.44810665433707014</v>
      </c>
      <c r="N45" s="13">
        <f t="shared" si="5"/>
        <v>0.27071995007141991</v>
      </c>
      <c r="O45" s="5">
        <f t="shared" si="6"/>
        <v>1.1328194644364094</v>
      </c>
      <c r="AH45" s="20"/>
    </row>
    <row r="46" spans="1:34" ht="15.75" customHeight="1">
      <c r="A46" s="8">
        <v>20305</v>
      </c>
      <c r="B46" s="9" t="s">
        <v>76</v>
      </c>
      <c r="C46" s="10">
        <v>814</v>
      </c>
      <c r="D46" s="10">
        <v>370.66667595505714</v>
      </c>
      <c r="E46" s="10">
        <v>1199</v>
      </c>
      <c r="F46" s="11">
        <f t="shared" si="0"/>
        <v>0.67889908256880738</v>
      </c>
      <c r="G46" s="11">
        <f t="shared" si="1"/>
        <v>0.4553644667752545</v>
      </c>
      <c r="H46" s="11">
        <f t="shared" si="2"/>
        <v>0.30914651872815446</v>
      </c>
      <c r="I46" s="12">
        <v>1264</v>
      </c>
      <c r="J46" s="12">
        <v>573.3333480656147</v>
      </c>
      <c r="K46" s="12">
        <v>1806</v>
      </c>
      <c r="L46" s="13">
        <f t="shared" si="3"/>
        <v>0.69988925802879287</v>
      </c>
      <c r="M46" s="13">
        <f t="shared" si="4"/>
        <v>0.45358650954558127</v>
      </c>
      <c r="N46" s="13">
        <f t="shared" si="5"/>
        <v>0.31746032561772686</v>
      </c>
      <c r="O46" s="5">
        <f t="shared" si="6"/>
        <v>0.97381150897078217</v>
      </c>
      <c r="AH46" s="20"/>
    </row>
    <row r="47" spans="1:34" ht="15.75" customHeight="1">
      <c r="A47" s="8">
        <v>20306</v>
      </c>
      <c r="B47" s="9" t="s">
        <v>77</v>
      </c>
      <c r="C47" s="10">
        <v>1008</v>
      </c>
      <c r="D47" s="10">
        <v>448.33334448933601</v>
      </c>
      <c r="E47" s="10">
        <v>1417</v>
      </c>
      <c r="F47" s="11">
        <f t="shared" si="0"/>
        <v>0.71136203246294993</v>
      </c>
      <c r="G47" s="11">
        <f t="shared" si="1"/>
        <v>0.44477514334259527</v>
      </c>
      <c r="H47" s="11">
        <f t="shared" si="2"/>
        <v>0.31639614995718846</v>
      </c>
      <c r="I47" s="12">
        <v>2309</v>
      </c>
      <c r="J47" s="12">
        <v>996.00002512335777</v>
      </c>
      <c r="K47" s="12">
        <v>3574</v>
      </c>
      <c r="L47" s="13">
        <f t="shared" si="3"/>
        <v>0.64605484051482931</v>
      </c>
      <c r="M47" s="13">
        <f t="shared" si="4"/>
        <v>0.43135557606035418</v>
      </c>
      <c r="N47" s="13">
        <f t="shared" si="5"/>
        <v>0.27867935789685444</v>
      </c>
      <c r="O47" s="5">
        <f t="shared" si="6"/>
        <v>1.1353411761279206</v>
      </c>
      <c r="AH47" s="20"/>
    </row>
    <row r="48" spans="1:34" ht="15.75" customHeight="1">
      <c r="A48" s="8">
        <v>20307</v>
      </c>
      <c r="B48" s="9" t="s">
        <v>78</v>
      </c>
      <c r="C48" s="10">
        <v>142</v>
      </c>
      <c r="D48" s="10">
        <v>57.555556952953339</v>
      </c>
      <c r="E48" s="10">
        <v>202</v>
      </c>
      <c r="F48" s="11">
        <f t="shared" si="0"/>
        <v>0.70297029702970293</v>
      </c>
      <c r="G48" s="11">
        <f t="shared" si="1"/>
        <v>0.40532082361234745</v>
      </c>
      <c r="H48" s="11">
        <f t="shared" si="2"/>
        <v>0.28492849976709572</v>
      </c>
      <c r="I48" s="12">
        <v>244</v>
      </c>
      <c r="J48" s="12">
        <v>99.555558145046234</v>
      </c>
      <c r="K48" s="12">
        <v>398</v>
      </c>
      <c r="L48" s="13">
        <f t="shared" si="3"/>
        <v>0.61306532663316582</v>
      </c>
      <c r="M48" s="13">
        <f t="shared" si="4"/>
        <v>0.4080145825616649</v>
      </c>
      <c r="N48" s="13">
        <f t="shared" si="5"/>
        <v>0.25013959332926189</v>
      </c>
      <c r="O48" s="5">
        <f t="shared" si="6"/>
        <v>1.1390779683248335</v>
      </c>
      <c r="AH48" s="20"/>
    </row>
    <row r="49" spans="1:34" ht="15.75" customHeight="1">
      <c r="A49" s="8">
        <v>20308</v>
      </c>
      <c r="B49" s="9" t="s">
        <v>79</v>
      </c>
      <c r="C49" s="10">
        <v>1866</v>
      </c>
      <c r="D49" s="10">
        <v>905.88891384005547</v>
      </c>
      <c r="E49" s="10">
        <v>2071</v>
      </c>
      <c r="F49" s="11">
        <f t="shared" si="0"/>
        <v>0.90101400289715117</v>
      </c>
      <c r="G49" s="11">
        <f t="shared" si="1"/>
        <v>0.4854710149196439</v>
      </c>
      <c r="H49" s="11">
        <f t="shared" si="2"/>
        <v>0.43741618244329095</v>
      </c>
      <c r="I49" s="12">
        <v>4637</v>
      </c>
      <c r="J49" s="12">
        <v>2227.6667203009129</v>
      </c>
      <c r="K49" s="12">
        <v>5148</v>
      </c>
      <c r="L49" s="13">
        <f t="shared" si="3"/>
        <v>0.90073815073815078</v>
      </c>
      <c r="M49" s="13">
        <f t="shared" si="4"/>
        <v>0.48041119695943774</v>
      </c>
      <c r="N49" s="13">
        <f t="shared" si="5"/>
        <v>0.43272469314314549</v>
      </c>
      <c r="O49" s="5">
        <f t="shared" si="6"/>
        <v>1.010841741584166</v>
      </c>
      <c r="AH49" s="20"/>
    </row>
    <row r="50" spans="1:34" ht="15.75" customHeight="1">
      <c r="A50" s="8">
        <v>20401</v>
      </c>
      <c r="B50" s="9" t="s">
        <v>80</v>
      </c>
      <c r="C50" s="10">
        <v>2813</v>
      </c>
      <c r="D50" s="10">
        <v>1240.1111420989037</v>
      </c>
      <c r="E50" s="10">
        <v>4081</v>
      </c>
      <c r="F50" s="11">
        <f t="shared" si="0"/>
        <v>0.68929184023523649</v>
      </c>
      <c r="G50" s="11">
        <f t="shared" si="1"/>
        <v>0.44085003274045631</v>
      </c>
      <c r="H50" s="11">
        <f t="shared" si="2"/>
        <v>0.30387433033543337</v>
      </c>
      <c r="I50" s="12">
        <v>4476</v>
      </c>
      <c r="J50" s="12">
        <v>1963.5556046068668</v>
      </c>
      <c r="K50" s="12">
        <v>7120</v>
      </c>
      <c r="L50" s="13">
        <f t="shared" si="3"/>
        <v>0.62865168539325844</v>
      </c>
      <c r="M50" s="13">
        <f t="shared" si="4"/>
        <v>0.43868534508643137</v>
      </c>
      <c r="N50" s="13">
        <f t="shared" si="5"/>
        <v>0.27578028154590828</v>
      </c>
      <c r="O50" s="5">
        <f t="shared" si="6"/>
        <v>1.1018711295529966</v>
      </c>
      <c r="AH50" s="20"/>
    </row>
    <row r="51" spans="1:34" ht="15.75" customHeight="1">
      <c r="A51" s="8">
        <v>20402</v>
      </c>
      <c r="B51" s="9" t="s">
        <v>81</v>
      </c>
      <c r="C51" s="10">
        <v>3506</v>
      </c>
      <c r="D51" s="10">
        <v>1556.8889278173447</v>
      </c>
      <c r="E51" s="10">
        <v>5267</v>
      </c>
      <c r="F51" s="11">
        <f t="shared" si="0"/>
        <v>0.66565407252705522</v>
      </c>
      <c r="G51" s="11">
        <f t="shared" si="1"/>
        <v>0.44406415511048053</v>
      </c>
      <c r="H51" s="11">
        <f t="shared" si="2"/>
        <v>0.29559311331257732</v>
      </c>
      <c r="I51" s="12">
        <v>6054</v>
      </c>
      <c r="J51" s="12">
        <v>2591.1111771464348</v>
      </c>
      <c r="K51" s="12">
        <v>10230</v>
      </c>
      <c r="L51" s="13">
        <f t="shared" si="3"/>
        <v>0.59178885630498534</v>
      </c>
      <c r="M51" s="13">
        <f t="shared" si="4"/>
        <v>0.42799986408101004</v>
      </c>
      <c r="N51" s="13">
        <f t="shared" si="5"/>
        <v>0.25328555006319009</v>
      </c>
      <c r="O51" s="5">
        <f t="shared" si="6"/>
        <v>1.1670350449870996</v>
      </c>
      <c r="AH51" s="20"/>
    </row>
    <row r="52" spans="1:34" ht="15.75" customHeight="1">
      <c r="A52" s="8">
        <v>20403</v>
      </c>
      <c r="B52" s="9" t="s">
        <v>82</v>
      </c>
      <c r="C52" s="10">
        <v>2657</v>
      </c>
      <c r="D52" s="10">
        <v>1210.1111417114735</v>
      </c>
      <c r="E52" s="10">
        <v>4189</v>
      </c>
      <c r="F52" s="11">
        <f t="shared" si="0"/>
        <v>0.63428025781809505</v>
      </c>
      <c r="G52" s="11">
        <f t="shared" si="1"/>
        <v>0.45544265777624143</v>
      </c>
      <c r="H52" s="11">
        <f t="shared" si="2"/>
        <v>0.28887828639567287</v>
      </c>
      <c r="I52" s="12">
        <v>6102</v>
      </c>
      <c r="J52" s="12">
        <v>2797.0000743567944</v>
      </c>
      <c r="K52" s="12">
        <v>10110</v>
      </c>
      <c r="L52" s="13">
        <f t="shared" si="3"/>
        <v>0.60356083086053414</v>
      </c>
      <c r="M52" s="13">
        <f t="shared" si="4"/>
        <v>0.45837431569268999</v>
      </c>
      <c r="N52" s="13">
        <f t="shared" si="5"/>
        <v>0.27665678282460876</v>
      </c>
      <c r="O52" s="5">
        <f t="shared" si="6"/>
        <v>1.0441756874575243</v>
      </c>
      <c r="AH52" s="20"/>
    </row>
    <row r="53" spans="1:34" ht="15.75" customHeight="1">
      <c r="A53" s="8">
        <v>20404</v>
      </c>
      <c r="B53" s="9" t="s">
        <v>83</v>
      </c>
      <c r="C53" s="10">
        <v>1349</v>
      </c>
      <c r="D53" s="10">
        <v>611.00001621246338</v>
      </c>
      <c r="E53" s="10">
        <v>1854</v>
      </c>
      <c r="F53" s="11">
        <f t="shared" si="0"/>
        <v>0.72761596548004315</v>
      </c>
      <c r="G53" s="11">
        <f t="shared" si="1"/>
        <v>0.45292810690323454</v>
      </c>
      <c r="H53" s="11">
        <f t="shared" si="2"/>
        <v>0.32955772179744519</v>
      </c>
      <c r="I53" s="12">
        <v>2333</v>
      </c>
      <c r="J53" s="12">
        <v>1024.555580586195</v>
      </c>
      <c r="K53" s="12">
        <v>3442</v>
      </c>
      <c r="L53" s="13">
        <f t="shared" si="3"/>
        <v>0.67780360255665306</v>
      </c>
      <c r="M53" s="13">
        <f t="shared" si="4"/>
        <v>0.43915798567775183</v>
      </c>
      <c r="N53" s="13">
        <f t="shared" si="5"/>
        <v>0.29766286478390325</v>
      </c>
      <c r="O53" s="5">
        <f t="shared" si="6"/>
        <v>1.1071509441955312</v>
      </c>
      <c r="AH53" s="20"/>
    </row>
    <row r="54" spans="1:34" ht="15.75" customHeight="1">
      <c r="A54" s="8">
        <v>20405</v>
      </c>
      <c r="B54" s="9" t="s">
        <v>84</v>
      </c>
      <c r="C54" s="10">
        <v>1420</v>
      </c>
      <c r="D54" s="10">
        <v>607.1111256480217</v>
      </c>
      <c r="E54" s="10">
        <v>2412</v>
      </c>
      <c r="F54" s="11">
        <f t="shared" si="0"/>
        <v>0.58872305140961856</v>
      </c>
      <c r="G54" s="11">
        <f t="shared" si="1"/>
        <v>0.4275430462310012</v>
      </c>
      <c r="H54" s="11">
        <f t="shared" si="2"/>
        <v>0.25170444678607862</v>
      </c>
      <c r="I54" s="12">
        <v>2323</v>
      </c>
      <c r="J54" s="12">
        <v>954.33335646986961</v>
      </c>
      <c r="K54" s="12">
        <v>4720</v>
      </c>
      <c r="L54" s="13">
        <f t="shared" si="3"/>
        <v>0.49216101694915254</v>
      </c>
      <c r="M54" s="13">
        <f t="shared" si="4"/>
        <v>0.41081935276361153</v>
      </c>
      <c r="N54" s="13">
        <f t="shared" si="5"/>
        <v>0.20218927043853169</v>
      </c>
      <c r="O54" s="5">
        <f t="shared" si="6"/>
        <v>1.2448951729246198</v>
      </c>
      <c r="AH54" s="20"/>
    </row>
    <row r="55" spans="1:34" ht="15.75" customHeight="1">
      <c r="A55" s="8">
        <v>20501</v>
      </c>
      <c r="B55" s="9" t="s">
        <v>85</v>
      </c>
      <c r="C55" s="10">
        <v>1997</v>
      </c>
      <c r="D55" s="10">
        <v>911.11113509535789</v>
      </c>
      <c r="E55" s="10">
        <v>3468</v>
      </c>
      <c r="F55" s="11">
        <f t="shared" si="0"/>
        <v>0.57583621683967701</v>
      </c>
      <c r="G55" s="11">
        <f t="shared" si="1"/>
        <v>0.45623992743883718</v>
      </c>
      <c r="H55" s="11">
        <f t="shared" si="2"/>
        <v>0.26271947378758875</v>
      </c>
      <c r="I55" s="12">
        <v>4045</v>
      </c>
      <c r="J55" s="12">
        <v>1749.3333783149719</v>
      </c>
      <c r="K55" s="12">
        <v>7931</v>
      </c>
      <c r="L55" s="13">
        <f t="shared" si="3"/>
        <v>0.51002395662589839</v>
      </c>
      <c r="M55" s="13">
        <f t="shared" si="4"/>
        <v>0.43246807869344178</v>
      </c>
      <c r="N55" s="13">
        <f t="shared" si="5"/>
        <v>0.22056908060962957</v>
      </c>
      <c r="O55" s="5">
        <f t="shared" si="6"/>
        <v>1.1910983763520253</v>
      </c>
      <c r="AH55" s="20"/>
    </row>
    <row r="56" spans="1:34" ht="15.75" customHeight="1">
      <c r="A56" s="8">
        <v>20502</v>
      </c>
      <c r="B56" s="9" t="s">
        <v>86</v>
      </c>
      <c r="C56" s="10">
        <v>1576</v>
      </c>
      <c r="D56" s="10">
        <v>713.33335238695145</v>
      </c>
      <c r="E56" s="10">
        <v>2467</v>
      </c>
      <c r="F56" s="11">
        <f t="shared" si="0"/>
        <v>0.63883259019051475</v>
      </c>
      <c r="G56" s="11">
        <f t="shared" si="1"/>
        <v>0.45262268552471541</v>
      </c>
      <c r="H56" s="11">
        <f t="shared" si="2"/>
        <v>0.28915012257274075</v>
      </c>
      <c r="I56" s="12">
        <v>3886</v>
      </c>
      <c r="J56" s="12">
        <v>1778.4444899857044</v>
      </c>
      <c r="K56" s="12">
        <v>5735</v>
      </c>
      <c r="L56" s="13">
        <f t="shared" si="3"/>
        <v>0.67759372275501306</v>
      </c>
      <c r="M56" s="13">
        <f t="shared" si="4"/>
        <v>0.45765426916770574</v>
      </c>
      <c r="N56" s="13">
        <f t="shared" si="5"/>
        <v>0.3101036599800705</v>
      </c>
      <c r="O56" s="5">
        <f t="shared" si="6"/>
        <v>0.93243053819914168</v>
      </c>
      <c r="AH56" s="20"/>
    </row>
    <row r="57" spans="1:34" ht="15.75" customHeight="1">
      <c r="A57" s="8">
        <v>20503</v>
      </c>
      <c r="B57" s="9" t="s">
        <v>87</v>
      </c>
      <c r="C57" s="10">
        <v>951</v>
      </c>
      <c r="D57" s="10">
        <v>426.3333443403244</v>
      </c>
      <c r="E57" s="10">
        <v>1420</v>
      </c>
      <c r="F57" s="11">
        <f t="shared" si="0"/>
        <v>0.66971830985915493</v>
      </c>
      <c r="G57" s="11">
        <f t="shared" si="1"/>
        <v>0.44830004662494677</v>
      </c>
      <c r="H57" s="11">
        <f t="shared" si="2"/>
        <v>0.30023474953543972</v>
      </c>
      <c r="I57" s="12">
        <v>2616</v>
      </c>
      <c r="J57" s="12">
        <v>1189.7778088152409</v>
      </c>
      <c r="K57" s="12">
        <v>3963</v>
      </c>
      <c r="L57" s="13">
        <f t="shared" si="3"/>
        <v>0.66010598031794099</v>
      </c>
      <c r="M57" s="13">
        <f t="shared" si="4"/>
        <v>0.45480803089267618</v>
      </c>
      <c r="N57" s="13">
        <f t="shared" si="5"/>
        <v>0.3002215010888824</v>
      </c>
      <c r="O57" s="5">
        <f t="shared" si="6"/>
        <v>1.0000441289065216</v>
      </c>
      <c r="AH57" s="20"/>
    </row>
    <row r="58" spans="1:34" ht="15.75" customHeight="1">
      <c r="A58" s="8">
        <v>20601</v>
      </c>
      <c r="B58" s="9" t="s">
        <v>88</v>
      </c>
      <c r="C58" s="10">
        <v>3827</v>
      </c>
      <c r="D58" s="10">
        <v>1709.1111563444138</v>
      </c>
      <c r="E58" s="10">
        <v>7525</v>
      </c>
      <c r="F58" s="11">
        <f t="shared" si="0"/>
        <v>0.50857142857142856</v>
      </c>
      <c r="G58" s="11">
        <f t="shared" si="1"/>
        <v>0.44659293345816925</v>
      </c>
      <c r="H58" s="11">
        <f t="shared" si="2"/>
        <v>0.22712440615872606</v>
      </c>
      <c r="I58" s="12">
        <v>8370</v>
      </c>
      <c r="J58" s="12">
        <v>3694.6667593717575</v>
      </c>
      <c r="K58" s="12">
        <v>15708</v>
      </c>
      <c r="L58" s="13">
        <f t="shared" si="3"/>
        <v>0.53284950343773874</v>
      </c>
      <c r="M58" s="13">
        <f t="shared" si="4"/>
        <v>0.4414177729237464</v>
      </c>
      <c r="N58" s="13">
        <f t="shared" si="5"/>
        <v>0.2352092411110108</v>
      </c>
      <c r="O58" s="5">
        <f t="shared" si="6"/>
        <v>0.96562705226165424</v>
      </c>
      <c r="AH58" s="20"/>
    </row>
    <row r="59" spans="1:34" ht="15.75" customHeight="1">
      <c r="A59" s="8">
        <v>20602</v>
      </c>
      <c r="B59" s="9" t="s">
        <v>89</v>
      </c>
      <c r="C59" s="10">
        <v>1634</v>
      </c>
      <c r="D59" s="10">
        <v>755.00002080202103</v>
      </c>
      <c r="E59" s="10">
        <v>3838</v>
      </c>
      <c r="F59" s="11">
        <f t="shared" si="0"/>
        <v>0.42574257425742573</v>
      </c>
      <c r="G59" s="11">
        <f t="shared" si="1"/>
        <v>0.46205631628030663</v>
      </c>
      <c r="H59" s="11">
        <f t="shared" si="2"/>
        <v>0.19671704554508104</v>
      </c>
      <c r="I59" s="12">
        <v>4596</v>
      </c>
      <c r="J59" s="12">
        <v>2099.66671910882</v>
      </c>
      <c r="K59" s="12">
        <v>10534</v>
      </c>
      <c r="L59" s="13">
        <f t="shared" si="3"/>
        <v>0.43630149990506928</v>
      </c>
      <c r="M59" s="13">
        <f t="shared" si="4"/>
        <v>0.4568465446276806</v>
      </c>
      <c r="N59" s="13">
        <f t="shared" si="5"/>
        <v>0.19932283264750522</v>
      </c>
      <c r="O59" s="5">
        <f t="shared" si="6"/>
        <v>0.98692680076932071</v>
      </c>
      <c r="AH59" s="20"/>
    </row>
    <row r="60" spans="1:34" ht="15.75" customHeight="1">
      <c r="A60" s="8">
        <v>20603</v>
      </c>
      <c r="B60" s="9" t="s">
        <v>90</v>
      </c>
      <c r="C60" s="10">
        <v>1522</v>
      </c>
      <c r="D60" s="10">
        <v>691.33335092663765</v>
      </c>
      <c r="E60" s="10">
        <v>2653</v>
      </c>
      <c r="F60" s="11">
        <f t="shared" si="0"/>
        <v>0.57369016208066337</v>
      </c>
      <c r="G60" s="11">
        <f t="shared" si="1"/>
        <v>0.45422690599647675</v>
      </c>
      <c r="H60" s="11">
        <f t="shared" si="2"/>
        <v>0.26058550732251701</v>
      </c>
      <c r="I60" s="12">
        <v>2918</v>
      </c>
      <c r="J60" s="12">
        <v>1300.6666993498802</v>
      </c>
      <c r="K60" s="12">
        <v>5174</v>
      </c>
      <c r="L60" s="13">
        <f t="shared" si="3"/>
        <v>0.56397371472748359</v>
      </c>
      <c r="M60" s="13">
        <f t="shared" si="4"/>
        <v>0.4457391019019466</v>
      </c>
      <c r="N60" s="13">
        <f t="shared" si="5"/>
        <v>0.25138513709893318</v>
      </c>
      <c r="O60" s="5">
        <f t="shared" si="6"/>
        <v>1.0365987040035824</v>
      </c>
      <c r="AH60" s="20"/>
    </row>
    <row r="61" spans="1:34" ht="15.75" customHeight="1">
      <c r="A61" s="8">
        <v>20604</v>
      </c>
      <c r="B61" s="9" t="s">
        <v>91</v>
      </c>
      <c r="C61" s="10">
        <v>602</v>
      </c>
      <c r="D61" s="10">
        <v>273.77778476476669</v>
      </c>
      <c r="E61" s="10">
        <v>1025</v>
      </c>
      <c r="F61" s="11">
        <f t="shared" si="0"/>
        <v>0.58731707317073167</v>
      </c>
      <c r="G61" s="11">
        <f t="shared" si="1"/>
        <v>0.45478037336339983</v>
      </c>
      <c r="H61" s="11">
        <f t="shared" si="2"/>
        <v>0.26710027781928458</v>
      </c>
      <c r="I61" s="12">
        <v>872</v>
      </c>
      <c r="J61" s="12">
        <v>369.77778682112694</v>
      </c>
      <c r="K61" s="12">
        <v>1578</v>
      </c>
      <c r="L61" s="13">
        <f t="shared" si="3"/>
        <v>0.55259822560202787</v>
      </c>
      <c r="M61" s="13">
        <f t="shared" si="4"/>
        <v>0.42405709497835659</v>
      </c>
      <c r="N61" s="13">
        <f t="shared" si="5"/>
        <v>0.23433319823899046</v>
      </c>
      <c r="O61" s="5">
        <f t="shared" si="6"/>
        <v>1.1398311456786239</v>
      </c>
      <c r="AH61" s="20"/>
    </row>
    <row r="62" spans="1:34" ht="15.75" customHeight="1">
      <c r="A62" s="8">
        <v>20605</v>
      </c>
      <c r="B62" s="9" t="s">
        <v>92</v>
      </c>
      <c r="C62" s="10">
        <v>486</v>
      </c>
      <c r="D62" s="10">
        <v>201.11111587285995</v>
      </c>
      <c r="E62" s="10">
        <v>922</v>
      </c>
      <c r="F62" s="11">
        <f t="shared" si="0"/>
        <v>0.52711496746203901</v>
      </c>
      <c r="G62" s="11">
        <f t="shared" si="1"/>
        <v>0.41380888039683117</v>
      </c>
      <c r="H62" s="11">
        <f t="shared" si="2"/>
        <v>0.21812485452587846</v>
      </c>
      <c r="I62" s="12">
        <v>1302</v>
      </c>
      <c r="J62" s="12">
        <v>530.88890233635902</v>
      </c>
      <c r="K62" s="12">
        <v>2751</v>
      </c>
      <c r="L62" s="13">
        <f t="shared" si="3"/>
        <v>0.47328244274809161</v>
      </c>
      <c r="M62" s="13">
        <f t="shared" si="4"/>
        <v>0.40774877291579031</v>
      </c>
      <c r="N62" s="13">
        <f t="shared" si="5"/>
        <v>0.19298033527312214</v>
      </c>
      <c r="O62" s="5">
        <f t="shared" si="6"/>
        <v>1.1302957589806737</v>
      </c>
      <c r="AH62" s="20"/>
    </row>
    <row r="63" spans="1:34" ht="15.75" customHeight="1">
      <c r="A63" s="8">
        <v>20606</v>
      </c>
      <c r="B63" s="9" t="s">
        <v>93</v>
      </c>
      <c r="C63" s="10">
        <v>794</v>
      </c>
      <c r="D63" s="10">
        <v>305.77778553962708</v>
      </c>
      <c r="E63" s="10">
        <v>3047</v>
      </c>
      <c r="F63" s="11">
        <f t="shared" si="0"/>
        <v>0.26058418116179849</v>
      </c>
      <c r="G63" s="11">
        <f t="shared" si="1"/>
        <v>0.3851105611330316</v>
      </c>
      <c r="H63" s="11">
        <f t="shared" si="2"/>
        <v>0.10035372022961178</v>
      </c>
      <c r="I63" s="12">
        <v>2069</v>
      </c>
      <c r="J63" s="12">
        <v>839.66668707132339</v>
      </c>
      <c r="K63" s="12">
        <v>6695</v>
      </c>
      <c r="L63" s="13">
        <f t="shared" si="3"/>
        <v>0.30903659447348769</v>
      </c>
      <c r="M63" s="13">
        <f t="shared" si="4"/>
        <v>0.40583213488222492</v>
      </c>
      <c r="N63" s="13">
        <f t="shared" si="5"/>
        <v>0.12541698089190789</v>
      </c>
      <c r="O63" s="5">
        <f t="shared" si="6"/>
        <v>0.80016054856321905</v>
      </c>
      <c r="AH63" s="20"/>
    </row>
    <row r="64" spans="1:34" ht="15.75" customHeight="1">
      <c r="A64" s="8">
        <v>20607</v>
      </c>
      <c r="B64" s="9" t="s">
        <v>94</v>
      </c>
      <c r="C64" s="10">
        <v>1015</v>
      </c>
      <c r="D64" s="10">
        <v>402.66667649149895</v>
      </c>
      <c r="E64" s="10">
        <v>3671</v>
      </c>
      <c r="F64" s="11">
        <f t="shared" si="0"/>
        <v>0.27649141923181697</v>
      </c>
      <c r="G64" s="11">
        <f t="shared" si="1"/>
        <v>0.39671593743004824</v>
      </c>
      <c r="H64" s="11">
        <f t="shared" si="2"/>
        <v>0.10968855257191473</v>
      </c>
      <c r="I64" s="12">
        <v>2783</v>
      </c>
      <c r="J64" s="12">
        <v>1105.7778040468693</v>
      </c>
      <c r="K64" s="12">
        <v>9425</v>
      </c>
      <c r="L64" s="13">
        <f t="shared" si="3"/>
        <v>0.2952785145888594</v>
      </c>
      <c r="M64" s="13">
        <f t="shared" si="4"/>
        <v>0.3973330233729318</v>
      </c>
      <c r="N64" s="13">
        <f t="shared" si="5"/>
        <v>0.11732390493865985</v>
      </c>
      <c r="O64" s="5">
        <f t="shared" si="6"/>
        <v>0.93492074466207808</v>
      </c>
      <c r="AH64" s="20"/>
    </row>
    <row r="65" spans="1:34" ht="15.75" customHeight="1">
      <c r="A65" s="8">
        <v>20608</v>
      </c>
      <c r="B65" s="9" t="s">
        <v>95</v>
      </c>
      <c r="C65" s="10">
        <v>1705</v>
      </c>
      <c r="D65" s="10">
        <v>812.77779909968376</v>
      </c>
      <c r="E65" s="10">
        <v>3147</v>
      </c>
      <c r="F65" s="11">
        <f t="shared" si="0"/>
        <v>0.54178582777248174</v>
      </c>
      <c r="G65" s="11">
        <f t="shared" si="1"/>
        <v>0.47670252146609016</v>
      </c>
      <c r="H65" s="11">
        <f t="shared" si="2"/>
        <v>0.2582706701937349</v>
      </c>
      <c r="I65" s="12">
        <v>3495</v>
      </c>
      <c r="J65" s="12">
        <v>1605.1111499965191</v>
      </c>
      <c r="K65" s="12">
        <v>5826</v>
      </c>
      <c r="L65" s="13">
        <f t="shared" si="3"/>
        <v>0.59989701338825951</v>
      </c>
      <c r="M65" s="13">
        <f t="shared" si="4"/>
        <v>0.45925927038527015</v>
      </c>
      <c r="N65" s="13">
        <f t="shared" si="5"/>
        <v>0.27550826467499467</v>
      </c>
      <c r="O65" s="5">
        <f t="shared" si="6"/>
        <v>0.93743347590100712</v>
      </c>
      <c r="AH65" s="20"/>
    </row>
    <row r="66" spans="1:34" ht="15.75" customHeight="1">
      <c r="A66" s="8">
        <v>20701</v>
      </c>
      <c r="B66" s="9" t="s">
        <v>96</v>
      </c>
      <c r="C66" s="10">
        <v>2003</v>
      </c>
      <c r="D66" s="10">
        <v>933.44447073340416</v>
      </c>
      <c r="E66" s="10">
        <v>4086</v>
      </c>
      <c r="F66" s="11">
        <f t="shared" si="0"/>
        <v>0.49021047479197261</v>
      </c>
      <c r="G66" s="11">
        <f t="shared" si="1"/>
        <v>0.46602320056585328</v>
      </c>
      <c r="H66" s="11">
        <f t="shared" si="2"/>
        <v>0.22844945441346162</v>
      </c>
      <c r="I66" s="12">
        <v>8000</v>
      </c>
      <c r="J66" s="12">
        <v>4011.6667720973492</v>
      </c>
      <c r="K66" s="12">
        <v>14342</v>
      </c>
      <c r="L66" s="13">
        <f t="shared" si="3"/>
        <v>0.55780225909914938</v>
      </c>
      <c r="M66" s="13">
        <f t="shared" si="4"/>
        <v>0.5014583465121687</v>
      </c>
      <c r="N66" s="13">
        <f t="shared" si="5"/>
        <v>0.27971459852861175</v>
      </c>
      <c r="O66" s="5">
        <f t="shared" si="6"/>
        <v>0.81672338739264527</v>
      </c>
      <c r="AH66" s="20"/>
    </row>
    <row r="67" spans="1:34" ht="15.75" customHeight="1">
      <c r="A67" s="8">
        <v>20702</v>
      </c>
      <c r="B67" s="9" t="s">
        <v>97</v>
      </c>
      <c r="C67" s="10">
        <v>1238</v>
      </c>
      <c r="D67" s="10">
        <v>594.33334937691689</v>
      </c>
      <c r="E67" s="10">
        <v>1697</v>
      </c>
      <c r="F67" s="11">
        <f t="shared" si="0"/>
        <v>0.72952268709487333</v>
      </c>
      <c r="G67" s="11">
        <f t="shared" si="1"/>
        <v>0.48007540337392318</v>
      </c>
      <c r="H67" s="11">
        <f t="shared" si="2"/>
        <v>0.35022589827749967</v>
      </c>
      <c r="I67" s="12">
        <v>3020</v>
      </c>
      <c r="J67" s="12">
        <v>1390.6667026281357</v>
      </c>
      <c r="K67" s="12">
        <v>4232</v>
      </c>
      <c r="L67" s="13">
        <f t="shared" si="3"/>
        <v>0.7136105860113422</v>
      </c>
      <c r="M67" s="13">
        <f t="shared" si="4"/>
        <v>0.46048566312189926</v>
      </c>
      <c r="N67" s="13">
        <f t="shared" si="5"/>
        <v>0.32860744391024005</v>
      </c>
      <c r="O67" s="5">
        <f t="shared" si="6"/>
        <v>1.0657880847433412</v>
      </c>
      <c r="AH67" s="20"/>
    </row>
    <row r="68" spans="1:34" ht="15.75" customHeight="1">
      <c r="A68" s="8">
        <v>20801</v>
      </c>
      <c r="B68" s="9" t="s">
        <v>98</v>
      </c>
      <c r="C68" s="10">
        <v>9489</v>
      </c>
      <c r="D68" s="10">
        <v>3977.0000967979431</v>
      </c>
      <c r="E68" s="10">
        <v>27939</v>
      </c>
      <c r="F68" s="11">
        <f t="shared" si="0"/>
        <v>0.33963277139482445</v>
      </c>
      <c r="G68" s="11">
        <f t="shared" si="1"/>
        <v>0.41911688236884215</v>
      </c>
      <c r="H68" s="11">
        <f t="shared" si="2"/>
        <v>0.14234582829728851</v>
      </c>
      <c r="I68" s="12">
        <v>14450</v>
      </c>
      <c r="J68" s="12">
        <v>5989.333479642868</v>
      </c>
      <c r="K68" s="12">
        <v>50567</v>
      </c>
      <c r="L68" s="13">
        <f t="shared" si="3"/>
        <v>0.28575948741273954</v>
      </c>
      <c r="M68" s="13">
        <f t="shared" si="4"/>
        <v>0.41448674599604624</v>
      </c>
      <c r="N68" s="13">
        <f t="shared" si="5"/>
        <v>0.11844352007520455</v>
      </c>
      <c r="O68" s="5">
        <f t="shared" si="6"/>
        <v>1.2018034267041997</v>
      </c>
      <c r="AH68" s="20"/>
    </row>
    <row r="69" spans="1:34" ht="15.75" customHeight="1">
      <c r="A69" s="8">
        <v>20802</v>
      </c>
      <c r="B69" s="9" t="s">
        <v>99</v>
      </c>
      <c r="C69" s="10">
        <v>1052</v>
      </c>
      <c r="D69" s="10">
        <v>431.77778816223145</v>
      </c>
      <c r="E69" s="10">
        <v>2401</v>
      </c>
      <c r="F69" s="11">
        <f t="shared" si="0"/>
        <v>0.43815077051228657</v>
      </c>
      <c r="G69" s="11">
        <f t="shared" si="1"/>
        <v>0.41043515985002987</v>
      </c>
      <c r="H69" s="11">
        <f t="shared" si="2"/>
        <v>0.17983248153362411</v>
      </c>
      <c r="I69" s="12">
        <v>1542</v>
      </c>
      <c r="J69" s="12">
        <v>615.33334827423096</v>
      </c>
      <c r="K69" s="12">
        <v>4583</v>
      </c>
      <c r="L69" s="13">
        <f t="shared" si="3"/>
        <v>0.33646083351516476</v>
      </c>
      <c r="M69" s="13">
        <f t="shared" si="4"/>
        <v>0.39904886399107065</v>
      </c>
      <c r="N69" s="13">
        <f t="shared" si="5"/>
        <v>0.13426431339171524</v>
      </c>
      <c r="O69" s="5">
        <f t="shared" si="6"/>
        <v>1.3393915106016596</v>
      </c>
      <c r="AH69" s="20"/>
    </row>
    <row r="70" spans="1:34" ht="15.75" customHeight="1">
      <c r="A70" s="8">
        <v>20803</v>
      </c>
      <c r="B70" s="9" t="s">
        <v>100</v>
      </c>
      <c r="C70" s="10">
        <v>1989</v>
      </c>
      <c r="D70" s="10">
        <v>870.44446673989296</v>
      </c>
      <c r="E70" s="10">
        <v>4024</v>
      </c>
      <c r="F70" s="11">
        <f t="shared" si="0"/>
        <v>0.49428429423459247</v>
      </c>
      <c r="G70" s="11">
        <f t="shared" si="1"/>
        <v>0.43762919393659777</v>
      </c>
      <c r="H70" s="11">
        <f t="shared" si="2"/>
        <v>0.21631323726140483</v>
      </c>
      <c r="I70" s="12">
        <v>3715</v>
      </c>
      <c r="J70" s="12">
        <v>1606.3333719074726</v>
      </c>
      <c r="K70" s="12">
        <v>8039</v>
      </c>
      <c r="L70" s="13">
        <f t="shared" si="3"/>
        <v>0.46212215449682797</v>
      </c>
      <c r="M70" s="13">
        <f t="shared" si="4"/>
        <v>0.4323912172025498</v>
      </c>
      <c r="N70" s="13">
        <f t="shared" si="5"/>
        <v>0.19981756087914823</v>
      </c>
      <c r="O70" s="5">
        <f t="shared" si="6"/>
        <v>1.0825536870216996</v>
      </c>
      <c r="AH70" s="20"/>
    </row>
    <row r="71" spans="1:34" ht="15.75" customHeight="1">
      <c r="A71" s="8">
        <v>20804</v>
      </c>
      <c r="B71" s="9" t="s">
        <v>101</v>
      </c>
      <c r="C71" s="10">
        <v>590</v>
      </c>
      <c r="D71" s="10">
        <v>229.33333882689476</v>
      </c>
      <c r="E71" s="10">
        <v>1882</v>
      </c>
      <c r="F71" s="11">
        <f t="shared" si="0"/>
        <v>0.31349628055260359</v>
      </c>
      <c r="G71" s="11">
        <f t="shared" si="1"/>
        <v>0.38870057428287247</v>
      </c>
      <c r="H71" s="11">
        <f t="shared" si="2"/>
        <v>0.12185618428634153</v>
      </c>
      <c r="I71" s="12">
        <v>1152</v>
      </c>
      <c r="J71" s="12">
        <v>447.66667723655701</v>
      </c>
      <c r="K71" s="12">
        <v>4858</v>
      </c>
      <c r="L71" s="13">
        <f t="shared" si="3"/>
        <v>0.23713462330177026</v>
      </c>
      <c r="M71" s="13">
        <f t="shared" si="4"/>
        <v>0.38859954621228909</v>
      </c>
      <c r="N71" s="13">
        <f t="shared" si="5"/>
        <v>9.2150407006290042E-2</v>
      </c>
      <c r="O71" s="5">
        <f t="shared" si="6"/>
        <v>1.322361867354789</v>
      </c>
      <c r="AH71" s="20"/>
    </row>
    <row r="72" spans="1:34" ht="15.75" customHeight="1">
      <c r="A72" s="8">
        <v>20805</v>
      </c>
      <c r="B72" s="9" t="s">
        <v>102</v>
      </c>
      <c r="C72" s="10">
        <v>1686</v>
      </c>
      <c r="D72" s="10">
        <v>739.88890793919563</v>
      </c>
      <c r="E72" s="10">
        <v>2365</v>
      </c>
      <c r="F72" s="11">
        <f t="shared" si="0"/>
        <v>0.71289640591966175</v>
      </c>
      <c r="G72" s="11">
        <f t="shared" si="1"/>
        <v>0.43884276864720972</v>
      </c>
      <c r="H72" s="11">
        <f t="shared" si="2"/>
        <v>0.31284943253242942</v>
      </c>
      <c r="I72" s="12">
        <v>2405</v>
      </c>
      <c r="J72" s="12">
        <v>1016.4444696903229</v>
      </c>
      <c r="K72" s="12">
        <v>3697</v>
      </c>
      <c r="L72" s="13">
        <f t="shared" si="3"/>
        <v>0.65052745469299433</v>
      </c>
      <c r="M72" s="13">
        <f t="shared" si="4"/>
        <v>0.42263803313526938</v>
      </c>
      <c r="N72" s="13">
        <f t="shared" si="5"/>
        <v>0.2749376439519402</v>
      </c>
      <c r="O72" s="5">
        <f t="shared" si="6"/>
        <v>1.1378923163650747</v>
      </c>
      <c r="AH72" s="20"/>
    </row>
    <row r="73" spans="1:34" ht="15.75" customHeight="1">
      <c r="A73" s="8">
        <v>20806</v>
      </c>
      <c r="B73" s="9" t="s">
        <v>103</v>
      </c>
      <c r="C73" s="10">
        <v>2472</v>
      </c>
      <c r="D73" s="10">
        <v>1048.3333588838577</v>
      </c>
      <c r="E73" s="10">
        <v>4943</v>
      </c>
      <c r="F73" s="11">
        <f t="shared" si="0"/>
        <v>0.50010115314586279</v>
      </c>
      <c r="G73" s="11">
        <f t="shared" si="1"/>
        <v>0.42408307398214307</v>
      </c>
      <c r="H73" s="11">
        <f t="shared" si="2"/>
        <v>0.212084434328112</v>
      </c>
      <c r="I73" s="12">
        <v>4373</v>
      </c>
      <c r="J73" s="12">
        <v>1840.5555991232395</v>
      </c>
      <c r="K73" s="12">
        <v>9954</v>
      </c>
      <c r="L73" s="13">
        <f t="shared" si="3"/>
        <v>0.4393208760297368</v>
      </c>
      <c r="M73" s="13">
        <f t="shared" si="4"/>
        <v>0.4208908298932631</v>
      </c>
      <c r="N73" s="13">
        <f t="shared" si="5"/>
        <v>0.18490612810159127</v>
      </c>
      <c r="O73" s="5">
        <f t="shared" si="6"/>
        <v>1.1469843455463433</v>
      </c>
      <c r="AH73" s="20"/>
    </row>
    <row r="74" spans="1:34" ht="15.75" customHeight="1">
      <c r="A74" s="8">
        <v>20807</v>
      </c>
      <c r="B74" s="9" t="s">
        <v>104</v>
      </c>
      <c r="C74" s="10">
        <v>763</v>
      </c>
      <c r="D74" s="10">
        <v>328.0000087916851</v>
      </c>
      <c r="E74" s="10">
        <v>1765</v>
      </c>
      <c r="F74" s="11">
        <f t="shared" si="0"/>
        <v>0.43229461756373938</v>
      </c>
      <c r="G74" s="11">
        <f t="shared" si="1"/>
        <v>0.42988205608346669</v>
      </c>
      <c r="H74" s="11">
        <f t="shared" si="2"/>
        <v>0.18583569903211619</v>
      </c>
      <c r="I74" s="12">
        <v>1932</v>
      </c>
      <c r="J74" s="12">
        <v>781.00001847743988</v>
      </c>
      <c r="K74" s="12">
        <v>4785</v>
      </c>
      <c r="L74" s="13">
        <f t="shared" si="3"/>
        <v>0.40376175548589344</v>
      </c>
      <c r="M74" s="13">
        <f t="shared" si="4"/>
        <v>0.40424431598211175</v>
      </c>
      <c r="N74" s="13">
        <f t="shared" si="5"/>
        <v>0.16321839466613164</v>
      </c>
      <c r="O74" s="5">
        <f t="shared" si="6"/>
        <v>1.1385708051610786</v>
      </c>
      <c r="AH74" s="20"/>
    </row>
    <row r="75" spans="1:34" ht="15.75" customHeight="1">
      <c r="A75" s="8">
        <v>20901</v>
      </c>
      <c r="B75" s="9" t="s">
        <v>105</v>
      </c>
      <c r="C75" s="10">
        <v>1460</v>
      </c>
      <c r="D75" s="10">
        <v>633.66668176651001</v>
      </c>
      <c r="E75" s="10">
        <v>3237</v>
      </c>
      <c r="F75" s="11">
        <f t="shared" si="0"/>
        <v>0.45103490886623415</v>
      </c>
      <c r="G75" s="11">
        <f t="shared" si="1"/>
        <v>0.4340182751825411</v>
      </c>
      <c r="H75" s="11">
        <f t="shared" si="2"/>
        <v>0.19575739319323757</v>
      </c>
      <c r="I75" s="12">
        <v>3110</v>
      </c>
      <c r="J75" s="12">
        <v>1311.8889217376709</v>
      </c>
      <c r="K75" s="12">
        <v>7793</v>
      </c>
      <c r="L75" s="13">
        <f t="shared" si="3"/>
        <v>0.3990760939304504</v>
      </c>
      <c r="M75" s="13">
        <f t="shared" si="4"/>
        <v>0.42182923528542471</v>
      </c>
      <c r="N75" s="13">
        <f t="shared" si="5"/>
        <v>0.16834196352337621</v>
      </c>
      <c r="O75" s="5">
        <f t="shared" si="6"/>
        <v>1.1628555892782753</v>
      </c>
      <c r="AH75" s="20"/>
    </row>
    <row r="76" spans="1:34" ht="15.75" customHeight="1">
      <c r="A76" s="8">
        <v>20902</v>
      </c>
      <c r="B76" s="9" t="s">
        <v>106</v>
      </c>
      <c r="C76" s="10">
        <v>2669</v>
      </c>
      <c r="D76" s="10">
        <v>1198.0000298917294</v>
      </c>
      <c r="E76" s="10">
        <v>3898</v>
      </c>
      <c r="F76" s="11">
        <f t="shared" si="0"/>
        <v>0.6847101077475628</v>
      </c>
      <c r="G76" s="11">
        <f t="shared" si="1"/>
        <v>0.44885726110593083</v>
      </c>
      <c r="H76" s="11">
        <f t="shared" si="2"/>
        <v>0.30733710361511785</v>
      </c>
      <c r="I76" s="12">
        <v>5622</v>
      </c>
      <c r="J76" s="12">
        <v>2471.4445067346096</v>
      </c>
      <c r="K76" s="12">
        <v>8450</v>
      </c>
      <c r="L76" s="13">
        <f t="shared" si="3"/>
        <v>0.66532544378698222</v>
      </c>
      <c r="M76" s="13">
        <f t="shared" si="4"/>
        <v>0.43960236690405718</v>
      </c>
      <c r="N76" s="13">
        <f t="shared" si="5"/>
        <v>0.29247863985024963</v>
      </c>
      <c r="O76" s="5">
        <f t="shared" si="6"/>
        <v>1.0508018765831098</v>
      </c>
      <c r="AH76" s="20"/>
    </row>
    <row r="77" spans="1:34" ht="15.75" customHeight="1">
      <c r="A77" s="8">
        <v>20903</v>
      </c>
      <c r="B77" s="9" t="s">
        <v>107</v>
      </c>
      <c r="C77" s="10">
        <v>1026</v>
      </c>
      <c r="D77" s="10">
        <v>447.77778959274292</v>
      </c>
      <c r="E77" s="10">
        <v>1703</v>
      </c>
      <c r="F77" s="11">
        <f t="shared" si="0"/>
        <v>0.60246623605402227</v>
      </c>
      <c r="G77" s="11">
        <f t="shared" si="1"/>
        <v>0.43643059414497359</v>
      </c>
      <c r="H77" s="11">
        <f t="shared" si="2"/>
        <v>0.26293469735334285</v>
      </c>
      <c r="I77" s="12">
        <v>3203</v>
      </c>
      <c r="J77" s="12">
        <v>1350.0000329613686</v>
      </c>
      <c r="K77" s="12">
        <v>5500</v>
      </c>
      <c r="L77" s="13">
        <f t="shared" si="3"/>
        <v>0.58236363636363642</v>
      </c>
      <c r="M77" s="13">
        <f t="shared" si="4"/>
        <v>0.42147987291956557</v>
      </c>
      <c r="N77" s="13">
        <f t="shared" si="5"/>
        <v>0.24545455144752157</v>
      </c>
      <c r="O77" s="5">
        <f t="shared" si="6"/>
        <v>1.0712154075071554</v>
      </c>
      <c r="AH77" s="20"/>
    </row>
    <row r="78" spans="1:34" ht="15.75" customHeight="1">
      <c r="A78" s="8">
        <v>20904</v>
      </c>
      <c r="B78" s="9" t="s">
        <v>108</v>
      </c>
      <c r="C78" s="10">
        <v>768</v>
      </c>
      <c r="D78" s="10">
        <v>322.33334141969681</v>
      </c>
      <c r="E78" s="10">
        <v>1326</v>
      </c>
      <c r="F78" s="11">
        <f t="shared" si="0"/>
        <v>0.579185520361991</v>
      </c>
      <c r="G78" s="11">
        <f t="shared" si="1"/>
        <v>0.41970487164023024</v>
      </c>
      <c r="H78" s="11">
        <f t="shared" si="2"/>
        <v>0.24308698447940938</v>
      </c>
      <c r="I78" s="12">
        <v>1900</v>
      </c>
      <c r="J78" s="12">
        <v>806.33335423469543</v>
      </c>
      <c r="K78" s="12">
        <v>3664</v>
      </c>
      <c r="L78" s="13">
        <f t="shared" si="3"/>
        <v>0.51855895196506552</v>
      </c>
      <c r="M78" s="13">
        <f t="shared" si="4"/>
        <v>0.42438597591299759</v>
      </c>
      <c r="N78" s="13">
        <f t="shared" si="5"/>
        <v>0.22006914689811558</v>
      </c>
      <c r="O78" s="5">
        <f t="shared" si="6"/>
        <v>1.1045936602460238</v>
      </c>
      <c r="AH78" s="20"/>
    </row>
    <row r="79" spans="1:34" ht="15.75" customHeight="1">
      <c r="A79" s="8">
        <v>20905</v>
      </c>
      <c r="B79" s="9" t="s">
        <v>109</v>
      </c>
      <c r="C79" s="10">
        <v>1362</v>
      </c>
      <c r="D79" s="10">
        <v>592.66668251156807</v>
      </c>
      <c r="E79" s="10">
        <v>2491</v>
      </c>
      <c r="F79" s="11">
        <f t="shared" si="0"/>
        <v>0.54676836611802493</v>
      </c>
      <c r="G79" s="11">
        <f t="shared" si="1"/>
        <v>0.43514440713037306</v>
      </c>
      <c r="H79" s="11">
        <f t="shared" si="2"/>
        <v>0.23792319651207072</v>
      </c>
      <c r="I79" s="12">
        <v>3656</v>
      </c>
      <c r="J79" s="12">
        <v>1552.8889279961586</v>
      </c>
      <c r="K79" s="12">
        <v>8731</v>
      </c>
      <c r="L79" s="13">
        <f t="shared" si="3"/>
        <v>0.41873783071813081</v>
      </c>
      <c r="M79" s="13">
        <f t="shared" si="4"/>
        <v>0.42475080087422279</v>
      </c>
      <c r="N79" s="13">
        <f t="shared" si="5"/>
        <v>0.1778592289538608</v>
      </c>
      <c r="O79" s="5">
        <f t="shared" si="6"/>
        <v>1.3377050935815726</v>
      </c>
      <c r="AH79" s="20"/>
    </row>
    <row r="80" spans="1:34" ht="15.75" customHeight="1">
      <c r="A80" s="8">
        <v>21001</v>
      </c>
      <c r="B80" s="9" t="s">
        <v>110</v>
      </c>
      <c r="C80" s="10">
        <v>2376</v>
      </c>
      <c r="D80" s="10">
        <v>1185.7778099179268</v>
      </c>
      <c r="E80" s="10">
        <v>3154</v>
      </c>
      <c r="F80" s="11">
        <f t="shared" si="0"/>
        <v>0.75332910589727331</v>
      </c>
      <c r="G80" s="11">
        <f t="shared" si="1"/>
        <v>0.49906473481394226</v>
      </c>
      <c r="H80" s="11">
        <f t="shared" si="2"/>
        <v>0.37595999046224693</v>
      </c>
      <c r="I80" s="12">
        <v>8845</v>
      </c>
      <c r="J80" s="12">
        <v>4344.2223361730576</v>
      </c>
      <c r="K80" s="12">
        <v>11423</v>
      </c>
      <c r="L80" s="13">
        <f t="shared" si="3"/>
        <v>0.77431497855204412</v>
      </c>
      <c r="M80" s="13">
        <f t="shared" si="4"/>
        <v>0.49115006627168545</v>
      </c>
      <c r="N80" s="13">
        <f t="shared" si="5"/>
        <v>0.38030485303099515</v>
      </c>
      <c r="O80" s="5">
        <f t="shared" si="6"/>
        <v>0.98857531652799047</v>
      </c>
      <c r="AH80" s="20"/>
    </row>
    <row r="81" spans="1:34" ht="15.75" customHeight="1">
      <c r="A81" s="8">
        <v>21002</v>
      </c>
      <c r="B81" s="9" t="s">
        <v>111</v>
      </c>
      <c r="C81" s="10">
        <v>1178</v>
      </c>
      <c r="D81" s="10">
        <v>499.66668024659157</v>
      </c>
      <c r="E81" s="10">
        <v>2998</v>
      </c>
      <c r="F81" s="11">
        <f t="shared" si="0"/>
        <v>0.39292861907938625</v>
      </c>
      <c r="G81" s="11">
        <f t="shared" si="1"/>
        <v>0.42416526336722543</v>
      </c>
      <c r="H81" s="11">
        <f t="shared" si="2"/>
        <v>0.16666667119632808</v>
      </c>
      <c r="I81" s="12">
        <v>2212</v>
      </c>
      <c r="J81" s="12">
        <v>976.00002354383469</v>
      </c>
      <c r="K81" s="12">
        <v>5023</v>
      </c>
      <c r="L81" s="13">
        <f t="shared" si="3"/>
        <v>0.44037427831972925</v>
      </c>
      <c r="M81" s="13">
        <f t="shared" si="4"/>
        <v>0.44122966706321642</v>
      </c>
      <c r="N81" s="13">
        <f t="shared" si="5"/>
        <v>0.19430619620621833</v>
      </c>
      <c r="O81" s="5">
        <f t="shared" si="6"/>
        <v>0.8577527348610321</v>
      </c>
      <c r="AH81" s="20"/>
    </row>
    <row r="82" spans="1:34" ht="15.75" customHeight="1">
      <c r="A82" s="8">
        <v>21003</v>
      </c>
      <c r="B82" s="9" t="s">
        <v>112</v>
      </c>
      <c r="C82" s="10">
        <v>831</v>
      </c>
      <c r="D82" s="10">
        <v>348.22223088145256</v>
      </c>
      <c r="E82" s="10">
        <v>2709</v>
      </c>
      <c r="F82" s="11">
        <f t="shared" si="0"/>
        <v>0.30675526024363231</v>
      </c>
      <c r="G82" s="11">
        <f t="shared" si="1"/>
        <v>0.41903998902701872</v>
      </c>
      <c r="H82" s="11">
        <f t="shared" si="2"/>
        <v>0.12854272088647195</v>
      </c>
      <c r="I82" s="12">
        <v>2412</v>
      </c>
      <c r="J82" s="12">
        <v>1038.0000261962414</v>
      </c>
      <c r="K82" s="12">
        <v>7499</v>
      </c>
      <c r="L82" s="13">
        <f t="shared" si="3"/>
        <v>0.32164288571809574</v>
      </c>
      <c r="M82" s="13">
        <f t="shared" si="4"/>
        <v>0.43034826956726424</v>
      </c>
      <c r="N82" s="13">
        <f t="shared" si="5"/>
        <v>0.13841845928740384</v>
      </c>
      <c r="O82" s="5">
        <f t="shared" si="6"/>
        <v>0.92865302466323152</v>
      </c>
      <c r="AH82" s="20"/>
    </row>
    <row r="83" spans="1:34" ht="15.75" customHeight="1">
      <c r="A83" s="8">
        <v>21004</v>
      </c>
      <c r="B83" s="9" t="s">
        <v>113</v>
      </c>
      <c r="C83" s="10">
        <v>2049</v>
      </c>
      <c r="D83" s="10">
        <v>905.55557882785797</v>
      </c>
      <c r="E83" s="10">
        <v>3717</v>
      </c>
      <c r="F83" s="11">
        <f t="shared" si="0"/>
        <v>0.5512510088781275</v>
      </c>
      <c r="G83" s="11">
        <f t="shared" si="1"/>
        <v>0.44195001406923279</v>
      </c>
      <c r="H83" s="11">
        <f t="shared" si="2"/>
        <v>0.24362539112936721</v>
      </c>
      <c r="I83" s="12">
        <v>7269</v>
      </c>
      <c r="J83" s="12">
        <v>3166.5556362271309</v>
      </c>
      <c r="K83" s="12">
        <v>15525</v>
      </c>
      <c r="L83" s="13">
        <f t="shared" si="3"/>
        <v>0.46821256038647341</v>
      </c>
      <c r="M83" s="13">
        <f t="shared" si="4"/>
        <v>0.43562465761825986</v>
      </c>
      <c r="N83" s="13">
        <f t="shared" si="5"/>
        <v>0.2039649363109263</v>
      </c>
      <c r="O83" s="5">
        <f t="shared" si="6"/>
        <v>1.1944474159910607</v>
      </c>
      <c r="AH83" s="20"/>
    </row>
    <row r="84" spans="1:34" ht="15.75" customHeight="1">
      <c r="A84" s="8">
        <v>21005</v>
      </c>
      <c r="B84" s="9" t="s">
        <v>114</v>
      </c>
      <c r="C84" s="10">
        <v>1399</v>
      </c>
      <c r="D84" s="10">
        <v>689.88890767097473</v>
      </c>
      <c r="E84" s="10">
        <v>1885</v>
      </c>
      <c r="F84" s="11">
        <f t="shared" si="0"/>
        <v>0.74217506631299734</v>
      </c>
      <c r="G84" s="11">
        <f t="shared" si="1"/>
        <v>0.4931300269270727</v>
      </c>
      <c r="H84" s="11">
        <f t="shared" si="2"/>
        <v>0.36598881043553033</v>
      </c>
      <c r="I84" s="12">
        <v>4021</v>
      </c>
      <c r="J84" s="12">
        <v>1905.1111611425877</v>
      </c>
      <c r="K84" s="12">
        <v>5869</v>
      </c>
      <c r="L84" s="13">
        <f t="shared" si="3"/>
        <v>0.68512523428181971</v>
      </c>
      <c r="M84" s="13">
        <f t="shared" si="4"/>
        <v>0.47379039073429191</v>
      </c>
      <c r="N84" s="13">
        <f t="shared" si="5"/>
        <v>0.32460575245230666</v>
      </c>
      <c r="O84" s="5">
        <f t="shared" si="6"/>
        <v>1.1274871368439596</v>
      </c>
      <c r="AH84" s="20"/>
    </row>
    <row r="85" spans="1:34" ht="15.75" customHeight="1">
      <c r="A85" s="8">
        <v>21006</v>
      </c>
      <c r="B85" s="9" t="s">
        <v>115</v>
      </c>
      <c r="C85" s="10">
        <v>660</v>
      </c>
      <c r="D85" s="10">
        <v>289.11111867427826</v>
      </c>
      <c r="E85" s="10">
        <v>1663</v>
      </c>
      <c r="F85" s="11">
        <f t="shared" si="0"/>
        <v>0.39687312086590498</v>
      </c>
      <c r="G85" s="11">
        <f t="shared" si="1"/>
        <v>0.43804714950648221</v>
      </c>
      <c r="H85" s="11">
        <f t="shared" si="2"/>
        <v>0.17384913931105125</v>
      </c>
      <c r="I85" s="12">
        <v>1866</v>
      </c>
      <c r="J85" s="12">
        <v>885.88891142606735</v>
      </c>
      <c r="K85" s="12">
        <v>3795</v>
      </c>
      <c r="L85" s="13">
        <f t="shared" si="3"/>
        <v>0.491699604743083</v>
      </c>
      <c r="M85" s="13">
        <f t="shared" si="4"/>
        <v>0.47475290001396964</v>
      </c>
      <c r="N85" s="13">
        <f t="shared" si="5"/>
        <v>0.23343581328750126</v>
      </c>
      <c r="O85" s="5">
        <f t="shared" si="6"/>
        <v>0.74474064995732847</v>
      </c>
      <c r="AH85" s="20"/>
    </row>
    <row r="86" spans="1:34" ht="15.75" customHeight="1">
      <c r="A86" s="8">
        <v>21101</v>
      </c>
      <c r="B86" s="9" t="s">
        <v>116</v>
      </c>
      <c r="C86" s="10">
        <v>1654</v>
      </c>
      <c r="D86" s="10">
        <v>691.5555731356144</v>
      </c>
      <c r="E86" s="10">
        <v>5745</v>
      </c>
      <c r="F86" s="11">
        <f t="shared" si="0"/>
        <v>0.28790252393385551</v>
      </c>
      <c r="G86" s="11">
        <f t="shared" si="1"/>
        <v>0.4181109873854984</v>
      </c>
      <c r="H86" s="11">
        <f t="shared" si="2"/>
        <v>0.12037520855276142</v>
      </c>
      <c r="I86" s="12">
        <v>3200</v>
      </c>
      <c r="J86" s="12">
        <v>1300.7778091132641</v>
      </c>
      <c r="K86" s="12">
        <v>11664</v>
      </c>
      <c r="L86" s="13">
        <f t="shared" si="3"/>
        <v>0.27434842249657065</v>
      </c>
      <c r="M86" s="13">
        <f t="shared" si="4"/>
        <v>0.40649306534789503</v>
      </c>
      <c r="N86" s="13">
        <f t="shared" si="5"/>
        <v>0.11152073123399041</v>
      </c>
      <c r="O86" s="5">
        <f t="shared" si="6"/>
        <v>1.0793975902130046</v>
      </c>
      <c r="AH86" s="20"/>
    </row>
    <row r="87" spans="1:34" ht="15.75" customHeight="1">
      <c r="A87" s="8">
        <v>21102</v>
      </c>
      <c r="B87" s="9" t="s">
        <v>117</v>
      </c>
      <c r="C87" s="10">
        <v>2183</v>
      </c>
      <c r="D87" s="10">
        <v>963.55557951331139</v>
      </c>
      <c r="E87" s="10">
        <v>5498</v>
      </c>
      <c r="F87" s="11">
        <f t="shared" si="0"/>
        <v>0.39705347399054203</v>
      </c>
      <c r="G87" s="11">
        <f t="shared" si="1"/>
        <v>0.44139055406015182</v>
      </c>
      <c r="H87" s="11">
        <f t="shared" si="2"/>
        <v>0.17525565287619344</v>
      </c>
      <c r="I87" s="12">
        <v>4590</v>
      </c>
      <c r="J87" s="12">
        <v>2028.0000488758087</v>
      </c>
      <c r="K87" s="12">
        <v>11147</v>
      </c>
      <c r="L87" s="13">
        <f t="shared" si="3"/>
        <v>0.41176998295505518</v>
      </c>
      <c r="M87" s="13">
        <f t="shared" si="4"/>
        <v>0.44183007600780144</v>
      </c>
      <c r="N87" s="13">
        <f t="shared" si="5"/>
        <v>0.18193236286676315</v>
      </c>
      <c r="O87" s="5">
        <f t="shared" si="6"/>
        <v>0.96330114177949</v>
      </c>
      <c r="AH87" s="20"/>
    </row>
    <row r="88" spans="1:34" ht="15.75" customHeight="1">
      <c r="A88" s="8">
        <v>21103</v>
      </c>
      <c r="B88" s="9" t="s">
        <v>118</v>
      </c>
      <c r="C88" s="10">
        <v>494</v>
      </c>
      <c r="D88" s="10">
        <v>218.2222273349762</v>
      </c>
      <c r="E88" s="10">
        <v>1734</v>
      </c>
      <c r="F88" s="11">
        <f t="shared" si="0"/>
        <v>0.28489042675893889</v>
      </c>
      <c r="G88" s="11">
        <f t="shared" si="1"/>
        <v>0.44174539946351454</v>
      </c>
      <c r="H88" s="11">
        <f t="shared" si="2"/>
        <v>0.1258490353719586</v>
      </c>
      <c r="I88" s="12">
        <v>1054</v>
      </c>
      <c r="J88" s="12">
        <v>453.00001099705696</v>
      </c>
      <c r="K88" s="12">
        <v>4448</v>
      </c>
      <c r="L88" s="13">
        <f t="shared" si="3"/>
        <v>0.23696043165467626</v>
      </c>
      <c r="M88" s="13">
        <f t="shared" si="4"/>
        <v>0.42979128178088893</v>
      </c>
      <c r="N88" s="13">
        <f t="shared" si="5"/>
        <v>0.10184352765221603</v>
      </c>
      <c r="O88" s="5">
        <f t="shared" si="6"/>
        <v>1.235709703632013</v>
      </c>
      <c r="AH88" s="20"/>
    </row>
    <row r="89" spans="1:34" ht="15.75" customHeight="1">
      <c r="A89" s="8">
        <v>21104</v>
      </c>
      <c r="B89" s="9" t="s">
        <v>119</v>
      </c>
      <c r="C89" s="10">
        <v>3733</v>
      </c>
      <c r="D89" s="10">
        <v>1696.2222622334957</v>
      </c>
      <c r="E89" s="10">
        <v>8924</v>
      </c>
      <c r="F89" s="11">
        <f t="shared" si="0"/>
        <v>0.41831017480950244</v>
      </c>
      <c r="G89" s="11">
        <f t="shared" si="1"/>
        <v>0.45438581897495195</v>
      </c>
      <c r="H89" s="11">
        <f t="shared" si="2"/>
        <v>0.19007421136637109</v>
      </c>
      <c r="I89" s="12">
        <v>7212</v>
      </c>
      <c r="J89" s="12">
        <v>3259.1111855506897</v>
      </c>
      <c r="K89" s="12">
        <v>14849</v>
      </c>
      <c r="L89" s="13">
        <f t="shared" si="3"/>
        <v>0.48568927200484879</v>
      </c>
      <c r="M89" s="13">
        <f t="shared" si="4"/>
        <v>0.45190116272194808</v>
      </c>
      <c r="N89" s="13">
        <f t="shared" si="5"/>
        <v>0.21948354674056766</v>
      </c>
      <c r="O89" s="5">
        <f t="shared" si="6"/>
        <v>0.86600665147370348</v>
      </c>
      <c r="AH89" s="20"/>
    </row>
    <row r="90" spans="1:34" ht="15.75" customHeight="1">
      <c r="A90" s="8">
        <v>21105</v>
      </c>
      <c r="B90" s="9" t="s">
        <v>120</v>
      </c>
      <c r="C90" s="10">
        <v>9551</v>
      </c>
      <c r="D90" s="10">
        <v>4715.3334555625916</v>
      </c>
      <c r="E90" s="10">
        <v>12423</v>
      </c>
      <c r="F90" s="11">
        <f t="shared" si="0"/>
        <v>0.76881590598084204</v>
      </c>
      <c r="G90" s="11">
        <f t="shared" si="1"/>
        <v>0.49370049791253184</v>
      </c>
      <c r="H90" s="11">
        <f t="shared" si="2"/>
        <v>0.37956479558581596</v>
      </c>
      <c r="I90" s="12">
        <v>20989</v>
      </c>
      <c r="J90" s="12">
        <v>10226.666926056147</v>
      </c>
      <c r="K90" s="12">
        <v>26967</v>
      </c>
      <c r="L90" s="13">
        <f t="shared" si="3"/>
        <v>0.7783216523899581</v>
      </c>
      <c r="M90" s="13">
        <f t="shared" si="4"/>
        <v>0.48723935995312528</v>
      </c>
      <c r="N90" s="13">
        <f t="shared" si="5"/>
        <v>0.37922894374814203</v>
      </c>
      <c r="O90" s="5">
        <f t="shared" si="6"/>
        <v>1.0008856176281127</v>
      </c>
      <c r="AH90" s="20"/>
    </row>
    <row r="91" spans="1:34" ht="15.75" customHeight="1">
      <c r="A91" s="8">
        <v>21201</v>
      </c>
      <c r="B91" s="9" t="s">
        <v>121</v>
      </c>
      <c r="C91" s="10">
        <v>5909</v>
      </c>
      <c r="D91" s="10">
        <v>2613.0000668764114</v>
      </c>
      <c r="E91" s="10">
        <v>10691</v>
      </c>
      <c r="F91" s="11">
        <f t="shared" si="0"/>
        <v>0.55270788513703117</v>
      </c>
      <c r="G91" s="11">
        <f t="shared" si="1"/>
        <v>0.4422068144993081</v>
      </c>
      <c r="H91" s="11">
        <f t="shared" si="2"/>
        <v>0.24441119323509602</v>
      </c>
      <c r="I91" s="12">
        <v>9528</v>
      </c>
      <c r="J91" s="12">
        <v>4199.2223278284073</v>
      </c>
      <c r="K91" s="12">
        <v>19027</v>
      </c>
      <c r="L91" s="13">
        <f t="shared" si="3"/>
        <v>0.50076207494612923</v>
      </c>
      <c r="M91" s="13">
        <f t="shared" si="4"/>
        <v>0.44072442567468589</v>
      </c>
      <c r="N91" s="13">
        <f t="shared" si="5"/>
        <v>0.22069807788029683</v>
      </c>
      <c r="O91" s="5">
        <f t="shared" si="6"/>
        <v>1.1074459532341774</v>
      </c>
      <c r="AH91" s="20"/>
    </row>
    <row r="92" spans="1:34" ht="15.75" customHeight="1">
      <c r="A92" s="8">
        <v>21202</v>
      </c>
      <c r="B92" s="9" t="s">
        <v>122</v>
      </c>
      <c r="C92" s="10">
        <v>4277</v>
      </c>
      <c r="D92" s="10">
        <v>1856.6667134463787</v>
      </c>
      <c r="E92" s="10">
        <v>7352</v>
      </c>
      <c r="F92" s="11">
        <f t="shared" si="0"/>
        <v>0.58174646354733406</v>
      </c>
      <c r="G92" s="11">
        <f t="shared" si="1"/>
        <v>0.43410491312751431</v>
      </c>
      <c r="H92" s="11">
        <f t="shared" si="2"/>
        <v>0.2525389980204541</v>
      </c>
      <c r="I92" s="12">
        <v>8379</v>
      </c>
      <c r="J92" s="12">
        <v>3548.3334187269211</v>
      </c>
      <c r="K92" s="12">
        <v>16992</v>
      </c>
      <c r="L92" s="13">
        <f t="shared" si="3"/>
        <v>0.49311440677966101</v>
      </c>
      <c r="M92" s="13">
        <f t="shared" si="4"/>
        <v>0.42347934344515109</v>
      </c>
      <c r="N92" s="13">
        <f t="shared" si="5"/>
        <v>0.20882376522639601</v>
      </c>
      <c r="O92" s="5">
        <f t="shared" si="6"/>
        <v>1.2093403150099524</v>
      </c>
      <c r="AH92" s="20"/>
    </row>
    <row r="93" spans="1:34" ht="15.75" customHeight="1">
      <c r="A93" s="8">
        <v>21203</v>
      </c>
      <c r="B93" s="9" t="s">
        <v>123</v>
      </c>
      <c r="C93" s="10">
        <v>2714</v>
      </c>
      <c r="D93" s="10">
        <v>1203.1111426651478</v>
      </c>
      <c r="E93" s="10">
        <v>5716</v>
      </c>
      <c r="F93" s="11">
        <f t="shared" si="0"/>
        <v>0.47480755773268019</v>
      </c>
      <c r="G93" s="11">
        <f t="shared" si="1"/>
        <v>0.44329813657522027</v>
      </c>
      <c r="H93" s="11">
        <f t="shared" si="2"/>
        <v>0.21048130557472844</v>
      </c>
      <c r="I93" s="12">
        <v>4147</v>
      </c>
      <c r="J93" s="12">
        <v>1783.5555998384953</v>
      </c>
      <c r="K93" s="12">
        <v>11590</v>
      </c>
      <c r="L93" s="13">
        <f t="shared" si="3"/>
        <v>0.35780845556514235</v>
      </c>
      <c r="M93" s="13">
        <f t="shared" si="4"/>
        <v>0.43008333731335791</v>
      </c>
      <c r="N93" s="13">
        <f t="shared" si="5"/>
        <v>0.15388745468839474</v>
      </c>
      <c r="O93" s="5">
        <f t="shared" si="6"/>
        <v>1.3677613032259845</v>
      </c>
      <c r="AH93" s="20"/>
    </row>
    <row r="94" spans="1:34" ht="15.75" customHeight="1">
      <c r="A94" s="8">
        <v>21204</v>
      </c>
      <c r="B94" s="9" t="s">
        <v>124</v>
      </c>
      <c r="C94" s="10">
        <v>828</v>
      </c>
      <c r="D94" s="10">
        <v>333.66667425632477</v>
      </c>
      <c r="E94" s="10">
        <v>1518</v>
      </c>
      <c r="F94" s="11">
        <f t="shared" si="0"/>
        <v>0.54545454545454541</v>
      </c>
      <c r="G94" s="11">
        <f t="shared" si="1"/>
        <v>0.40297907518879805</v>
      </c>
      <c r="H94" s="11">
        <f t="shared" si="2"/>
        <v>0.21980676828479892</v>
      </c>
      <c r="I94" s="12">
        <v>2009</v>
      </c>
      <c r="J94" s="12">
        <v>802.33335345983505</v>
      </c>
      <c r="K94" s="12">
        <v>4919</v>
      </c>
      <c r="L94" s="13">
        <f t="shared" si="3"/>
        <v>0.40841634478552552</v>
      </c>
      <c r="M94" s="13">
        <f t="shared" si="4"/>
        <v>0.3993695139172897</v>
      </c>
      <c r="N94" s="13">
        <f t="shared" si="5"/>
        <v>0.16310903709287153</v>
      </c>
      <c r="O94" s="5">
        <f t="shared" si="6"/>
        <v>1.3476063141715726</v>
      </c>
      <c r="AH94" s="20"/>
    </row>
    <row r="95" spans="1:34" ht="15.75" customHeight="1">
      <c r="A95" s="8">
        <v>21301</v>
      </c>
      <c r="B95" s="9" t="s">
        <v>125</v>
      </c>
      <c r="C95" s="10">
        <v>4459</v>
      </c>
      <c r="D95" s="10">
        <v>1948.000049829483</v>
      </c>
      <c r="E95" s="10">
        <v>8179</v>
      </c>
      <c r="F95" s="11">
        <f t="shared" si="0"/>
        <v>0.54517667196478792</v>
      </c>
      <c r="G95" s="11">
        <f t="shared" si="1"/>
        <v>0.43686926437081924</v>
      </c>
      <c r="H95" s="11">
        <f t="shared" si="2"/>
        <v>0.23817093163338834</v>
      </c>
      <c r="I95" s="12">
        <v>12252</v>
      </c>
      <c r="J95" s="12">
        <v>5323.8890224397182</v>
      </c>
      <c r="K95" s="12">
        <v>22864</v>
      </c>
      <c r="L95" s="13">
        <f t="shared" si="3"/>
        <v>0.53586424072778172</v>
      </c>
      <c r="M95" s="13">
        <f t="shared" si="4"/>
        <v>0.43453224146586011</v>
      </c>
      <c r="N95" s="13">
        <f t="shared" si="5"/>
        <v>0.23285028964484425</v>
      </c>
      <c r="O95" s="5">
        <f t="shared" si="6"/>
        <v>1.0228500552722499</v>
      </c>
      <c r="AH95" s="20"/>
    </row>
    <row r="96" spans="1:34" ht="15.75" customHeight="1">
      <c r="A96" s="8">
        <v>21302</v>
      </c>
      <c r="B96" s="9" t="s">
        <v>126</v>
      </c>
      <c r="C96" s="10">
        <v>1431</v>
      </c>
      <c r="D96" s="10">
        <v>641.88890519738197</v>
      </c>
      <c r="E96" s="10">
        <v>2380</v>
      </c>
      <c r="F96" s="11">
        <f t="shared" si="0"/>
        <v>0.60126050420168065</v>
      </c>
      <c r="G96" s="11">
        <f t="shared" si="1"/>
        <v>0.44855968217846398</v>
      </c>
      <c r="H96" s="11">
        <f t="shared" si="2"/>
        <v>0.26970122067116886</v>
      </c>
      <c r="I96" s="12">
        <v>3526</v>
      </c>
      <c r="J96" s="12">
        <v>1560.3333713114262</v>
      </c>
      <c r="K96" s="12">
        <v>6453</v>
      </c>
      <c r="L96" s="13">
        <f t="shared" si="3"/>
        <v>0.54641252130791884</v>
      </c>
      <c r="M96" s="13">
        <f t="shared" si="4"/>
        <v>0.44252222669070507</v>
      </c>
      <c r="N96" s="13">
        <f t="shared" si="5"/>
        <v>0.24179968562086257</v>
      </c>
      <c r="O96" s="5">
        <f t="shared" si="6"/>
        <v>1.1153911138414605</v>
      </c>
      <c r="AH96" s="20"/>
    </row>
    <row r="97" spans="1:34" ht="15.75" customHeight="1">
      <c r="A97" s="8">
        <v>21303</v>
      </c>
      <c r="B97" s="9" t="s">
        <v>127</v>
      </c>
      <c r="C97" s="10">
        <v>1467</v>
      </c>
      <c r="D97" s="10">
        <v>663.77779498696327</v>
      </c>
      <c r="E97" s="10">
        <v>2276</v>
      </c>
      <c r="F97" s="11">
        <f t="shared" si="0"/>
        <v>0.64455184534270649</v>
      </c>
      <c r="G97" s="11">
        <f t="shared" si="1"/>
        <v>0.45247293455144055</v>
      </c>
      <c r="H97" s="11">
        <f t="shared" si="2"/>
        <v>0.29164226493276069</v>
      </c>
      <c r="I97" s="12">
        <v>3220</v>
      </c>
      <c r="J97" s="12">
        <v>1444.3333674669266</v>
      </c>
      <c r="K97" s="12">
        <v>5472</v>
      </c>
      <c r="L97" s="13">
        <f t="shared" si="3"/>
        <v>0.58845029239766078</v>
      </c>
      <c r="M97" s="13">
        <f t="shared" si="4"/>
        <v>0.44855073523817596</v>
      </c>
      <c r="N97" s="13">
        <f t="shared" si="5"/>
        <v>0.26394981130609035</v>
      </c>
      <c r="O97" s="5">
        <f t="shared" si="6"/>
        <v>1.1049156030445375</v>
      </c>
      <c r="AH97" s="20"/>
    </row>
    <row r="98" spans="1:34" ht="15.75" customHeight="1">
      <c r="A98" s="8">
        <v>21304</v>
      </c>
      <c r="B98" s="9" t="s">
        <v>128</v>
      </c>
      <c r="C98" s="10">
        <v>1835</v>
      </c>
      <c r="D98" s="10">
        <v>802.66668593883514</v>
      </c>
      <c r="E98" s="10">
        <v>3180</v>
      </c>
      <c r="F98" s="11">
        <f t="shared" si="0"/>
        <v>0.57704402515723274</v>
      </c>
      <c r="G98" s="11">
        <f t="shared" si="1"/>
        <v>0.43742053729636793</v>
      </c>
      <c r="H98" s="11">
        <f t="shared" si="2"/>
        <v>0.2524109075279356</v>
      </c>
      <c r="I98" s="12">
        <v>4159</v>
      </c>
      <c r="J98" s="12">
        <v>1770.4444884955883</v>
      </c>
      <c r="K98" s="12">
        <v>9103</v>
      </c>
      <c r="L98" s="13">
        <f t="shared" si="3"/>
        <v>0.45688234647918269</v>
      </c>
      <c r="M98" s="13">
        <f t="shared" si="4"/>
        <v>0.42568994674094451</v>
      </c>
      <c r="N98" s="13">
        <f t="shared" si="5"/>
        <v>0.19449022173960104</v>
      </c>
      <c r="O98" s="5">
        <f t="shared" si="6"/>
        <v>1.297807700923306</v>
      </c>
      <c r="AH98" s="20"/>
    </row>
    <row r="99" spans="1:34" ht="15.75" customHeight="1">
      <c r="A99" s="8">
        <v>21305</v>
      </c>
      <c r="B99" s="9" t="s">
        <v>129</v>
      </c>
      <c r="C99" s="10">
        <v>2612</v>
      </c>
      <c r="D99" s="10">
        <v>1116.22225061059</v>
      </c>
      <c r="E99" s="10">
        <v>7527</v>
      </c>
      <c r="F99" s="11">
        <f t="shared" si="0"/>
        <v>0.34701740401222264</v>
      </c>
      <c r="G99" s="11">
        <f t="shared" si="1"/>
        <v>0.4273438938019104</v>
      </c>
      <c r="H99" s="11">
        <f t="shared" si="2"/>
        <v>0.1482957686476139</v>
      </c>
      <c r="I99" s="12">
        <v>4947</v>
      </c>
      <c r="J99" s="12">
        <v>2070.8889393806458</v>
      </c>
      <c r="K99" s="12">
        <v>14720</v>
      </c>
      <c r="L99" s="13">
        <f t="shared" si="3"/>
        <v>0.33607336956521738</v>
      </c>
      <c r="M99" s="13">
        <f t="shared" si="4"/>
        <v>0.41861510802115337</v>
      </c>
      <c r="N99" s="13">
        <f t="shared" si="5"/>
        <v>0.14068538990357649</v>
      </c>
      <c r="O99" s="5">
        <f t="shared" si="6"/>
        <v>1.0540950183189133</v>
      </c>
      <c r="AH99" s="20"/>
    </row>
    <row r="100" spans="1:34" ht="15.75" customHeight="1">
      <c r="A100" s="8">
        <v>21306</v>
      </c>
      <c r="B100" s="9" t="s">
        <v>130</v>
      </c>
      <c r="C100" s="10">
        <v>1451</v>
      </c>
      <c r="D100" s="10">
        <v>636.44445964694023</v>
      </c>
      <c r="E100" s="10">
        <v>2672</v>
      </c>
      <c r="F100" s="11">
        <f t="shared" si="0"/>
        <v>0.54303892215568861</v>
      </c>
      <c r="G100" s="11">
        <f t="shared" si="1"/>
        <v>0.43862471374702977</v>
      </c>
      <c r="H100" s="11">
        <f t="shared" si="2"/>
        <v>0.2381902917840345</v>
      </c>
      <c r="I100" s="12">
        <v>3481</v>
      </c>
      <c r="J100" s="12">
        <v>1507.5555928349495</v>
      </c>
      <c r="K100" s="12">
        <v>7137</v>
      </c>
      <c r="L100" s="13">
        <f t="shared" si="3"/>
        <v>0.48773994675634019</v>
      </c>
      <c r="M100" s="13">
        <f t="shared" si="4"/>
        <v>0.43308118150960917</v>
      </c>
      <c r="N100" s="13">
        <f t="shared" si="5"/>
        <v>0.21123099241066967</v>
      </c>
      <c r="O100" s="5">
        <f t="shared" si="6"/>
        <v>1.1276294688847139</v>
      </c>
      <c r="AH100" s="20"/>
    </row>
    <row r="101" spans="1:34" ht="15.75" customHeight="1">
      <c r="A101" s="8">
        <v>21307</v>
      </c>
      <c r="B101" s="9" t="s">
        <v>131</v>
      </c>
      <c r="C101" s="10">
        <v>605</v>
      </c>
      <c r="D101" s="10">
        <v>249.88889452815056</v>
      </c>
      <c r="E101" s="10">
        <v>1269</v>
      </c>
      <c r="F101" s="11">
        <f t="shared" si="0"/>
        <v>0.47675334909377465</v>
      </c>
      <c r="G101" s="11">
        <f t="shared" si="1"/>
        <v>0.41303949508785215</v>
      </c>
      <c r="H101" s="11">
        <f t="shared" si="2"/>
        <v>0.1969179625911352</v>
      </c>
      <c r="I101" s="12">
        <v>1353</v>
      </c>
      <c r="J101" s="12">
        <v>541.44445732235909</v>
      </c>
      <c r="K101" s="12">
        <v>3699</v>
      </c>
      <c r="L101" s="13">
        <f t="shared" si="3"/>
        <v>0.36577453365774532</v>
      </c>
      <c r="M101" s="13">
        <f t="shared" si="4"/>
        <v>0.40018067799139623</v>
      </c>
      <c r="N101" s="13">
        <f t="shared" si="5"/>
        <v>0.1463759008711433</v>
      </c>
      <c r="O101" s="5">
        <f t="shared" si="6"/>
        <v>1.3452895006568382</v>
      </c>
      <c r="AH101" s="20"/>
    </row>
    <row r="102" spans="1:34" ht="15.75" customHeight="1">
      <c r="A102" s="8">
        <v>21401</v>
      </c>
      <c r="B102" s="9" t="s">
        <v>132</v>
      </c>
      <c r="C102" s="10">
        <v>2349</v>
      </c>
      <c r="D102" s="10">
        <v>1010.5555799007416</v>
      </c>
      <c r="E102" s="10">
        <v>6411</v>
      </c>
      <c r="F102" s="11">
        <f t="shared" si="0"/>
        <v>0.36640149742629857</v>
      </c>
      <c r="G102" s="11">
        <f t="shared" si="1"/>
        <v>0.43020671770997937</v>
      </c>
      <c r="H102" s="11">
        <f t="shared" si="2"/>
        <v>0.15762838557178938</v>
      </c>
      <c r="I102" s="12">
        <v>4274</v>
      </c>
      <c r="J102" s="12">
        <v>1850.4444892406464</v>
      </c>
      <c r="K102" s="12">
        <v>12265</v>
      </c>
      <c r="L102" s="13">
        <f t="shared" si="3"/>
        <v>0.34847125968202203</v>
      </c>
      <c r="M102" s="13">
        <f t="shared" si="4"/>
        <v>0.43295378784292149</v>
      </c>
      <c r="N102" s="13">
        <f t="shared" si="5"/>
        <v>0.15087195183372576</v>
      </c>
      <c r="O102" s="5">
        <f t="shared" si="6"/>
        <v>1.0447825699604509</v>
      </c>
      <c r="AH102" s="20"/>
    </row>
    <row r="103" spans="1:34" ht="15.75" customHeight="1">
      <c r="A103" s="8">
        <v>21402</v>
      </c>
      <c r="B103" s="9" t="s">
        <v>133</v>
      </c>
      <c r="C103" s="10">
        <v>1119</v>
      </c>
      <c r="D103" s="10">
        <v>454.66667822003365</v>
      </c>
      <c r="E103" s="10">
        <v>4814</v>
      </c>
      <c r="F103" s="11">
        <f t="shared" si="0"/>
        <v>0.23244702949729953</v>
      </c>
      <c r="G103" s="11">
        <f t="shared" si="1"/>
        <v>0.40631517267205869</v>
      </c>
      <c r="H103" s="11">
        <f t="shared" si="2"/>
        <v>9.4446754927302382E-2</v>
      </c>
      <c r="I103" s="12">
        <v>2451</v>
      </c>
      <c r="J103" s="12">
        <v>989.66669365763664</v>
      </c>
      <c r="K103" s="12">
        <v>11915</v>
      </c>
      <c r="L103" s="13">
        <f t="shared" si="3"/>
        <v>0.20570709190096517</v>
      </c>
      <c r="M103" s="13">
        <f t="shared" si="4"/>
        <v>0.4037807807660696</v>
      </c>
      <c r="N103" s="13">
        <f t="shared" si="5"/>
        <v>8.3060570176889351E-2</v>
      </c>
      <c r="O103" s="5">
        <f t="shared" si="6"/>
        <v>1.137082911014992</v>
      </c>
      <c r="AH103" s="20"/>
    </row>
    <row r="104" spans="1:34" ht="15.75" customHeight="1">
      <c r="A104" s="8">
        <v>21501</v>
      </c>
      <c r="B104" s="9" t="s">
        <v>134</v>
      </c>
      <c r="C104" s="10">
        <v>1077</v>
      </c>
      <c r="D104" s="10">
        <v>482.66667944192886</v>
      </c>
      <c r="E104" s="10">
        <v>1931</v>
      </c>
      <c r="F104" s="11">
        <f t="shared" si="0"/>
        <v>0.5577421025375453</v>
      </c>
      <c r="G104" s="11">
        <f t="shared" si="1"/>
        <v>0.44815847673345299</v>
      </c>
      <c r="H104" s="11">
        <f t="shared" si="2"/>
        <v>0.24995685108333965</v>
      </c>
      <c r="I104" s="12">
        <v>3948</v>
      </c>
      <c r="J104" s="12">
        <v>1853.2222708761692</v>
      </c>
      <c r="K104" s="12">
        <v>6377</v>
      </c>
      <c r="L104" s="13">
        <f t="shared" si="3"/>
        <v>0.61909989023051593</v>
      </c>
      <c r="M104" s="13">
        <f t="shared" si="4"/>
        <v>0.4694078700294248</v>
      </c>
      <c r="N104" s="13">
        <f t="shared" si="5"/>
        <v>0.29061036080855718</v>
      </c>
      <c r="O104" s="5">
        <f t="shared" si="6"/>
        <v>0.86010990932288722</v>
      </c>
      <c r="AH104" s="20"/>
    </row>
    <row r="105" spans="1:34" ht="15.75" customHeight="1">
      <c r="A105" s="8">
        <v>21502</v>
      </c>
      <c r="B105" s="9" t="s">
        <v>135</v>
      </c>
      <c r="C105" s="10">
        <v>454</v>
      </c>
      <c r="D105" s="10">
        <v>205.33333891630173</v>
      </c>
      <c r="E105" s="10">
        <v>1517</v>
      </c>
      <c r="F105" s="11">
        <f t="shared" si="0"/>
        <v>0.29927488464073831</v>
      </c>
      <c r="G105" s="11">
        <f t="shared" si="1"/>
        <v>0.45227607690815358</v>
      </c>
      <c r="H105" s="11">
        <f t="shared" si="2"/>
        <v>0.13535487074245336</v>
      </c>
      <c r="I105" s="12">
        <v>2638</v>
      </c>
      <c r="J105" s="12">
        <v>1200.4444746375084</v>
      </c>
      <c r="K105" s="12">
        <v>6687</v>
      </c>
      <c r="L105" s="13">
        <f t="shared" si="3"/>
        <v>0.39449678480634065</v>
      </c>
      <c r="M105" s="13">
        <f t="shared" si="4"/>
        <v>0.45505855748199714</v>
      </c>
      <c r="N105" s="13">
        <f t="shared" si="5"/>
        <v>0.17951913782525922</v>
      </c>
      <c r="O105" s="5">
        <f t="shared" si="6"/>
        <v>0.75398574426201526</v>
      </c>
      <c r="AH105" s="20"/>
    </row>
    <row r="106" spans="1:34" ht="15.75" customHeight="1">
      <c r="A106" s="8">
        <v>21601</v>
      </c>
      <c r="B106" s="9" t="s">
        <v>136</v>
      </c>
      <c r="C106" s="10">
        <v>2200</v>
      </c>
      <c r="D106" s="10">
        <v>1029.1111377179623</v>
      </c>
      <c r="E106" s="10">
        <v>2979</v>
      </c>
      <c r="F106" s="11">
        <f t="shared" si="0"/>
        <v>0.73850285330647869</v>
      </c>
      <c r="G106" s="11">
        <f t="shared" si="1"/>
        <v>0.46777778987180102</v>
      </c>
      <c r="H106" s="11">
        <f t="shared" si="2"/>
        <v>0.34545523253372346</v>
      </c>
      <c r="I106" s="12">
        <v>7115</v>
      </c>
      <c r="J106" s="12">
        <v>3240.888975083828</v>
      </c>
      <c r="K106" s="12">
        <v>9909</v>
      </c>
      <c r="L106" s="13">
        <f t="shared" si="3"/>
        <v>0.71803411040468257</v>
      </c>
      <c r="M106" s="13">
        <f t="shared" si="4"/>
        <v>0.45550091006097371</v>
      </c>
      <c r="N106" s="13">
        <f t="shared" si="5"/>
        <v>0.32706519074415458</v>
      </c>
      <c r="O106" s="5">
        <f t="shared" si="6"/>
        <v>1.0562274503982736</v>
      </c>
      <c r="AH106" s="20"/>
    </row>
    <row r="107" spans="1:34" ht="15.75" customHeight="1">
      <c r="A107" s="8">
        <v>21602</v>
      </c>
      <c r="B107" s="9" t="s">
        <v>137</v>
      </c>
      <c r="C107" s="10">
        <v>752</v>
      </c>
      <c r="D107" s="10">
        <v>347.77778807282448</v>
      </c>
      <c r="E107" s="10">
        <v>951</v>
      </c>
      <c r="F107" s="11">
        <f t="shared" si="0"/>
        <v>0.79074658254468977</v>
      </c>
      <c r="G107" s="11">
        <f t="shared" si="1"/>
        <v>0.46247046286279853</v>
      </c>
      <c r="H107" s="11">
        <f t="shared" si="2"/>
        <v>0.36569693803661879</v>
      </c>
      <c r="I107" s="12">
        <v>1557</v>
      </c>
      <c r="J107" s="12">
        <v>746.55557498335838</v>
      </c>
      <c r="K107" s="12">
        <v>2294</v>
      </c>
      <c r="L107" s="13">
        <f t="shared" si="3"/>
        <v>0.67872711421098519</v>
      </c>
      <c r="M107" s="13">
        <f t="shared" si="4"/>
        <v>0.47948334937916404</v>
      </c>
      <c r="N107" s="13">
        <f t="shared" si="5"/>
        <v>0.32543835003633759</v>
      </c>
      <c r="O107" s="5">
        <f t="shared" si="6"/>
        <v>1.1237057279690179</v>
      </c>
      <c r="AH107" s="20"/>
    </row>
    <row r="108" spans="1:34" ht="15.75" customHeight="1">
      <c r="A108" s="8">
        <v>21701</v>
      </c>
      <c r="B108" s="9" t="s">
        <v>138</v>
      </c>
      <c r="C108" s="10">
        <v>1720</v>
      </c>
      <c r="D108" s="10">
        <v>718.55557286739349</v>
      </c>
      <c r="E108" s="10">
        <v>4941</v>
      </c>
      <c r="F108" s="11">
        <f t="shared" si="0"/>
        <v>0.34810767051204211</v>
      </c>
      <c r="G108" s="11">
        <f t="shared" si="1"/>
        <v>0.41776486794615902</v>
      </c>
      <c r="H108" s="11">
        <f t="shared" si="2"/>
        <v>0.1454271550025083</v>
      </c>
      <c r="I108" s="12">
        <v>2942</v>
      </c>
      <c r="J108" s="12">
        <v>1181.6666964292526</v>
      </c>
      <c r="K108" s="12">
        <v>9503</v>
      </c>
      <c r="L108" s="13">
        <f t="shared" si="3"/>
        <v>0.30958644638535199</v>
      </c>
      <c r="M108" s="13">
        <f t="shared" si="4"/>
        <v>0.40165421360613618</v>
      </c>
      <c r="N108" s="13">
        <f t="shared" si="5"/>
        <v>0.12434670066602679</v>
      </c>
      <c r="O108" s="5">
        <f t="shared" si="6"/>
        <v>1.1695296636225183</v>
      </c>
      <c r="AH108" s="20"/>
    </row>
    <row r="109" spans="1:34" ht="15.75" customHeight="1">
      <c r="A109" s="8">
        <v>21702</v>
      </c>
      <c r="B109" s="9" t="s">
        <v>139</v>
      </c>
      <c r="C109" s="10">
        <v>1010</v>
      </c>
      <c r="D109" s="10">
        <v>437.66667765378952</v>
      </c>
      <c r="E109" s="10">
        <v>1919</v>
      </c>
      <c r="F109" s="11">
        <f t="shared" si="0"/>
        <v>0.52631578947368418</v>
      </c>
      <c r="G109" s="11">
        <f t="shared" si="1"/>
        <v>0.4333333442116728</v>
      </c>
      <c r="H109" s="11">
        <f t="shared" si="2"/>
        <v>0.22807018116403829</v>
      </c>
      <c r="I109" s="12">
        <v>1636</v>
      </c>
      <c r="J109" s="12">
        <v>683.44446095824242</v>
      </c>
      <c r="K109" s="12">
        <v>4014</v>
      </c>
      <c r="L109" s="13">
        <f t="shared" si="3"/>
        <v>0.40757349277528648</v>
      </c>
      <c r="M109" s="13">
        <f t="shared" si="4"/>
        <v>0.41775333799403569</v>
      </c>
      <c r="N109" s="13">
        <f t="shared" si="5"/>
        <v>0.17026518708476393</v>
      </c>
      <c r="O109" s="5">
        <f t="shared" si="6"/>
        <v>1.3394997830677919</v>
      </c>
      <c r="AH109" s="20"/>
    </row>
    <row r="110" spans="1:34" ht="15.75" customHeight="1">
      <c r="A110" s="8">
        <v>21703</v>
      </c>
      <c r="B110" s="9" t="s">
        <v>140</v>
      </c>
      <c r="C110" s="10">
        <v>1297</v>
      </c>
      <c r="D110" s="10">
        <v>613.33334955573082</v>
      </c>
      <c r="E110" s="10">
        <v>1923</v>
      </c>
      <c r="F110" s="11">
        <f t="shared" si="0"/>
        <v>0.67446697867914718</v>
      </c>
      <c r="G110" s="11">
        <f t="shared" si="1"/>
        <v>0.4728861600275488</v>
      </c>
      <c r="H110" s="11">
        <f t="shared" si="2"/>
        <v>0.31894609961296455</v>
      </c>
      <c r="I110" s="12">
        <v>2427</v>
      </c>
      <c r="J110" s="12">
        <v>1091.3333613276482</v>
      </c>
      <c r="K110" s="12">
        <v>4308</v>
      </c>
      <c r="L110" s="13">
        <f t="shared" si="3"/>
        <v>0.5633704735376045</v>
      </c>
      <c r="M110" s="13">
        <f t="shared" si="4"/>
        <v>0.44966351929445741</v>
      </c>
      <c r="N110" s="13">
        <f t="shared" si="5"/>
        <v>0.25332714979750426</v>
      </c>
      <c r="O110" s="5">
        <f t="shared" si="6"/>
        <v>1.2590284928714213</v>
      </c>
      <c r="AH110" s="20"/>
    </row>
    <row r="111" spans="1:34" ht="15.75" customHeight="1">
      <c r="A111" s="8">
        <v>21801</v>
      </c>
      <c r="B111" s="9" t="s">
        <v>141</v>
      </c>
      <c r="C111" s="10">
        <v>1299</v>
      </c>
      <c r="D111" s="10">
        <v>589.66668090224266</v>
      </c>
      <c r="E111" s="10">
        <v>1942</v>
      </c>
      <c r="F111" s="11">
        <f t="shared" si="0"/>
        <v>0.66889804325437696</v>
      </c>
      <c r="G111" s="11">
        <f t="shared" si="1"/>
        <v>0.45393893833890891</v>
      </c>
      <c r="H111" s="11">
        <f t="shared" si="2"/>
        <v>0.30363886761186543</v>
      </c>
      <c r="I111" s="12">
        <v>4791</v>
      </c>
      <c r="J111" s="12">
        <v>2169.5556067228317</v>
      </c>
      <c r="K111" s="12">
        <v>6846</v>
      </c>
      <c r="L111" s="13">
        <f t="shared" si="3"/>
        <v>0.69982471516213851</v>
      </c>
      <c r="M111" s="13">
        <f t="shared" si="4"/>
        <v>0.45283982607447959</v>
      </c>
      <c r="N111" s="13">
        <f t="shared" si="5"/>
        <v>0.31690850229664502</v>
      </c>
      <c r="O111" s="5">
        <f t="shared" si="6"/>
        <v>0.95812786785897452</v>
      </c>
      <c r="AH111" s="20"/>
    </row>
    <row r="112" spans="1:34" ht="15.75" customHeight="1">
      <c r="A112" s="8">
        <v>21802</v>
      </c>
      <c r="B112" s="9" t="s">
        <v>142</v>
      </c>
      <c r="C112" s="10">
        <v>883</v>
      </c>
      <c r="D112" s="10">
        <v>384.88889902830124</v>
      </c>
      <c r="E112" s="10">
        <v>1524</v>
      </c>
      <c r="F112" s="11">
        <f t="shared" si="0"/>
        <v>0.57939632545931763</v>
      </c>
      <c r="G112" s="11">
        <f t="shared" si="1"/>
        <v>0.43588776786897082</v>
      </c>
      <c r="H112" s="11">
        <f t="shared" si="2"/>
        <v>0.25255177101594573</v>
      </c>
      <c r="I112" s="12">
        <v>2743</v>
      </c>
      <c r="J112" s="12">
        <v>1166.4444718658924</v>
      </c>
      <c r="K112" s="12">
        <v>5448</v>
      </c>
      <c r="L112" s="13">
        <f t="shared" si="3"/>
        <v>0.50348751835535976</v>
      </c>
      <c r="M112" s="13">
        <f t="shared" si="4"/>
        <v>0.42524406557269134</v>
      </c>
      <c r="N112" s="13">
        <f t="shared" si="5"/>
        <v>0.21410507927053823</v>
      </c>
      <c r="O112" s="5">
        <f t="shared" si="6"/>
        <v>1.179569265130918</v>
      </c>
      <c r="AH112" s="20"/>
    </row>
    <row r="113" spans="1:34" ht="15.75" customHeight="1">
      <c r="A113" s="8">
        <v>21803</v>
      </c>
      <c r="B113" s="9" t="s">
        <v>143</v>
      </c>
      <c r="C113" s="10">
        <v>330</v>
      </c>
      <c r="D113" s="10">
        <v>143.22222581505775</v>
      </c>
      <c r="E113" s="10">
        <v>408</v>
      </c>
      <c r="F113" s="11">
        <f t="shared" si="0"/>
        <v>0.80882352941176472</v>
      </c>
      <c r="G113" s="11">
        <f t="shared" si="1"/>
        <v>0.43400674489411439</v>
      </c>
      <c r="H113" s="11">
        <f t="shared" si="2"/>
        <v>0.35103486719376897</v>
      </c>
      <c r="I113" s="12">
        <v>1232</v>
      </c>
      <c r="J113" s="12">
        <v>551.77779135107994</v>
      </c>
      <c r="K113" s="12">
        <v>1587</v>
      </c>
      <c r="L113" s="13">
        <f t="shared" si="3"/>
        <v>0.7763074984247007</v>
      </c>
      <c r="M113" s="13">
        <f t="shared" si="4"/>
        <v>0.44787158388886361</v>
      </c>
      <c r="N113" s="13">
        <f t="shared" si="5"/>
        <v>0.34768606890427217</v>
      </c>
      <c r="O113" s="5">
        <f t="shared" si="6"/>
        <v>1.009631672330302</v>
      </c>
      <c r="AH113" s="20"/>
    </row>
    <row r="114" spans="1:34" ht="15.75" customHeight="1">
      <c r="A114" s="8">
        <v>21901</v>
      </c>
      <c r="B114" s="9" t="s">
        <v>144</v>
      </c>
      <c r="C114" s="10">
        <v>814</v>
      </c>
      <c r="D114" s="10">
        <v>337.55556377768517</v>
      </c>
      <c r="E114" s="10">
        <v>1464</v>
      </c>
      <c r="F114" s="11">
        <f t="shared" si="0"/>
        <v>0.55601092896174864</v>
      </c>
      <c r="G114" s="11">
        <f t="shared" si="1"/>
        <v>0.414687424788311</v>
      </c>
      <c r="H114" s="11">
        <f t="shared" si="2"/>
        <v>0.23057074028530408</v>
      </c>
      <c r="I114" s="12">
        <v>1587</v>
      </c>
      <c r="J114" s="12">
        <v>659.88890489935875</v>
      </c>
      <c r="K114" s="12">
        <v>3068</v>
      </c>
      <c r="L114" s="13">
        <f t="shared" si="3"/>
        <v>0.51727509778357239</v>
      </c>
      <c r="M114" s="13">
        <f t="shared" si="4"/>
        <v>0.41580901379921786</v>
      </c>
      <c r="N114" s="13">
        <f t="shared" si="5"/>
        <v>0.21508764827228122</v>
      </c>
      <c r="O114" s="5">
        <f t="shared" si="6"/>
        <v>1.0719850355768579</v>
      </c>
      <c r="AH114" s="20"/>
    </row>
    <row r="115" spans="1:34" ht="15.75" customHeight="1">
      <c r="A115" s="8">
        <v>21902</v>
      </c>
      <c r="B115" s="9" t="s">
        <v>145</v>
      </c>
      <c r="C115" s="10">
        <v>272</v>
      </c>
      <c r="D115" s="10">
        <v>117.66666942834854</v>
      </c>
      <c r="E115" s="10">
        <v>499</v>
      </c>
      <c r="F115" s="11">
        <f t="shared" si="0"/>
        <v>0.54509018036072143</v>
      </c>
      <c r="G115" s="11">
        <f t="shared" si="1"/>
        <v>0.43259804936892848</v>
      </c>
      <c r="H115" s="11">
        <f t="shared" si="2"/>
        <v>0.23580494875420549</v>
      </c>
      <c r="I115" s="12">
        <v>1277</v>
      </c>
      <c r="J115" s="12">
        <v>537.00001323223114</v>
      </c>
      <c r="K115" s="12">
        <v>2360</v>
      </c>
      <c r="L115" s="13">
        <f t="shared" si="3"/>
        <v>0.54110169491525428</v>
      </c>
      <c r="M115" s="13">
        <f t="shared" si="4"/>
        <v>0.42051684669712697</v>
      </c>
      <c r="N115" s="13">
        <f t="shared" si="5"/>
        <v>0.22754237848823355</v>
      </c>
      <c r="O115" s="5">
        <f t="shared" si="6"/>
        <v>1.0363122259724431</v>
      </c>
      <c r="AH115" s="20"/>
    </row>
    <row r="116" spans="1:34" ht="15.75" customHeight="1">
      <c r="A116" s="8">
        <v>22001</v>
      </c>
      <c r="B116" s="9" t="s">
        <v>146</v>
      </c>
      <c r="C116" s="10">
        <v>8136</v>
      </c>
      <c r="D116" s="10">
        <v>3575.222310334444</v>
      </c>
      <c r="E116" s="10">
        <v>17951</v>
      </c>
      <c r="F116" s="11">
        <f t="shared" si="0"/>
        <v>0.45323380313074479</v>
      </c>
      <c r="G116" s="11">
        <f t="shared" si="1"/>
        <v>0.43943243735674092</v>
      </c>
      <c r="H116" s="11">
        <f t="shared" si="2"/>
        <v>0.19916563480220845</v>
      </c>
      <c r="I116" s="12">
        <v>14732</v>
      </c>
      <c r="J116" s="12">
        <v>6507.0001636445522</v>
      </c>
      <c r="K116" s="12">
        <v>30874</v>
      </c>
      <c r="L116" s="13">
        <f t="shared" si="3"/>
        <v>0.47716525231586449</v>
      </c>
      <c r="M116" s="13">
        <f t="shared" si="4"/>
        <v>0.44169156690500627</v>
      </c>
      <c r="N116" s="13">
        <f t="shared" si="5"/>
        <v>0.21075986796801685</v>
      </c>
      <c r="O116" s="5">
        <f t="shared" si="6"/>
        <v>0.94498842081468826</v>
      </c>
      <c r="AH116" s="20"/>
    </row>
    <row r="117" spans="1:34" ht="15.75" customHeight="1">
      <c r="A117" s="8">
        <v>22002</v>
      </c>
      <c r="B117" s="9" t="s">
        <v>147</v>
      </c>
      <c r="C117" s="10">
        <v>2234</v>
      </c>
      <c r="D117" s="10">
        <v>1065.1111385524273</v>
      </c>
      <c r="E117" s="10">
        <v>3854</v>
      </c>
      <c r="F117" s="11">
        <f t="shared" si="0"/>
        <v>0.5796574987026466</v>
      </c>
      <c r="G117" s="11">
        <f t="shared" si="1"/>
        <v>0.47677311483994061</v>
      </c>
      <c r="H117" s="11">
        <f t="shared" si="2"/>
        <v>0.27636511119678964</v>
      </c>
      <c r="I117" s="12">
        <v>4571</v>
      </c>
      <c r="J117" s="12">
        <v>2141.3333879113197</v>
      </c>
      <c r="K117" s="12">
        <v>6959</v>
      </c>
      <c r="L117" s="13">
        <f t="shared" si="3"/>
        <v>0.65684724816784024</v>
      </c>
      <c r="M117" s="13">
        <f t="shared" si="4"/>
        <v>0.46846059678654994</v>
      </c>
      <c r="N117" s="13">
        <f t="shared" si="5"/>
        <v>0.30770705387430952</v>
      </c>
      <c r="O117" s="5">
        <f t="shared" si="6"/>
        <v>0.89814356777689508</v>
      </c>
      <c r="AH117" s="20"/>
    </row>
    <row r="118" spans="1:34" ht="15.75" customHeight="1">
      <c r="A118" s="8">
        <v>30101</v>
      </c>
      <c r="B118" s="9" t="s">
        <v>23</v>
      </c>
      <c r="C118" s="10">
        <v>53526</v>
      </c>
      <c r="D118" s="10">
        <v>21614.333878397942</v>
      </c>
      <c r="E118" s="10">
        <v>220286</v>
      </c>
      <c r="F118" s="11">
        <f t="shared" si="0"/>
        <v>0.24298412064316388</v>
      </c>
      <c r="G118" s="11">
        <f t="shared" si="1"/>
        <v>0.40380999660721784</v>
      </c>
      <c r="H118" s="11">
        <f t="shared" si="2"/>
        <v>9.8119416932523823E-2</v>
      </c>
      <c r="I118" s="12">
        <v>82213</v>
      </c>
      <c r="J118" s="12">
        <v>32596.000816881657</v>
      </c>
      <c r="K118" s="12">
        <v>399325</v>
      </c>
      <c r="L118" s="13">
        <f t="shared" si="3"/>
        <v>0.20587992236899769</v>
      </c>
      <c r="M118" s="13">
        <f t="shared" si="4"/>
        <v>0.39648231808694073</v>
      </c>
      <c r="N118" s="13">
        <f t="shared" si="5"/>
        <v>8.16277488684196E-2</v>
      </c>
      <c r="O118" s="5">
        <f t="shared" si="6"/>
        <v>1.2020350713173296</v>
      </c>
      <c r="AH118" s="20"/>
    </row>
    <row r="119" spans="1:34" ht="15.75" customHeight="1">
      <c r="A119" s="8">
        <v>30201</v>
      </c>
      <c r="B119" s="9" t="s">
        <v>148</v>
      </c>
      <c r="C119" s="10">
        <v>2761</v>
      </c>
      <c r="D119" s="10">
        <v>1339.7778128385544</v>
      </c>
      <c r="E119" s="10">
        <v>6599</v>
      </c>
      <c r="F119" s="11">
        <f t="shared" si="0"/>
        <v>0.41839672677678436</v>
      </c>
      <c r="G119" s="11">
        <f t="shared" si="1"/>
        <v>0.48525092822837901</v>
      </c>
      <c r="H119" s="11">
        <f t="shared" si="2"/>
        <v>0.20302740003615008</v>
      </c>
      <c r="I119" s="12">
        <v>8421</v>
      </c>
      <c r="J119" s="12">
        <v>4206.444559186697</v>
      </c>
      <c r="K119" s="12">
        <v>16338</v>
      </c>
      <c r="L119" s="13">
        <f t="shared" si="3"/>
        <v>0.51542416452442164</v>
      </c>
      <c r="M119" s="13">
        <f t="shared" si="4"/>
        <v>0.499518413393504</v>
      </c>
      <c r="N119" s="13">
        <f t="shared" si="5"/>
        <v>0.25746386088791146</v>
      </c>
      <c r="O119" s="5">
        <f t="shared" si="6"/>
        <v>0.78856659469011603</v>
      </c>
      <c r="AH119" s="20"/>
    </row>
    <row r="120" spans="1:34" ht="15.75" customHeight="1">
      <c r="A120" s="8">
        <v>30202</v>
      </c>
      <c r="B120" s="9" t="s">
        <v>149</v>
      </c>
      <c r="C120" s="10">
        <v>865</v>
      </c>
      <c r="D120" s="10">
        <v>374.66667628288269</v>
      </c>
      <c r="E120" s="10">
        <v>1680</v>
      </c>
      <c r="F120" s="11">
        <f t="shared" si="0"/>
        <v>0.51488095238095233</v>
      </c>
      <c r="G120" s="11">
        <f t="shared" si="1"/>
        <v>0.43314066622298575</v>
      </c>
      <c r="H120" s="11">
        <f t="shared" si="2"/>
        <v>0.2230158787398111</v>
      </c>
      <c r="I120" s="12">
        <v>2668</v>
      </c>
      <c r="J120" s="12">
        <v>1278.2222560942173</v>
      </c>
      <c r="K120" s="12">
        <v>5100</v>
      </c>
      <c r="L120" s="13">
        <f t="shared" si="3"/>
        <v>0.52313725490196084</v>
      </c>
      <c r="M120" s="13">
        <f t="shared" si="4"/>
        <v>0.47909379913576361</v>
      </c>
      <c r="N120" s="13">
        <f t="shared" si="5"/>
        <v>0.25063181492043479</v>
      </c>
      <c r="O120" s="5">
        <f t="shared" si="6"/>
        <v>0.88981472208789369</v>
      </c>
      <c r="AH120" s="20"/>
    </row>
    <row r="121" spans="1:34" ht="15.75" customHeight="1">
      <c r="A121" s="8">
        <v>30203</v>
      </c>
      <c r="B121" s="9" t="s">
        <v>150</v>
      </c>
      <c r="C121" s="10">
        <v>605</v>
      </c>
      <c r="D121" s="10">
        <v>305.11111947894096</v>
      </c>
      <c r="E121" s="10">
        <v>1535</v>
      </c>
      <c r="F121" s="11">
        <f t="shared" si="0"/>
        <v>0.39413680781758959</v>
      </c>
      <c r="G121" s="11">
        <f t="shared" si="1"/>
        <v>0.50431589996519166</v>
      </c>
      <c r="H121" s="11">
        <f t="shared" si="2"/>
        <v>0.19876945894393547</v>
      </c>
      <c r="I121" s="12">
        <v>1588</v>
      </c>
      <c r="J121" s="12">
        <v>751.88891008496284</v>
      </c>
      <c r="K121" s="12">
        <v>4038</v>
      </c>
      <c r="L121" s="13">
        <f t="shared" si="3"/>
        <v>0.39326399207528479</v>
      </c>
      <c r="M121" s="13">
        <f t="shared" si="4"/>
        <v>0.47348168141370456</v>
      </c>
      <c r="N121" s="13">
        <f t="shared" si="5"/>
        <v>0.18620329620727163</v>
      </c>
      <c r="O121" s="5">
        <f t="shared" si="6"/>
        <v>1.0674862528892928</v>
      </c>
      <c r="AH121" s="20"/>
    </row>
    <row r="122" spans="1:34" ht="15.75" customHeight="1">
      <c r="A122" s="8">
        <v>30301</v>
      </c>
      <c r="B122" s="9" t="s">
        <v>151</v>
      </c>
      <c r="C122" s="10">
        <v>3398</v>
      </c>
      <c r="D122" s="10">
        <v>1683.8889325857162</v>
      </c>
      <c r="E122" s="10">
        <v>5078</v>
      </c>
      <c r="F122" s="11">
        <f t="shared" si="0"/>
        <v>0.66916108704214261</v>
      </c>
      <c r="G122" s="11">
        <f t="shared" si="1"/>
        <v>0.49555295249726788</v>
      </c>
      <c r="H122" s="11">
        <f t="shared" si="2"/>
        <v>0.33160475238001502</v>
      </c>
      <c r="I122" s="12">
        <v>12760</v>
      </c>
      <c r="J122" s="12">
        <v>6351.2223944962025</v>
      </c>
      <c r="K122" s="12">
        <v>18224</v>
      </c>
      <c r="L122" s="13">
        <f t="shared" si="3"/>
        <v>0.70017559262510976</v>
      </c>
      <c r="M122" s="13">
        <f t="shared" si="4"/>
        <v>0.49774470176302527</v>
      </c>
      <c r="N122" s="13">
        <f t="shared" si="5"/>
        <v>0.34850869153293473</v>
      </c>
      <c r="O122" s="5">
        <f t="shared" si="6"/>
        <v>0.95149636274904137</v>
      </c>
      <c r="AH122" s="20"/>
    </row>
    <row r="123" spans="1:34" ht="15.75" customHeight="1">
      <c r="A123" s="8">
        <v>30302</v>
      </c>
      <c r="B123" s="9" t="s">
        <v>152</v>
      </c>
      <c r="C123" s="10">
        <v>2296</v>
      </c>
      <c r="D123" s="10">
        <v>1177.5555874705315</v>
      </c>
      <c r="E123" s="10">
        <v>3181</v>
      </c>
      <c r="F123" s="11">
        <f t="shared" si="0"/>
        <v>0.72178560201194597</v>
      </c>
      <c r="G123" s="11">
        <f t="shared" si="1"/>
        <v>0.51287264262653809</v>
      </c>
      <c r="H123" s="11">
        <f t="shared" si="2"/>
        <v>0.37018408911365341</v>
      </c>
      <c r="I123" s="12">
        <v>7179</v>
      </c>
      <c r="J123" s="12">
        <v>3714.4445427954197</v>
      </c>
      <c r="K123" s="12">
        <v>9495</v>
      </c>
      <c r="L123" s="13">
        <f t="shared" si="3"/>
        <v>0.75608214849921007</v>
      </c>
      <c r="M123" s="13">
        <f t="shared" si="4"/>
        <v>0.51740417088667223</v>
      </c>
      <c r="N123" s="13">
        <f t="shared" si="5"/>
        <v>0.39120005716644757</v>
      </c>
      <c r="O123" s="5">
        <f t="shared" si="6"/>
        <v>0.94627820812446284</v>
      </c>
      <c r="AH123" s="20"/>
    </row>
    <row r="124" spans="1:34" ht="15.75" customHeight="1">
      <c r="A124" s="8">
        <v>30303</v>
      </c>
      <c r="B124" s="9" t="s">
        <v>153</v>
      </c>
      <c r="C124" s="10">
        <v>3010</v>
      </c>
      <c r="D124" s="10">
        <v>1558.3333749175072</v>
      </c>
      <c r="E124" s="10">
        <v>3471</v>
      </c>
      <c r="F124" s="11">
        <f t="shared" si="0"/>
        <v>0.86718524920772111</v>
      </c>
      <c r="G124" s="11">
        <f t="shared" si="1"/>
        <v>0.51771872920847417</v>
      </c>
      <c r="H124" s="11">
        <f t="shared" si="2"/>
        <v>0.44895804520815535</v>
      </c>
      <c r="I124" s="12">
        <v>11666</v>
      </c>
      <c r="J124" s="12">
        <v>5853.0001582801342</v>
      </c>
      <c r="K124" s="12">
        <v>14005</v>
      </c>
      <c r="L124" s="13">
        <f t="shared" si="3"/>
        <v>0.83298821849339522</v>
      </c>
      <c r="M124" s="13">
        <f t="shared" si="4"/>
        <v>0.5017143972467113</v>
      </c>
      <c r="N124" s="13">
        <f t="shared" si="5"/>
        <v>0.41792218195502562</v>
      </c>
      <c r="O124" s="5">
        <f t="shared" si="6"/>
        <v>1.0742623019145454</v>
      </c>
      <c r="AH124" s="20"/>
    </row>
    <row r="125" spans="1:34" ht="15.75" customHeight="1">
      <c r="A125" s="8">
        <v>30401</v>
      </c>
      <c r="B125" s="9" t="s">
        <v>154</v>
      </c>
      <c r="C125" s="10">
        <v>1163</v>
      </c>
      <c r="D125" s="10">
        <v>536.11112570762634</v>
      </c>
      <c r="E125" s="10">
        <v>3205</v>
      </c>
      <c r="F125" s="11">
        <f t="shared" si="0"/>
        <v>0.36287051482059285</v>
      </c>
      <c r="G125" s="11">
        <f t="shared" si="1"/>
        <v>0.46097259304181115</v>
      </c>
      <c r="H125" s="11">
        <f t="shared" si="2"/>
        <v>0.16727336215526564</v>
      </c>
      <c r="I125" s="12">
        <v>1772</v>
      </c>
      <c r="J125" s="12">
        <v>837.11113348603249</v>
      </c>
      <c r="K125" s="12">
        <v>4561</v>
      </c>
      <c r="L125" s="13">
        <f t="shared" si="3"/>
        <v>0.38851129138346852</v>
      </c>
      <c r="M125" s="13">
        <f t="shared" si="4"/>
        <v>0.4724103462110793</v>
      </c>
      <c r="N125" s="13">
        <f t="shared" si="5"/>
        <v>0.18353675366937788</v>
      </c>
      <c r="O125" s="5">
        <f t="shared" si="6"/>
        <v>0.91138891154515556</v>
      </c>
      <c r="AH125" s="20"/>
    </row>
    <row r="126" spans="1:34" ht="15.75" customHeight="1">
      <c r="A126" s="8">
        <v>30402</v>
      </c>
      <c r="B126" s="9" t="s">
        <v>155</v>
      </c>
      <c r="C126" s="10">
        <v>1665</v>
      </c>
      <c r="D126" s="10">
        <v>809.11113366484642</v>
      </c>
      <c r="E126" s="10">
        <v>2423</v>
      </c>
      <c r="F126" s="11">
        <f t="shared" si="0"/>
        <v>0.68716467189434582</v>
      </c>
      <c r="G126" s="11">
        <f t="shared" si="1"/>
        <v>0.48595263283173962</v>
      </c>
      <c r="H126" s="11">
        <f t="shared" si="2"/>
        <v>0.33392948149601587</v>
      </c>
      <c r="I126" s="12">
        <v>3339</v>
      </c>
      <c r="J126" s="12">
        <v>1645.333378225565</v>
      </c>
      <c r="K126" s="12">
        <v>4663</v>
      </c>
      <c r="L126" s="13">
        <f t="shared" si="3"/>
        <v>0.71606262063049542</v>
      </c>
      <c r="M126" s="13">
        <f t="shared" si="4"/>
        <v>0.49276231752787208</v>
      </c>
      <c r="N126" s="13">
        <f t="shared" si="5"/>
        <v>0.35284867643696438</v>
      </c>
      <c r="O126" s="5">
        <f t="shared" si="6"/>
        <v>0.94638156182986732</v>
      </c>
      <c r="AH126" s="20"/>
    </row>
    <row r="127" spans="1:34" ht="15.75" customHeight="1">
      <c r="A127" s="8">
        <v>30403</v>
      </c>
      <c r="B127" s="9" t="s">
        <v>156</v>
      </c>
      <c r="C127" s="10">
        <v>2695</v>
      </c>
      <c r="D127" s="10">
        <v>1187.0000308454037</v>
      </c>
      <c r="E127" s="10">
        <v>6750</v>
      </c>
      <c r="F127" s="11">
        <f t="shared" si="0"/>
        <v>0.39925925925925926</v>
      </c>
      <c r="G127" s="11">
        <f t="shared" si="1"/>
        <v>0.4404452804621164</v>
      </c>
      <c r="H127" s="11">
        <f t="shared" si="2"/>
        <v>0.17585185642154127</v>
      </c>
      <c r="I127" s="12">
        <v>4085</v>
      </c>
      <c r="J127" s="12">
        <v>1822.7778252959251</v>
      </c>
      <c r="K127" s="12">
        <v>10320</v>
      </c>
      <c r="L127" s="13">
        <f t="shared" si="3"/>
        <v>0.39583333333333331</v>
      </c>
      <c r="M127" s="13">
        <f t="shared" si="4"/>
        <v>0.44621244193290699</v>
      </c>
      <c r="N127" s="13">
        <f t="shared" si="5"/>
        <v>0.17662575826510901</v>
      </c>
      <c r="O127" s="5">
        <f t="shared" si="6"/>
        <v>0.99561840893893783</v>
      </c>
      <c r="AH127" s="20"/>
    </row>
    <row r="128" spans="1:34" ht="15.75" customHeight="1">
      <c r="A128" s="8">
        <v>30404</v>
      </c>
      <c r="B128" s="9" t="s">
        <v>157</v>
      </c>
      <c r="C128" s="10">
        <v>1062</v>
      </c>
      <c r="D128" s="10">
        <v>504.4444580078125</v>
      </c>
      <c r="E128" s="10">
        <v>1566</v>
      </c>
      <c r="F128" s="11">
        <f t="shared" si="0"/>
        <v>0.67816091954022983</v>
      </c>
      <c r="G128" s="11">
        <f t="shared" si="1"/>
        <v>0.47499478155161251</v>
      </c>
      <c r="H128" s="11">
        <f t="shared" si="2"/>
        <v>0.32212289783385212</v>
      </c>
      <c r="I128" s="12">
        <v>1631</v>
      </c>
      <c r="J128" s="12">
        <v>756.88890779018402</v>
      </c>
      <c r="K128" s="12">
        <v>2731</v>
      </c>
      <c r="L128" s="13">
        <f t="shared" si="3"/>
        <v>0.5972171365800073</v>
      </c>
      <c r="M128" s="13">
        <f t="shared" si="4"/>
        <v>0.4640643211466487</v>
      </c>
      <c r="N128" s="13">
        <f t="shared" si="5"/>
        <v>0.27714716506414644</v>
      </c>
      <c r="O128" s="5">
        <f t="shared" si="6"/>
        <v>1.1622810493453755</v>
      </c>
      <c r="AH128" s="20"/>
    </row>
    <row r="129" spans="1:34" ht="15.75" customHeight="1">
      <c r="A129" s="8">
        <v>30501</v>
      </c>
      <c r="B129" s="9" t="s">
        <v>158</v>
      </c>
      <c r="C129" s="10">
        <v>1183</v>
      </c>
      <c r="D129" s="10">
        <v>503.00001311302185</v>
      </c>
      <c r="E129" s="10">
        <v>3829</v>
      </c>
      <c r="F129" s="11">
        <f t="shared" si="0"/>
        <v>0.30895795246800734</v>
      </c>
      <c r="G129" s="11">
        <f t="shared" si="1"/>
        <v>0.42519020550551295</v>
      </c>
      <c r="H129" s="11">
        <f t="shared" si="2"/>
        <v>0.13136589530243453</v>
      </c>
      <c r="I129" s="12">
        <v>1430</v>
      </c>
      <c r="J129" s="12">
        <v>637.44446143507957</v>
      </c>
      <c r="K129" s="12">
        <v>5495</v>
      </c>
      <c r="L129" s="13">
        <f t="shared" si="3"/>
        <v>0.26023657870791628</v>
      </c>
      <c r="M129" s="13">
        <f t="shared" si="4"/>
        <v>0.44576535764690878</v>
      </c>
      <c r="N129" s="13">
        <f t="shared" si="5"/>
        <v>0.11600445158054222</v>
      </c>
      <c r="O129" s="5">
        <f t="shared" si="6"/>
        <v>1.1324211572279776</v>
      </c>
      <c r="AH129" s="20"/>
    </row>
    <row r="130" spans="1:34" ht="15.75" customHeight="1">
      <c r="A130" s="8">
        <v>30502</v>
      </c>
      <c r="B130" s="9" t="s">
        <v>159</v>
      </c>
      <c r="C130" s="10">
        <v>2055</v>
      </c>
      <c r="D130" s="10">
        <v>920.44446840882301</v>
      </c>
      <c r="E130" s="10">
        <v>3562</v>
      </c>
      <c r="F130" s="11">
        <f t="shared" si="0"/>
        <v>0.57692307692307687</v>
      </c>
      <c r="G130" s="11">
        <f t="shared" si="1"/>
        <v>0.44790485080721315</v>
      </c>
      <c r="H130" s="11">
        <f t="shared" si="2"/>
        <v>0.25840664469646912</v>
      </c>
      <c r="I130" s="12">
        <v>2650</v>
      </c>
      <c r="J130" s="12">
        <v>1173.6666973233223</v>
      </c>
      <c r="K130" s="12">
        <v>5253</v>
      </c>
      <c r="L130" s="13">
        <f t="shared" si="3"/>
        <v>0.50447363411383972</v>
      </c>
      <c r="M130" s="13">
        <f t="shared" si="4"/>
        <v>0.44289309332955556</v>
      </c>
      <c r="N130" s="13">
        <f t="shared" si="5"/>
        <v>0.22342788831588087</v>
      </c>
      <c r="O130" s="5">
        <f t="shared" si="6"/>
        <v>1.1565550148830817</v>
      </c>
      <c r="AH130" s="20"/>
    </row>
    <row r="131" spans="1:34" ht="15.75" customHeight="1">
      <c r="A131" s="8">
        <v>30601</v>
      </c>
      <c r="B131" s="9" t="s">
        <v>160</v>
      </c>
      <c r="C131" s="10">
        <v>2347</v>
      </c>
      <c r="D131" s="10">
        <v>1195.1111449301243</v>
      </c>
      <c r="E131" s="10">
        <v>2937</v>
      </c>
      <c r="F131" s="11">
        <f t="shared" si="0"/>
        <v>0.79911474293496765</v>
      </c>
      <c r="G131" s="11">
        <f t="shared" si="1"/>
        <v>0.50920798676187651</v>
      </c>
      <c r="H131" s="11">
        <f t="shared" si="2"/>
        <v>0.40691560944164934</v>
      </c>
      <c r="I131" s="12">
        <v>6071</v>
      </c>
      <c r="J131" s="12">
        <v>3133.3334178030491</v>
      </c>
      <c r="K131" s="12">
        <v>7464</v>
      </c>
      <c r="L131" s="13">
        <f t="shared" si="3"/>
        <v>0.81337084673097537</v>
      </c>
      <c r="M131" s="13">
        <f t="shared" si="4"/>
        <v>0.51611487692357916</v>
      </c>
      <c r="N131" s="13">
        <f t="shared" si="5"/>
        <v>0.4197927944537847</v>
      </c>
      <c r="O131" s="5">
        <f t="shared" si="6"/>
        <v>0.96932490223208678</v>
      </c>
      <c r="AH131" s="20"/>
    </row>
    <row r="132" spans="1:34" ht="15.75" customHeight="1">
      <c r="A132" s="8">
        <v>30602</v>
      </c>
      <c r="B132" s="9" t="s">
        <v>161</v>
      </c>
      <c r="C132" s="10">
        <v>2254</v>
      </c>
      <c r="D132" s="10">
        <v>1009.0000267326832</v>
      </c>
      <c r="E132" s="10">
        <v>3176</v>
      </c>
      <c r="F132" s="11">
        <f t="shared" si="0"/>
        <v>0.70969773299748107</v>
      </c>
      <c r="G132" s="11">
        <f t="shared" si="1"/>
        <v>0.44764863652736608</v>
      </c>
      <c r="H132" s="11">
        <f t="shared" si="2"/>
        <v>0.31769522252288512</v>
      </c>
      <c r="I132" s="12">
        <v>4779</v>
      </c>
      <c r="J132" s="12">
        <v>2136.5556092858315</v>
      </c>
      <c r="K132" s="12">
        <v>6808</v>
      </c>
      <c r="L132" s="13">
        <f t="shared" si="3"/>
        <v>0.70196827262044659</v>
      </c>
      <c r="M132" s="13">
        <f t="shared" si="4"/>
        <v>0.4470716905808394</v>
      </c>
      <c r="N132" s="13">
        <f t="shared" si="5"/>
        <v>0.3138301423745346</v>
      </c>
      <c r="O132" s="5">
        <f t="shared" si="6"/>
        <v>1.0123158346712848</v>
      </c>
      <c r="AH132" s="20"/>
    </row>
    <row r="133" spans="1:34" ht="15.75" customHeight="1">
      <c r="A133" s="8">
        <v>30701</v>
      </c>
      <c r="B133" s="9" t="s">
        <v>162</v>
      </c>
      <c r="C133" s="10">
        <v>2520</v>
      </c>
      <c r="D133" s="10">
        <v>1150.7778074741364</v>
      </c>
      <c r="E133" s="10">
        <v>6845</v>
      </c>
      <c r="F133" s="11">
        <f t="shared" si="0"/>
        <v>0.36815193571950328</v>
      </c>
      <c r="G133" s="11">
        <f t="shared" si="1"/>
        <v>0.45665786010878429</v>
      </c>
      <c r="H133" s="11">
        <f t="shared" si="2"/>
        <v>0.16811947516057507</v>
      </c>
      <c r="I133" s="12">
        <v>4039</v>
      </c>
      <c r="J133" s="12">
        <v>1826.7778232395649</v>
      </c>
      <c r="K133" s="12">
        <v>12259</v>
      </c>
      <c r="L133" s="13">
        <f t="shared" si="3"/>
        <v>0.32947222448813118</v>
      </c>
      <c r="M133" s="13">
        <f t="shared" si="4"/>
        <v>0.45228468017815421</v>
      </c>
      <c r="N133" s="13">
        <f t="shared" si="5"/>
        <v>0.14901523968019945</v>
      </c>
      <c r="O133" s="5">
        <f t="shared" si="6"/>
        <v>1.1282032329134597</v>
      </c>
      <c r="AH133" s="20"/>
    </row>
    <row r="134" spans="1:34" ht="15.75" customHeight="1">
      <c r="A134" s="8">
        <v>30702</v>
      </c>
      <c r="B134" s="9" t="s">
        <v>163</v>
      </c>
      <c r="C134" s="10">
        <v>912</v>
      </c>
      <c r="D134" s="10">
        <v>395.00001057982445</v>
      </c>
      <c r="E134" s="10">
        <v>2698</v>
      </c>
      <c r="F134" s="11">
        <f t="shared" si="0"/>
        <v>0.3380281690140845</v>
      </c>
      <c r="G134" s="11">
        <f t="shared" si="1"/>
        <v>0.43311404668840398</v>
      </c>
      <c r="H134" s="11">
        <f t="shared" si="2"/>
        <v>0.1464047481763619</v>
      </c>
      <c r="I134" s="12">
        <v>1187</v>
      </c>
      <c r="J134" s="12">
        <v>527.11112397909164</v>
      </c>
      <c r="K134" s="12">
        <v>3626</v>
      </c>
      <c r="L134" s="13">
        <f t="shared" si="3"/>
        <v>0.32735797021511309</v>
      </c>
      <c r="M134" s="13">
        <f t="shared" si="4"/>
        <v>0.44407002862602496</v>
      </c>
      <c r="N134" s="13">
        <f t="shared" si="5"/>
        <v>0.14536986320438269</v>
      </c>
      <c r="O134" s="5">
        <f t="shared" si="6"/>
        <v>1.0071189787839603</v>
      </c>
      <c r="AH134" s="20"/>
    </row>
    <row r="135" spans="1:34" ht="15.75" customHeight="1">
      <c r="A135" s="8">
        <v>30703</v>
      </c>
      <c r="B135" s="9" t="s">
        <v>164</v>
      </c>
      <c r="C135" s="10">
        <v>644</v>
      </c>
      <c r="D135" s="10">
        <v>295.77778589725494</v>
      </c>
      <c r="E135" s="10">
        <v>1054</v>
      </c>
      <c r="F135" s="11">
        <f t="shared" si="0"/>
        <v>0.61100569259962045</v>
      </c>
      <c r="G135" s="11">
        <f t="shared" si="1"/>
        <v>0.45928227623797352</v>
      </c>
      <c r="H135" s="11">
        <f t="shared" si="2"/>
        <v>0.28062408529151323</v>
      </c>
      <c r="I135" s="12">
        <v>1487</v>
      </c>
      <c r="J135" s="12">
        <v>712.33335292339325</v>
      </c>
      <c r="K135" s="12">
        <v>2650</v>
      </c>
      <c r="L135" s="13">
        <f t="shared" si="3"/>
        <v>0.56113207547169808</v>
      </c>
      <c r="M135" s="13">
        <f t="shared" si="4"/>
        <v>0.4790405870365792</v>
      </c>
      <c r="N135" s="13">
        <f t="shared" si="5"/>
        <v>0.2688050388390163</v>
      </c>
      <c r="O135" s="5">
        <f t="shared" si="6"/>
        <v>1.0439688426360758</v>
      </c>
      <c r="AH135" s="20"/>
    </row>
    <row r="136" spans="1:34" ht="15.75" customHeight="1">
      <c r="A136" s="8">
        <v>30801</v>
      </c>
      <c r="B136" s="9" t="s">
        <v>165</v>
      </c>
      <c r="C136" s="10">
        <v>1283</v>
      </c>
      <c r="D136" s="10">
        <v>493.11112397909164</v>
      </c>
      <c r="E136" s="10">
        <v>6959</v>
      </c>
      <c r="F136" s="11">
        <f t="shared" si="0"/>
        <v>0.18436556976577095</v>
      </c>
      <c r="G136" s="11">
        <f t="shared" si="1"/>
        <v>0.38434226342875422</v>
      </c>
      <c r="H136" s="11">
        <f t="shared" si="2"/>
        <v>7.0859480382108306E-2</v>
      </c>
      <c r="I136" s="12">
        <v>2076</v>
      </c>
      <c r="J136" s="12">
        <v>787.11113086342812</v>
      </c>
      <c r="K136" s="12">
        <v>14731</v>
      </c>
      <c r="L136" s="13">
        <f t="shared" si="3"/>
        <v>0.14092729617812777</v>
      </c>
      <c r="M136" s="13">
        <f t="shared" si="4"/>
        <v>0.37914794357583242</v>
      </c>
      <c r="N136" s="13">
        <f t="shared" si="5"/>
        <v>5.3432294539639415E-2</v>
      </c>
      <c r="O136" s="5">
        <f t="shared" si="6"/>
        <v>1.3261545474065373</v>
      </c>
      <c r="AH136" s="20"/>
    </row>
    <row r="137" spans="1:34" ht="15.75" customHeight="1">
      <c r="A137" s="8">
        <v>30802</v>
      </c>
      <c r="B137" s="9" t="s">
        <v>166</v>
      </c>
      <c r="C137" s="10">
        <v>709</v>
      </c>
      <c r="D137" s="10">
        <v>293.44445222616196</v>
      </c>
      <c r="E137" s="10">
        <v>2259</v>
      </c>
      <c r="F137" s="11">
        <f t="shared" si="0"/>
        <v>0.31385568835768041</v>
      </c>
      <c r="G137" s="11">
        <f t="shared" si="1"/>
        <v>0.4138849819833032</v>
      </c>
      <c r="H137" s="11">
        <f t="shared" si="2"/>
        <v>0.12990015592127577</v>
      </c>
      <c r="I137" s="12">
        <v>1275</v>
      </c>
      <c r="J137" s="12">
        <v>528.33334612846375</v>
      </c>
      <c r="K137" s="12">
        <v>4758</v>
      </c>
      <c r="L137" s="13">
        <f t="shared" si="3"/>
        <v>0.26796973518284994</v>
      </c>
      <c r="M137" s="13">
        <f t="shared" si="4"/>
        <v>0.41437909500271664</v>
      </c>
      <c r="N137" s="13">
        <f t="shared" si="5"/>
        <v>0.11104105635318699</v>
      </c>
      <c r="O137" s="5">
        <f t="shared" si="6"/>
        <v>1.1698389783694407</v>
      </c>
      <c r="AH137" s="20"/>
    </row>
    <row r="138" spans="1:34" ht="15.75" customHeight="1">
      <c r="A138" s="8">
        <v>30803</v>
      </c>
      <c r="B138" s="9" t="s">
        <v>167</v>
      </c>
      <c r="C138" s="10">
        <v>443</v>
      </c>
      <c r="D138" s="10">
        <v>172.77778229117393</v>
      </c>
      <c r="E138" s="10">
        <v>2070</v>
      </c>
      <c r="F138" s="11">
        <f t="shared" si="0"/>
        <v>0.21400966183574879</v>
      </c>
      <c r="G138" s="11">
        <f t="shared" si="1"/>
        <v>0.39001756724869963</v>
      </c>
      <c r="H138" s="11">
        <f t="shared" si="2"/>
        <v>8.3467527676895623E-2</v>
      </c>
      <c r="I138" s="12">
        <v>780</v>
      </c>
      <c r="J138" s="12">
        <v>306.55556291341782</v>
      </c>
      <c r="K138" s="12">
        <v>3042</v>
      </c>
      <c r="L138" s="13">
        <f t="shared" si="3"/>
        <v>0.25641025641025639</v>
      </c>
      <c r="M138" s="13">
        <f t="shared" si="4"/>
        <v>0.39301995245309979</v>
      </c>
      <c r="N138" s="13">
        <f t="shared" si="5"/>
        <v>0.10077434678284609</v>
      </c>
      <c r="O138" s="5">
        <f t="shared" si="6"/>
        <v>0.82826165925695239</v>
      </c>
      <c r="AH138" s="20"/>
    </row>
    <row r="139" spans="1:34" ht="15.75" customHeight="1">
      <c r="A139" s="8">
        <v>30901</v>
      </c>
      <c r="B139" s="9" t="s">
        <v>168</v>
      </c>
      <c r="C139" s="10">
        <v>7668</v>
      </c>
      <c r="D139" s="10">
        <v>3060.7778562903404</v>
      </c>
      <c r="E139" s="10">
        <v>44505</v>
      </c>
      <c r="F139" s="11">
        <f t="shared" si="0"/>
        <v>0.17229524772497473</v>
      </c>
      <c r="G139" s="11">
        <f t="shared" si="1"/>
        <v>0.39916247473791605</v>
      </c>
      <c r="H139" s="11">
        <f t="shared" si="2"/>
        <v>6.8773797467483216E-2</v>
      </c>
      <c r="I139" s="12">
        <v>13941</v>
      </c>
      <c r="J139" s="12">
        <v>5555.2223656177521</v>
      </c>
      <c r="K139" s="12">
        <v>89995</v>
      </c>
      <c r="L139" s="13">
        <f t="shared" si="3"/>
        <v>0.15490860603366854</v>
      </c>
      <c r="M139" s="13">
        <f t="shared" si="4"/>
        <v>0.39848090995034446</v>
      </c>
      <c r="N139" s="13">
        <f t="shared" si="5"/>
        <v>6.1728122291435664E-2</v>
      </c>
      <c r="O139" s="5">
        <f t="shared" si="6"/>
        <v>1.1141404422247441</v>
      </c>
      <c r="AH139" s="20"/>
    </row>
    <row r="140" spans="1:34" ht="15.75" customHeight="1">
      <c r="A140" s="8">
        <v>30902</v>
      </c>
      <c r="B140" s="9" t="s">
        <v>169</v>
      </c>
      <c r="C140" s="10">
        <v>4147</v>
      </c>
      <c r="D140" s="10">
        <v>1823.4444926381111</v>
      </c>
      <c r="E140" s="10">
        <v>14875</v>
      </c>
      <c r="F140" s="11">
        <f t="shared" si="0"/>
        <v>0.27878991596638658</v>
      </c>
      <c r="G140" s="11">
        <f t="shared" si="1"/>
        <v>0.43970207201304823</v>
      </c>
      <c r="H140" s="11">
        <f t="shared" si="2"/>
        <v>0.12258450370676377</v>
      </c>
      <c r="I140" s="12">
        <v>6886</v>
      </c>
      <c r="J140" s="12">
        <v>3126.5556356608868</v>
      </c>
      <c r="K140" s="12">
        <v>25873</v>
      </c>
      <c r="L140" s="13">
        <f t="shared" si="3"/>
        <v>0.26614617554980097</v>
      </c>
      <c r="M140" s="13">
        <f t="shared" si="4"/>
        <v>0.4540452564131407</v>
      </c>
      <c r="N140" s="13">
        <f t="shared" si="5"/>
        <v>0.12084240852088614</v>
      </c>
      <c r="O140" s="5">
        <f t="shared" si="6"/>
        <v>1.0144162567363637</v>
      </c>
      <c r="AH140" s="20"/>
    </row>
    <row r="141" spans="1:34" ht="15.75" customHeight="1">
      <c r="A141" s="8">
        <v>30903</v>
      </c>
      <c r="B141" s="9" t="s">
        <v>170</v>
      </c>
      <c r="C141" s="10">
        <v>4624</v>
      </c>
      <c r="D141" s="10">
        <v>1888.2222705185413</v>
      </c>
      <c r="E141" s="10">
        <v>17617</v>
      </c>
      <c r="F141" s="11">
        <f t="shared" si="0"/>
        <v>0.26247374694896974</v>
      </c>
      <c r="G141" s="11">
        <f t="shared" si="1"/>
        <v>0.4083525671536638</v>
      </c>
      <c r="H141" s="11">
        <f t="shared" si="2"/>
        <v>0.10718182837705292</v>
      </c>
      <c r="I141" s="12">
        <v>8226</v>
      </c>
      <c r="J141" s="12">
        <v>3352.5556426346302</v>
      </c>
      <c r="K141" s="12">
        <v>35058</v>
      </c>
      <c r="L141" s="13">
        <f t="shared" si="3"/>
        <v>0.23463973985966113</v>
      </c>
      <c r="M141" s="13">
        <f t="shared" si="4"/>
        <v>0.40755599837522855</v>
      </c>
      <c r="N141" s="13">
        <f t="shared" si="5"/>
        <v>9.5628833437008107E-2</v>
      </c>
      <c r="O141" s="5">
        <f t="shared" si="6"/>
        <v>1.1208107902691808</v>
      </c>
      <c r="AH141" s="20"/>
    </row>
    <row r="142" spans="1:34" ht="15.75" customHeight="1">
      <c r="A142" s="8">
        <v>30904</v>
      </c>
      <c r="B142" s="9" t="s">
        <v>171</v>
      </c>
      <c r="C142" s="10">
        <v>5301</v>
      </c>
      <c r="D142" s="10">
        <v>2154.6667205393314</v>
      </c>
      <c r="E142" s="10">
        <v>17595</v>
      </c>
      <c r="F142" s="11">
        <f t="shared" si="0"/>
        <v>0.30127877237851663</v>
      </c>
      <c r="G142" s="11">
        <f t="shared" si="1"/>
        <v>0.40646419930943811</v>
      </c>
      <c r="H142" s="11">
        <f t="shared" si="2"/>
        <v>0.12245903498376422</v>
      </c>
      <c r="I142" s="12">
        <v>8414</v>
      </c>
      <c r="J142" s="12">
        <v>3440.777865588665</v>
      </c>
      <c r="K142" s="12">
        <v>33607</v>
      </c>
      <c r="L142" s="13">
        <f t="shared" si="3"/>
        <v>0.25036450739429283</v>
      </c>
      <c r="M142" s="13">
        <f t="shared" si="4"/>
        <v>0.40893485447928035</v>
      </c>
      <c r="N142" s="13">
        <f t="shared" si="5"/>
        <v>0.10238277339806184</v>
      </c>
      <c r="O142" s="5">
        <f t="shared" si="6"/>
        <v>1.196090230019911</v>
      </c>
      <c r="AH142" s="20"/>
    </row>
    <row r="143" spans="1:34" ht="15.75" customHeight="1">
      <c r="A143" s="8">
        <v>30905</v>
      </c>
      <c r="B143" s="9" t="s">
        <v>172</v>
      </c>
      <c r="C143" s="10">
        <v>1920</v>
      </c>
      <c r="D143" s="10">
        <v>714.33335077762604</v>
      </c>
      <c r="E143" s="10">
        <v>15982</v>
      </c>
      <c r="F143" s="11">
        <f t="shared" si="0"/>
        <v>0.12013515204605181</v>
      </c>
      <c r="G143" s="11">
        <f t="shared" si="1"/>
        <v>0.37204862019668022</v>
      </c>
      <c r="H143" s="11">
        <f t="shared" si="2"/>
        <v>4.4696117555851962E-2</v>
      </c>
      <c r="I143" s="12">
        <v>3448</v>
      </c>
      <c r="J143" s="12">
        <v>1284.5555873811245</v>
      </c>
      <c r="K143" s="12">
        <v>35236</v>
      </c>
      <c r="L143" s="13">
        <f t="shared" si="3"/>
        <v>9.7854467022363487E-2</v>
      </c>
      <c r="M143" s="13">
        <f t="shared" si="4"/>
        <v>0.37255092441447929</v>
      </c>
      <c r="N143" s="13">
        <f t="shared" si="5"/>
        <v>3.6455772147267695E-2</v>
      </c>
      <c r="O143" s="5">
        <f t="shared" si="6"/>
        <v>1.2260367816458899</v>
      </c>
      <c r="AH143" s="20"/>
    </row>
    <row r="144" spans="1:34" ht="15.75" customHeight="1">
      <c r="A144" s="8">
        <v>31001</v>
      </c>
      <c r="B144" s="9" t="s">
        <v>173</v>
      </c>
      <c r="C144" s="10">
        <v>15337</v>
      </c>
      <c r="D144" s="10">
        <v>6301.3334960341454</v>
      </c>
      <c r="E144" s="10">
        <v>59946</v>
      </c>
      <c r="F144" s="11">
        <f t="shared" si="0"/>
        <v>0.25584692890267907</v>
      </c>
      <c r="G144" s="11">
        <f t="shared" si="1"/>
        <v>0.41085828363005444</v>
      </c>
      <c r="H144" s="11">
        <f t="shared" si="2"/>
        <v>0.10511683008097529</v>
      </c>
      <c r="I144" s="12">
        <v>24183</v>
      </c>
      <c r="J144" s="12">
        <v>9835.5558040142059</v>
      </c>
      <c r="K144" s="12">
        <v>109140</v>
      </c>
      <c r="L144" s="13">
        <f t="shared" si="3"/>
        <v>0.22157778999450248</v>
      </c>
      <c r="M144" s="13">
        <f t="shared" si="4"/>
        <v>0.40671363371021818</v>
      </c>
      <c r="N144" s="13">
        <f t="shared" si="5"/>
        <v>9.0118708118143723E-2</v>
      </c>
      <c r="O144" s="5">
        <f t="shared" si="6"/>
        <v>1.166426286794628</v>
      </c>
      <c r="AH144" s="20"/>
    </row>
    <row r="145" spans="1:34" ht="15.75" customHeight="1">
      <c r="A145" s="8">
        <v>31002</v>
      </c>
      <c r="B145" s="9" t="s">
        <v>174</v>
      </c>
      <c r="C145" s="10">
        <v>2847</v>
      </c>
      <c r="D145" s="10">
        <v>1284.6667020320892</v>
      </c>
      <c r="E145" s="10">
        <v>6926</v>
      </c>
      <c r="F145" s="11">
        <f t="shared" si="0"/>
        <v>0.41105977476176725</v>
      </c>
      <c r="G145" s="11">
        <f t="shared" si="1"/>
        <v>0.45123523078050204</v>
      </c>
      <c r="H145" s="11">
        <f t="shared" si="2"/>
        <v>0.18548465232920724</v>
      </c>
      <c r="I145" s="12">
        <v>4928</v>
      </c>
      <c r="J145" s="12">
        <v>2239.2222758233547</v>
      </c>
      <c r="K145" s="12">
        <v>11637</v>
      </c>
      <c r="L145" s="13">
        <f t="shared" si="3"/>
        <v>0.4234768411102518</v>
      </c>
      <c r="M145" s="13">
        <f t="shared" si="4"/>
        <v>0.45438763713947944</v>
      </c>
      <c r="N145" s="13">
        <f t="shared" si="5"/>
        <v>0.19242264121537808</v>
      </c>
      <c r="O145" s="5">
        <f t="shared" si="6"/>
        <v>0.96394400969475746</v>
      </c>
      <c r="AH145" s="20"/>
    </row>
    <row r="146" spans="1:34" ht="15.75" customHeight="1">
      <c r="A146" s="8">
        <v>31003</v>
      </c>
      <c r="B146" s="9" t="s">
        <v>175</v>
      </c>
      <c r="C146" s="10">
        <v>13062</v>
      </c>
      <c r="D146" s="10">
        <v>5868.0001518130302</v>
      </c>
      <c r="E146" s="10">
        <v>23520</v>
      </c>
      <c r="F146" s="11">
        <f t="shared" si="0"/>
        <v>0.55535714285714288</v>
      </c>
      <c r="G146" s="11">
        <f t="shared" si="1"/>
        <v>0.4492420878742176</v>
      </c>
      <c r="H146" s="11">
        <f t="shared" si="2"/>
        <v>0.249489802373003</v>
      </c>
      <c r="I146" s="12">
        <v>27415</v>
      </c>
      <c r="J146" s="12">
        <v>12386.222526431084</v>
      </c>
      <c r="K146" s="12">
        <v>44727</v>
      </c>
      <c r="L146" s="13">
        <f t="shared" si="3"/>
        <v>0.61294072931339016</v>
      </c>
      <c r="M146" s="13">
        <f t="shared" si="4"/>
        <v>0.45180457874999391</v>
      </c>
      <c r="N146" s="13">
        <f t="shared" si="5"/>
        <v>0.27692942800615028</v>
      </c>
      <c r="O146" s="5">
        <f t="shared" si="6"/>
        <v>0.90091473545910805</v>
      </c>
      <c r="AH146" s="20"/>
    </row>
    <row r="147" spans="1:34" ht="15.75" customHeight="1">
      <c r="A147" s="8">
        <v>31101</v>
      </c>
      <c r="B147" s="9" t="s">
        <v>176</v>
      </c>
      <c r="C147" s="10">
        <v>5856</v>
      </c>
      <c r="D147" s="10">
        <v>3024.0000825822353</v>
      </c>
      <c r="E147" s="10">
        <v>7062</v>
      </c>
      <c r="F147" s="11">
        <f t="shared" si="0"/>
        <v>0.8292268479184367</v>
      </c>
      <c r="G147" s="11">
        <f t="shared" si="1"/>
        <v>0.5163934567251085</v>
      </c>
      <c r="H147" s="11">
        <f t="shared" si="2"/>
        <v>0.4282073184058674</v>
      </c>
      <c r="I147" s="12">
        <v>13736</v>
      </c>
      <c r="J147" s="12">
        <v>6904.2224071621895</v>
      </c>
      <c r="K147" s="12">
        <v>17207</v>
      </c>
      <c r="L147" s="13">
        <f t="shared" si="3"/>
        <v>0.79827976986110305</v>
      </c>
      <c r="M147" s="13">
        <f t="shared" si="4"/>
        <v>0.50263704187261138</v>
      </c>
      <c r="N147" s="13">
        <f t="shared" si="5"/>
        <v>0.40124498210973381</v>
      </c>
      <c r="O147" s="5">
        <f t="shared" si="6"/>
        <v>1.0671966940355651</v>
      </c>
      <c r="AH147" s="20"/>
    </row>
    <row r="148" spans="1:34" ht="15.75" customHeight="1">
      <c r="A148" s="8">
        <v>31201</v>
      </c>
      <c r="B148" s="9" t="s">
        <v>177</v>
      </c>
      <c r="C148" s="10">
        <v>2654</v>
      </c>
      <c r="D148" s="10">
        <v>1349.2222587764263</v>
      </c>
      <c r="E148" s="10">
        <v>3960</v>
      </c>
      <c r="F148" s="11">
        <f t="shared" si="0"/>
        <v>0.67020202020202024</v>
      </c>
      <c r="G148" s="11">
        <f t="shared" si="1"/>
        <v>0.50837311935811091</v>
      </c>
      <c r="H148" s="11">
        <f t="shared" si="2"/>
        <v>0.34071269161020867</v>
      </c>
      <c r="I148" s="12">
        <v>7611</v>
      </c>
      <c r="J148" s="12">
        <v>3866.6667683720589</v>
      </c>
      <c r="K148" s="12">
        <v>10416</v>
      </c>
      <c r="L148" s="13">
        <f t="shared" si="3"/>
        <v>0.73070276497695852</v>
      </c>
      <c r="M148" s="13">
        <f t="shared" si="4"/>
        <v>0.50803662703613961</v>
      </c>
      <c r="N148" s="13">
        <f t="shared" si="5"/>
        <v>0.37122376808487506</v>
      </c>
      <c r="O148" s="5">
        <f t="shared" si="6"/>
        <v>0.91780947477562791</v>
      </c>
      <c r="AH148" s="20"/>
    </row>
    <row r="149" spans="1:34" ht="15.75" customHeight="1">
      <c r="A149" s="8">
        <v>31202</v>
      </c>
      <c r="B149" s="9" t="s">
        <v>178</v>
      </c>
      <c r="C149" s="10">
        <v>1548</v>
      </c>
      <c r="D149" s="10">
        <v>778.88891017436981</v>
      </c>
      <c r="E149" s="10">
        <v>2481</v>
      </c>
      <c r="F149" s="11">
        <f t="shared" si="0"/>
        <v>0.62394195888754533</v>
      </c>
      <c r="G149" s="11">
        <f t="shared" si="1"/>
        <v>0.50315821070695721</v>
      </c>
      <c r="H149" s="11">
        <f t="shared" si="2"/>
        <v>0.31394151961885119</v>
      </c>
      <c r="I149" s="12">
        <v>5594</v>
      </c>
      <c r="J149" s="12">
        <v>2858.5556335151196</v>
      </c>
      <c r="K149" s="12">
        <v>7532</v>
      </c>
      <c r="L149" s="13">
        <f t="shared" si="3"/>
        <v>0.74269782262347317</v>
      </c>
      <c r="M149" s="13">
        <f t="shared" si="4"/>
        <v>0.51100386727120484</v>
      </c>
      <c r="N149" s="13">
        <f t="shared" si="5"/>
        <v>0.37952145957449812</v>
      </c>
      <c r="O149" s="5">
        <f t="shared" si="6"/>
        <v>0.82720360522123804</v>
      </c>
      <c r="AH149" s="20"/>
    </row>
    <row r="150" spans="1:34" ht="15.75" customHeight="1">
      <c r="A150" s="8">
        <v>31203</v>
      </c>
      <c r="B150" s="9" t="s">
        <v>179</v>
      </c>
      <c r="C150" s="10">
        <v>1718</v>
      </c>
      <c r="D150" s="10">
        <v>780.77779874205589</v>
      </c>
      <c r="E150" s="10">
        <v>3348</v>
      </c>
      <c r="F150" s="11">
        <f t="shared" si="0"/>
        <v>0.51314217443249699</v>
      </c>
      <c r="G150" s="11">
        <f t="shared" si="1"/>
        <v>0.45446903302797198</v>
      </c>
      <c r="H150" s="11">
        <f t="shared" si="2"/>
        <v>0.23320722782020784</v>
      </c>
      <c r="I150" s="12">
        <v>3697</v>
      </c>
      <c r="J150" s="12">
        <v>1634.7778177559376</v>
      </c>
      <c r="K150" s="12">
        <v>7129</v>
      </c>
      <c r="L150" s="13">
        <f t="shared" si="3"/>
        <v>0.51858605695048399</v>
      </c>
      <c r="M150" s="13">
        <f t="shared" si="4"/>
        <v>0.44219037537352923</v>
      </c>
      <c r="N150" s="13">
        <f t="shared" si="5"/>
        <v>0.22931376318641292</v>
      </c>
      <c r="O150" s="5">
        <f t="shared" si="6"/>
        <v>1.0169787655991231</v>
      </c>
      <c r="AH150" s="20"/>
    </row>
    <row r="151" spans="1:34" ht="15.75" customHeight="1">
      <c r="A151" s="8">
        <v>31204</v>
      </c>
      <c r="B151" s="9" t="s">
        <v>180</v>
      </c>
      <c r="C151" s="10">
        <v>3588</v>
      </c>
      <c r="D151" s="10">
        <v>1610.2222654521465</v>
      </c>
      <c r="E151" s="10">
        <v>7494</v>
      </c>
      <c r="F151" s="11">
        <f t="shared" si="0"/>
        <v>0.4787830264211369</v>
      </c>
      <c r="G151" s="11">
        <f t="shared" si="1"/>
        <v>0.44877989561096615</v>
      </c>
      <c r="H151" s="11">
        <f t="shared" si="2"/>
        <v>0.21486819661758028</v>
      </c>
      <c r="I151" s="12">
        <v>7342</v>
      </c>
      <c r="J151" s="12">
        <v>3402.0000877082348</v>
      </c>
      <c r="K151" s="12">
        <v>12985</v>
      </c>
      <c r="L151" s="13">
        <f t="shared" si="3"/>
        <v>0.56542164035425491</v>
      </c>
      <c r="M151" s="13">
        <f t="shared" si="4"/>
        <v>0.46336149383114067</v>
      </c>
      <c r="N151" s="13">
        <f t="shared" si="5"/>
        <v>0.26199461591900153</v>
      </c>
      <c r="O151" s="5">
        <f t="shared" si="6"/>
        <v>0.82012447417625223</v>
      </c>
      <c r="AH151" s="20"/>
    </row>
    <row r="152" spans="1:34" ht="15.75" customHeight="1">
      <c r="A152" s="8">
        <v>31205</v>
      </c>
      <c r="B152" s="9" t="s">
        <v>181</v>
      </c>
      <c r="C152" s="10">
        <v>8669</v>
      </c>
      <c r="D152" s="10">
        <v>3896.5556556880474</v>
      </c>
      <c r="E152" s="10">
        <v>18473</v>
      </c>
      <c r="F152" s="11">
        <f t="shared" si="0"/>
        <v>0.46927948898392247</v>
      </c>
      <c r="G152" s="11">
        <f t="shared" si="1"/>
        <v>0.44948156138978512</v>
      </c>
      <c r="H152" s="11">
        <f t="shared" si="2"/>
        <v>0.21093247743669394</v>
      </c>
      <c r="I152" s="12">
        <v>13511</v>
      </c>
      <c r="J152" s="12">
        <v>6055.5557045340538</v>
      </c>
      <c r="K152" s="12">
        <v>26591</v>
      </c>
      <c r="L152" s="13">
        <f t="shared" si="3"/>
        <v>0.50810424579745028</v>
      </c>
      <c r="M152" s="13">
        <f t="shared" si="4"/>
        <v>0.44819448630997366</v>
      </c>
      <c r="N152" s="13">
        <f t="shared" si="5"/>
        <v>0.22772952143710481</v>
      </c>
      <c r="O152" s="5">
        <f t="shared" si="6"/>
        <v>0.92624125368370414</v>
      </c>
      <c r="AH152" s="20"/>
    </row>
    <row r="153" spans="1:34" ht="15.75" customHeight="1">
      <c r="A153" s="8">
        <v>31206</v>
      </c>
      <c r="B153" s="9" t="s">
        <v>182</v>
      </c>
      <c r="C153" s="10">
        <v>6379</v>
      </c>
      <c r="D153" s="10">
        <v>2844.6667373478413</v>
      </c>
      <c r="E153" s="10">
        <v>13083</v>
      </c>
      <c r="F153" s="11">
        <f t="shared" si="0"/>
        <v>0.48757930138347472</v>
      </c>
      <c r="G153" s="11">
        <f t="shared" si="1"/>
        <v>0.44594242629688685</v>
      </c>
      <c r="H153" s="11">
        <f t="shared" si="2"/>
        <v>0.21743229667108777</v>
      </c>
      <c r="I153" s="12">
        <v>8461</v>
      </c>
      <c r="J153" s="12">
        <v>3700.7778651416302</v>
      </c>
      <c r="K153" s="12">
        <v>15878</v>
      </c>
      <c r="L153" s="13">
        <f t="shared" si="3"/>
        <v>0.53287567703741023</v>
      </c>
      <c r="M153" s="13">
        <f t="shared" si="4"/>
        <v>0.43739249085706539</v>
      </c>
      <c r="N153" s="13">
        <f t="shared" si="5"/>
        <v>0.23307581969653798</v>
      </c>
      <c r="O153" s="5">
        <f t="shared" si="6"/>
        <v>0.93288225674453107</v>
      </c>
      <c r="AH153" s="20"/>
    </row>
    <row r="154" spans="1:34" ht="15.75" customHeight="1">
      <c r="A154" s="8">
        <v>31301</v>
      </c>
      <c r="B154" s="9" t="s">
        <v>183</v>
      </c>
      <c r="C154" s="10">
        <v>3170</v>
      </c>
      <c r="D154" s="10">
        <v>1582.7778192162514</v>
      </c>
      <c r="E154" s="10">
        <v>5705</v>
      </c>
      <c r="F154" s="11">
        <f t="shared" si="0"/>
        <v>0.55565293602103416</v>
      </c>
      <c r="G154" s="11">
        <f t="shared" si="1"/>
        <v>0.49929899659818655</v>
      </c>
      <c r="H154" s="11">
        <f t="shared" si="2"/>
        <v>0.2774369534121387</v>
      </c>
      <c r="I154" s="12">
        <v>7540</v>
      </c>
      <c r="J154" s="12">
        <v>3698.000098079443</v>
      </c>
      <c r="K154" s="12">
        <v>13744</v>
      </c>
      <c r="L154" s="13">
        <f t="shared" si="3"/>
        <v>0.54860302677532014</v>
      </c>
      <c r="M154" s="13">
        <f t="shared" si="4"/>
        <v>0.49045094138984657</v>
      </c>
      <c r="N154" s="13">
        <f t="shared" si="5"/>
        <v>0.26906287093127496</v>
      </c>
      <c r="O154" s="5">
        <f t="shared" si="6"/>
        <v>1.0311231440141835</v>
      </c>
      <c r="AH154" s="20"/>
    </row>
    <row r="155" spans="1:34" ht="15.75" customHeight="1">
      <c r="A155" s="8">
        <v>31302</v>
      </c>
      <c r="B155" s="9" t="s">
        <v>184</v>
      </c>
      <c r="C155" s="10">
        <v>1706</v>
      </c>
      <c r="D155" s="10">
        <v>931.66669204831123</v>
      </c>
      <c r="E155" s="10">
        <v>2028</v>
      </c>
      <c r="F155" s="11">
        <f t="shared" si="0"/>
        <v>0.84122287968441811</v>
      </c>
      <c r="G155" s="11">
        <f t="shared" si="1"/>
        <v>0.54611177728505933</v>
      </c>
      <c r="H155" s="11">
        <f t="shared" si="2"/>
        <v>0.45940172191731321</v>
      </c>
      <c r="I155" s="12">
        <v>2798</v>
      </c>
      <c r="J155" s="12">
        <v>1547.2222650051117</v>
      </c>
      <c r="K155" s="12">
        <v>3340</v>
      </c>
      <c r="L155" s="13">
        <f t="shared" si="3"/>
        <v>0.83772455089820363</v>
      </c>
      <c r="M155" s="13">
        <f t="shared" si="4"/>
        <v>0.55297436204614425</v>
      </c>
      <c r="N155" s="13">
        <f t="shared" si="5"/>
        <v>0.46324019910332687</v>
      </c>
      <c r="O155" s="5">
        <f t="shared" si="6"/>
        <v>0.99171385127317613</v>
      </c>
      <c r="AH155" s="20"/>
    </row>
    <row r="156" spans="1:34" ht="15.75" customHeight="1">
      <c r="A156" s="8">
        <v>31303</v>
      </c>
      <c r="B156" s="9" t="s">
        <v>185</v>
      </c>
      <c r="C156" s="10">
        <v>1059</v>
      </c>
      <c r="D156" s="10">
        <v>559.44445961713791</v>
      </c>
      <c r="E156" s="10">
        <v>1166</v>
      </c>
      <c r="F156" s="11">
        <f t="shared" si="0"/>
        <v>0.90823327615780447</v>
      </c>
      <c r="G156" s="11">
        <f t="shared" si="1"/>
        <v>0.52827616583299142</v>
      </c>
      <c r="H156" s="11">
        <f t="shared" si="2"/>
        <v>0.47979799281058139</v>
      </c>
      <c r="I156" s="12">
        <v>1989</v>
      </c>
      <c r="J156" s="12">
        <v>1067.3333610892296</v>
      </c>
      <c r="K156" s="12">
        <v>2231</v>
      </c>
      <c r="L156" s="13">
        <f t="shared" si="3"/>
        <v>0.89152846257283724</v>
      </c>
      <c r="M156" s="13">
        <f t="shared" si="4"/>
        <v>0.53661807998452971</v>
      </c>
      <c r="N156" s="13">
        <f t="shared" si="5"/>
        <v>0.47841029183739558</v>
      </c>
      <c r="O156" s="5">
        <f t="shared" si="6"/>
        <v>1.0029006503347915</v>
      </c>
      <c r="AH156" s="20"/>
    </row>
    <row r="157" spans="1:34" ht="15.75" customHeight="1">
      <c r="A157" s="8">
        <v>31304</v>
      </c>
      <c r="B157" s="9" t="s">
        <v>186</v>
      </c>
      <c r="C157" s="10">
        <v>1827</v>
      </c>
      <c r="D157" s="10">
        <v>1083.4444724619389</v>
      </c>
      <c r="E157" s="10">
        <v>1896</v>
      </c>
      <c r="F157" s="11">
        <f t="shared" si="0"/>
        <v>0.96360759493670889</v>
      </c>
      <c r="G157" s="11">
        <f t="shared" si="1"/>
        <v>0.59301832099722984</v>
      </c>
      <c r="H157" s="11">
        <f t="shared" si="2"/>
        <v>0.57143695804954586</v>
      </c>
      <c r="I157" s="12">
        <v>4744</v>
      </c>
      <c r="J157" s="12">
        <v>2851.3334101140499</v>
      </c>
      <c r="K157" s="12">
        <v>5053</v>
      </c>
      <c r="L157" s="13">
        <f t="shared" si="3"/>
        <v>0.93884820898476151</v>
      </c>
      <c r="M157" s="13">
        <f t="shared" si="4"/>
        <v>0.60103992624663782</v>
      </c>
      <c r="N157" s="13">
        <f t="shared" si="5"/>
        <v>0.5642852582849891</v>
      </c>
      <c r="O157" s="5">
        <f t="shared" si="6"/>
        <v>1.0126739085587539</v>
      </c>
      <c r="AH157" s="20"/>
    </row>
    <row r="158" spans="1:34" ht="15.75" customHeight="1">
      <c r="A158" s="8">
        <v>31401</v>
      </c>
      <c r="B158" s="9" t="s">
        <v>187</v>
      </c>
      <c r="C158" s="10">
        <v>1970</v>
      </c>
      <c r="D158" s="10">
        <v>766.22224205732346</v>
      </c>
      <c r="E158" s="10">
        <v>10783</v>
      </c>
      <c r="F158" s="11">
        <f t="shared" si="0"/>
        <v>0.18269498284336455</v>
      </c>
      <c r="G158" s="11">
        <f t="shared" si="1"/>
        <v>0.38894530053671239</v>
      </c>
      <c r="H158" s="11">
        <f t="shared" si="2"/>
        <v>7.1058355008561933E-2</v>
      </c>
      <c r="I158" s="12">
        <v>2388</v>
      </c>
      <c r="J158" s="12">
        <v>922.22224482893944</v>
      </c>
      <c r="K158" s="12">
        <v>17768</v>
      </c>
      <c r="L158" s="13">
        <f t="shared" si="3"/>
        <v>0.13439891940567311</v>
      </c>
      <c r="M158" s="13">
        <f t="shared" si="4"/>
        <v>0.38619021977761281</v>
      </c>
      <c r="N158" s="13">
        <f t="shared" si="5"/>
        <v>5.1903548223150568E-2</v>
      </c>
      <c r="O158" s="5">
        <f t="shared" si="6"/>
        <v>1.3690461912749876</v>
      </c>
      <c r="AH158" s="20"/>
    </row>
    <row r="159" spans="1:34" ht="15.75" customHeight="1">
      <c r="A159" s="8">
        <v>31402</v>
      </c>
      <c r="B159" s="9" t="s">
        <v>188</v>
      </c>
      <c r="C159" s="10">
        <v>1128</v>
      </c>
      <c r="D159" s="10">
        <v>447.44445580244064</v>
      </c>
      <c r="E159" s="10">
        <v>3263</v>
      </c>
      <c r="F159" s="11">
        <f t="shared" si="0"/>
        <v>0.34569414649095925</v>
      </c>
      <c r="G159" s="11">
        <f t="shared" si="1"/>
        <v>0.3966706168461353</v>
      </c>
      <c r="H159" s="11">
        <f t="shared" si="2"/>
        <v>0.13712671032866708</v>
      </c>
      <c r="I159" s="12">
        <v>1247</v>
      </c>
      <c r="J159" s="12">
        <v>485.77778962254524</v>
      </c>
      <c r="K159" s="12">
        <v>4808</v>
      </c>
      <c r="L159" s="13">
        <f t="shared" si="3"/>
        <v>0.2593594009983361</v>
      </c>
      <c r="M159" s="13">
        <f t="shared" si="4"/>
        <v>0.38955716890340436</v>
      </c>
      <c r="N159" s="13">
        <f t="shared" si="5"/>
        <v>0.10103531398139459</v>
      </c>
      <c r="O159" s="5">
        <f t="shared" si="6"/>
        <v>1.3572156598030529</v>
      </c>
      <c r="AH159" s="20"/>
    </row>
    <row r="160" spans="1:34" ht="15.75" customHeight="1">
      <c r="A160" s="8">
        <v>31403</v>
      </c>
      <c r="B160" s="9" t="s">
        <v>189</v>
      </c>
      <c r="C160" s="10">
        <v>1140</v>
      </c>
      <c r="D160" s="10">
        <v>462.44445618987083</v>
      </c>
      <c r="E160" s="10">
        <v>4419</v>
      </c>
      <c r="F160" s="11">
        <f t="shared" si="0"/>
        <v>0.25797691785471827</v>
      </c>
      <c r="G160" s="11">
        <f t="shared" si="1"/>
        <v>0.40565303174550071</v>
      </c>
      <c r="H160" s="11">
        <f t="shared" si="2"/>
        <v>0.10464911884812646</v>
      </c>
      <c r="I160" s="12">
        <v>1974</v>
      </c>
      <c r="J160" s="12">
        <v>777.22224095463753</v>
      </c>
      <c r="K160" s="12">
        <v>8896</v>
      </c>
      <c r="L160" s="13">
        <f t="shared" si="3"/>
        <v>0.2218974820143885</v>
      </c>
      <c r="M160" s="13">
        <f t="shared" si="4"/>
        <v>0.39372960534682755</v>
      </c>
      <c r="N160" s="13">
        <f t="shared" si="5"/>
        <v>8.7367608020979953E-2</v>
      </c>
      <c r="O160" s="5">
        <f t="shared" si="6"/>
        <v>1.1978022658351437</v>
      </c>
      <c r="AH160" s="20"/>
    </row>
    <row r="161" spans="1:34" ht="15.75" customHeight="1">
      <c r="A161" s="8">
        <v>31404</v>
      </c>
      <c r="B161" s="9" t="s">
        <v>190</v>
      </c>
      <c r="C161" s="10">
        <v>288</v>
      </c>
      <c r="D161" s="10">
        <v>119.00000360608101</v>
      </c>
      <c r="E161" s="10">
        <v>537</v>
      </c>
      <c r="F161" s="11">
        <f t="shared" si="0"/>
        <v>0.53631284916201116</v>
      </c>
      <c r="G161" s="11">
        <f t="shared" si="1"/>
        <v>0.41319445696555906</v>
      </c>
      <c r="H161" s="11">
        <f t="shared" si="2"/>
        <v>0.221601496473149</v>
      </c>
      <c r="I161" s="12">
        <v>334</v>
      </c>
      <c r="J161" s="12">
        <v>132.22222563624382</v>
      </c>
      <c r="K161" s="12">
        <v>753</v>
      </c>
      <c r="L161" s="13">
        <f t="shared" si="3"/>
        <v>0.44355909694555112</v>
      </c>
      <c r="M161" s="13">
        <f t="shared" si="4"/>
        <v>0.39587492705462224</v>
      </c>
      <c r="N161" s="13">
        <f t="shared" si="5"/>
        <v>0.17559392514773417</v>
      </c>
      <c r="O161" s="5">
        <f t="shared" si="6"/>
        <v>1.2620111788417898</v>
      </c>
      <c r="AH161" s="20"/>
    </row>
    <row r="162" spans="1:34" ht="15.75" customHeight="1">
      <c r="A162" s="8">
        <v>31405</v>
      </c>
      <c r="B162" s="9" t="s">
        <v>191</v>
      </c>
      <c r="C162" s="10">
        <v>576</v>
      </c>
      <c r="D162" s="10">
        <v>253.00000560283661</v>
      </c>
      <c r="E162" s="10">
        <v>1045</v>
      </c>
      <c r="F162" s="11">
        <f t="shared" si="0"/>
        <v>0.5511961722488038</v>
      </c>
      <c r="G162" s="11">
        <f t="shared" si="1"/>
        <v>0.43923612083825803</v>
      </c>
      <c r="H162" s="11">
        <f t="shared" si="2"/>
        <v>0.24210526851946088</v>
      </c>
      <c r="I162" s="12">
        <v>877</v>
      </c>
      <c r="J162" s="12">
        <v>388.11112064123154</v>
      </c>
      <c r="K162" s="12">
        <v>1712</v>
      </c>
      <c r="L162" s="13">
        <f t="shared" si="3"/>
        <v>0.51226635514018692</v>
      </c>
      <c r="M162" s="13">
        <f t="shared" si="4"/>
        <v>0.44254403721919217</v>
      </c>
      <c r="N162" s="13">
        <f t="shared" si="5"/>
        <v>0.2267004209352988</v>
      </c>
      <c r="O162" s="5">
        <f t="shared" si="6"/>
        <v>1.0679524436726064</v>
      </c>
      <c r="AH162" s="20"/>
    </row>
    <row r="163" spans="1:34" ht="15.75" customHeight="1">
      <c r="A163" s="8">
        <v>31501</v>
      </c>
      <c r="B163" s="9" t="s">
        <v>192</v>
      </c>
      <c r="C163" s="10">
        <v>1300</v>
      </c>
      <c r="D163" s="10">
        <v>610.88890507817268</v>
      </c>
      <c r="E163" s="10">
        <v>1653</v>
      </c>
      <c r="F163" s="11">
        <f t="shared" si="0"/>
        <v>0.78644888082274655</v>
      </c>
      <c r="G163" s="11">
        <f t="shared" si="1"/>
        <v>0.46991454236782515</v>
      </c>
      <c r="H163" s="11">
        <f t="shared" si="2"/>
        <v>0.36956376592750922</v>
      </c>
      <c r="I163" s="12">
        <v>4044</v>
      </c>
      <c r="J163" s="12">
        <v>1857.1111618876457</v>
      </c>
      <c r="K163" s="12">
        <v>5490</v>
      </c>
      <c r="L163" s="13">
        <f t="shared" si="3"/>
        <v>0.73661202185792352</v>
      </c>
      <c r="M163" s="13">
        <f t="shared" si="4"/>
        <v>0.45922630115916069</v>
      </c>
      <c r="N163" s="13">
        <f t="shared" si="5"/>
        <v>0.33827161418718504</v>
      </c>
      <c r="O163" s="5">
        <f t="shared" si="6"/>
        <v>1.0925059934913972</v>
      </c>
      <c r="AH163" s="20"/>
    </row>
    <row r="164" spans="1:34" ht="15.75" customHeight="1">
      <c r="A164" s="8">
        <v>31601</v>
      </c>
      <c r="B164" s="9" t="s">
        <v>193</v>
      </c>
      <c r="C164" s="10">
        <v>2924</v>
      </c>
      <c r="D164" s="10">
        <v>1273.8889229595661</v>
      </c>
      <c r="E164" s="10">
        <v>6504</v>
      </c>
      <c r="F164" s="11">
        <f t="shared" si="0"/>
        <v>0.44956949569495697</v>
      </c>
      <c r="G164" s="11">
        <f t="shared" si="1"/>
        <v>0.43566652631996106</v>
      </c>
      <c r="H164" s="11">
        <f t="shared" si="2"/>
        <v>0.19586238052883859</v>
      </c>
      <c r="I164" s="12">
        <v>6074</v>
      </c>
      <c r="J164" s="12">
        <v>2634.0000648498535</v>
      </c>
      <c r="K164" s="12">
        <v>14384</v>
      </c>
      <c r="L164" s="13">
        <f t="shared" si="3"/>
        <v>0.42227474972191326</v>
      </c>
      <c r="M164" s="13">
        <f t="shared" si="4"/>
        <v>0.43365164057455607</v>
      </c>
      <c r="N164" s="13">
        <f t="shared" si="5"/>
        <v>0.18312013799011775</v>
      </c>
      <c r="O164" s="5">
        <f t="shared" si="6"/>
        <v>1.069584059287944</v>
      </c>
      <c r="AH164" s="20"/>
    </row>
    <row r="165" spans="1:34" ht="15.75" customHeight="1">
      <c r="A165" s="8">
        <v>31602</v>
      </c>
      <c r="B165" s="9" t="s">
        <v>194</v>
      </c>
      <c r="C165" s="10">
        <v>3419</v>
      </c>
      <c r="D165" s="10">
        <v>1486.2222604453564</v>
      </c>
      <c r="E165" s="10">
        <v>8041</v>
      </c>
      <c r="F165" s="11">
        <f t="shared" si="0"/>
        <v>0.42519587116030344</v>
      </c>
      <c r="G165" s="11">
        <f t="shared" si="1"/>
        <v>0.43469501621683426</v>
      </c>
      <c r="H165" s="11">
        <f t="shared" si="2"/>
        <v>0.18483052610935907</v>
      </c>
      <c r="I165" s="12">
        <v>5450</v>
      </c>
      <c r="J165" s="12">
        <v>2316.0000563561916</v>
      </c>
      <c r="K165" s="12">
        <v>12023</v>
      </c>
      <c r="L165" s="13">
        <f t="shared" si="3"/>
        <v>0.45329784579555854</v>
      </c>
      <c r="M165" s="13">
        <f t="shared" si="4"/>
        <v>0.42495413878095262</v>
      </c>
      <c r="N165" s="13">
        <f t="shared" si="5"/>
        <v>0.19263079567131264</v>
      </c>
      <c r="O165" s="5">
        <f t="shared" si="6"/>
        <v>0.95950663270236802</v>
      </c>
      <c r="AH165" s="20"/>
    </row>
    <row r="166" spans="1:34" ht="15.75" customHeight="1">
      <c r="A166" s="8">
        <v>40101</v>
      </c>
      <c r="B166" s="9" t="s">
        <v>26</v>
      </c>
      <c r="C166" s="10">
        <v>14304</v>
      </c>
      <c r="D166" s="10">
        <v>5830.2223695218563</v>
      </c>
      <c r="E166" s="10">
        <v>98348</v>
      </c>
      <c r="F166" s="11">
        <f t="shared" si="0"/>
        <v>0.14544271362915362</v>
      </c>
      <c r="G166" s="11">
        <f t="shared" si="1"/>
        <v>0.40759384574397767</v>
      </c>
      <c r="H166" s="11">
        <f t="shared" si="2"/>
        <v>5.9281554983546758E-2</v>
      </c>
      <c r="I166" s="12">
        <v>15515</v>
      </c>
      <c r="J166" s="12">
        <v>6162.2223742008209</v>
      </c>
      <c r="K166" s="12">
        <v>160682</v>
      </c>
      <c r="L166" s="13">
        <f t="shared" si="3"/>
        <v>9.6557175041386098E-2</v>
      </c>
      <c r="M166" s="13">
        <f t="shared" si="4"/>
        <v>0.39717836765715892</v>
      </c>
      <c r="N166" s="13">
        <f t="shared" si="5"/>
        <v>3.8350421168524294E-2</v>
      </c>
      <c r="O166" s="5">
        <f t="shared" si="6"/>
        <v>1.5457862828427416</v>
      </c>
      <c r="AH166" s="20"/>
    </row>
    <row r="167" spans="1:34" ht="15.75" customHeight="1">
      <c r="A167" s="8">
        <v>40102</v>
      </c>
      <c r="B167" s="9" t="s">
        <v>195</v>
      </c>
      <c r="C167" s="10">
        <v>3616</v>
      </c>
      <c r="D167" s="10">
        <v>1594.777820199728</v>
      </c>
      <c r="E167" s="10">
        <v>7384</v>
      </c>
      <c r="F167" s="11">
        <f t="shared" si="0"/>
        <v>0.48970747562296857</v>
      </c>
      <c r="G167" s="11">
        <f t="shared" si="1"/>
        <v>0.44103368921452657</v>
      </c>
      <c r="H167" s="11">
        <f t="shared" si="2"/>
        <v>0.21597749460993065</v>
      </c>
      <c r="I167" s="12">
        <v>8121</v>
      </c>
      <c r="J167" s="12">
        <v>3629.3334275186062</v>
      </c>
      <c r="K167" s="12">
        <v>15454</v>
      </c>
      <c r="L167" s="13">
        <f t="shared" si="3"/>
        <v>0.52549501747120486</v>
      </c>
      <c r="M167" s="13">
        <f t="shared" si="4"/>
        <v>0.44690720693493491</v>
      </c>
      <c r="N167" s="13">
        <f t="shared" si="5"/>
        <v>0.234847510516281</v>
      </c>
      <c r="O167" s="5">
        <f t="shared" si="6"/>
        <v>0.91964992149643343</v>
      </c>
      <c r="AH167" s="20"/>
    </row>
    <row r="168" spans="1:34" ht="15.75" customHeight="1">
      <c r="A168" s="8">
        <v>40103</v>
      </c>
      <c r="B168" s="9" t="s">
        <v>196</v>
      </c>
      <c r="C168" s="10">
        <v>3199</v>
      </c>
      <c r="D168" s="10">
        <v>1596.2222615778446</v>
      </c>
      <c r="E168" s="10">
        <v>3442</v>
      </c>
      <c r="F168" s="11">
        <f t="shared" si="0"/>
        <v>0.92940151074956423</v>
      </c>
      <c r="G168" s="11">
        <f t="shared" si="1"/>
        <v>0.49897538655137375</v>
      </c>
      <c r="H168" s="11">
        <f t="shared" si="2"/>
        <v>0.46374847808769454</v>
      </c>
      <c r="I168" s="12">
        <v>4645</v>
      </c>
      <c r="J168" s="12">
        <v>2240.4444950222969</v>
      </c>
      <c r="K168" s="12">
        <v>5208</v>
      </c>
      <c r="L168" s="13">
        <f t="shared" si="3"/>
        <v>0.89189708141321045</v>
      </c>
      <c r="M168" s="13">
        <f t="shared" si="4"/>
        <v>0.48233465985410051</v>
      </c>
      <c r="N168" s="13">
        <f t="shared" si="5"/>
        <v>0.43019287538830586</v>
      </c>
      <c r="O168" s="5">
        <f t="shared" si="6"/>
        <v>1.0780012980668272</v>
      </c>
      <c r="AH168" s="20"/>
    </row>
    <row r="169" spans="1:34" ht="15.75" customHeight="1">
      <c r="A169" s="8">
        <v>40104</v>
      </c>
      <c r="B169" s="9" t="s">
        <v>197</v>
      </c>
      <c r="C169" s="10">
        <v>1440</v>
      </c>
      <c r="D169" s="10">
        <v>646.7777940928936</v>
      </c>
      <c r="E169" s="10">
        <v>2501</v>
      </c>
      <c r="F169" s="11">
        <f t="shared" si="0"/>
        <v>0.57576969212315077</v>
      </c>
      <c r="G169" s="11">
        <f t="shared" si="1"/>
        <v>0.44915124589784278</v>
      </c>
      <c r="H169" s="11">
        <f t="shared" si="2"/>
        <v>0.25860767456733053</v>
      </c>
      <c r="I169" s="12">
        <v>4948</v>
      </c>
      <c r="J169" s="12">
        <v>2140.7778331041336</v>
      </c>
      <c r="K169" s="12">
        <v>10233</v>
      </c>
      <c r="L169" s="13">
        <f t="shared" si="3"/>
        <v>0.48353366559171307</v>
      </c>
      <c r="M169" s="13">
        <f t="shared" si="4"/>
        <v>0.432655180498006</v>
      </c>
      <c r="N169" s="13">
        <f t="shared" si="5"/>
        <v>0.20920334536344509</v>
      </c>
      <c r="O169" s="5">
        <f t="shared" si="6"/>
        <v>1.2361545849950737</v>
      </c>
      <c r="AH169" s="20"/>
    </row>
    <row r="170" spans="1:34" ht="15.75" customHeight="1">
      <c r="A170" s="8">
        <v>40201</v>
      </c>
      <c r="B170" s="9" t="s">
        <v>198</v>
      </c>
      <c r="C170" s="10">
        <v>4096</v>
      </c>
      <c r="D170" s="10">
        <v>1762.0000446736813</v>
      </c>
      <c r="E170" s="10">
        <v>9665</v>
      </c>
      <c r="F170" s="11">
        <f t="shared" si="0"/>
        <v>0.4237972064148991</v>
      </c>
      <c r="G170" s="11">
        <f t="shared" si="1"/>
        <v>0.43017579215666046</v>
      </c>
      <c r="H170" s="11">
        <f t="shared" si="2"/>
        <v>0.18230729898330897</v>
      </c>
      <c r="I170" s="12">
        <v>9125</v>
      </c>
      <c r="J170" s="12">
        <v>4042.5556563436985</v>
      </c>
      <c r="K170" s="12">
        <v>18183</v>
      </c>
      <c r="L170" s="13">
        <f t="shared" si="3"/>
        <v>0.50184238024528405</v>
      </c>
      <c r="M170" s="13">
        <f t="shared" si="4"/>
        <v>0.4430197979554738</v>
      </c>
      <c r="N170" s="13">
        <f t="shared" si="5"/>
        <v>0.2223261099017598</v>
      </c>
      <c r="O170" s="5">
        <f t="shared" si="6"/>
        <v>0.81999950012108735</v>
      </c>
      <c r="AH170" s="20"/>
    </row>
    <row r="171" spans="1:34" ht="15.75" customHeight="1">
      <c r="A171" s="8">
        <v>40202</v>
      </c>
      <c r="B171" s="9" t="s">
        <v>199</v>
      </c>
      <c r="C171" s="10">
        <v>519</v>
      </c>
      <c r="D171" s="10">
        <v>232.00000584125519</v>
      </c>
      <c r="E171" s="10">
        <v>1151</v>
      </c>
      <c r="F171" s="11">
        <f t="shared" si="0"/>
        <v>0.45091225021720244</v>
      </c>
      <c r="G171" s="11">
        <f t="shared" si="1"/>
        <v>0.4470134987307422</v>
      </c>
      <c r="H171" s="11">
        <f t="shared" si="2"/>
        <v>0.20156386259014353</v>
      </c>
      <c r="I171" s="12">
        <v>1433</v>
      </c>
      <c r="J171" s="12">
        <v>622.55556970834732</v>
      </c>
      <c r="K171" s="12">
        <v>2786</v>
      </c>
      <c r="L171" s="13">
        <f t="shared" si="3"/>
        <v>0.51435750179468775</v>
      </c>
      <c r="M171" s="13">
        <f t="shared" si="4"/>
        <v>0.43444212819842798</v>
      </c>
      <c r="N171" s="13">
        <f t="shared" si="5"/>
        <v>0.22345856773451089</v>
      </c>
      <c r="O171" s="5">
        <f t="shared" si="6"/>
        <v>0.90201894979305397</v>
      </c>
      <c r="AH171" s="20"/>
    </row>
    <row r="172" spans="1:34" ht="15.75" customHeight="1">
      <c r="A172" s="8">
        <v>40301</v>
      </c>
      <c r="B172" s="9" t="s">
        <v>200</v>
      </c>
      <c r="C172" s="10">
        <v>1695</v>
      </c>
      <c r="D172" s="10">
        <v>795.77779799699783</v>
      </c>
      <c r="E172" s="10">
        <v>2353</v>
      </c>
      <c r="F172" s="11">
        <f t="shared" si="0"/>
        <v>0.72035699107522311</v>
      </c>
      <c r="G172" s="11">
        <f t="shared" si="1"/>
        <v>0.4694854265469014</v>
      </c>
      <c r="H172" s="11">
        <f t="shared" si="2"/>
        <v>0.33819710922099355</v>
      </c>
      <c r="I172" s="12">
        <v>4694</v>
      </c>
      <c r="J172" s="12">
        <v>2210.5556115806103</v>
      </c>
      <c r="K172" s="12">
        <v>6538</v>
      </c>
      <c r="L172" s="13">
        <f t="shared" si="3"/>
        <v>0.71795656163964516</v>
      </c>
      <c r="M172" s="13">
        <f t="shared" si="4"/>
        <v>0.47093217119314235</v>
      </c>
      <c r="N172" s="13">
        <f t="shared" si="5"/>
        <v>0.33810884239532124</v>
      </c>
      <c r="O172" s="5">
        <f t="shared" si="6"/>
        <v>1.0002610603882673</v>
      </c>
      <c r="AH172" s="20"/>
    </row>
    <row r="173" spans="1:34" ht="15.75" customHeight="1">
      <c r="A173" s="8">
        <v>40302</v>
      </c>
      <c r="B173" s="9" t="s">
        <v>201</v>
      </c>
      <c r="C173" s="10">
        <v>314</v>
      </c>
      <c r="D173" s="10">
        <v>144.33333665132523</v>
      </c>
      <c r="E173" s="10">
        <v>437</v>
      </c>
      <c r="F173" s="11">
        <f t="shared" si="0"/>
        <v>0.71853546910755151</v>
      </c>
      <c r="G173" s="11">
        <f t="shared" si="1"/>
        <v>0.45966030780676825</v>
      </c>
      <c r="H173" s="11">
        <f t="shared" si="2"/>
        <v>0.33028223490005776</v>
      </c>
      <c r="I173" s="12">
        <v>969</v>
      </c>
      <c r="J173" s="12">
        <v>454.11112236976624</v>
      </c>
      <c r="K173" s="12">
        <v>1379</v>
      </c>
      <c r="L173" s="13">
        <f t="shared" si="3"/>
        <v>0.70268310369833209</v>
      </c>
      <c r="M173" s="13">
        <f t="shared" si="4"/>
        <v>0.46863892917416539</v>
      </c>
      <c r="N173" s="13">
        <f t="shared" si="5"/>
        <v>0.32930465726596536</v>
      </c>
      <c r="O173" s="5">
        <f t="shared" si="6"/>
        <v>1.0029686116261114</v>
      </c>
      <c r="AH173" s="20"/>
    </row>
    <row r="174" spans="1:34" ht="15.75" customHeight="1">
      <c r="A174" s="8">
        <v>40401</v>
      </c>
      <c r="B174" s="9" t="s">
        <v>202</v>
      </c>
      <c r="C174" s="10">
        <v>643</v>
      </c>
      <c r="D174" s="10">
        <v>278.00000688433647</v>
      </c>
      <c r="E174" s="10">
        <v>1303</v>
      </c>
      <c r="F174" s="11">
        <f t="shared" si="0"/>
        <v>0.49347659247889486</v>
      </c>
      <c r="G174" s="11">
        <f t="shared" si="1"/>
        <v>0.4323483777361376</v>
      </c>
      <c r="H174" s="11">
        <f t="shared" si="2"/>
        <v>0.21335380420900726</v>
      </c>
      <c r="I174" s="12">
        <v>1154</v>
      </c>
      <c r="J174" s="12">
        <v>492.88890102505684</v>
      </c>
      <c r="K174" s="12">
        <v>2586</v>
      </c>
      <c r="L174" s="13">
        <f t="shared" si="3"/>
        <v>0.4462490332559938</v>
      </c>
      <c r="M174" s="13">
        <f t="shared" si="4"/>
        <v>0.42711343243072514</v>
      </c>
      <c r="N174" s="13">
        <f t="shared" si="5"/>
        <v>0.19059895631286033</v>
      </c>
      <c r="O174" s="5">
        <f t="shared" si="6"/>
        <v>1.1193860047103079</v>
      </c>
      <c r="AH174" s="20"/>
    </row>
    <row r="175" spans="1:34" ht="15.75" customHeight="1">
      <c r="A175" s="8">
        <v>40402</v>
      </c>
      <c r="B175" s="9" t="s">
        <v>203</v>
      </c>
      <c r="C175" s="10">
        <v>808</v>
      </c>
      <c r="D175" s="10">
        <v>359.00000953674316</v>
      </c>
      <c r="E175" s="10">
        <v>1462</v>
      </c>
      <c r="F175" s="11">
        <f t="shared" si="0"/>
        <v>0.55266757865937077</v>
      </c>
      <c r="G175" s="11">
        <f t="shared" si="1"/>
        <v>0.44430694249596925</v>
      </c>
      <c r="H175" s="11">
        <f t="shared" si="2"/>
        <v>0.24555404209079562</v>
      </c>
      <c r="I175" s="12">
        <v>2016</v>
      </c>
      <c r="J175" s="12">
        <v>886.44446563720703</v>
      </c>
      <c r="K175" s="12">
        <v>3637</v>
      </c>
      <c r="L175" s="13">
        <f t="shared" si="3"/>
        <v>0.55430299697552932</v>
      </c>
      <c r="M175" s="13">
        <f t="shared" si="4"/>
        <v>0.4397045960502019</v>
      </c>
      <c r="N175" s="13">
        <f t="shared" si="5"/>
        <v>0.2437295753745414</v>
      </c>
      <c r="O175" s="5">
        <f t="shared" si="6"/>
        <v>1.0074856189014014</v>
      </c>
      <c r="AH175" s="20"/>
    </row>
    <row r="176" spans="1:34" ht="15.75" customHeight="1">
      <c r="A176" s="8">
        <v>40501</v>
      </c>
      <c r="B176" s="9" t="s">
        <v>204</v>
      </c>
      <c r="C176" s="10">
        <v>23</v>
      </c>
      <c r="D176" s="10">
        <v>8.1111113429069519</v>
      </c>
      <c r="E176" s="10">
        <v>188</v>
      </c>
      <c r="F176" s="11">
        <f t="shared" si="0"/>
        <v>0.12234042553191489</v>
      </c>
      <c r="G176" s="11">
        <f t="shared" si="1"/>
        <v>0.35265701490899792</v>
      </c>
      <c r="H176" s="11">
        <f t="shared" si="2"/>
        <v>4.3144209270781657E-2</v>
      </c>
      <c r="I176" s="12">
        <v>24</v>
      </c>
      <c r="J176" s="12">
        <v>8.7777779698371887</v>
      </c>
      <c r="K176" s="12">
        <v>456</v>
      </c>
      <c r="L176" s="13">
        <f t="shared" si="3"/>
        <v>5.2631578947368418E-2</v>
      </c>
      <c r="M176" s="13">
        <f t="shared" si="4"/>
        <v>0.36574074874321622</v>
      </c>
      <c r="N176" s="13">
        <f t="shared" si="5"/>
        <v>1.9249513091748219E-2</v>
      </c>
      <c r="O176" s="5">
        <f t="shared" si="6"/>
        <v>2.2413143161151692</v>
      </c>
      <c r="AH176" s="20"/>
    </row>
    <row r="177" spans="1:34" ht="15.75" customHeight="1">
      <c r="A177" s="8">
        <v>40502</v>
      </c>
      <c r="B177" s="9" t="s">
        <v>205</v>
      </c>
      <c r="C177" s="10">
        <v>503</v>
      </c>
      <c r="D177" s="10">
        <v>220.77778282761574</v>
      </c>
      <c r="E177" s="10">
        <v>704</v>
      </c>
      <c r="F177" s="11">
        <f t="shared" si="0"/>
        <v>0.71448863636363635</v>
      </c>
      <c r="G177" s="11">
        <f t="shared" si="1"/>
        <v>0.43892203345450442</v>
      </c>
      <c r="H177" s="11">
        <f t="shared" si="2"/>
        <v>0.31360480515286326</v>
      </c>
      <c r="I177" s="12">
        <v>2420</v>
      </c>
      <c r="J177" s="12">
        <v>1111.6666943430901</v>
      </c>
      <c r="K177" s="12">
        <v>3489</v>
      </c>
      <c r="L177" s="13">
        <f t="shared" si="3"/>
        <v>0.69360848380624818</v>
      </c>
      <c r="M177" s="13">
        <f t="shared" si="4"/>
        <v>0.45936640262111161</v>
      </c>
      <c r="N177" s="13">
        <f t="shared" si="5"/>
        <v>0.31862043403355977</v>
      </c>
      <c r="O177" s="5">
        <f t="shared" si="6"/>
        <v>0.98425829499633344</v>
      </c>
      <c r="AH177" s="20"/>
    </row>
    <row r="178" spans="1:34" ht="15.75" customHeight="1">
      <c r="A178" s="8">
        <v>40503</v>
      </c>
      <c r="B178" s="9" t="s">
        <v>206</v>
      </c>
      <c r="C178" s="10">
        <v>208</v>
      </c>
      <c r="D178" s="10">
        <v>92.333335667848587</v>
      </c>
      <c r="E178" s="10">
        <v>328</v>
      </c>
      <c r="F178" s="11">
        <f t="shared" si="0"/>
        <v>0.63414634146341464</v>
      </c>
      <c r="G178" s="11">
        <f t="shared" si="1"/>
        <v>0.44391026763388741</v>
      </c>
      <c r="H178" s="11">
        <f t="shared" si="2"/>
        <v>0.28150407215807494</v>
      </c>
      <c r="I178" s="12">
        <v>1025</v>
      </c>
      <c r="J178" s="12">
        <v>464.77778974175453</v>
      </c>
      <c r="K178" s="12">
        <v>1624</v>
      </c>
      <c r="L178" s="13">
        <f t="shared" si="3"/>
        <v>0.63115763546798032</v>
      </c>
      <c r="M178" s="13">
        <f t="shared" si="4"/>
        <v>0.4534417460895166</v>
      </c>
      <c r="N178" s="13">
        <f t="shared" si="5"/>
        <v>0.28619322028433158</v>
      </c>
      <c r="O178" s="5">
        <f t="shared" si="6"/>
        <v>0.98361544650988586</v>
      </c>
      <c r="AH178" s="20"/>
    </row>
    <row r="179" spans="1:34" ht="15.75" customHeight="1">
      <c r="A179" s="8">
        <v>40504</v>
      </c>
      <c r="B179" s="9" t="s">
        <v>207</v>
      </c>
      <c r="C179" s="10">
        <v>66</v>
      </c>
      <c r="D179" s="10">
        <v>26.000000566244125</v>
      </c>
      <c r="E179" s="10">
        <v>119</v>
      </c>
      <c r="F179" s="11">
        <f t="shared" si="0"/>
        <v>0.55462184873949583</v>
      </c>
      <c r="G179" s="11">
        <f t="shared" si="1"/>
        <v>0.3939394025188504</v>
      </c>
      <c r="H179" s="11">
        <f t="shared" si="2"/>
        <v>0.21848739971633721</v>
      </c>
      <c r="I179" s="12">
        <v>246</v>
      </c>
      <c r="J179" s="12">
        <v>104.55555817484856</v>
      </c>
      <c r="K179" s="12">
        <v>393</v>
      </c>
      <c r="L179" s="13">
        <f t="shared" si="3"/>
        <v>0.62595419847328249</v>
      </c>
      <c r="M179" s="13">
        <f t="shared" si="4"/>
        <v>0.42502259420670147</v>
      </c>
      <c r="N179" s="13">
        <f t="shared" si="5"/>
        <v>0.266044677289691</v>
      </c>
      <c r="O179" s="5">
        <f t="shared" si="6"/>
        <v>0.82124326613920728</v>
      </c>
      <c r="AH179" s="20"/>
    </row>
    <row r="180" spans="1:34" ht="15.75" customHeight="1">
      <c r="A180" s="8">
        <v>40505</v>
      </c>
      <c r="B180" s="9" t="s">
        <v>208</v>
      </c>
      <c r="C180" s="10">
        <v>146</v>
      </c>
      <c r="D180" s="10">
        <v>62.222223907709122</v>
      </c>
      <c r="E180" s="10">
        <v>337</v>
      </c>
      <c r="F180" s="11">
        <f t="shared" si="0"/>
        <v>0.43323442136498519</v>
      </c>
      <c r="G180" s="11">
        <f t="shared" si="1"/>
        <v>0.42617961580622687</v>
      </c>
      <c r="H180" s="11">
        <f t="shared" si="2"/>
        <v>0.1846356792513624</v>
      </c>
      <c r="I180" s="12">
        <v>806</v>
      </c>
      <c r="J180" s="12">
        <v>337.0000087916851</v>
      </c>
      <c r="K180" s="12">
        <v>2348</v>
      </c>
      <c r="L180" s="13">
        <f t="shared" si="3"/>
        <v>0.34327086882453151</v>
      </c>
      <c r="M180" s="13">
        <f t="shared" si="4"/>
        <v>0.41811415482839343</v>
      </c>
      <c r="N180" s="13">
        <f t="shared" si="5"/>
        <v>0.1435264091957773</v>
      </c>
      <c r="O180" s="5">
        <f t="shared" si="6"/>
        <v>1.2864230373067438</v>
      </c>
      <c r="AH180" s="20"/>
    </row>
    <row r="181" spans="1:34" ht="15.75" customHeight="1">
      <c r="A181" s="8">
        <v>40601</v>
      </c>
      <c r="B181" s="9" t="s">
        <v>209</v>
      </c>
      <c r="C181" s="10">
        <v>1113</v>
      </c>
      <c r="D181" s="10">
        <v>472.00001102685928</v>
      </c>
      <c r="E181" s="10">
        <v>2448</v>
      </c>
      <c r="F181" s="11">
        <f t="shared" si="0"/>
        <v>0.45465686274509803</v>
      </c>
      <c r="G181" s="11">
        <f t="shared" si="1"/>
        <v>0.42407907549583046</v>
      </c>
      <c r="H181" s="11">
        <f t="shared" si="2"/>
        <v>0.19281046202077587</v>
      </c>
      <c r="I181" s="12">
        <v>1503</v>
      </c>
      <c r="J181" s="12">
        <v>616.11112552881241</v>
      </c>
      <c r="K181" s="12">
        <v>4727</v>
      </c>
      <c r="L181" s="13">
        <f t="shared" si="3"/>
        <v>0.31796065157605247</v>
      </c>
      <c r="M181" s="13">
        <f t="shared" si="4"/>
        <v>0.40992090853547064</v>
      </c>
      <c r="N181" s="13">
        <f t="shared" si="5"/>
        <v>0.13033871917258566</v>
      </c>
      <c r="O181" s="5">
        <f t="shared" si="6"/>
        <v>1.4793030286377864</v>
      </c>
      <c r="AH181" s="20"/>
    </row>
    <row r="182" spans="1:34" ht="15.75" customHeight="1">
      <c r="A182" s="8">
        <v>40602</v>
      </c>
      <c r="B182" s="9" t="s">
        <v>210</v>
      </c>
      <c r="C182" s="10">
        <v>791</v>
      </c>
      <c r="D182" s="10">
        <v>336.66667506098747</v>
      </c>
      <c r="E182" s="10">
        <v>1973</v>
      </c>
      <c r="F182" s="11">
        <f t="shared" si="0"/>
        <v>0.40091231626964013</v>
      </c>
      <c r="G182" s="11">
        <f t="shared" si="1"/>
        <v>0.4256215866763432</v>
      </c>
      <c r="H182" s="11">
        <f t="shared" si="2"/>
        <v>0.17063693616877215</v>
      </c>
      <c r="I182" s="12">
        <v>1272</v>
      </c>
      <c r="J182" s="12">
        <v>526.1111236512661</v>
      </c>
      <c r="K182" s="12">
        <v>3906</v>
      </c>
      <c r="L182" s="13">
        <f t="shared" si="3"/>
        <v>0.32565284178187404</v>
      </c>
      <c r="M182" s="13">
        <f t="shared" si="4"/>
        <v>0.41360937393967462</v>
      </c>
      <c r="N182" s="13">
        <f t="shared" si="5"/>
        <v>0.13469306801107683</v>
      </c>
      <c r="O182" s="5">
        <f t="shared" si="6"/>
        <v>1.2668575947408027</v>
      </c>
      <c r="AH182" s="20"/>
    </row>
    <row r="183" spans="1:34" ht="15.75" customHeight="1">
      <c r="A183" s="8">
        <v>40603</v>
      </c>
      <c r="B183" s="9" t="s">
        <v>211</v>
      </c>
      <c r="C183" s="10">
        <v>275</v>
      </c>
      <c r="D183" s="10">
        <v>111.88889145851135</v>
      </c>
      <c r="E183" s="10">
        <v>807</v>
      </c>
      <c r="F183" s="11">
        <f t="shared" si="0"/>
        <v>0.34076827757125155</v>
      </c>
      <c r="G183" s="11">
        <f t="shared" si="1"/>
        <v>0.40686869621276855</v>
      </c>
      <c r="H183" s="11">
        <f t="shared" si="2"/>
        <v>0.13864794480608594</v>
      </c>
      <c r="I183" s="12">
        <v>645</v>
      </c>
      <c r="J183" s="12">
        <v>270.22222900390625</v>
      </c>
      <c r="K183" s="12">
        <v>2380</v>
      </c>
      <c r="L183" s="13">
        <f t="shared" si="3"/>
        <v>0.27100840336134452</v>
      </c>
      <c r="M183" s="13">
        <f t="shared" si="4"/>
        <v>0.4189491922541182</v>
      </c>
      <c r="N183" s="13">
        <f t="shared" si="5"/>
        <v>0.11353875168231353</v>
      </c>
      <c r="O183" s="5">
        <f t="shared" si="6"/>
        <v>1.2211508648080704</v>
      </c>
      <c r="AH183" s="20"/>
    </row>
    <row r="184" spans="1:34" ht="15.75" customHeight="1">
      <c r="A184" s="8">
        <v>40701</v>
      </c>
      <c r="B184" s="9" t="s">
        <v>212</v>
      </c>
      <c r="C184" s="10">
        <v>1536</v>
      </c>
      <c r="D184" s="10">
        <v>632.44446042180061</v>
      </c>
      <c r="E184" s="10">
        <v>5531</v>
      </c>
      <c r="F184" s="11">
        <f t="shared" si="0"/>
        <v>0.27770746700415838</v>
      </c>
      <c r="G184" s="11">
        <f t="shared" si="1"/>
        <v>0.41174769558710977</v>
      </c>
      <c r="H184" s="11">
        <f t="shared" si="2"/>
        <v>0.11434540958629553</v>
      </c>
      <c r="I184" s="12">
        <v>2937</v>
      </c>
      <c r="J184" s="12">
        <v>1158.8889173567295</v>
      </c>
      <c r="K184" s="12">
        <v>18565</v>
      </c>
      <c r="L184" s="13">
        <f t="shared" si="3"/>
        <v>0.15820091570158901</v>
      </c>
      <c r="M184" s="13">
        <f t="shared" si="4"/>
        <v>0.39458253910681973</v>
      </c>
      <c r="N184" s="13">
        <f t="shared" si="5"/>
        <v>6.2423319006556933E-2</v>
      </c>
      <c r="O184" s="5">
        <f t="shared" si="6"/>
        <v>1.8317739493198801</v>
      </c>
      <c r="AH184" s="20"/>
    </row>
    <row r="185" spans="1:34" ht="15.75" customHeight="1">
      <c r="A185" s="8">
        <v>40702</v>
      </c>
      <c r="B185" s="9" t="s">
        <v>213</v>
      </c>
      <c r="C185" s="10">
        <v>453</v>
      </c>
      <c r="D185" s="10">
        <v>182.22222658991814</v>
      </c>
      <c r="E185" s="10">
        <v>1641</v>
      </c>
      <c r="F185" s="11">
        <f t="shared" si="0"/>
        <v>0.27605118829981717</v>
      </c>
      <c r="G185" s="11">
        <f t="shared" si="1"/>
        <v>0.40225657083867139</v>
      </c>
      <c r="H185" s="11">
        <f t="shared" si="2"/>
        <v>0.11104340438142482</v>
      </c>
      <c r="I185" s="12">
        <v>682</v>
      </c>
      <c r="J185" s="12">
        <v>283.22222909331322</v>
      </c>
      <c r="K185" s="12">
        <v>3074</v>
      </c>
      <c r="L185" s="13">
        <f t="shared" si="3"/>
        <v>0.22186076772934288</v>
      </c>
      <c r="M185" s="13">
        <f t="shared" si="4"/>
        <v>0.41528186084063523</v>
      </c>
      <c r="N185" s="13">
        <f t="shared" si="5"/>
        <v>9.213475247017347E-2</v>
      </c>
      <c r="O185" s="5">
        <f t="shared" si="6"/>
        <v>1.2052282271814059</v>
      </c>
      <c r="AH185" s="20"/>
    </row>
    <row r="186" spans="1:34" ht="15.75" customHeight="1">
      <c r="A186" s="8">
        <v>40801</v>
      </c>
      <c r="B186" s="9" t="s">
        <v>214</v>
      </c>
      <c r="C186" s="10">
        <v>1608</v>
      </c>
      <c r="D186" s="10">
        <v>665.77779319882393</v>
      </c>
      <c r="E186" s="10">
        <v>2794</v>
      </c>
      <c r="F186" s="11">
        <f t="shared" si="0"/>
        <v>0.57551896921975665</v>
      </c>
      <c r="G186" s="11">
        <f t="shared" si="1"/>
        <v>0.41404091616842287</v>
      </c>
      <c r="H186" s="11">
        <f t="shared" si="2"/>
        <v>0.2382884012880544</v>
      </c>
      <c r="I186" s="12">
        <v>4806</v>
      </c>
      <c r="J186" s="12">
        <v>2037.7778287529945</v>
      </c>
      <c r="K186" s="12">
        <v>8843</v>
      </c>
      <c r="L186" s="13">
        <f t="shared" si="3"/>
        <v>0.54348071921293684</v>
      </c>
      <c r="M186" s="13">
        <f t="shared" si="4"/>
        <v>0.42400703885830099</v>
      </c>
      <c r="N186" s="13">
        <f t="shared" si="5"/>
        <v>0.23043965043005707</v>
      </c>
      <c r="O186" s="5">
        <f t="shared" si="6"/>
        <v>1.0340598974323629</v>
      </c>
      <c r="AH186" s="20"/>
    </row>
    <row r="187" spans="1:34" ht="15.75" customHeight="1">
      <c r="A187" s="8">
        <v>40802</v>
      </c>
      <c r="B187" s="9" t="s">
        <v>215</v>
      </c>
      <c r="C187" s="10">
        <v>404</v>
      </c>
      <c r="D187" s="10">
        <v>185.00000461935997</v>
      </c>
      <c r="E187" s="10">
        <v>694</v>
      </c>
      <c r="F187" s="11">
        <f t="shared" si="0"/>
        <v>0.58213256484149856</v>
      </c>
      <c r="G187" s="11">
        <f t="shared" si="1"/>
        <v>0.45792080351326725</v>
      </c>
      <c r="H187" s="11">
        <f t="shared" si="2"/>
        <v>0.26657061184345815</v>
      </c>
      <c r="I187" s="12">
        <v>1315</v>
      </c>
      <c r="J187" s="12">
        <v>568.44445833563805</v>
      </c>
      <c r="K187" s="12">
        <v>2215</v>
      </c>
      <c r="L187" s="13">
        <f t="shared" si="3"/>
        <v>0.5936794582392777</v>
      </c>
      <c r="M187" s="13">
        <f t="shared" si="4"/>
        <v>0.43227715462786165</v>
      </c>
      <c r="N187" s="13">
        <f t="shared" si="5"/>
        <v>0.2566340669686854</v>
      </c>
      <c r="O187" s="5">
        <f t="shared" si="6"/>
        <v>1.0387187289362687</v>
      </c>
      <c r="AH187" s="20"/>
    </row>
    <row r="188" spans="1:34" ht="15.75" customHeight="1">
      <c r="A188" s="8">
        <v>40901</v>
      </c>
      <c r="B188" s="9" t="s">
        <v>216</v>
      </c>
      <c r="C188" s="10">
        <v>572</v>
      </c>
      <c r="D188" s="10">
        <v>246.44445011019707</v>
      </c>
      <c r="E188" s="10">
        <v>1282</v>
      </c>
      <c r="F188" s="11">
        <f t="shared" si="0"/>
        <v>0.44617784711388453</v>
      </c>
      <c r="G188" s="11">
        <f t="shared" si="1"/>
        <v>0.43084694075209279</v>
      </c>
      <c r="H188" s="11">
        <f t="shared" si="2"/>
        <v>0.19223436046037212</v>
      </c>
      <c r="I188" s="12">
        <v>3022</v>
      </c>
      <c r="J188" s="12">
        <v>1271.6666985452175</v>
      </c>
      <c r="K188" s="12">
        <v>6462</v>
      </c>
      <c r="L188" s="13">
        <f t="shared" si="3"/>
        <v>0.46765707211389662</v>
      </c>
      <c r="M188" s="13">
        <f t="shared" si="4"/>
        <v>0.42080301076943</v>
      </c>
      <c r="N188" s="13">
        <f t="shared" si="5"/>
        <v>0.19679150395314415</v>
      </c>
      <c r="O188" s="5">
        <f t="shared" si="6"/>
        <v>0.97684278334568198</v>
      </c>
      <c r="AH188" s="20"/>
    </row>
    <row r="189" spans="1:34" ht="15.75" customHeight="1">
      <c r="A189" s="8">
        <v>40902</v>
      </c>
      <c r="B189" s="9" t="s">
        <v>217</v>
      </c>
      <c r="C189" s="10">
        <v>77</v>
      </c>
      <c r="D189" s="10">
        <v>33.888889938592911</v>
      </c>
      <c r="E189" s="10">
        <v>152</v>
      </c>
      <c r="F189" s="11">
        <f t="shared" si="0"/>
        <v>0.50657894736842102</v>
      </c>
      <c r="G189" s="11">
        <f t="shared" si="1"/>
        <v>0.44011545374795991</v>
      </c>
      <c r="H189" s="11">
        <f t="shared" si="2"/>
        <v>0.22295322328021652</v>
      </c>
      <c r="I189" s="12">
        <v>384</v>
      </c>
      <c r="J189" s="12">
        <v>162.66667103767395</v>
      </c>
      <c r="K189" s="12">
        <v>715</v>
      </c>
      <c r="L189" s="13">
        <f t="shared" si="3"/>
        <v>0.53706293706293706</v>
      </c>
      <c r="M189" s="13">
        <f t="shared" si="4"/>
        <v>0.42361112249394256</v>
      </c>
      <c r="N189" s="13">
        <f t="shared" si="5"/>
        <v>0.22750583361912441</v>
      </c>
      <c r="O189" s="5">
        <f t="shared" si="6"/>
        <v>0.97998903910952206</v>
      </c>
      <c r="AH189" s="20"/>
    </row>
    <row r="190" spans="1:34" ht="15.75" customHeight="1">
      <c r="A190" s="8">
        <v>40903</v>
      </c>
      <c r="B190" s="9" t="s">
        <v>218</v>
      </c>
      <c r="C190" s="10">
        <v>311</v>
      </c>
      <c r="D190" s="10">
        <v>131.11111444234848</v>
      </c>
      <c r="E190" s="10">
        <v>586</v>
      </c>
      <c r="F190" s="11">
        <f t="shared" si="0"/>
        <v>0.53071672354948807</v>
      </c>
      <c r="G190" s="11">
        <f t="shared" si="1"/>
        <v>0.42157914611687614</v>
      </c>
      <c r="H190" s="11">
        <f t="shared" si="2"/>
        <v>0.22373910314393938</v>
      </c>
      <c r="I190" s="12">
        <v>704</v>
      </c>
      <c r="J190" s="12">
        <v>313.55556365847588</v>
      </c>
      <c r="K190" s="12">
        <v>1341</v>
      </c>
      <c r="L190" s="13">
        <f t="shared" si="3"/>
        <v>0.52498135719612227</v>
      </c>
      <c r="M190" s="13">
        <f t="shared" si="4"/>
        <v>0.44539142565124412</v>
      </c>
      <c r="N190" s="13">
        <f t="shared" si="5"/>
        <v>0.23382219512190591</v>
      </c>
      <c r="O190" s="5">
        <f t="shared" si="6"/>
        <v>0.95687709640776575</v>
      </c>
      <c r="AH190" s="20"/>
    </row>
    <row r="191" spans="1:34" ht="15.75" customHeight="1">
      <c r="A191" s="8">
        <v>41001</v>
      </c>
      <c r="B191" s="9" t="s">
        <v>219</v>
      </c>
      <c r="C191" s="10">
        <v>2981</v>
      </c>
      <c r="D191" s="10">
        <v>1396.6667003333569</v>
      </c>
      <c r="E191" s="10">
        <v>3795</v>
      </c>
      <c r="F191" s="11">
        <f t="shared" si="0"/>
        <v>0.78550724637681157</v>
      </c>
      <c r="G191" s="11">
        <f t="shared" si="1"/>
        <v>0.46852287834060946</v>
      </c>
      <c r="H191" s="11">
        <f t="shared" si="2"/>
        <v>0.36802811602987001</v>
      </c>
      <c r="I191" s="12">
        <v>4462</v>
      </c>
      <c r="J191" s="12">
        <v>2045.333378046751</v>
      </c>
      <c r="K191" s="12">
        <v>6122</v>
      </c>
      <c r="L191" s="13">
        <f t="shared" si="3"/>
        <v>0.72884678209735376</v>
      </c>
      <c r="M191" s="13">
        <f t="shared" si="4"/>
        <v>0.4583893720409572</v>
      </c>
      <c r="N191" s="13">
        <f t="shared" si="5"/>
        <v>0.33409561875967836</v>
      </c>
      <c r="O191" s="5">
        <f t="shared" si="6"/>
        <v>1.1015652267340865</v>
      </c>
      <c r="AH191" s="20"/>
    </row>
    <row r="192" spans="1:34" ht="15.75" customHeight="1">
      <c r="A192" s="8">
        <v>41101</v>
      </c>
      <c r="B192" s="9" t="s">
        <v>220</v>
      </c>
      <c r="C192" s="10">
        <v>639</v>
      </c>
      <c r="D192" s="10">
        <v>268.77778476476669</v>
      </c>
      <c r="E192" s="10">
        <v>1742</v>
      </c>
      <c r="F192" s="11">
        <f t="shared" si="0"/>
        <v>0.36681974741676232</v>
      </c>
      <c r="G192" s="11">
        <f t="shared" si="1"/>
        <v>0.42062251136896195</v>
      </c>
      <c r="H192" s="11">
        <f t="shared" si="2"/>
        <v>0.15429264337816687</v>
      </c>
      <c r="I192" s="12">
        <v>1428</v>
      </c>
      <c r="J192" s="12">
        <v>606.11112594604492</v>
      </c>
      <c r="K192" s="12">
        <v>3429</v>
      </c>
      <c r="L192" s="13">
        <f t="shared" si="3"/>
        <v>0.41644794400699914</v>
      </c>
      <c r="M192" s="13">
        <f t="shared" si="4"/>
        <v>0.42444756718910709</v>
      </c>
      <c r="N192" s="13">
        <f t="shared" si="5"/>
        <v>0.17676031669467626</v>
      </c>
      <c r="O192" s="5">
        <f t="shared" si="6"/>
        <v>0.87289186998166268</v>
      </c>
      <c r="AH192" s="20"/>
    </row>
    <row r="193" spans="1:34" ht="15.75" customHeight="1">
      <c r="A193" s="8">
        <v>41201</v>
      </c>
      <c r="B193" s="9" t="s">
        <v>221</v>
      </c>
      <c r="C193" s="10">
        <v>1008</v>
      </c>
      <c r="D193" s="10">
        <v>455.88889998197556</v>
      </c>
      <c r="E193" s="10">
        <v>1421</v>
      </c>
      <c r="F193" s="11">
        <f t="shared" si="0"/>
        <v>0.70935960591133007</v>
      </c>
      <c r="G193" s="11">
        <f t="shared" si="1"/>
        <v>0.45227073410910273</v>
      </c>
      <c r="H193" s="11">
        <f t="shared" si="2"/>
        <v>0.32082258971286104</v>
      </c>
      <c r="I193" s="12">
        <v>2605</v>
      </c>
      <c r="J193" s="12">
        <v>1156.6666931807995</v>
      </c>
      <c r="K193" s="12">
        <v>3669</v>
      </c>
      <c r="L193" s="13">
        <f t="shared" si="3"/>
        <v>0.7100027255382938</v>
      </c>
      <c r="M193" s="13">
        <f t="shared" si="4"/>
        <v>0.44401792444560439</v>
      </c>
      <c r="N193" s="13">
        <f t="shared" si="5"/>
        <v>0.31525393654423534</v>
      </c>
      <c r="O193" s="5">
        <f t="shared" si="6"/>
        <v>1.0176640242138399</v>
      </c>
      <c r="AH193" s="20"/>
    </row>
    <row r="194" spans="1:34" ht="15.75" customHeight="1">
      <c r="A194" s="8">
        <v>41202</v>
      </c>
      <c r="B194" s="9" t="s">
        <v>222</v>
      </c>
      <c r="C194" s="10">
        <v>332</v>
      </c>
      <c r="D194" s="10">
        <v>136.44444757699966</v>
      </c>
      <c r="E194" s="10">
        <v>543</v>
      </c>
      <c r="F194" s="11">
        <f t="shared" si="0"/>
        <v>0.61141804788213627</v>
      </c>
      <c r="G194" s="11">
        <f t="shared" si="1"/>
        <v>0.4109772517379508</v>
      </c>
      <c r="H194" s="11">
        <f t="shared" si="2"/>
        <v>0.25127890898158317</v>
      </c>
      <c r="I194" s="12">
        <v>884</v>
      </c>
      <c r="J194" s="12">
        <v>371.00000858306885</v>
      </c>
      <c r="K194" s="12">
        <v>1420</v>
      </c>
      <c r="L194" s="13">
        <f t="shared" si="3"/>
        <v>0.62253521126760558</v>
      </c>
      <c r="M194" s="13">
        <f t="shared" si="4"/>
        <v>0.41968326762790592</v>
      </c>
      <c r="N194" s="13">
        <f t="shared" si="5"/>
        <v>0.26126761167821749</v>
      </c>
      <c r="O194" s="5">
        <f t="shared" si="6"/>
        <v>0.96176830862243801</v>
      </c>
      <c r="AH194" s="20"/>
    </row>
    <row r="195" spans="1:34" ht="15.75" customHeight="1">
      <c r="A195" s="8">
        <v>41301</v>
      </c>
      <c r="B195" s="9" t="s">
        <v>223</v>
      </c>
      <c r="C195" s="10">
        <v>1076</v>
      </c>
      <c r="D195" s="10">
        <v>510.22223454713821</v>
      </c>
      <c r="E195" s="10">
        <v>1504</v>
      </c>
      <c r="F195" s="11">
        <f t="shared" si="0"/>
        <v>0.71542553191489366</v>
      </c>
      <c r="G195" s="11">
        <f t="shared" si="1"/>
        <v>0.47418423285050021</v>
      </c>
      <c r="H195" s="11">
        <f t="shared" si="2"/>
        <v>0.33924350701272493</v>
      </c>
      <c r="I195" s="12">
        <v>2820</v>
      </c>
      <c r="J195" s="12">
        <v>1266.3333623707294</v>
      </c>
      <c r="K195" s="12">
        <v>3895</v>
      </c>
      <c r="L195" s="13">
        <f t="shared" si="3"/>
        <v>0.72400513478818995</v>
      </c>
      <c r="M195" s="13">
        <f t="shared" si="4"/>
        <v>0.4490543838194076</v>
      </c>
      <c r="N195" s="13">
        <f t="shared" si="5"/>
        <v>0.32511767968439781</v>
      </c>
      <c r="O195" s="5">
        <f t="shared" si="6"/>
        <v>1.0434483518153781</v>
      </c>
      <c r="AH195" s="20"/>
    </row>
    <row r="196" spans="1:34" ht="15.75" customHeight="1">
      <c r="A196" s="8">
        <v>41401</v>
      </c>
      <c r="B196" s="9" t="s">
        <v>224</v>
      </c>
      <c r="C196" s="10">
        <v>1416</v>
      </c>
      <c r="D196" s="10">
        <v>650.55557182431221</v>
      </c>
      <c r="E196" s="10">
        <v>2908</v>
      </c>
      <c r="F196" s="11">
        <f t="shared" si="0"/>
        <v>0.48693259972489683</v>
      </c>
      <c r="G196" s="11">
        <f t="shared" si="1"/>
        <v>0.45943190100587022</v>
      </c>
      <c r="H196" s="11">
        <f t="shared" si="2"/>
        <v>0.22371236995333982</v>
      </c>
      <c r="I196" s="12">
        <v>5504</v>
      </c>
      <c r="J196" s="12">
        <v>2559.2222856879234</v>
      </c>
      <c r="K196" s="12">
        <v>10094</v>
      </c>
      <c r="L196" s="13">
        <f t="shared" si="3"/>
        <v>0.54527442044779073</v>
      </c>
      <c r="M196" s="13">
        <f t="shared" si="4"/>
        <v>0.46497497923109071</v>
      </c>
      <c r="N196" s="13">
        <f t="shared" si="5"/>
        <v>0.25353896232295653</v>
      </c>
      <c r="O196" s="5">
        <f t="shared" si="6"/>
        <v>0.8823589396424848</v>
      </c>
      <c r="AH196" s="20"/>
    </row>
    <row r="197" spans="1:34" ht="15.75" customHeight="1">
      <c r="A197" s="8">
        <v>41501</v>
      </c>
      <c r="B197" s="9" t="s">
        <v>225</v>
      </c>
      <c r="C197" s="10">
        <v>69</v>
      </c>
      <c r="D197" s="10">
        <v>30.333334058523178</v>
      </c>
      <c r="E197" s="10">
        <v>151</v>
      </c>
      <c r="F197" s="11">
        <f t="shared" si="0"/>
        <v>0.45695364238410596</v>
      </c>
      <c r="G197" s="11">
        <f t="shared" si="1"/>
        <v>0.43961353708004608</v>
      </c>
      <c r="H197" s="11">
        <f t="shared" si="2"/>
        <v>0.20088300701008729</v>
      </c>
      <c r="I197" s="12">
        <v>279</v>
      </c>
      <c r="J197" s="12">
        <v>125.11111432313919</v>
      </c>
      <c r="K197" s="12">
        <v>356</v>
      </c>
      <c r="L197" s="13">
        <f t="shared" si="3"/>
        <v>0.7837078651685393</v>
      </c>
      <c r="M197" s="13">
        <f t="shared" si="4"/>
        <v>0.44842693305784659</v>
      </c>
      <c r="N197" s="13">
        <f t="shared" si="5"/>
        <v>0.35143571439084043</v>
      </c>
      <c r="O197" s="5">
        <f t="shared" si="6"/>
        <v>0.571606694437095</v>
      </c>
      <c r="AH197" s="20"/>
    </row>
    <row r="198" spans="1:34" ht="15.75" customHeight="1">
      <c r="A198" s="8">
        <v>41502</v>
      </c>
      <c r="B198" s="9" t="s">
        <v>226</v>
      </c>
      <c r="C198" s="10">
        <v>83</v>
      </c>
      <c r="D198" s="10">
        <v>41.33333432674408</v>
      </c>
      <c r="E198" s="10">
        <v>159</v>
      </c>
      <c r="F198" s="11">
        <f t="shared" si="0"/>
        <v>0.5220125786163522</v>
      </c>
      <c r="G198" s="11">
        <f t="shared" si="1"/>
        <v>0.49799197984029009</v>
      </c>
      <c r="H198" s="11">
        <f t="shared" si="2"/>
        <v>0.25995807752669231</v>
      </c>
      <c r="I198" s="12">
        <v>385</v>
      </c>
      <c r="J198" s="12">
        <v>176.3333375453949</v>
      </c>
      <c r="K198" s="12">
        <v>498</v>
      </c>
      <c r="L198" s="13">
        <f t="shared" si="3"/>
        <v>0.7730923694779116</v>
      </c>
      <c r="M198" s="13">
        <f t="shared" si="4"/>
        <v>0.45800866894907766</v>
      </c>
      <c r="N198" s="13">
        <f t="shared" si="5"/>
        <v>0.35408300711926682</v>
      </c>
      <c r="O198" s="5">
        <f t="shared" si="6"/>
        <v>0.73417270046831096</v>
      </c>
      <c r="AH198" s="20"/>
    </row>
    <row r="199" spans="1:34" ht="15.75" customHeight="1">
      <c r="A199" s="8">
        <v>41503</v>
      </c>
      <c r="B199" s="9" t="s">
        <v>227</v>
      </c>
      <c r="C199" s="10">
        <v>206</v>
      </c>
      <c r="D199" s="10">
        <v>103.22222512960434</v>
      </c>
      <c r="E199" s="10">
        <v>250</v>
      </c>
      <c r="F199" s="11">
        <f t="shared" si="0"/>
        <v>0.82399999999999995</v>
      </c>
      <c r="G199" s="11">
        <f t="shared" si="1"/>
        <v>0.50107876276506957</v>
      </c>
      <c r="H199" s="11">
        <f t="shared" si="2"/>
        <v>0.41288890051841731</v>
      </c>
      <c r="I199" s="12">
        <v>433</v>
      </c>
      <c r="J199" s="12">
        <v>195.66667148470879</v>
      </c>
      <c r="K199" s="12">
        <v>589</v>
      </c>
      <c r="L199" s="13">
        <f t="shared" si="3"/>
        <v>0.735144312393888</v>
      </c>
      <c r="M199" s="13">
        <f t="shared" si="4"/>
        <v>0.45188607733189096</v>
      </c>
      <c r="N199" s="13">
        <f t="shared" si="5"/>
        <v>0.33220147960052426</v>
      </c>
      <c r="O199" s="5">
        <f t="shared" si="6"/>
        <v>1.2428870004279347</v>
      </c>
      <c r="AH199" s="20"/>
    </row>
    <row r="200" spans="1:34" ht="15.75" customHeight="1">
      <c r="A200" s="8">
        <v>41601</v>
      </c>
      <c r="B200" s="9" t="s">
        <v>228</v>
      </c>
      <c r="C200" s="10">
        <v>1212</v>
      </c>
      <c r="D200" s="10">
        <v>558.00001376867294</v>
      </c>
      <c r="E200" s="10">
        <v>1603</v>
      </c>
      <c r="F200" s="11">
        <f t="shared" si="0"/>
        <v>0.75608234560199628</v>
      </c>
      <c r="G200" s="11">
        <f t="shared" si="1"/>
        <v>0.46039605096425162</v>
      </c>
      <c r="H200" s="11">
        <f t="shared" si="2"/>
        <v>0.34809732611894761</v>
      </c>
      <c r="I200" s="12">
        <v>2904</v>
      </c>
      <c r="J200" s="12">
        <v>1335.444473952055</v>
      </c>
      <c r="K200" s="12">
        <v>3791</v>
      </c>
      <c r="L200" s="13">
        <f t="shared" si="3"/>
        <v>0.7660247955684516</v>
      </c>
      <c r="M200" s="13">
        <f t="shared" si="4"/>
        <v>0.45986379957026685</v>
      </c>
      <c r="N200" s="13">
        <f t="shared" si="5"/>
        <v>0.35226707305514504</v>
      </c>
      <c r="O200" s="5">
        <f t="shared" si="6"/>
        <v>0.98816310902965188</v>
      </c>
      <c r="AH200" s="20"/>
    </row>
    <row r="201" spans="1:34" ht="15.75" customHeight="1">
      <c r="A201" s="8">
        <v>50101</v>
      </c>
      <c r="B201" s="9" t="s">
        <v>28</v>
      </c>
      <c r="C201" s="10">
        <v>9774</v>
      </c>
      <c r="D201" s="10">
        <v>4048.6667722463608</v>
      </c>
      <c r="E201" s="10">
        <v>68035</v>
      </c>
      <c r="F201" s="11">
        <f t="shared" si="0"/>
        <v>0.14366135077533623</v>
      </c>
      <c r="G201" s="11">
        <f t="shared" si="1"/>
        <v>0.41422823534339687</v>
      </c>
      <c r="H201" s="11">
        <f t="shared" si="2"/>
        <v>5.950858781871627E-2</v>
      </c>
      <c r="I201" s="12">
        <v>13515</v>
      </c>
      <c r="J201" s="12">
        <v>5548.0001408159733</v>
      </c>
      <c r="K201" s="12">
        <v>119167</v>
      </c>
      <c r="L201" s="13">
        <f t="shared" si="3"/>
        <v>0.11341227017546804</v>
      </c>
      <c r="M201" s="13">
        <f t="shared" si="4"/>
        <v>0.41050685466636871</v>
      </c>
      <c r="N201" s="13">
        <f t="shared" si="5"/>
        <v>4.6556514310303804E-2</v>
      </c>
      <c r="O201" s="5">
        <f t="shared" si="6"/>
        <v>1.2782011003247711</v>
      </c>
      <c r="AH201" s="20"/>
    </row>
    <row r="202" spans="1:34" ht="15.75" customHeight="1">
      <c r="A202" s="8">
        <v>50102</v>
      </c>
      <c r="B202" s="9" t="s">
        <v>229</v>
      </c>
      <c r="C202" s="10">
        <v>4573</v>
      </c>
      <c r="D202" s="10">
        <v>2471.3334019780159</v>
      </c>
      <c r="E202" s="10">
        <v>5456</v>
      </c>
      <c r="F202" s="11">
        <f t="shared" si="0"/>
        <v>0.8381598240469208</v>
      </c>
      <c r="G202" s="11">
        <f t="shared" si="1"/>
        <v>0.54041841285327263</v>
      </c>
      <c r="H202" s="11">
        <f t="shared" si="2"/>
        <v>0.45295700182881521</v>
      </c>
      <c r="I202" s="12">
        <v>18710</v>
      </c>
      <c r="J202" s="12">
        <v>10026.22249314189</v>
      </c>
      <c r="K202" s="12">
        <v>21507</v>
      </c>
      <c r="L202" s="13">
        <f t="shared" si="3"/>
        <v>0.86994931882642856</v>
      </c>
      <c r="M202" s="13">
        <f t="shared" si="4"/>
        <v>0.53587506644264504</v>
      </c>
      <c r="N202" s="13">
        <f t="shared" si="5"/>
        <v>0.46618414902784622</v>
      </c>
      <c r="O202" s="5">
        <f t="shared" si="6"/>
        <v>0.97162677618573234</v>
      </c>
      <c r="AH202" s="20"/>
    </row>
    <row r="203" spans="1:34" ht="15.75" customHeight="1">
      <c r="A203" s="8">
        <v>50103</v>
      </c>
      <c r="B203" s="9" t="s">
        <v>230</v>
      </c>
      <c r="C203" s="10">
        <v>881</v>
      </c>
      <c r="D203" s="10">
        <v>366.44445326924324</v>
      </c>
      <c r="E203" s="10">
        <v>2159</v>
      </c>
      <c r="F203" s="11">
        <f t="shared" si="0"/>
        <v>0.40805928670680869</v>
      </c>
      <c r="G203" s="11">
        <f t="shared" si="1"/>
        <v>0.41594149065748381</v>
      </c>
      <c r="H203" s="11">
        <f t="shared" si="2"/>
        <v>0.16972878798945956</v>
      </c>
      <c r="I203" s="12">
        <v>2305</v>
      </c>
      <c r="J203" s="12">
        <v>954.88891252875328</v>
      </c>
      <c r="K203" s="12">
        <v>6625</v>
      </c>
      <c r="L203" s="13">
        <f t="shared" si="3"/>
        <v>0.3479245283018868</v>
      </c>
      <c r="M203" s="13">
        <f t="shared" si="4"/>
        <v>0.4142685086892639</v>
      </c>
      <c r="N203" s="13">
        <f t="shared" si="5"/>
        <v>0.14413417547603824</v>
      </c>
      <c r="O203" s="5">
        <f t="shared" si="6"/>
        <v>1.177574904972321</v>
      </c>
      <c r="AH203" s="20"/>
    </row>
    <row r="204" spans="1:34" ht="15.75" customHeight="1">
      <c r="A204" s="8">
        <v>50104</v>
      </c>
      <c r="B204" s="9" t="s">
        <v>231</v>
      </c>
      <c r="C204" s="10">
        <v>359</v>
      </c>
      <c r="D204" s="10">
        <v>162.33333778381348</v>
      </c>
      <c r="E204" s="10">
        <v>522</v>
      </c>
      <c r="F204" s="11">
        <f t="shared" si="0"/>
        <v>0.6877394636015326</v>
      </c>
      <c r="G204" s="11">
        <f t="shared" si="1"/>
        <v>0.45218199939780912</v>
      </c>
      <c r="H204" s="11">
        <f t="shared" si="2"/>
        <v>0.31098340571611777</v>
      </c>
      <c r="I204" s="12">
        <v>1368</v>
      </c>
      <c r="J204" s="12">
        <v>611.66668239235878</v>
      </c>
      <c r="K204" s="12">
        <v>2208</v>
      </c>
      <c r="L204" s="13">
        <f t="shared" si="3"/>
        <v>0.61956521739130432</v>
      </c>
      <c r="M204" s="13">
        <f t="shared" si="4"/>
        <v>0.44712476783067162</v>
      </c>
      <c r="N204" s="13">
        <f t="shared" si="5"/>
        <v>0.27702295398204652</v>
      </c>
      <c r="O204" s="5">
        <f t="shared" si="6"/>
        <v>1.1225907501378827</v>
      </c>
      <c r="AH204" s="20"/>
    </row>
    <row r="205" spans="1:34" ht="15.75" customHeight="1">
      <c r="A205" s="8">
        <v>50201</v>
      </c>
      <c r="B205" s="9" t="s">
        <v>232</v>
      </c>
      <c r="C205" s="10">
        <v>3295</v>
      </c>
      <c r="D205" s="10">
        <v>1435.2222582995892</v>
      </c>
      <c r="E205" s="10">
        <v>6662</v>
      </c>
      <c r="F205" s="11">
        <f t="shared" si="0"/>
        <v>0.49459621735214648</v>
      </c>
      <c r="G205" s="11">
        <f t="shared" si="1"/>
        <v>0.43557579918045192</v>
      </c>
      <c r="H205" s="11">
        <f t="shared" si="2"/>
        <v>0.21543414264478972</v>
      </c>
      <c r="I205" s="12">
        <v>7247</v>
      </c>
      <c r="J205" s="12">
        <v>3150.2223014831543</v>
      </c>
      <c r="K205" s="12">
        <v>14797</v>
      </c>
      <c r="L205" s="13">
        <f t="shared" si="3"/>
        <v>0.48976143812935052</v>
      </c>
      <c r="M205" s="13">
        <f t="shared" si="4"/>
        <v>0.43469329398139289</v>
      </c>
      <c r="N205" s="13">
        <f t="shared" si="5"/>
        <v>0.21289601280551154</v>
      </c>
      <c r="O205" s="5">
        <f t="shared" si="6"/>
        <v>1.0119219228478311</v>
      </c>
      <c r="AH205" s="20"/>
    </row>
    <row r="206" spans="1:34" ht="15.75" customHeight="1">
      <c r="A206" s="8">
        <v>50202</v>
      </c>
      <c r="B206" s="9" t="s">
        <v>233</v>
      </c>
      <c r="C206" s="10">
        <v>2074</v>
      </c>
      <c r="D206" s="10">
        <v>907.88891166448593</v>
      </c>
      <c r="E206" s="10">
        <v>3901</v>
      </c>
      <c r="F206" s="11">
        <f t="shared" si="0"/>
        <v>0.5316585490899769</v>
      </c>
      <c r="G206" s="11">
        <f t="shared" si="1"/>
        <v>0.43774778768779454</v>
      </c>
      <c r="H206" s="11">
        <f t="shared" si="2"/>
        <v>0.23273235366944009</v>
      </c>
      <c r="I206" s="12">
        <v>6933</v>
      </c>
      <c r="J206" s="12">
        <v>3020.0000759065151</v>
      </c>
      <c r="K206" s="12">
        <v>11993</v>
      </c>
      <c r="L206" s="13">
        <f t="shared" si="3"/>
        <v>0.57808721754356707</v>
      </c>
      <c r="M206" s="13">
        <f t="shared" si="4"/>
        <v>0.43559787623056617</v>
      </c>
      <c r="N206" s="13">
        <f t="shared" si="5"/>
        <v>0.2518135642380151</v>
      </c>
      <c r="O206" s="5">
        <f t="shared" si="6"/>
        <v>0.92422485013341305</v>
      </c>
      <c r="AH206" s="20"/>
    </row>
    <row r="207" spans="1:34" ht="15.75" customHeight="1">
      <c r="A207" s="8">
        <v>50203</v>
      </c>
      <c r="B207" s="9" t="s">
        <v>234</v>
      </c>
      <c r="C207" s="10">
        <v>4737</v>
      </c>
      <c r="D207" s="10">
        <v>1970.3333840370178</v>
      </c>
      <c r="E207" s="10">
        <v>15968</v>
      </c>
      <c r="F207" s="11">
        <f t="shared" si="0"/>
        <v>0.2966558116232465</v>
      </c>
      <c r="G207" s="11">
        <f t="shared" si="1"/>
        <v>0.41594540511653322</v>
      </c>
      <c r="H207" s="11">
        <f t="shared" si="2"/>
        <v>0.12339262174580523</v>
      </c>
      <c r="I207" s="12">
        <v>6444</v>
      </c>
      <c r="J207" s="12">
        <v>2675.8889575302601</v>
      </c>
      <c r="K207" s="12">
        <v>24143</v>
      </c>
      <c r="L207" s="13">
        <f t="shared" si="3"/>
        <v>0.26690966325643045</v>
      </c>
      <c r="M207" s="13">
        <f t="shared" si="4"/>
        <v>0.41525278670550281</v>
      </c>
      <c r="N207" s="13">
        <f t="shared" si="5"/>
        <v>0.1108349814658601</v>
      </c>
      <c r="O207" s="5">
        <f t="shared" si="6"/>
        <v>1.1133003327456972</v>
      </c>
      <c r="AH207" s="20"/>
    </row>
    <row r="208" spans="1:34" ht="15.75" customHeight="1">
      <c r="A208" s="8">
        <v>50204</v>
      </c>
      <c r="B208" s="9" t="s">
        <v>235</v>
      </c>
      <c r="C208" s="10">
        <v>944</v>
      </c>
      <c r="D208" s="10">
        <v>444.44445687532425</v>
      </c>
      <c r="E208" s="10">
        <v>1289</v>
      </c>
      <c r="F208" s="11">
        <f t="shared" si="0"/>
        <v>0.7323506594259116</v>
      </c>
      <c r="G208" s="11">
        <f t="shared" si="1"/>
        <v>0.47080980601199601</v>
      </c>
      <c r="H208" s="11">
        <f t="shared" si="2"/>
        <v>0.34479787189707078</v>
      </c>
      <c r="I208" s="12">
        <v>4777</v>
      </c>
      <c r="J208" s="12">
        <v>2298.3333933949471</v>
      </c>
      <c r="K208" s="12">
        <v>6599</v>
      </c>
      <c r="L208" s="13">
        <f t="shared" si="3"/>
        <v>0.72389756023639951</v>
      </c>
      <c r="M208" s="13">
        <f t="shared" si="4"/>
        <v>0.48112484684842938</v>
      </c>
      <c r="N208" s="13">
        <f t="shared" si="5"/>
        <v>0.34828510280268937</v>
      </c>
      <c r="O208" s="5">
        <f t="shared" si="6"/>
        <v>0.9899874244475102</v>
      </c>
      <c r="AH208" s="20"/>
    </row>
    <row r="209" spans="1:34" ht="15.75" customHeight="1">
      <c r="A209" s="8">
        <v>50301</v>
      </c>
      <c r="B209" s="9" t="s">
        <v>236</v>
      </c>
      <c r="C209" s="10">
        <v>5164</v>
      </c>
      <c r="D209" s="10">
        <v>2405.4445087611675</v>
      </c>
      <c r="E209" s="10">
        <v>8695</v>
      </c>
      <c r="F209" s="11">
        <f t="shared" si="0"/>
        <v>0.59390454284071303</v>
      </c>
      <c r="G209" s="11">
        <f t="shared" si="1"/>
        <v>0.465810323152821</v>
      </c>
      <c r="H209" s="11">
        <f t="shared" si="2"/>
        <v>0.27664686702256097</v>
      </c>
      <c r="I209" s="12">
        <v>15076</v>
      </c>
      <c r="J209" s="12">
        <v>7227.0001878738403</v>
      </c>
      <c r="K209" s="12">
        <v>24777</v>
      </c>
      <c r="L209" s="13">
        <f t="shared" si="3"/>
        <v>0.6084675303709085</v>
      </c>
      <c r="M209" s="13">
        <f t="shared" si="4"/>
        <v>0.47937119845276205</v>
      </c>
      <c r="N209" s="13">
        <f t="shared" si="5"/>
        <v>0.29168180925349479</v>
      </c>
      <c r="O209" s="5">
        <f t="shared" si="6"/>
        <v>0.94845430275747067</v>
      </c>
      <c r="AH209" s="20"/>
    </row>
    <row r="210" spans="1:34" ht="15.75" customHeight="1">
      <c r="A210" s="8">
        <v>50302</v>
      </c>
      <c r="B210" s="9" t="s">
        <v>237</v>
      </c>
      <c r="C210" s="10">
        <v>1800</v>
      </c>
      <c r="D210" s="10">
        <v>807.8889105618</v>
      </c>
      <c r="E210" s="10">
        <v>2927</v>
      </c>
      <c r="F210" s="11">
        <f t="shared" si="0"/>
        <v>0.6149641270925863</v>
      </c>
      <c r="G210" s="11">
        <f t="shared" si="1"/>
        <v>0.44882717253433335</v>
      </c>
      <c r="H210" s="11">
        <f t="shared" si="2"/>
        <v>0.27601261037300995</v>
      </c>
      <c r="I210" s="12">
        <v>3654</v>
      </c>
      <c r="J210" s="12">
        <v>1605.777817606926</v>
      </c>
      <c r="K210" s="12">
        <v>6835</v>
      </c>
      <c r="L210" s="13">
        <f t="shared" si="3"/>
        <v>0.53460131675201172</v>
      </c>
      <c r="M210" s="13">
        <f t="shared" si="4"/>
        <v>0.43945753081744005</v>
      </c>
      <c r="N210" s="13">
        <f t="shared" si="5"/>
        <v>0.23493457463159123</v>
      </c>
      <c r="O210" s="5">
        <f t="shared" si="6"/>
        <v>1.1748488310238481</v>
      </c>
      <c r="AH210" s="20"/>
    </row>
    <row r="211" spans="1:34" ht="15.75" customHeight="1">
      <c r="A211" s="8">
        <v>50303</v>
      </c>
      <c r="B211" s="9" t="s">
        <v>238</v>
      </c>
      <c r="C211" s="10">
        <v>3074</v>
      </c>
      <c r="D211" s="10">
        <v>1625.8889361023903</v>
      </c>
      <c r="E211" s="10">
        <v>3356</v>
      </c>
      <c r="F211" s="11">
        <f t="shared" si="0"/>
        <v>0.91597139451728249</v>
      </c>
      <c r="G211" s="11">
        <f t="shared" si="1"/>
        <v>0.52891637478932674</v>
      </c>
      <c r="H211" s="11">
        <f t="shared" si="2"/>
        <v>0.48447226939880522</v>
      </c>
      <c r="I211" s="12">
        <v>7608</v>
      </c>
      <c r="J211" s="12">
        <v>3984.7778854966164</v>
      </c>
      <c r="K211" s="12">
        <v>8252</v>
      </c>
      <c r="L211" s="13">
        <f t="shared" si="3"/>
        <v>0.92195831313620935</v>
      </c>
      <c r="M211" s="13">
        <f t="shared" si="4"/>
        <v>0.52376155172142702</v>
      </c>
      <c r="N211" s="13">
        <f t="shared" si="5"/>
        <v>0.48288631671069032</v>
      </c>
      <c r="O211" s="5">
        <f t="shared" si="6"/>
        <v>1.0032843189654204</v>
      </c>
      <c r="AH211" s="20"/>
    </row>
    <row r="212" spans="1:34" ht="15.75" customHeight="1">
      <c r="A212" s="8">
        <v>50401</v>
      </c>
      <c r="B212" s="9" t="s">
        <v>239</v>
      </c>
      <c r="C212" s="10">
        <v>2600</v>
      </c>
      <c r="D212" s="10">
        <v>1391.4444840848446</v>
      </c>
      <c r="E212" s="10">
        <v>3310</v>
      </c>
      <c r="F212" s="11">
        <f t="shared" si="0"/>
        <v>0.78549848942598188</v>
      </c>
      <c r="G212" s="11">
        <f t="shared" si="1"/>
        <v>0.53517095541724791</v>
      </c>
      <c r="H212" s="11">
        <f t="shared" si="2"/>
        <v>0.4203759770649077</v>
      </c>
      <c r="I212" s="12">
        <v>8547</v>
      </c>
      <c r="J212" s="12">
        <v>4409.5556780993938</v>
      </c>
      <c r="K212" s="12">
        <v>11708</v>
      </c>
      <c r="L212" s="13">
        <f t="shared" si="3"/>
        <v>0.7300136658694909</v>
      </c>
      <c r="M212" s="13">
        <f t="shared" si="4"/>
        <v>0.5159185302561593</v>
      </c>
      <c r="N212" s="13">
        <f t="shared" si="5"/>
        <v>0.3766275775622987</v>
      </c>
      <c r="O212" s="5">
        <f t="shared" si="6"/>
        <v>1.1161582478526084</v>
      </c>
      <c r="AH212" s="20"/>
    </row>
    <row r="213" spans="1:34" ht="15.75" customHeight="1">
      <c r="A213" s="8">
        <v>50402</v>
      </c>
      <c r="B213" s="9" t="s">
        <v>240</v>
      </c>
      <c r="C213" s="10">
        <v>4773</v>
      </c>
      <c r="D213" s="10">
        <v>2477.7778436243534</v>
      </c>
      <c r="E213" s="10">
        <v>5856</v>
      </c>
      <c r="F213" s="11">
        <f t="shared" si="0"/>
        <v>0.81506147540983609</v>
      </c>
      <c r="G213" s="11">
        <f t="shared" si="1"/>
        <v>0.51912378873336551</v>
      </c>
      <c r="H213" s="11">
        <f t="shared" si="2"/>
        <v>0.42311780116536096</v>
      </c>
      <c r="I213" s="12">
        <v>12250</v>
      </c>
      <c r="J213" s="12">
        <v>6503.4446209669113</v>
      </c>
      <c r="K213" s="12">
        <v>15004</v>
      </c>
      <c r="L213" s="13">
        <f t="shared" si="3"/>
        <v>0.81644894694748071</v>
      </c>
      <c r="M213" s="13">
        <f t="shared" si="4"/>
        <v>0.53089343844627845</v>
      </c>
      <c r="N213" s="13">
        <f t="shared" si="5"/>
        <v>0.4334473887607912</v>
      </c>
      <c r="O213" s="5">
        <f t="shared" si="6"/>
        <v>0.9761687626612261</v>
      </c>
      <c r="AH213" s="20"/>
    </row>
    <row r="214" spans="1:34" ht="15.75" customHeight="1">
      <c r="A214" s="8">
        <v>50403</v>
      </c>
      <c r="B214" s="9" t="s">
        <v>241</v>
      </c>
      <c r="C214" s="10">
        <v>5649</v>
      </c>
      <c r="D214" s="10">
        <v>2643.3334032297134</v>
      </c>
      <c r="E214" s="10">
        <v>7570</v>
      </c>
      <c r="F214" s="11">
        <f t="shared" si="0"/>
        <v>0.74623513870541613</v>
      </c>
      <c r="G214" s="11">
        <f t="shared" si="1"/>
        <v>0.46792943941046439</v>
      </c>
      <c r="H214" s="11">
        <f t="shared" si="2"/>
        <v>0.34918539012281552</v>
      </c>
      <c r="I214" s="12">
        <v>14056</v>
      </c>
      <c r="J214" s="12">
        <v>6657.333510696888</v>
      </c>
      <c r="K214" s="12">
        <v>18468</v>
      </c>
      <c r="L214" s="13">
        <f t="shared" si="3"/>
        <v>0.76110028156811782</v>
      </c>
      <c r="M214" s="13">
        <f t="shared" si="4"/>
        <v>0.47362930497274386</v>
      </c>
      <c r="N214" s="13">
        <f t="shared" si="5"/>
        <v>0.3604793973736673</v>
      </c>
      <c r="O214" s="5">
        <f t="shared" si="6"/>
        <v>0.96866947921812963</v>
      </c>
      <c r="AH214" s="20"/>
    </row>
    <row r="215" spans="1:34" ht="15.75" customHeight="1">
      <c r="A215" s="8">
        <v>50404</v>
      </c>
      <c r="B215" s="9" t="s">
        <v>242</v>
      </c>
      <c r="C215" s="10">
        <v>3466</v>
      </c>
      <c r="D215" s="10">
        <v>1842.6667174398899</v>
      </c>
      <c r="E215" s="10">
        <v>4089</v>
      </c>
      <c r="F215" s="11">
        <f t="shared" si="0"/>
        <v>0.84764000978234288</v>
      </c>
      <c r="G215" s="11">
        <f t="shared" si="1"/>
        <v>0.53164071478358044</v>
      </c>
      <c r="H215" s="11">
        <f t="shared" si="2"/>
        <v>0.45063994067984586</v>
      </c>
      <c r="I215" s="12">
        <v>10107</v>
      </c>
      <c r="J215" s="12">
        <v>5459.1112598180771</v>
      </c>
      <c r="K215" s="12">
        <v>11823</v>
      </c>
      <c r="L215" s="13">
        <f t="shared" si="3"/>
        <v>0.85485917279878199</v>
      </c>
      <c r="M215" s="13">
        <f t="shared" si="4"/>
        <v>0.54013171661403747</v>
      </c>
      <c r="N215" s="13">
        <f t="shared" si="5"/>
        <v>0.46173655246706219</v>
      </c>
      <c r="O215" s="5">
        <f t="shared" si="6"/>
        <v>0.97596765573804578</v>
      </c>
      <c r="AH215" s="20"/>
    </row>
    <row r="216" spans="1:34" ht="15.75" customHeight="1">
      <c r="A216" s="8">
        <v>50405</v>
      </c>
      <c r="B216" s="9" t="s">
        <v>243</v>
      </c>
      <c r="C216" s="10">
        <v>3405</v>
      </c>
      <c r="D216" s="10">
        <v>1669.7778242528439</v>
      </c>
      <c r="E216" s="10">
        <v>4141</v>
      </c>
      <c r="F216" s="11">
        <f t="shared" si="0"/>
        <v>0.82226515334460271</v>
      </c>
      <c r="G216" s="11">
        <f t="shared" si="1"/>
        <v>0.49038996306985133</v>
      </c>
      <c r="H216" s="11">
        <f t="shared" si="2"/>
        <v>0.40323057818228536</v>
      </c>
      <c r="I216" s="12">
        <v>12712</v>
      </c>
      <c r="J216" s="12">
        <v>6183.6668352782726</v>
      </c>
      <c r="K216" s="12">
        <v>15584</v>
      </c>
      <c r="L216" s="13">
        <f t="shared" si="3"/>
        <v>0.81570841889117041</v>
      </c>
      <c r="M216" s="13">
        <f t="shared" si="4"/>
        <v>0.486443268980355</v>
      </c>
      <c r="N216" s="13">
        <f t="shared" si="5"/>
        <v>0.39679586982021769</v>
      </c>
      <c r="O216" s="5">
        <f t="shared" si="6"/>
        <v>1.0162166717233805</v>
      </c>
      <c r="AH216" s="20"/>
    </row>
    <row r="217" spans="1:34" ht="15.75" customHeight="1">
      <c r="A217" s="8">
        <v>50501</v>
      </c>
      <c r="B217" s="9" t="s">
        <v>244</v>
      </c>
      <c r="C217" s="10">
        <v>6147</v>
      </c>
      <c r="D217" s="10">
        <v>3363.7778726816177</v>
      </c>
      <c r="E217" s="10">
        <v>6999</v>
      </c>
      <c r="F217" s="11">
        <f t="shared" si="0"/>
        <v>0.87826832404629229</v>
      </c>
      <c r="G217" s="11">
        <f t="shared" si="1"/>
        <v>0.54722268955289044</v>
      </c>
      <c r="H217" s="11">
        <f t="shared" si="2"/>
        <v>0.48060835443372157</v>
      </c>
      <c r="I217" s="12">
        <v>20750</v>
      </c>
      <c r="J217" s="12">
        <v>11382.444763839245</v>
      </c>
      <c r="K217" s="12">
        <v>22664</v>
      </c>
      <c r="L217" s="13">
        <f t="shared" si="3"/>
        <v>0.91554888810448287</v>
      </c>
      <c r="M217" s="13">
        <f t="shared" si="4"/>
        <v>0.54855155488381901</v>
      </c>
      <c r="N217" s="13">
        <f t="shared" si="5"/>
        <v>0.50222576614186576</v>
      </c>
      <c r="O217" s="5">
        <f t="shared" si="6"/>
        <v>0.95695678484556723</v>
      </c>
      <c r="AH217" s="20"/>
    </row>
    <row r="218" spans="1:34" ht="15.75" customHeight="1">
      <c r="A218" s="8">
        <v>50502</v>
      </c>
      <c r="B218" s="9" t="s">
        <v>245</v>
      </c>
      <c r="C218" s="10">
        <v>2384</v>
      </c>
      <c r="D218" s="10">
        <v>1214.4444789290428</v>
      </c>
      <c r="E218" s="10">
        <v>3150</v>
      </c>
      <c r="F218" s="11">
        <f t="shared" si="0"/>
        <v>0.75682539682539685</v>
      </c>
      <c r="G218" s="11">
        <f t="shared" si="1"/>
        <v>0.50941463042325619</v>
      </c>
      <c r="H218" s="11">
        <f t="shared" si="2"/>
        <v>0.38553792981874374</v>
      </c>
      <c r="I218" s="12">
        <v>5862</v>
      </c>
      <c r="J218" s="12">
        <v>3072.000083476305</v>
      </c>
      <c r="K218" s="12">
        <v>7461</v>
      </c>
      <c r="L218" s="13">
        <f t="shared" si="3"/>
        <v>0.78568556493767594</v>
      </c>
      <c r="M218" s="13">
        <f t="shared" si="4"/>
        <v>0.52405323839582141</v>
      </c>
      <c r="N218" s="13">
        <f t="shared" si="5"/>
        <v>0.4117410646664395</v>
      </c>
      <c r="O218" s="5">
        <f t="shared" si="6"/>
        <v>0.93636016152791679</v>
      </c>
      <c r="AH218" s="20"/>
    </row>
    <row r="219" spans="1:34" ht="15.75" customHeight="1">
      <c r="A219" s="8">
        <v>50601</v>
      </c>
      <c r="B219" s="9" t="s">
        <v>246</v>
      </c>
      <c r="C219" s="10">
        <v>5965</v>
      </c>
      <c r="D219" s="10">
        <v>2690.8889585137367</v>
      </c>
      <c r="E219" s="10">
        <v>9444</v>
      </c>
      <c r="F219" s="11">
        <f t="shared" si="0"/>
        <v>0.63161795849216429</v>
      </c>
      <c r="G219" s="11">
        <f t="shared" si="1"/>
        <v>0.45111298550104556</v>
      </c>
      <c r="H219" s="11">
        <f t="shared" si="2"/>
        <v>0.28493106295147569</v>
      </c>
      <c r="I219" s="12">
        <v>12517</v>
      </c>
      <c r="J219" s="12">
        <v>5448.444583773613</v>
      </c>
      <c r="K219" s="12">
        <v>21873</v>
      </c>
      <c r="L219" s="13">
        <f t="shared" si="3"/>
        <v>0.57225803502034467</v>
      </c>
      <c r="M219" s="13">
        <f t="shared" si="4"/>
        <v>0.43528358103168596</v>
      </c>
      <c r="N219" s="13">
        <f t="shared" si="5"/>
        <v>0.24909452675781157</v>
      </c>
      <c r="O219" s="5">
        <f t="shared" si="6"/>
        <v>1.143867216434294</v>
      </c>
      <c r="AH219" s="20"/>
    </row>
    <row r="220" spans="1:34" ht="15.75" customHeight="1">
      <c r="A220" s="8">
        <v>50602</v>
      </c>
      <c r="B220" s="9" t="s">
        <v>247</v>
      </c>
      <c r="C220" s="10">
        <v>1799</v>
      </c>
      <c r="D220" s="10">
        <v>782.55557644367218</v>
      </c>
      <c r="E220" s="10">
        <v>3090</v>
      </c>
      <c r="F220" s="11">
        <f t="shared" si="0"/>
        <v>0.58220064724919096</v>
      </c>
      <c r="G220" s="11">
        <f t="shared" si="1"/>
        <v>0.4349947617808072</v>
      </c>
      <c r="H220" s="11">
        <f t="shared" si="2"/>
        <v>0.25325423185879359</v>
      </c>
      <c r="I220" s="12">
        <v>3521</v>
      </c>
      <c r="J220" s="12">
        <v>1508.555596023798</v>
      </c>
      <c r="K220" s="12">
        <v>7332</v>
      </c>
      <c r="L220" s="13">
        <f t="shared" si="3"/>
        <v>0.48022367703218766</v>
      </c>
      <c r="M220" s="13">
        <f t="shared" si="4"/>
        <v>0.42844521329843738</v>
      </c>
      <c r="N220" s="13">
        <f t="shared" si="5"/>
        <v>0.20574953573701554</v>
      </c>
      <c r="O220" s="5">
        <f t="shared" si="6"/>
        <v>1.2308860428365558</v>
      </c>
      <c r="AH220" s="20"/>
    </row>
    <row r="221" spans="1:34" ht="15.75" customHeight="1">
      <c r="A221" s="8">
        <v>50701</v>
      </c>
      <c r="B221" s="9" t="s">
        <v>248</v>
      </c>
      <c r="C221" s="10">
        <v>3149</v>
      </c>
      <c r="D221" s="10">
        <v>1528.3333740532398</v>
      </c>
      <c r="E221" s="10">
        <v>4301</v>
      </c>
      <c r="F221" s="11">
        <f t="shared" si="0"/>
        <v>0.73215531271797252</v>
      </c>
      <c r="G221" s="11">
        <f t="shared" si="1"/>
        <v>0.48533927407216254</v>
      </c>
      <c r="H221" s="11">
        <f t="shared" si="2"/>
        <v>0.35534372798261793</v>
      </c>
      <c r="I221" s="12">
        <v>11080</v>
      </c>
      <c r="J221" s="12">
        <v>5368.5556981563568</v>
      </c>
      <c r="K221" s="12">
        <v>14992</v>
      </c>
      <c r="L221" s="13">
        <f t="shared" si="3"/>
        <v>0.73906083244397014</v>
      </c>
      <c r="M221" s="13">
        <f t="shared" si="4"/>
        <v>0.484526687559238</v>
      </c>
      <c r="N221" s="13">
        <f t="shared" si="5"/>
        <v>0.35809469704884989</v>
      </c>
      <c r="O221" s="5">
        <f t="shared" si="6"/>
        <v>0.99231776094730417</v>
      </c>
      <c r="AH221" s="20"/>
    </row>
    <row r="222" spans="1:34" ht="15.75" customHeight="1">
      <c r="A222" s="8">
        <v>50702</v>
      </c>
      <c r="B222" s="9" t="s">
        <v>249</v>
      </c>
      <c r="C222" s="10">
        <v>1304</v>
      </c>
      <c r="D222" s="10">
        <v>585.44445979595184</v>
      </c>
      <c r="E222" s="10">
        <v>1778</v>
      </c>
      <c r="F222" s="11">
        <f t="shared" si="0"/>
        <v>0.73340832395950506</v>
      </c>
      <c r="G222" s="11">
        <f t="shared" si="1"/>
        <v>0.44896047530364402</v>
      </c>
      <c r="H222" s="11">
        <f t="shared" si="2"/>
        <v>0.32927134971650834</v>
      </c>
      <c r="I222" s="12">
        <v>4965</v>
      </c>
      <c r="J222" s="12">
        <v>2178.3333897292614</v>
      </c>
      <c r="K222" s="12">
        <v>6843</v>
      </c>
      <c r="L222" s="13">
        <f t="shared" si="3"/>
        <v>0.72555896536606757</v>
      </c>
      <c r="M222" s="13">
        <f t="shared" si="4"/>
        <v>0.43873784284577266</v>
      </c>
      <c r="N222" s="13">
        <f t="shared" si="5"/>
        <v>0.31833017532211916</v>
      </c>
      <c r="O222" s="5">
        <f t="shared" si="6"/>
        <v>1.0343705223148192</v>
      </c>
      <c r="AH222" s="20"/>
    </row>
    <row r="223" spans="1:34" ht="15.75" customHeight="1">
      <c r="A223" s="8">
        <v>50801</v>
      </c>
      <c r="B223" s="9" t="s">
        <v>250</v>
      </c>
      <c r="C223" s="10">
        <v>4383</v>
      </c>
      <c r="D223" s="10">
        <v>1926.8889390528202</v>
      </c>
      <c r="E223" s="10">
        <v>15014</v>
      </c>
      <c r="F223" s="11">
        <f t="shared" si="0"/>
        <v>0.29192753430131879</v>
      </c>
      <c r="G223" s="11">
        <f t="shared" si="1"/>
        <v>0.43962786654182529</v>
      </c>
      <c r="H223" s="11">
        <f t="shared" si="2"/>
        <v>0.12833947908970431</v>
      </c>
      <c r="I223" s="12">
        <v>8791</v>
      </c>
      <c r="J223" s="12">
        <v>3844.6667668521404</v>
      </c>
      <c r="K223" s="12">
        <v>28496</v>
      </c>
      <c r="L223" s="13">
        <f t="shared" si="3"/>
        <v>0.30849943851768669</v>
      </c>
      <c r="M223" s="13">
        <f t="shared" si="4"/>
        <v>0.4373412315836811</v>
      </c>
      <c r="N223" s="13">
        <f t="shared" si="5"/>
        <v>0.13491952438419921</v>
      </c>
      <c r="O223" s="5">
        <f t="shared" si="6"/>
        <v>0.95122985109436453</v>
      </c>
      <c r="AH223" s="20"/>
    </row>
    <row r="224" spans="1:34" ht="15.75" customHeight="1">
      <c r="A224" s="8">
        <v>50802</v>
      </c>
      <c r="B224" s="9" t="s">
        <v>251</v>
      </c>
      <c r="C224" s="10">
        <v>800</v>
      </c>
      <c r="D224" s="10">
        <v>334.22223106026649</v>
      </c>
      <c r="E224" s="10">
        <v>3064</v>
      </c>
      <c r="F224" s="11">
        <f t="shared" si="0"/>
        <v>0.26109660574412535</v>
      </c>
      <c r="G224" s="11">
        <f t="shared" si="1"/>
        <v>0.41777778882533312</v>
      </c>
      <c r="H224" s="11">
        <f t="shared" si="2"/>
        <v>0.10908036261758046</v>
      </c>
      <c r="I224" s="12">
        <v>1432</v>
      </c>
      <c r="J224" s="12">
        <v>564.55556973814964</v>
      </c>
      <c r="K224" s="12">
        <v>7791</v>
      </c>
      <c r="L224" s="13">
        <f t="shared" si="3"/>
        <v>0.1838018226158388</v>
      </c>
      <c r="M224" s="13">
        <f t="shared" si="4"/>
        <v>0.39424271629759056</v>
      </c>
      <c r="N224" s="13">
        <f t="shared" si="5"/>
        <v>7.2462529808516196E-2</v>
      </c>
      <c r="O224" s="5">
        <f t="shared" si="6"/>
        <v>1.5053347282495888</v>
      </c>
      <c r="AH224" s="20"/>
    </row>
    <row r="225" spans="1:34" ht="15.75" customHeight="1">
      <c r="A225" s="8">
        <v>50901</v>
      </c>
      <c r="B225" s="9" t="s">
        <v>252</v>
      </c>
      <c r="C225" s="10">
        <v>1535</v>
      </c>
      <c r="D225" s="10">
        <v>663.88890579342842</v>
      </c>
      <c r="E225" s="10">
        <v>3341</v>
      </c>
      <c r="F225" s="11">
        <f t="shared" si="0"/>
        <v>0.45944328045495358</v>
      </c>
      <c r="G225" s="11">
        <f t="shared" si="1"/>
        <v>0.43250091582633771</v>
      </c>
      <c r="H225" s="11">
        <f t="shared" si="2"/>
        <v>0.19870963956702434</v>
      </c>
      <c r="I225" s="12">
        <v>3827</v>
      </c>
      <c r="J225" s="12">
        <v>1731.88893404603</v>
      </c>
      <c r="K225" s="12">
        <v>7717</v>
      </c>
      <c r="L225" s="13">
        <f t="shared" si="3"/>
        <v>0.49591810288972399</v>
      </c>
      <c r="M225" s="13">
        <f t="shared" si="4"/>
        <v>0.45254479593572772</v>
      </c>
      <c r="N225" s="13">
        <f t="shared" si="5"/>
        <v>0.22442515667306337</v>
      </c>
      <c r="O225" s="5">
        <f t="shared" si="6"/>
        <v>0.88541606704322939</v>
      </c>
      <c r="AH225" s="20"/>
    </row>
    <row r="226" spans="1:34" ht="15.75" customHeight="1">
      <c r="A226" s="8">
        <v>50902</v>
      </c>
      <c r="B226" s="9" t="s">
        <v>253</v>
      </c>
      <c r="C226" s="10">
        <v>165</v>
      </c>
      <c r="D226" s="10">
        <v>66.111112713813782</v>
      </c>
      <c r="E226" s="10">
        <v>360</v>
      </c>
      <c r="F226" s="11">
        <f t="shared" si="0"/>
        <v>0.45833333333333331</v>
      </c>
      <c r="G226" s="11">
        <f t="shared" si="1"/>
        <v>0.4006734103867502</v>
      </c>
      <c r="H226" s="11">
        <f t="shared" si="2"/>
        <v>0.18364197976059382</v>
      </c>
      <c r="I226" s="12">
        <v>276</v>
      </c>
      <c r="J226" s="12">
        <v>115.77778047323227</v>
      </c>
      <c r="K226" s="12">
        <v>635</v>
      </c>
      <c r="L226" s="13">
        <f t="shared" si="3"/>
        <v>0.43464566929133858</v>
      </c>
      <c r="M226" s="13">
        <f t="shared" si="4"/>
        <v>0.41948471185953723</v>
      </c>
      <c r="N226" s="13">
        <f t="shared" si="5"/>
        <v>0.18232721334367288</v>
      </c>
      <c r="O226" s="5">
        <f t="shared" si="6"/>
        <v>1.0072110267732919</v>
      </c>
      <c r="AH226" s="20"/>
    </row>
    <row r="227" spans="1:34" ht="15.75" customHeight="1">
      <c r="A227" s="8">
        <v>51001</v>
      </c>
      <c r="B227" s="9" t="s">
        <v>254</v>
      </c>
      <c r="C227" s="10">
        <v>482</v>
      </c>
      <c r="D227" s="10">
        <v>213.77778273820877</v>
      </c>
      <c r="E227" s="10">
        <v>767</v>
      </c>
      <c r="F227" s="11">
        <f t="shared" si="0"/>
        <v>0.62842242503259449</v>
      </c>
      <c r="G227" s="11">
        <f t="shared" si="1"/>
        <v>0.44352237082615925</v>
      </c>
      <c r="H227" s="11">
        <f t="shared" si="2"/>
        <v>0.27871940383078064</v>
      </c>
      <c r="I227" s="12">
        <v>1343</v>
      </c>
      <c r="J227" s="12">
        <v>606.4444591999054</v>
      </c>
      <c r="K227" s="12">
        <v>2159</v>
      </c>
      <c r="L227" s="13">
        <f t="shared" si="3"/>
        <v>0.62204724409448819</v>
      </c>
      <c r="M227" s="13">
        <f t="shared" si="4"/>
        <v>0.45155953775123259</v>
      </c>
      <c r="N227" s="13">
        <f t="shared" si="5"/>
        <v>0.28089136600273523</v>
      </c>
      <c r="O227" s="5">
        <f t="shared" si="6"/>
        <v>0.99226760792664082</v>
      </c>
      <c r="AH227" s="20"/>
    </row>
    <row r="228" spans="1:34" ht="15.75" customHeight="1">
      <c r="A228" s="8">
        <v>51002</v>
      </c>
      <c r="B228" s="9" t="s">
        <v>255</v>
      </c>
      <c r="C228" s="10">
        <v>258</v>
      </c>
      <c r="D228" s="10">
        <v>130.11111518740654</v>
      </c>
      <c r="E228" s="10">
        <v>329</v>
      </c>
      <c r="F228" s="11">
        <f t="shared" si="0"/>
        <v>0.78419452887537999</v>
      </c>
      <c r="G228" s="11">
        <f t="shared" si="1"/>
        <v>0.50430664801320368</v>
      </c>
      <c r="H228" s="11">
        <f t="shared" si="2"/>
        <v>0.39547451424743635</v>
      </c>
      <c r="I228" s="12">
        <v>592</v>
      </c>
      <c r="J228" s="12">
        <v>285.55556359887123</v>
      </c>
      <c r="K228" s="12">
        <v>847</v>
      </c>
      <c r="L228" s="13">
        <f t="shared" si="3"/>
        <v>0.69893742621015353</v>
      </c>
      <c r="M228" s="13">
        <f t="shared" si="4"/>
        <v>0.48235737094403924</v>
      </c>
      <c r="N228" s="13">
        <f t="shared" si="5"/>
        <v>0.33713761936112308</v>
      </c>
      <c r="O228" s="5">
        <f t="shared" si="6"/>
        <v>1.1730358510475987</v>
      </c>
      <c r="AH228" s="20"/>
    </row>
    <row r="229" spans="1:34" ht="15.75" customHeight="1">
      <c r="A229" s="8">
        <v>51003</v>
      </c>
      <c r="B229" s="9" t="s">
        <v>256</v>
      </c>
      <c r="C229" s="10">
        <v>538</v>
      </c>
      <c r="D229" s="10">
        <v>247.22222906351089</v>
      </c>
      <c r="E229" s="10">
        <v>823</v>
      </c>
      <c r="F229" s="11">
        <f t="shared" si="0"/>
        <v>0.65370595382746055</v>
      </c>
      <c r="G229" s="11">
        <f t="shared" si="1"/>
        <v>0.45952087186526186</v>
      </c>
      <c r="H229" s="11">
        <f t="shared" si="2"/>
        <v>0.30039152984630729</v>
      </c>
      <c r="I229" s="12">
        <v>733</v>
      </c>
      <c r="J229" s="12">
        <v>308.33334076404572</v>
      </c>
      <c r="K229" s="12">
        <v>1399</v>
      </c>
      <c r="L229" s="13">
        <f t="shared" si="3"/>
        <v>0.52394567548248749</v>
      </c>
      <c r="M229" s="13">
        <f t="shared" si="4"/>
        <v>0.42064575820470085</v>
      </c>
      <c r="N229" s="13">
        <f t="shared" si="5"/>
        <v>0.2203955259214051</v>
      </c>
      <c r="O229" s="5">
        <f t="shared" si="6"/>
        <v>1.3629656436557132</v>
      </c>
      <c r="AH229" s="20"/>
    </row>
    <row r="230" spans="1:34" ht="15.75" customHeight="1">
      <c r="A230" s="8">
        <v>51101</v>
      </c>
      <c r="B230" s="9" t="s">
        <v>257</v>
      </c>
      <c r="C230" s="10">
        <v>3990</v>
      </c>
      <c r="D230" s="10">
        <v>1781.6667131781578</v>
      </c>
      <c r="E230" s="10">
        <v>7145</v>
      </c>
      <c r="F230" s="11">
        <f t="shared" si="0"/>
        <v>0.55843247025892229</v>
      </c>
      <c r="G230" s="11">
        <f t="shared" si="1"/>
        <v>0.44653301082159341</v>
      </c>
      <c r="H230" s="11">
        <f t="shared" si="2"/>
        <v>0.24935853228525648</v>
      </c>
      <c r="I230" s="12">
        <v>7070</v>
      </c>
      <c r="J230" s="12">
        <v>3084.5556334853172</v>
      </c>
      <c r="K230" s="12">
        <v>14412</v>
      </c>
      <c r="L230" s="13">
        <f t="shared" si="3"/>
        <v>0.49056341937274495</v>
      </c>
      <c r="M230" s="13">
        <f t="shared" si="4"/>
        <v>0.4362879255283334</v>
      </c>
      <c r="N230" s="13">
        <f t="shared" si="5"/>
        <v>0.21402689657822074</v>
      </c>
      <c r="O230" s="5">
        <f t="shared" si="6"/>
        <v>1.1650803533196261</v>
      </c>
      <c r="AH230" s="20"/>
    </row>
    <row r="231" spans="1:34" ht="15.75" customHeight="1">
      <c r="A231" s="8">
        <v>51102</v>
      </c>
      <c r="B231" s="9" t="s">
        <v>258</v>
      </c>
      <c r="C231" s="10">
        <v>1919</v>
      </c>
      <c r="D231" s="10">
        <v>830.66668644547462</v>
      </c>
      <c r="E231" s="10">
        <v>3892</v>
      </c>
      <c r="F231" s="11">
        <f t="shared" si="0"/>
        <v>0.49306269270298048</v>
      </c>
      <c r="G231" s="11">
        <f t="shared" si="1"/>
        <v>0.4328643493723161</v>
      </c>
      <c r="H231" s="11">
        <f t="shared" si="2"/>
        <v>0.21342926167663787</v>
      </c>
      <c r="I231" s="12">
        <v>3612</v>
      </c>
      <c r="J231" s="12">
        <v>1539.7778161168098</v>
      </c>
      <c r="K231" s="12">
        <v>7820</v>
      </c>
      <c r="L231" s="13">
        <f t="shared" si="3"/>
        <v>0.46189258312020459</v>
      </c>
      <c r="M231" s="13">
        <f t="shared" si="4"/>
        <v>0.42629507644429954</v>
      </c>
      <c r="N231" s="13">
        <f t="shared" si="5"/>
        <v>0.1969025340302826</v>
      </c>
      <c r="O231" s="5">
        <f t="shared" si="6"/>
        <v>1.0839335447242824</v>
      </c>
      <c r="AH231" s="20"/>
    </row>
    <row r="232" spans="1:34" ht="15.75" customHeight="1">
      <c r="A232" s="8">
        <v>51103</v>
      </c>
      <c r="B232" s="9" t="s">
        <v>259</v>
      </c>
      <c r="C232" s="10">
        <v>2568</v>
      </c>
      <c r="D232" s="10">
        <v>1342.4444796442986</v>
      </c>
      <c r="E232" s="10">
        <v>3010</v>
      </c>
      <c r="F232" s="11">
        <f t="shared" si="0"/>
        <v>0.85315614617940194</v>
      </c>
      <c r="G232" s="11">
        <f t="shared" si="1"/>
        <v>0.52275875375556802</v>
      </c>
      <c r="H232" s="11">
        <f t="shared" si="2"/>
        <v>0.44599484373564735</v>
      </c>
      <c r="I232" s="12">
        <v>11102</v>
      </c>
      <c r="J232" s="12">
        <v>6086.889052182436</v>
      </c>
      <c r="K232" s="12">
        <v>12593</v>
      </c>
      <c r="L232" s="13">
        <f t="shared" si="3"/>
        <v>0.88160088938299053</v>
      </c>
      <c r="M232" s="13">
        <f t="shared" si="4"/>
        <v>0.54826959576494649</v>
      </c>
      <c r="N232" s="13">
        <f t="shared" si="5"/>
        <v>0.48335496324802951</v>
      </c>
      <c r="O232" s="5">
        <f t="shared" si="6"/>
        <v>0.9227066600054521</v>
      </c>
      <c r="AH232" s="20"/>
    </row>
    <row r="233" spans="1:34" ht="15.75" customHeight="1">
      <c r="A233" s="8">
        <v>51201</v>
      </c>
      <c r="B233" s="9" t="s">
        <v>260</v>
      </c>
      <c r="C233" s="10">
        <v>3610</v>
      </c>
      <c r="D233" s="10">
        <v>1543.8889287412167</v>
      </c>
      <c r="E233" s="10">
        <v>11043</v>
      </c>
      <c r="F233" s="11">
        <f t="shared" si="0"/>
        <v>0.3269039210359504</v>
      </c>
      <c r="G233" s="11">
        <f t="shared" si="1"/>
        <v>0.42767006336321789</v>
      </c>
      <c r="H233" s="11">
        <f t="shared" si="2"/>
        <v>0.13980702062312927</v>
      </c>
      <c r="I233" s="12">
        <v>7187</v>
      </c>
      <c r="J233" s="12">
        <v>3263.3334189355373</v>
      </c>
      <c r="K233" s="12">
        <v>17463</v>
      </c>
      <c r="L233" s="13">
        <f t="shared" si="3"/>
        <v>0.41155586096317931</v>
      </c>
      <c r="M233" s="13">
        <f t="shared" si="4"/>
        <v>0.45406058424036977</v>
      </c>
      <c r="N233" s="13">
        <f t="shared" si="5"/>
        <v>0.18687129467648958</v>
      </c>
      <c r="O233" s="5">
        <f t="shared" si="6"/>
        <v>0.74814604814057883</v>
      </c>
      <c r="AH233" s="20"/>
    </row>
    <row r="234" spans="1:34" ht="15.75" customHeight="1">
      <c r="A234" s="8">
        <v>51202</v>
      </c>
      <c r="B234" s="9" t="s">
        <v>261</v>
      </c>
      <c r="C234" s="10">
        <v>1767</v>
      </c>
      <c r="D234" s="10">
        <v>791.55557608604431</v>
      </c>
      <c r="E234" s="10">
        <v>2636</v>
      </c>
      <c r="F234" s="11">
        <f t="shared" si="0"/>
        <v>0.6703338391502276</v>
      </c>
      <c r="G234" s="11">
        <f t="shared" si="1"/>
        <v>0.44796580423658422</v>
      </c>
      <c r="H234" s="11">
        <f t="shared" si="2"/>
        <v>0.30028663736192879</v>
      </c>
      <c r="I234" s="12">
        <v>4198</v>
      </c>
      <c r="J234" s="12">
        <v>1866.4444898068905</v>
      </c>
      <c r="K234" s="12">
        <v>6052</v>
      </c>
      <c r="L234" s="13">
        <f t="shared" si="3"/>
        <v>0.69365499008592202</v>
      </c>
      <c r="M234" s="13">
        <f t="shared" si="4"/>
        <v>0.44460326103070286</v>
      </c>
      <c r="N234" s="13">
        <f t="shared" si="5"/>
        <v>0.30840127062242079</v>
      </c>
      <c r="O234" s="5">
        <f t="shared" si="6"/>
        <v>0.97368806800271968</v>
      </c>
      <c r="AH234" s="20"/>
    </row>
    <row r="235" spans="1:34" ht="15.75" customHeight="1">
      <c r="A235" s="8">
        <v>51203</v>
      </c>
      <c r="B235" s="9" t="s">
        <v>262</v>
      </c>
      <c r="C235" s="10">
        <v>859</v>
      </c>
      <c r="D235" s="10">
        <v>402.22223234176636</v>
      </c>
      <c r="E235" s="10">
        <v>2242</v>
      </c>
      <c r="F235" s="11">
        <f t="shared" si="0"/>
        <v>0.38314005352363961</v>
      </c>
      <c r="G235" s="11">
        <f t="shared" si="1"/>
        <v>0.46824474079367445</v>
      </c>
      <c r="H235" s="11">
        <f t="shared" si="2"/>
        <v>0.17940331504985119</v>
      </c>
      <c r="I235" s="12">
        <v>2163</v>
      </c>
      <c r="J235" s="12">
        <v>1002.1111363768578</v>
      </c>
      <c r="K235" s="12">
        <v>8416</v>
      </c>
      <c r="L235" s="13">
        <f t="shared" si="3"/>
        <v>0.25701045627376423</v>
      </c>
      <c r="M235" s="13">
        <f t="shared" si="4"/>
        <v>0.46329687303599526</v>
      </c>
      <c r="N235" s="13">
        <f t="shared" si="5"/>
        <v>0.11907214072918935</v>
      </c>
      <c r="O235" s="5">
        <f t="shared" si="6"/>
        <v>1.5066774977857793</v>
      </c>
      <c r="AH235" s="20"/>
    </row>
    <row r="236" spans="1:34" ht="15.75" customHeight="1">
      <c r="A236" s="8">
        <v>51204</v>
      </c>
      <c r="B236" s="9" t="s">
        <v>263</v>
      </c>
      <c r="C236" s="10">
        <v>1418</v>
      </c>
      <c r="D236" s="10">
        <v>670.22224023938179</v>
      </c>
      <c r="E236" s="10">
        <v>2117</v>
      </c>
      <c r="F236" s="11">
        <f t="shared" si="0"/>
        <v>0.66981577704298534</v>
      </c>
      <c r="G236" s="11">
        <f t="shared" si="1"/>
        <v>0.47265320186134119</v>
      </c>
      <c r="H236" s="11">
        <f t="shared" si="2"/>
        <v>0.31659057167660926</v>
      </c>
      <c r="I236" s="12">
        <v>2453</v>
      </c>
      <c r="J236" s="12">
        <v>1144.3333618342876</v>
      </c>
      <c r="K236" s="12">
        <v>3696</v>
      </c>
      <c r="L236" s="13">
        <f t="shared" si="3"/>
        <v>0.66369047619047616</v>
      </c>
      <c r="M236" s="13">
        <f t="shared" si="4"/>
        <v>0.46650361265156448</v>
      </c>
      <c r="N236" s="13">
        <f t="shared" si="5"/>
        <v>0.30961400482529428</v>
      </c>
      <c r="O236" s="5">
        <f t="shared" si="6"/>
        <v>1.022533111366366</v>
      </c>
      <c r="AH236" s="20"/>
    </row>
    <row r="237" spans="1:34" ht="15.75" customHeight="1">
      <c r="A237" s="8">
        <v>51301</v>
      </c>
      <c r="B237" s="9" t="s">
        <v>264</v>
      </c>
      <c r="C237" s="10">
        <v>719</v>
      </c>
      <c r="D237" s="10">
        <v>360.55556470155716</v>
      </c>
      <c r="E237" s="10">
        <v>984</v>
      </c>
      <c r="F237" s="11">
        <f t="shared" si="0"/>
        <v>0.73069105691056913</v>
      </c>
      <c r="G237" s="11">
        <f t="shared" si="1"/>
        <v>0.50146810111482221</v>
      </c>
      <c r="H237" s="11">
        <f t="shared" si="2"/>
        <v>0.36641825681052559</v>
      </c>
      <c r="I237" s="12">
        <v>2342</v>
      </c>
      <c r="J237" s="12">
        <v>1178.1111445128918</v>
      </c>
      <c r="K237" s="12">
        <v>3114</v>
      </c>
      <c r="L237" s="13">
        <f t="shared" si="3"/>
        <v>0.75208734746307004</v>
      </c>
      <c r="M237" s="13">
        <f t="shared" si="4"/>
        <v>0.50303635547091874</v>
      </c>
      <c r="N237" s="13">
        <f t="shared" si="5"/>
        <v>0.37832727826361329</v>
      </c>
      <c r="O237" s="5">
        <f t="shared" si="6"/>
        <v>0.96852190646218839</v>
      </c>
      <c r="AH237" s="20"/>
    </row>
    <row r="238" spans="1:34" ht="15.75" customHeight="1">
      <c r="A238" s="8">
        <v>51302</v>
      </c>
      <c r="B238" s="9" t="s">
        <v>265</v>
      </c>
      <c r="C238" s="10">
        <v>1047</v>
      </c>
      <c r="D238" s="10">
        <v>500.33334720134735</v>
      </c>
      <c r="E238" s="10">
        <v>1585</v>
      </c>
      <c r="F238" s="11">
        <f t="shared" si="0"/>
        <v>0.66056782334384856</v>
      </c>
      <c r="G238" s="11">
        <f t="shared" si="1"/>
        <v>0.47787330200701755</v>
      </c>
      <c r="H238" s="11">
        <f t="shared" si="2"/>
        <v>0.31566772694091316</v>
      </c>
      <c r="I238" s="12">
        <v>3145</v>
      </c>
      <c r="J238" s="12">
        <v>1487.5555940568447</v>
      </c>
      <c r="K238" s="12">
        <v>4479</v>
      </c>
      <c r="L238" s="13">
        <f t="shared" si="3"/>
        <v>0.70216566197812014</v>
      </c>
      <c r="M238" s="13">
        <f t="shared" si="4"/>
        <v>0.47299064993858336</v>
      </c>
      <c r="N238" s="13">
        <f t="shared" si="5"/>
        <v>0.33211779282358667</v>
      </c>
      <c r="O238" s="5">
        <f t="shared" si="6"/>
        <v>0.95046918220544907</v>
      </c>
      <c r="AH238" s="20"/>
    </row>
    <row r="239" spans="1:34" ht="15.75" customHeight="1">
      <c r="A239" s="8">
        <v>51401</v>
      </c>
      <c r="B239" s="9" t="s">
        <v>266</v>
      </c>
      <c r="C239" s="10">
        <v>574</v>
      </c>
      <c r="D239" s="10">
        <v>233.33333858847618</v>
      </c>
      <c r="E239" s="10">
        <v>1142</v>
      </c>
      <c r="F239" s="11">
        <f t="shared" si="0"/>
        <v>0.50262697022767078</v>
      </c>
      <c r="G239" s="11">
        <f t="shared" si="1"/>
        <v>0.40650407419595153</v>
      </c>
      <c r="H239" s="11">
        <f t="shared" si="2"/>
        <v>0.20431991119831541</v>
      </c>
      <c r="I239" s="12">
        <v>1667</v>
      </c>
      <c r="J239" s="12">
        <v>710.66668486595154</v>
      </c>
      <c r="K239" s="12">
        <v>2814</v>
      </c>
      <c r="L239" s="13">
        <f t="shared" si="3"/>
        <v>0.59239516702203265</v>
      </c>
      <c r="M239" s="13">
        <f t="shared" si="4"/>
        <v>0.42631474796997693</v>
      </c>
      <c r="N239" s="13">
        <f t="shared" si="5"/>
        <v>0.25254679632763022</v>
      </c>
      <c r="O239" s="5">
        <f t="shared" si="6"/>
        <v>0.80903782653116763</v>
      </c>
      <c r="AH239" s="20"/>
    </row>
    <row r="240" spans="1:34" ht="15.75" customHeight="1">
      <c r="A240" s="8">
        <v>51402</v>
      </c>
      <c r="B240" s="9" t="s">
        <v>267</v>
      </c>
      <c r="C240" s="10">
        <v>221</v>
      </c>
      <c r="D240" s="10">
        <v>86.555557698011398</v>
      </c>
      <c r="E240" s="10">
        <v>515</v>
      </c>
      <c r="F240" s="11">
        <f t="shared" si="0"/>
        <v>0.42912621359223302</v>
      </c>
      <c r="G240" s="11">
        <f t="shared" si="1"/>
        <v>0.39165410723082078</v>
      </c>
      <c r="H240" s="11">
        <f t="shared" si="2"/>
        <v>0.16806904407380854</v>
      </c>
      <c r="I240" s="12">
        <v>396</v>
      </c>
      <c r="J240" s="12">
        <v>167.55555990338326</v>
      </c>
      <c r="K240" s="12">
        <v>1144</v>
      </c>
      <c r="L240" s="13">
        <f t="shared" si="3"/>
        <v>0.34615384615384615</v>
      </c>
      <c r="M240" s="13">
        <f t="shared" si="4"/>
        <v>0.42312010076611933</v>
      </c>
      <c r="N240" s="13">
        <f t="shared" si="5"/>
        <v>0.14646465026519515</v>
      </c>
      <c r="O240" s="5">
        <f t="shared" si="6"/>
        <v>1.1475058573484835</v>
      </c>
      <c r="AH240" s="20"/>
    </row>
    <row r="241" spans="1:34" ht="15.75" customHeight="1">
      <c r="A241" s="8">
        <v>51501</v>
      </c>
      <c r="B241" s="9" t="s">
        <v>268</v>
      </c>
      <c r="C241" s="10">
        <v>3989</v>
      </c>
      <c r="D241" s="10">
        <v>1755.1111548244953</v>
      </c>
      <c r="E241" s="10">
        <v>15063</v>
      </c>
      <c r="F241" s="11">
        <f t="shared" si="0"/>
        <v>0.26482108477726879</v>
      </c>
      <c r="G241" s="11">
        <f t="shared" si="1"/>
        <v>0.43998775503246312</v>
      </c>
      <c r="H241" s="11">
        <f t="shared" si="2"/>
        <v>0.11651803457641209</v>
      </c>
      <c r="I241" s="12">
        <v>7191</v>
      </c>
      <c r="J241" s="12">
        <v>3124.2223036289215</v>
      </c>
      <c r="K241" s="12">
        <v>28398</v>
      </c>
      <c r="L241" s="13">
        <f t="shared" si="3"/>
        <v>0.25322205789140079</v>
      </c>
      <c r="M241" s="13">
        <f t="shared" si="4"/>
        <v>0.43446284294658899</v>
      </c>
      <c r="N241" s="13">
        <f t="shared" si="5"/>
        <v>0.11001557516828372</v>
      </c>
      <c r="O241" s="5">
        <f t="shared" si="6"/>
        <v>1.0591048985398839</v>
      </c>
      <c r="AH241" s="20"/>
    </row>
    <row r="242" spans="1:34" ht="15.75" customHeight="1">
      <c r="A242" s="8">
        <v>51601</v>
      </c>
      <c r="B242" s="9" t="s">
        <v>269</v>
      </c>
      <c r="C242" s="10">
        <v>261</v>
      </c>
      <c r="D242" s="10">
        <v>124.55555883049965</v>
      </c>
      <c r="E242" s="10">
        <v>516</v>
      </c>
      <c r="F242" s="11">
        <f t="shared" si="0"/>
        <v>0.5058139534883721</v>
      </c>
      <c r="G242" s="11">
        <f t="shared" si="1"/>
        <v>0.4772243633352477</v>
      </c>
      <c r="H242" s="11">
        <f t="shared" si="2"/>
        <v>0.24138674191957296</v>
      </c>
      <c r="I242" s="12">
        <v>595</v>
      </c>
      <c r="J242" s="12">
        <v>267.00000709295273</v>
      </c>
      <c r="K242" s="12">
        <v>1126</v>
      </c>
      <c r="L242" s="13">
        <f t="shared" si="3"/>
        <v>0.52841918294849022</v>
      </c>
      <c r="M242" s="13">
        <f t="shared" si="4"/>
        <v>0.44873950771924831</v>
      </c>
      <c r="N242" s="13">
        <f t="shared" si="5"/>
        <v>0.23712256402571291</v>
      </c>
      <c r="O242" s="5">
        <f t="shared" si="6"/>
        <v>1.0179830119136095</v>
      </c>
      <c r="AH242" s="20"/>
    </row>
    <row r="243" spans="1:34" ht="15.75" customHeight="1">
      <c r="A243" s="8">
        <v>60101</v>
      </c>
      <c r="B243" s="9" t="s">
        <v>30</v>
      </c>
      <c r="C243" s="10">
        <v>8452</v>
      </c>
      <c r="D243" s="10">
        <v>3430.6667512357235</v>
      </c>
      <c r="E243" s="10">
        <v>70605</v>
      </c>
      <c r="F243" s="11">
        <f t="shared" si="0"/>
        <v>0.11970823596062602</v>
      </c>
      <c r="G243" s="11">
        <f t="shared" si="1"/>
        <v>0.40589999423044526</v>
      </c>
      <c r="H243" s="11">
        <f t="shared" si="2"/>
        <v>4.8589572285754883E-2</v>
      </c>
      <c r="I243" s="12">
        <v>13636</v>
      </c>
      <c r="J243" s="12">
        <v>5558.2223606407642</v>
      </c>
      <c r="K243" s="12">
        <v>128117</v>
      </c>
      <c r="L243" s="13">
        <f t="shared" si="3"/>
        <v>0.10643396270596409</v>
      </c>
      <c r="M243" s="13">
        <f t="shared" si="4"/>
        <v>0.40761384281613117</v>
      </c>
      <c r="N243" s="13">
        <f t="shared" si="5"/>
        <v>4.3383956544726814E-2</v>
      </c>
      <c r="O243" s="5">
        <f t="shared" si="6"/>
        <v>1.1199894190300814</v>
      </c>
      <c r="AH243" s="20"/>
    </row>
    <row r="244" spans="1:34" ht="15.75" customHeight="1">
      <c r="A244" s="8">
        <v>60201</v>
      </c>
      <c r="B244" s="9" t="s">
        <v>270</v>
      </c>
      <c r="C244" s="10">
        <v>1577</v>
      </c>
      <c r="D244" s="10">
        <v>700.44446167349815</v>
      </c>
      <c r="E244" s="10">
        <v>4568</v>
      </c>
      <c r="F244" s="11">
        <f t="shared" si="0"/>
        <v>0.34522767075306482</v>
      </c>
      <c r="G244" s="11">
        <f t="shared" si="1"/>
        <v>0.44416262629898423</v>
      </c>
      <c r="H244" s="11">
        <f t="shared" si="2"/>
        <v>0.1533372289127623</v>
      </c>
      <c r="I244" s="12">
        <v>5300</v>
      </c>
      <c r="J244" s="12">
        <v>2279.3333916962147</v>
      </c>
      <c r="K244" s="12">
        <v>13531</v>
      </c>
      <c r="L244" s="13">
        <f t="shared" si="3"/>
        <v>0.39169314906510977</v>
      </c>
      <c r="M244" s="13">
        <f t="shared" si="4"/>
        <v>0.43006290409362541</v>
      </c>
      <c r="N244" s="13">
        <f t="shared" si="5"/>
        <v>0.16845269320051842</v>
      </c>
      <c r="O244" s="5">
        <f t="shared" si="6"/>
        <v>0.91026878822433932</v>
      </c>
      <c r="AH244" s="20"/>
    </row>
    <row r="245" spans="1:34" ht="15.75" customHeight="1">
      <c r="A245" s="8">
        <v>60202</v>
      </c>
      <c r="B245" s="9" t="s">
        <v>271</v>
      </c>
      <c r="C245" s="10">
        <v>1418</v>
      </c>
      <c r="D245" s="10">
        <v>559.66668033599854</v>
      </c>
      <c r="E245" s="10">
        <v>10201</v>
      </c>
      <c r="F245" s="11">
        <f t="shared" si="0"/>
        <v>0.13900597980590138</v>
      </c>
      <c r="G245" s="11">
        <f t="shared" si="1"/>
        <v>0.39468736271932198</v>
      </c>
      <c r="H245" s="11">
        <f t="shared" si="2"/>
        <v>5.4863903571806545E-2</v>
      </c>
      <c r="I245" s="12">
        <v>2961</v>
      </c>
      <c r="J245" s="12">
        <v>1182.7778080105782</v>
      </c>
      <c r="K245" s="12">
        <v>22704</v>
      </c>
      <c r="L245" s="13">
        <f t="shared" si="3"/>
        <v>0.13041754756871035</v>
      </c>
      <c r="M245" s="13">
        <f t="shared" si="4"/>
        <v>0.39945214725112399</v>
      </c>
      <c r="N245" s="13">
        <f t="shared" si="5"/>
        <v>5.2095569415546952E-2</v>
      </c>
      <c r="O245" s="5">
        <f t="shared" si="6"/>
        <v>1.0531395315823813</v>
      </c>
      <c r="AH245" s="20"/>
    </row>
    <row r="246" spans="1:34" ht="15.75" customHeight="1">
      <c r="A246" s="8">
        <v>60301</v>
      </c>
      <c r="B246" s="9" t="s">
        <v>272</v>
      </c>
      <c r="C246" s="10">
        <v>4033</v>
      </c>
      <c r="D246" s="10">
        <v>1676.7778204679489</v>
      </c>
      <c r="E246" s="10">
        <v>25953</v>
      </c>
      <c r="F246" s="11">
        <f t="shared" si="0"/>
        <v>0.15539629329942589</v>
      </c>
      <c r="G246" s="11">
        <f t="shared" si="1"/>
        <v>0.41576439882666721</v>
      </c>
      <c r="H246" s="11">
        <f t="shared" si="2"/>
        <v>6.4608246463528266E-2</v>
      </c>
      <c r="I246" s="12">
        <v>11149</v>
      </c>
      <c r="J246" s="12">
        <v>4722.5556773841381</v>
      </c>
      <c r="K246" s="12">
        <v>61706</v>
      </c>
      <c r="L246" s="13">
        <f t="shared" si="3"/>
        <v>0.18067935046834993</v>
      </c>
      <c r="M246" s="13">
        <f t="shared" si="4"/>
        <v>0.42358558412271397</v>
      </c>
      <c r="N246" s="13">
        <f t="shared" si="5"/>
        <v>7.6533168207048557E-2</v>
      </c>
      <c r="O246" s="5">
        <f t="shared" si="6"/>
        <v>0.84418622640501073</v>
      </c>
      <c r="AH246" s="20"/>
    </row>
    <row r="247" spans="1:34" ht="15.75" customHeight="1">
      <c r="A247" s="8">
        <v>60302</v>
      </c>
      <c r="B247" s="9" t="s">
        <v>273</v>
      </c>
      <c r="C247" s="10">
        <v>575</v>
      </c>
      <c r="D247" s="10">
        <v>231.55556187033653</v>
      </c>
      <c r="E247" s="10">
        <v>3103</v>
      </c>
      <c r="F247" s="11">
        <f t="shared" si="0"/>
        <v>0.1853045439896874</v>
      </c>
      <c r="G247" s="11">
        <f t="shared" si="1"/>
        <v>0.4027053249918896</v>
      </c>
      <c r="H247" s="11">
        <f t="shared" si="2"/>
        <v>7.4623126609840967E-2</v>
      </c>
      <c r="I247" s="12">
        <v>1819</v>
      </c>
      <c r="J247" s="12">
        <v>752.77779772877693</v>
      </c>
      <c r="K247" s="12">
        <v>10187</v>
      </c>
      <c r="L247" s="13">
        <f t="shared" si="3"/>
        <v>0.17856091096495533</v>
      </c>
      <c r="M247" s="13">
        <f t="shared" si="4"/>
        <v>0.41384156004880535</v>
      </c>
      <c r="N247" s="13">
        <f t="shared" si="5"/>
        <v>7.3895925957472949E-2</v>
      </c>
      <c r="O247" s="5">
        <f t="shared" si="6"/>
        <v>1.0098408761098212</v>
      </c>
      <c r="AH247" s="20"/>
    </row>
    <row r="248" spans="1:34" ht="15.75" customHeight="1">
      <c r="A248" s="8">
        <v>60303</v>
      </c>
      <c r="B248" s="9" t="s">
        <v>274</v>
      </c>
      <c r="C248" s="10">
        <v>2978</v>
      </c>
      <c r="D248" s="10">
        <v>1226.0000315010548</v>
      </c>
      <c r="E248" s="10">
        <v>12484</v>
      </c>
      <c r="F248" s="11">
        <f t="shared" si="0"/>
        <v>0.23854533803268183</v>
      </c>
      <c r="G248" s="11">
        <f t="shared" si="1"/>
        <v>0.41168570567530383</v>
      </c>
      <c r="H248" s="11">
        <f t="shared" si="2"/>
        <v>9.8205705823538506E-2</v>
      </c>
      <c r="I248" s="12">
        <v>6167</v>
      </c>
      <c r="J248" s="12">
        <v>2552.1111770570278</v>
      </c>
      <c r="K248" s="12">
        <v>25169</v>
      </c>
      <c r="L248" s="13">
        <f t="shared" si="3"/>
        <v>0.24502364019230005</v>
      </c>
      <c r="M248" s="13">
        <f t="shared" si="4"/>
        <v>0.41383349717156281</v>
      </c>
      <c r="N248" s="13">
        <f t="shared" si="5"/>
        <v>0.10139898991048622</v>
      </c>
      <c r="O248" s="5">
        <f t="shared" si="6"/>
        <v>0.96850773277163105</v>
      </c>
      <c r="AH248" s="20"/>
    </row>
    <row r="249" spans="1:34" ht="15.75" customHeight="1">
      <c r="A249" s="8">
        <v>60401</v>
      </c>
      <c r="B249" s="9" t="s">
        <v>275</v>
      </c>
      <c r="C249" s="10">
        <v>1647</v>
      </c>
      <c r="D249" s="10">
        <v>724.00001937150955</v>
      </c>
      <c r="E249" s="10">
        <v>4338</v>
      </c>
      <c r="F249" s="11">
        <f t="shared" si="0"/>
        <v>0.3796680497925311</v>
      </c>
      <c r="G249" s="11">
        <f t="shared" si="1"/>
        <v>0.43958713987341197</v>
      </c>
      <c r="H249" s="11">
        <f t="shared" si="2"/>
        <v>0.1668971921096149</v>
      </c>
      <c r="I249" s="12">
        <v>3201</v>
      </c>
      <c r="J249" s="12">
        <v>1390.6667025089264</v>
      </c>
      <c r="K249" s="12">
        <v>10141</v>
      </c>
      <c r="L249" s="13">
        <f t="shared" si="3"/>
        <v>0.31564934424612956</v>
      </c>
      <c r="M249" s="13">
        <f t="shared" si="4"/>
        <v>0.43444757966539405</v>
      </c>
      <c r="N249" s="13">
        <f t="shared" si="5"/>
        <v>0.13713309363069975</v>
      </c>
      <c r="O249" s="5">
        <f t="shared" si="6"/>
        <v>1.217045336693636</v>
      </c>
      <c r="AH249" s="20"/>
    </row>
    <row r="250" spans="1:34" ht="15.75" customHeight="1">
      <c r="A250" s="8">
        <v>60402</v>
      </c>
      <c r="B250" s="9" t="s">
        <v>276</v>
      </c>
      <c r="C250" s="10">
        <v>530</v>
      </c>
      <c r="D250" s="10">
        <v>240.0000062584877</v>
      </c>
      <c r="E250" s="10">
        <v>1249</v>
      </c>
      <c r="F250" s="11">
        <f t="shared" si="0"/>
        <v>0.42433947157726182</v>
      </c>
      <c r="G250" s="11">
        <f t="shared" si="1"/>
        <v>0.45283020048771266</v>
      </c>
      <c r="H250" s="11">
        <f t="shared" si="2"/>
        <v>0.19215372798918151</v>
      </c>
      <c r="I250" s="12">
        <v>1418</v>
      </c>
      <c r="J250" s="12">
        <v>613.22223842144012</v>
      </c>
      <c r="K250" s="12">
        <v>3954</v>
      </c>
      <c r="L250" s="13">
        <f t="shared" si="3"/>
        <v>0.35862417804754682</v>
      </c>
      <c r="M250" s="13">
        <f t="shared" si="4"/>
        <v>0.43245573936631887</v>
      </c>
      <c r="N250" s="13">
        <f t="shared" si="5"/>
        <v>0.15508908407219024</v>
      </c>
      <c r="O250" s="5">
        <f t="shared" si="6"/>
        <v>1.2389893791605511</v>
      </c>
      <c r="AH250" s="20"/>
    </row>
    <row r="251" spans="1:34" ht="15.75" customHeight="1">
      <c r="A251" s="8">
        <v>60501</v>
      </c>
      <c r="B251" s="9" t="s">
        <v>277</v>
      </c>
      <c r="C251" s="10">
        <v>2068</v>
      </c>
      <c r="D251" s="10">
        <v>916.11113548278809</v>
      </c>
      <c r="E251" s="10">
        <v>6864</v>
      </c>
      <c r="F251" s="11">
        <f t="shared" si="0"/>
        <v>0.30128205128205127</v>
      </c>
      <c r="G251" s="11">
        <f t="shared" si="1"/>
        <v>0.44299377924699618</v>
      </c>
      <c r="H251" s="11">
        <f t="shared" si="2"/>
        <v>0.13346607451672321</v>
      </c>
      <c r="I251" s="12">
        <v>4920</v>
      </c>
      <c r="J251" s="12">
        <v>2303.0000583529472</v>
      </c>
      <c r="K251" s="12">
        <v>16293</v>
      </c>
      <c r="L251" s="13">
        <f t="shared" si="3"/>
        <v>0.30197017123918246</v>
      </c>
      <c r="M251" s="13">
        <f t="shared" si="4"/>
        <v>0.46808944275466408</v>
      </c>
      <c r="N251" s="13">
        <f t="shared" si="5"/>
        <v>0.14134904918387942</v>
      </c>
      <c r="O251" s="5">
        <f t="shared" si="6"/>
        <v>0.94423043725677047</v>
      </c>
      <c r="AH251" s="20"/>
    </row>
    <row r="252" spans="1:34" ht="15.75" customHeight="1">
      <c r="A252" s="8">
        <v>60502</v>
      </c>
      <c r="B252" s="9" t="s">
        <v>278</v>
      </c>
      <c r="C252" s="10">
        <v>857</v>
      </c>
      <c r="D252" s="10">
        <v>374.11112064123154</v>
      </c>
      <c r="E252" s="10">
        <v>2328</v>
      </c>
      <c r="F252" s="11">
        <f t="shared" si="0"/>
        <v>0.36812714776632305</v>
      </c>
      <c r="G252" s="11">
        <f t="shared" si="1"/>
        <v>0.43653573003644286</v>
      </c>
      <c r="H252" s="11">
        <f t="shared" si="2"/>
        <v>0.16070065319640531</v>
      </c>
      <c r="I252" s="12">
        <v>2709</v>
      </c>
      <c r="J252" s="12">
        <v>1150.5555859208107</v>
      </c>
      <c r="K252" s="12">
        <v>8587</v>
      </c>
      <c r="L252" s="13">
        <f t="shared" si="3"/>
        <v>0.31547688366134857</v>
      </c>
      <c r="M252" s="13">
        <f t="shared" si="4"/>
        <v>0.42471597856065363</v>
      </c>
      <c r="N252" s="13">
        <f t="shared" si="5"/>
        <v>0.13398807335749513</v>
      </c>
      <c r="O252" s="5">
        <f t="shared" si="6"/>
        <v>1.1993653552106689</v>
      </c>
      <c r="AH252" s="20"/>
    </row>
    <row r="253" spans="1:34" ht="15.75" customHeight="1">
      <c r="A253" s="8">
        <v>60601</v>
      </c>
      <c r="B253" s="9" t="s">
        <v>182</v>
      </c>
      <c r="C253" s="10">
        <v>2167</v>
      </c>
      <c r="D253" s="10">
        <v>995.33335939049721</v>
      </c>
      <c r="E253" s="10">
        <v>4942</v>
      </c>
      <c r="F253" s="11">
        <f t="shared" si="0"/>
        <v>0.43848644273573451</v>
      </c>
      <c r="G253" s="11">
        <f t="shared" si="1"/>
        <v>0.45931396372427191</v>
      </c>
      <c r="H253" s="11">
        <f t="shared" si="2"/>
        <v>0.20140294605230619</v>
      </c>
      <c r="I253" s="12">
        <v>6761</v>
      </c>
      <c r="J253" s="12">
        <v>3046.3334146738052</v>
      </c>
      <c r="K253" s="12">
        <v>15161</v>
      </c>
      <c r="L253" s="13">
        <f t="shared" si="3"/>
        <v>0.44594683727986278</v>
      </c>
      <c r="M253" s="13">
        <f t="shared" si="4"/>
        <v>0.45057438465815786</v>
      </c>
      <c r="N253" s="13">
        <f t="shared" si="5"/>
        <v>0.20093222179762582</v>
      </c>
      <c r="O253" s="5">
        <f t="shared" si="6"/>
        <v>1.0023427016855189</v>
      </c>
      <c r="AH253" s="20"/>
    </row>
    <row r="254" spans="1:34" ht="15.75" customHeight="1">
      <c r="A254" s="8">
        <v>70101</v>
      </c>
      <c r="B254" s="9" t="s">
        <v>279</v>
      </c>
      <c r="C254" s="10">
        <v>70188</v>
      </c>
      <c r="D254" s="10">
        <v>26207.333991765976</v>
      </c>
      <c r="E254" s="10">
        <v>457047</v>
      </c>
      <c r="F254" s="11">
        <f t="shared" si="0"/>
        <v>0.15356845138464972</v>
      </c>
      <c r="G254" s="11">
        <f t="shared" si="1"/>
        <v>0.37338767298920011</v>
      </c>
      <c r="H254" s="11">
        <f t="shared" si="2"/>
        <v>5.7340566707069468E-2</v>
      </c>
      <c r="I254" s="12">
        <v>123246</v>
      </c>
      <c r="J254" s="12">
        <v>45675.556705832481</v>
      </c>
      <c r="K254" s="12">
        <v>950649</v>
      </c>
      <c r="L254" s="13">
        <f t="shared" si="3"/>
        <v>0.1296440642129745</v>
      </c>
      <c r="M254" s="13">
        <f t="shared" si="4"/>
        <v>0.3706047799184759</v>
      </c>
      <c r="N254" s="13">
        <f t="shared" si="5"/>
        <v>4.8046709885386174E-2</v>
      </c>
      <c r="O254" s="5">
        <f t="shared" si="6"/>
        <v>1.1934337823308501</v>
      </c>
      <c r="AH254" s="20"/>
    </row>
    <row r="255" spans="1:34" ht="15.75" customHeight="1">
      <c r="A255" s="8">
        <v>70102</v>
      </c>
      <c r="B255" s="9" t="s">
        <v>280</v>
      </c>
      <c r="C255" s="10">
        <v>4396</v>
      </c>
      <c r="D255" s="10">
        <v>1729.1111549735069</v>
      </c>
      <c r="E255" s="10">
        <v>16262</v>
      </c>
      <c r="F255" s="11">
        <f t="shared" si="0"/>
        <v>0.27032345344976016</v>
      </c>
      <c r="G255" s="11">
        <f t="shared" si="1"/>
        <v>0.39333738739160756</v>
      </c>
      <c r="H255" s="11">
        <f t="shared" si="2"/>
        <v>0.10632832093060551</v>
      </c>
      <c r="I255" s="12">
        <v>9708</v>
      </c>
      <c r="J255" s="12">
        <v>3782.0000945329666</v>
      </c>
      <c r="K255" s="12">
        <v>38262</v>
      </c>
      <c r="L255" s="13">
        <f t="shared" si="3"/>
        <v>0.25372432178140192</v>
      </c>
      <c r="M255" s="13">
        <f t="shared" si="4"/>
        <v>0.38957561748382435</v>
      </c>
      <c r="N255" s="13">
        <f t="shared" si="5"/>
        <v>9.8844809328654193E-2</v>
      </c>
      <c r="O255" s="5">
        <f t="shared" si="6"/>
        <v>1.0757097074978315</v>
      </c>
      <c r="AH255" s="20"/>
    </row>
    <row r="256" spans="1:34" ht="15.75" customHeight="1">
      <c r="A256" s="8">
        <v>70103</v>
      </c>
      <c r="B256" s="9" t="s">
        <v>281</v>
      </c>
      <c r="C256" s="10">
        <v>1173</v>
      </c>
      <c r="D256" s="10">
        <v>499.2222353219986</v>
      </c>
      <c r="E256" s="10">
        <v>3466</v>
      </c>
      <c r="F256" s="11">
        <f t="shared" si="0"/>
        <v>0.33843046739757648</v>
      </c>
      <c r="G256" s="11">
        <f t="shared" si="1"/>
        <v>0.4255944035140653</v>
      </c>
      <c r="H256" s="11">
        <f t="shared" si="2"/>
        <v>0.1440341129030579</v>
      </c>
      <c r="I256" s="12">
        <v>3511</v>
      </c>
      <c r="J256" s="12">
        <v>1510.777816683054</v>
      </c>
      <c r="K256" s="12">
        <v>11733</v>
      </c>
      <c r="L256" s="13">
        <f t="shared" si="3"/>
        <v>0.29924145572317395</v>
      </c>
      <c r="M256" s="13">
        <f t="shared" si="4"/>
        <v>0.43029843824638392</v>
      </c>
      <c r="N256" s="13">
        <f t="shared" si="5"/>
        <v>0.1287631310562562</v>
      </c>
      <c r="O256" s="5">
        <f t="shared" si="6"/>
        <v>1.1185974721298899</v>
      </c>
      <c r="AH256" s="20"/>
    </row>
    <row r="257" spans="1:34" ht="15.75" customHeight="1">
      <c r="A257" s="8">
        <v>70104</v>
      </c>
      <c r="B257" s="9" t="s">
        <v>282</v>
      </c>
      <c r="C257" s="10">
        <v>6672</v>
      </c>
      <c r="D257" s="10">
        <v>2577.3334006667137</v>
      </c>
      <c r="E257" s="10">
        <v>25328</v>
      </c>
      <c r="F257" s="11">
        <f t="shared" ref="F257:F346" si="14">C257/E257</f>
        <v>0.26342387871130762</v>
      </c>
      <c r="G257" s="11">
        <f t="shared" ref="G257:G346" si="15">D257/C257</f>
        <v>0.38629097731815254</v>
      </c>
      <c r="H257" s="11">
        <f t="shared" ref="H257:H346" si="16">F257*G257</f>
        <v>0.1017582675563295</v>
      </c>
      <c r="I257" s="12">
        <v>14596</v>
      </c>
      <c r="J257" s="12">
        <v>5526.7779158353806</v>
      </c>
      <c r="K257" s="12">
        <v>62770</v>
      </c>
      <c r="L257" s="13">
        <f t="shared" ref="L257:L346" si="17">I257/K257</f>
        <v>0.23253146407519515</v>
      </c>
      <c r="M257" s="13">
        <f t="shared" ref="M257:M346" si="18">J257/I257</f>
        <v>0.37865017236471504</v>
      </c>
      <c r="N257" s="13">
        <f t="shared" ref="N257:N346" si="19">L257*M257</f>
        <v>8.8048078952292191E-2</v>
      </c>
      <c r="O257" s="5">
        <f t="shared" ref="O257:O346" si="20">H257/N257</f>
        <v>1.1557125239662072</v>
      </c>
      <c r="AH257" s="20"/>
    </row>
    <row r="258" spans="1:34" ht="15.75" customHeight="1">
      <c r="A258" s="8">
        <v>70105</v>
      </c>
      <c r="B258" s="9" t="s">
        <v>283</v>
      </c>
      <c r="C258" s="10">
        <v>4181</v>
      </c>
      <c r="D258" s="10">
        <v>1768.0000482797623</v>
      </c>
      <c r="E258" s="10">
        <v>14200</v>
      </c>
      <c r="F258" s="11">
        <f t="shared" si="14"/>
        <v>0.29443661971830987</v>
      </c>
      <c r="G258" s="11">
        <f t="shared" si="15"/>
        <v>0.42286535476674536</v>
      </c>
      <c r="H258" s="11">
        <f t="shared" si="16"/>
        <v>0.1245070456535044</v>
      </c>
      <c r="I258" s="12">
        <v>10541</v>
      </c>
      <c r="J258" s="12">
        <v>4537.2223393917084</v>
      </c>
      <c r="K258" s="12">
        <v>34740</v>
      </c>
      <c r="L258" s="13">
        <f t="shared" si="17"/>
        <v>0.30342544617156014</v>
      </c>
      <c r="M258" s="13">
        <f t="shared" si="18"/>
        <v>0.43043566449024839</v>
      </c>
      <c r="N258" s="13">
        <f t="shared" si="19"/>
        <v>0.13060513354610559</v>
      </c>
      <c r="O258" s="5">
        <f t="shared" si="20"/>
        <v>0.9533089724191548</v>
      </c>
      <c r="AH258" s="20"/>
    </row>
    <row r="259" spans="1:34" ht="15.75" customHeight="1">
      <c r="A259" s="8">
        <v>70201</v>
      </c>
      <c r="B259" s="9" t="s">
        <v>284</v>
      </c>
      <c r="C259" s="10">
        <v>7418</v>
      </c>
      <c r="D259" s="10">
        <v>2944.3334058523178</v>
      </c>
      <c r="E259" s="10">
        <v>27485</v>
      </c>
      <c r="F259" s="11">
        <f t="shared" si="14"/>
        <v>0.26989266872839729</v>
      </c>
      <c r="G259" s="11">
        <f t="shared" si="15"/>
        <v>0.39691741788249096</v>
      </c>
      <c r="H259" s="11">
        <f t="shared" si="16"/>
        <v>0.10712510117708997</v>
      </c>
      <c r="I259" s="12">
        <v>17216</v>
      </c>
      <c r="J259" s="12">
        <v>6818.0001713037491</v>
      </c>
      <c r="K259" s="12">
        <v>67265</v>
      </c>
      <c r="L259" s="13">
        <f t="shared" si="17"/>
        <v>0.25594291236155503</v>
      </c>
      <c r="M259" s="13">
        <f t="shared" si="18"/>
        <v>0.39602696162312667</v>
      </c>
      <c r="N259" s="13">
        <f t="shared" si="19"/>
        <v>0.10136029393152082</v>
      </c>
      <c r="O259" s="5">
        <f t="shared" si="20"/>
        <v>1.0568744132634802</v>
      </c>
      <c r="AH259" s="20"/>
    </row>
    <row r="260" spans="1:34" ht="15.75" customHeight="1">
      <c r="A260" s="8">
        <v>70202</v>
      </c>
      <c r="B260" s="9" t="s">
        <v>285</v>
      </c>
      <c r="C260" s="10">
        <v>806</v>
      </c>
      <c r="D260" s="10">
        <v>321.88889691233635</v>
      </c>
      <c r="E260" s="10">
        <v>2729</v>
      </c>
      <c r="F260" s="11">
        <f t="shared" si="14"/>
        <v>0.29534628068889701</v>
      </c>
      <c r="G260" s="11">
        <f t="shared" si="15"/>
        <v>0.39936587706245202</v>
      </c>
      <c r="H260" s="11">
        <f t="shared" si="16"/>
        <v>0.11795122642445449</v>
      </c>
      <c r="I260" s="12">
        <v>2475</v>
      </c>
      <c r="J260" s="12">
        <v>982.88891384005547</v>
      </c>
      <c r="K260" s="12">
        <v>9362</v>
      </c>
      <c r="L260" s="13">
        <f t="shared" si="17"/>
        <v>0.26436658833582566</v>
      </c>
      <c r="M260" s="13">
        <f t="shared" si="18"/>
        <v>0.39712683387476988</v>
      </c>
      <c r="N260" s="13">
        <f t="shared" si="19"/>
        <v>0.10498706620808111</v>
      </c>
      <c r="O260" s="5">
        <f t="shared" si="20"/>
        <v>1.1234834030953758</v>
      </c>
      <c r="AH260" s="20"/>
    </row>
    <row r="261" spans="1:34" ht="15.75" customHeight="1">
      <c r="A261" s="8">
        <v>70301</v>
      </c>
      <c r="B261" s="9" t="s">
        <v>286</v>
      </c>
      <c r="C261" s="10">
        <v>5214</v>
      </c>
      <c r="D261" s="10">
        <v>2190.8889454007149</v>
      </c>
      <c r="E261" s="10">
        <v>13024</v>
      </c>
      <c r="F261" s="11">
        <f t="shared" si="14"/>
        <v>0.40033783783783783</v>
      </c>
      <c r="G261" s="11">
        <f t="shared" si="15"/>
        <v>0.42019350698134156</v>
      </c>
      <c r="H261" s="11">
        <f t="shared" si="16"/>
        <v>0.16821936005840871</v>
      </c>
      <c r="I261" s="12">
        <v>18160</v>
      </c>
      <c r="J261" s="12">
        <v>7849.8890919685364</v>
      </c>
      <c r="K261" s="12">
        <v>37770</v>
      </c>
      <c r="L261" s="13">
        <f t="shared" si="17"/>
        <v>0.48080487159120994</v>
      </c>
      <c r="M261" s="13">
        <f t="shared" si="18"/>
        <v>0.43226261519650533</v>
      </c>
      <c r="N261" s="13">
        <f t="shared" si="19"/>
        <v>0.20783397119323635</v>
      </c>
      <c r="O261" s="5">
        <f t="shared" si="20"/>
        <v>0.80939299332352432</v>
      </c>
      <c r="AH261" s="20"/>
    </row>
    <row r="262" spans="1:34" ht="15.75" customHeight="1">
      <c r="A262" s="8">
        <v>70302</v>
      </c>
      <c r="B262" s="9" t="s">
        <v>287</v>
      </c>
      <c r="C262" s="10">
        <v>1200</v>
      </c>
      <c r="D262" s="10">
        <v>531.11112496256828</v>
      </c>
      <c r="E262" s="10">
        <v>2548</v>
      </c>
      <c r="F262" s="11">
        <f t="shared" si="14"/>
        <v>0.47095761381475665</v>
      </c>
      <c r="G262" s="11">
        <f t="shared" si="15"/>
        <v>0.44259260413547358</v>
      </c>
      <c r="H262" s="11">
        <f t="shared" si="16"/>
        <v>0.20844235673570183</v>
      </c>
      <c r="I262" s="12">
        <v>5300</v>
      </c>
      <c r="J262" s="12">
        <v>2395.1111708283424</v>
      </c>
      <c r="K262" s="12">
        <v>8644</v>
      </c>
      <c r="L262" s="13">
        <f t="shared" si="17"/>
        <v>0.61314206385932435</v>
      </c>
      <c r="M262" s="13">
        <f t="shared" si="18"/>
        <v>0.45190776808081934</v>
      </c>
      <c r="N262" s="13">
        <f t="shared" si="19"/>
        <v>0.27708366159513448</v>
      </c>
      <c r="O262" s="5">
        <f t="shared" si="20"/>
        <v>0.75227227594628421</v>
      </c>
      <c r="AH262" s="20"/>
    </row>
    <row r="263" spans="1:34" ht="15.75" customHeight="1">
      <c r="A263" s="8">
        <v>70303</v>
      </c>
      <c r="B263" s="9" t="s">
        <v>288</v>
      </c>
      <c r="C263" s="10">
        <v>778</v>
      </c>
      <c r="D263" s="10">
        <v>337.44445422291756</v>
      </c>
      <c r="E263" s="10">
        <v>1528</v>
      </c>
      <c r="F263" s="11">
        <f t="shared" si="14"/>
        <v>0.50916230366492143</v>
      </c>
      <c r="G263" s="11">
        <f t="shared" si="15"/>
        <v>0.4337332316489943</v>
      </c>
      <c r="H263" s="11">
        <f t="shared" si="16"/>
        <v>0.22084061140243294</v>
      </c>
      <c r="I263" s="12">
        <v>2349</v>
      </c>
      <c r="J263" s="12">
        <v>1053.3333624601364</v>
      </c>
      <c r="K263" s="12">
        <v>4070</v>
      </c>
      <c r="L263" s="13">
        <f t="shared" si="17"/>
        <v>0.5771498771498772</v>
      </c>
      <c r="M263" s="13">
        <f t="shared" si="18"/>
        <v>0.44841777882508999</v>
      </c>
      <c r="N263" s="13">
        <f t="shared" si="19"/>
        <v>0.25880426596072148</v>
      </c>
      <c r="O263" s="5">
        <f t="shared" si="20"/>
        <v>0.85331132615854854</v>
      </c>
      <c r="AH263" s="20"/>
    </row>
    <row r="264" spans="1:34" ht="15.75" customHeight="1">
      <c r="A264" s="8">
        <v>70401</v>
      </c>
      <c r="B264" s="9" t="s">
        <v>289</v>
      </c>
      <c r="C264" s="10">
        <v>1028</v>
      </c>
      <c r="D264" s="10">
        <v>448.88890016078949</v>
      </c>
      <c r="E264" s="10">
        <v>3331</v>
      </c>
      <c r="F264" s="11">
        <f t="shared" si="14"/>
        <v>0.30861603122185532</v>
      </c>
      <c r="G264" s="11">
        <f t="shared" si="15"/>
        <v>0.43666235424201311</v>
      </c>
      <c r="H264" s="11">
        <f t="shared" si="16"/>
        <v>0.13476100275016198</v>
      </c>
      <c r="I264" s="12">
        <v>2837</v>
      </c>
      <c r="J264" s="12">
        <v>1238.7778105139732</v>
      </c>
      <c r="K264" s="12">
        <v>9152</v>
      </c>
      <c r="L264" s="13">
        <f t="shared" si="17"/>
        <v>0.30998688811188813</v>
      </c>
      <c r="M264" s="13">
        <f t="shared" si="18"/>
        <v>0.43665062055480197</v>
      </c>
      <c r="N264" s="13">
        <f t="shared" si="19"/>
        <v>0.13535596705790792</v>
      </c>
      <c r="O264" s="5">
        <f t="shared" si="20"/>
        <v>0.99560444714275942</v>
      </c>
      <c r="AH264" s="20"/>
    </row>
    <row r="265" spans="1:34" ht="15.75" customHeight="1">
      <c r="A265" s="8">
        <v>70402</v>
      </c>
      <c r="B265" s="9" t="s">
        <v>290</v>
      </c>
      <c r="C265" s="10">
        <v>2853</v>
      </c>
      <c r="D265" s="10">
        <v>1210.666698038578</v>
      </c>
      <c r="E265" s="10">
        <v>6689</v>
      </c>
      <c r="F265" s="11">
        <f t="shared" si="14"/>
        <v>0.42652115413365227</v>
      </c>
      <c r="G265" s="11">
        <f t="shared" si="15"/>
        <v>0.42434864985579324</v>
      </c>
      <c r="H265" s="11">
        <f t="shared" si="16"/>
        <v>0.18099367589155002</v>
      </c>
      <c r="I265" s="12">
        <v>5425</v>
      </c>
      <c r="J265" s="12">
        <v>2362.3333938717842</v>
      </c>
      <c r="K265" s="12">
        <v>12937</v>
      </c>
      <c r="L265" s="13">
        <f t="shared" si="17"/>
        <v>0.41933987786967614</v>
      </c>
      <c r="M265" s="13">
        <f t="shared" si="18"/>
        <v>0.43545316016069757</v>
      </c>
      <c r="N265" s="13">
        <f t="shared" si="19"/>
        <v>0.18260287499975145</v>
      </c>
      <c r="O265" s="5">
        <f t="shared" si="20"/>
        <v>0.99118743826895594</v>
      </c>
      <c r="AH265" s="20"/>
    </row>
    <row r="266" spans="1:34" ht="15.75" customHeight="1">
      <c r="A266" s="8">
        <v>70403</v>
      </c>
      <c r="B266" s="9" t="s">
        <v>291</v>
      </c>
      <c r="C266" s="10">
        <v>6848</v>
      </c>
      <c r="D266" s="10">
        <v>3011.888964176178</v>
      </c>
      <c r="E266" s="10">
        <v>15934</v>
      </c>
      <c r="F266" s="11">
        <f t="shared" si="14"/>
        <v>0.42977281285301872</v>
      </c>
      <c r="G266" s="11">
        <f t="shared" si="15"/>
        <v>0.43982023425469891</v>
      </c>
      <c r="H266" s="11">
        <f t="shared" si="16"/>
        <v>0.18902277922531557</v>
      </c>
      <c r="I266" s="12">
        <v>16638</v>
      </c>
      <c r="J266" s="12">
        <v>7479.8890708088875</v>
      </c>
      <c r="K266" s="12">
        <v>33146</v>
      </c>
      <c r="L266" s="13">
        <f t="shared" si="17"/>
        <v>0.5019610209376697</v>
      </c>
      <c r="M266" s="13">
        <f t="shared" si="18"/>
        <v>0.44956659879846661</v>
      </c>
      <c r="N266" s="13">
        <f t="shared" si="19"/>
        <v>0.22566490891235405</v>
      </c>
      <c r="O266" s="5">
        <f t="shared" si="20"/>
        <v>0.83762593012957143</v>
      </c>
      <c r="AH266" s="20"/>
    </row>
    <row r="267" spans="1:34" ht="15.75" customHeight="1">
      <c r="A267" s="8">
        <v>70404</v>
      </c>
      <c r="B267" s="9" t="s">
        <v>292</v>
      </c>
      <c r="C267" s="10">
        <v>958</v>
      </c>
      <c r="D267" s="10">
        <v>418.55556678771973</v>
      </c>
      <c r="E267" s="10">
        <v>2217</v>
      </c>
      <c r="F267" s="11">
        <f t="shared" si="14"/>
        <v>0.43211547135769057</v>
      </c>
      <c r="G267" s="11">
        <f t="shared" si="15"/>
        <v>0.43690560207486401</v>
      </c>
      <c r="H267" s="11">
        <f t="shared" si="16"/>
        <v>0.18879367017939544</v>
      </c>
      <c r="I267" s="12">
        <v>2594</v>
      </c>
      <c r="J267" s="12">
        <v>1115.7778063714504</v>
      </c>
      <c r="K267" s="12">
        <v>5941</v>
      </c>
      <c r="L267" s="13">
        <f t="shared" si="17"/>
        <v>0.43662683049991585</v>
      </c>
      <c r="M267" s="13">
        <f t="shared" si="18"/>
        <v>0.43013793614936408</v>
      </c>
      <c r="N267" s="13">
        <f t="shared" si="19"/>
        <v>0.187809763738672</v>
      </c>
      <c r="O267" s="5">
        <f t="shared" si="20"/>
        <v>1.0052388460596355</v>
      </c>
      <c r="AH267" s="20"/>
    </row>
    <row r="268" spans="1:34" ht="15.75" customHeight="1">
      <c r="A268" s="8">
        <v>70501</v>
      </c>
      <c r="B268" s="9" t="s">
        <v>293</v>
      </c>
      <c r="C268" s="10">
        <v>1745</v>
      </c>
      <c r="D268" s="10">
        <v>676.6666844189167</v>
      </c>
      <c r="E268" s="10">
        <v>5584</v>
      </c>
      <c r="F268" s="11">
        <f t="shared" si="14"/>
        <v>0.3125</v>
      </c>
      <c r="G268" s="11">
        <f t="shared" si="15"/>
        <v>0.38777460425152821</v>
      </c>
      <c r="H268" s="11">
        <f t="shared" si="16"/>
        <v>0.12117956382860257</v>
      </c>
      <c r="I268" s="12">
        <v>5287</v>
      </c>
      <c r="J268" s="12">
        <v>2074.8889374732971</v>
      </c>
      <c r="K268" s="12">
        <v>16177</v>
      </c>
      <c r="L268" s="13">
        <f t="shared" si="17"/>
        <v>0.3268220312789763</v>
      </c>
      <c r="M268" s="13">
        <f t="shared" si="18"/>
        <v>0.39245109466111161</v>
      </c>
      <c r="N268" s="13">
        <f t="shared" si="19"/>
        <v>0.12826166393480232</v>
      </c>
      <c r="O268" s="5">
        <f t="shared" si="20"/>
        <v>0.94478396826506394</v>
      </c>
      <c r="AH268" s="20"/>
    </row>
    <row r="269" spans="1:34" ht="15.75" customHeight="1">
      <c r="A269" s="8">
        <v>70502</v>
      </c>
      <c r="B269" s="9" t="s">
        <v>294</v>
      </c>
      <c r="C269" s="10">
        <v>1808</v>
      </c>
      <c r="D269" s="10">
        <v>720.44446122646332</v>
      </c>
      <c r="E269" s="10">
        <v>6036</v>
      </c>
      <c r="F269" s="11">
        <f t="shared" si="14"/>
        <v>0.29953611663353213</v>
      </c>
      <c r="G269" s="11">
        <f t="shared" si="15"/>
        <v>0.39847591881994654</v>
      </c>
      <c r="H269" s="11">
        <f t="shared" si="16"/>
        <v>0.11935792929530539</v>
      </c>
      <c r="I269" s="12">
        <v>10537</v>
      </c>
      <c r="J269" s="12">
        <v>4095.5556591153145</v>
      </c>
      <c r="K269" s="12">
        <v>30144</v>
      </c>
      <c r="L269" s="13">
        <f t="shared" si="17"/>
        <v>0.34955546709129509</v>
      </c>
      <c r="M269" s="13">
        <f t="shared" si="18"/>
        <v>0.38868327409275072</v>
      </c>
      <c r="N269" s="13">
        <f t="shared" si="19"/>
        <v>0.13586636342606537</v>
      </c>
      <c r="O269" s="5">
        <f t="shared" si="20"/>
        <v>0.87849506151135492</v>
      </c>
      <c r="AH269" s="20"/>
    </row>
    <row r="270" spans="1:34" ht="15.75" customHeight="1">
      <c r="A270" s="8">
        <v>70503</v>
      </c>
      <c r="B270" s="9" t="s">
        <v>295</v>
      </c>
      <c r="C270" s="10">
        <v>864</v>
      </c>
      <c r="D270" s="10">
        <v>345.00000822544098</v>
      </c>
      <c r="E270" s="10">
        <v>4628</v>
      </c>
      <c r="F270" s="11">
        <f t="shared" si="14"/>
        <v>0.18668971477960242</v>
      </c>
      <c r="G270" s="11">
        <f t="shared" si="15"/>
        <v>0.39930556507574189</v>
      </c>
      <c r="H270" s="11">
        <f t="shared" si="16"/>
        <v>7.4546242053898218E-2</v>
      </c>
      <c r="I270" s="12">
        <v>2406</v>
      </c>
      <c r="J270" s="12">
        <v>1031.3333594799042</v>
      </c>
      <c r="K270" s="12">
        <v>10053</v>
      </c>
      <c r="L270" s="13">
        <f t="shared" si="17"/>
        <v>0.2393315428230379</v>
      </c>
      <c r="M270" s="13">
        <f t="shared" si="18"/>
        <v>0.42865060660012644</v>
      </c>
      <c r="N270" s="13">
        <f t="shared" si="19"/>
        <v>0.10258961100963933</v>
      </c>
      <c r="O270" s="5">
        <f t="shared" si="20"/>
        <v>0.72664513804320641</v>
      </c>
      <c r="AH270" s="20"/>
    </row>
    <row r="271" spans="1:34" ht="15.75" customHeight="1">
      <c r="A271" s="8">
        <v>70601</v>
      </c>
      <c r="B271" s="9" t="s">
        <v>296</v>
      </c>
      <c r="C271" s="10">
        <v>1148</v>
      </c>
      <c r="D271" s="10">
        <v>453.33334550261497</v>
      </c>
      <c r="E271" s="10">
        <v>5591</v>
      </c>
      <c r="F271" s="11">
        <f t="shared" si="14"/>
        <v>0.2053299946342336</v>
      </c>
      <c r="G271" s="11">
        <f t="shared" si="15"/>
        <v>0.39488967378276568</v>
      </c>
      <c r="H271" s="11">
        <f t="shared" si="16"/>
        <v>8.1082694598929528E-2</v>
      </c>
      <c r="I271" s="12">
        <v>2740</v>
      </c>
      <c r="J271" s="12">
        <v>1127.4444728195667</v>
      </c>
      <c r="K271" s="12">
        <v>11806</v>
      </c>
      <c r="L271" s="13">
        <f t="shared" si="17"/>
        <v>0.23208538031509401</v>
      </c>
      <c r="M271" s="13">
        <f t="shared" si="18"/>
        <v>0.41147608497064481</v>
      </c>
      <c r="N271" s="13">
        <f t="shared" si="19"/>
        <v>9.5497583670978034E-2</v>
      </c>
      <c r="O271" s="5">
        <f t="shared" si="20"/>
        <v>0.84905493397913867</v>
      </c>
      <c r="AH271" s="20"/>
    </row>
    <row r="272" spans="1:34" ht="15.75" customHeight="1">
      <c r="A272" s="8">
        <v>70602</v>
      </c>
      <c r="B272" s="9" t="s">
        <v>297</v>
      </c>
      <c r="C272" s="10">
        <v>2469</v>
      </c>
      <c r="D272" s="10">
        <v>1102.7778064906597</v>
      </c>
      <c r="E272" s="10">
        <v>4944</v>
      </c>
      <c r="F272" s="11">
        <f t="shared" si="14"/>
        <v>0.49939320388349512</v>
      </c>
      <c r="G272" s="11">
        <f t="shared" si="15"/>
        <v>0.44664957735547173</v>
      </c>
      <c r="H272" s="11">
        <f t="shared" si="16"/>
        <v>0.22305376344875802</v>
      </c>
      <c r="I272" s="12">
        <v>7278</v>
      </c>
      <c r="J272" s="12">
        <v>3274.2223070859909</v>
      </c>
      <c r="K272" s="12">
        <v>13956</v>
      </c>
      <c r="L272" s="13">
        <f t="shared" si="17"/>
        <v>0.5214961306964746</v>
      </c>
      <c r="M272" s="13">
        <f t="shared" si="18"/>
        <v>0.44987940465594817</v>
      </c>
      <c r="N272" s="13">
        <f t="shared" si="19"/>
        <v>0.23461036880811054</v>
      </c>
      <c r="O272" s="5">
        <f t="shared" si="20"/>
        <v>0.95074128471787733</v>
      </c>
      <c r="AH272" s="20"/>
    </row>
    <row r="273" spans="1:34" ht="15.75" customHeight="1">
      <c r="A273" s="8">
        <v>70603</v>
      </c>
      <c r="B273" s="9" t="s">
        <v>298</v>
      </c>
      <c r="C273" s="10">
        <v>468</v>
      </c>
      <c r="D273" s="10">
        <v>194.88889336585999</v>
      </c>
      <c r="E273" s="10">
        <v>1283</v>
      </c>
      <c r="F273" s="11">
        <f t="shared" si="14"/>
        <v>0.36477007014809043</v>
      </c>
      <c r="G273" s="11">
        <f t="shared" si="15"/>
        <v>0.41642925932876063</v>
      </c>
      <c r="H273" s="11">
        <f t="shared" si="16"/>
        <v>0.15190093013706935</v>
      </c>
      <c r="I273" s="12">
        <v>1462</v>
      </c>
      <c r="J273" s="12">
        <v>602.44446036219597</v>
      </c>
      <c r="K273" s="12">
        <v>4692</v>
      </c>
      <c r="L273" s="13">
        <f t="shared" si="17"/>
        <v>0.31159420289855072</v>
      </c>
      <c r="M273" s="13">
        <f t="shared" si="18"/>
        <v>0.41206871433802733</v>
      </c>
      <c r="N273" s="13">
        <f t="shared" si="19"/>
        <v>0.12839822258358821</v>
      </c>
      <c r="O273" s="5">
        <f t="shared" si="20"/>
        <v>1.1830454275812166</v>
      </c>
      <c r="AH273" s="20"/>
    </row>
    <row r="274" spans="1:34" ht="15.75" customHeight="1">
      <c r="A274" s="8">
        <v>70701</v>
      </c>
      <c r="B274" s="9" t="s">
        <v>299</v>
      </c>
      <c r="C274" s="10">
        <v>560</v>
      </c>
      <c r="D274" s="10">
        <v>256.44445142149925</v>
      </c>
      <c r="E274" s="10">
        <v>1104</v>
      </c>
      <c r="F274" s="11">
        <f t="shared" si="14"/>
        <v>0.50724637681159424</v>
      </c>
      <c r="G274" s="11">
        <f t="shared" si="15"/>
        <v>0.4579365203955344</v>
      </c>
      <c r="H274" s="11">
        <f t="shared" si="16"/>
        <v>0.23228664078034356</v>
      </c>
      <c r="I274" s="12">
        <v>2174</v>
      </c>
      <c r="J274" s="12">
        <v>1014.8889149129391</v>
      </c>
      <c r="K274" s="12">
        <v>3963</v>
      </c>
      <c r="L274" s="13">
        <f t="shared" si="17"/>
        <v>0.54857431238960386</v>
      </c>
      <c r="M274" s="13">
        <f t="shared" si="18"/>
        <v>0.46683022765084592</v>
      </c>
      <c r="N274" s="13">
        <f t="shared" si="19"/>
        <v>0.25609107113624502</v>
      </c>
      <c r="O274" s="5">
        <f t="shared" si="20"/>
        <v>0.90704701163424362</v>
      </c>
      <c r="AH274" s="20"/>
    </row>
    <row r="275" spans="1:34" ht="15.75" customHeight="1">
      <c r="A275" s="8">
        <v>70702</v>
      </c>
      <c r="B275" s="9" t="s">
        <v>300</v>
      </c>
      <c r="C275" s="10">
        <v>3125</v>
      </c>
      <c r="D275" s="10">
        <v>1378.0000359416008</v>
      </c>
      <c r="E275" s="10">
        <v>5761</v>
      </c>
      <c r="F275" s="11">
        <f t="shared" si="14"/>
        <v>0.54244054851588264</v>
      </c>
      <c r="G275" s="11">
        <f t="shared" si="15"/>
        <v>0.44096001150131225</v>
      </c>
      <c r="H275" s="11">
        <f t="shared" si="16"/>
        <v>0.23919459051234174</v>
      </c>
      <c r="I275" s="12">
        <v>14156</v>
      </c>
      <c r="J275" s="12">
        <v>6070.4445998370647</v>
      </c>
      <c r="K275" s="12">
        <v>25084</v>
      </c>
      <c r="L275" s="13">
        <f t="shared" si="17"/>
        <v>0.56434380481581881</v>
      </c>
      <c r="M275" s="13">
        <f t="shared" si="18"/>
        <v>0.42882485164149936</v>
      </c>
      <c r="N275" s="13">
        <f t="shared" si="19"/>
        <v>0.24200464837494276</v>
      </c>
      <c r="O275" s="5">
        <f t="shared" si="20"/>
        <v>0.98838841368762742</v>
      </c>
      <c r="AH275" s="20"/>
    </row>
    <row r="276" spans="1:34" ht="15.75" customHeight="1">
      <c r="A276" s="8">
        <v>70703</v>
      </c>
      <c r="B276" s="9" t="s">
        <v>301</v>
      </c>
      <c r="C276" s="10">
        <v>1684</v>
      </c>
      <c r="D276" s="10">
        <v>730.66668438911438</v>
      </c>
      <c r="E276" s="10">
        <v>5011</v>
      </c>
      <c r="F276" s="11">
        <f t="shared" si="14"/>
        <v>0.33606066653362604</v>
      </c>
      <c r="G276" s="11">
        <f t="shared" si="15"/>
        <v>0.43388757980351211</v>
      </c>
      <c r="H276" s="11">
        <f t="shared" si="16"/>
        <v>0.14581254926943013</v>
      </c>
      <c r="I276" s="12">
        <v>7875</v>
      </c>
      <c r="J276" s="12">
        <v>3248.0000815689564</v>
      </c>
      <c r="K276" s="12">
        <v>19918</v>
      </c>
      <c r="L276" s="13">
        <f t="shared" si="17"/>
        <v>0.39537102118686618</v>
      </c>
      <c r="M276" s="13">
        <f t="shared" si="18"/>
        <v>0.41244445480240716</v>
      </c>
      <c r="N276" s="13">
        <f t="shared" si="19"/>
        <v>0.16306858527808799</v>
      </c>
      <c r="O276" s="5">
        <f t="shared" si="20"/>
        <v>0.89417927444927314</v>
      </c>
      <c r="AH276" s="20"/>
    </row>
    <row r="277" spans="1:34" ht="15.75" customHeight="1">
      <c r="A277" s="8">
        <v>70704</v>
      </c>
      <c r="B277" s="9" t="s">
        <v>302</v>
      </c>
      <c r="C277" s="10">
        <v>536</v>
      </c>
      <c r="D277" s="10">
        <v>246.66667371988297</v>
      </c>
      <c r="E277" s="10">
        <v>1309</v>
      </c>
      <c r="F277" s="11">
        <f t="shared" si="14"/>
        <v>0.40947288006111537</v>
      </c>
      <c r="G277" s="11">
        <f t="shared" si="15"/>
        <v>0.46019901813411002</v>
      </c>
      <c r="H277" s="11">
        <f t="shared" si="16"/>
        <v>0.18843901735667148</v>
      </c>
      <c r="I277" s="12">
        <v>1819</v>
      </c>
      <c r="J277" s="12">
        <v>897.44446837902069</v>
      </c>
      <c r="K277" s="12">
        <v>3468</v>
      </c>
      <c r="L277" s="13">
        <f t="shared" si="17"/>
        <v>0.52450980392156865</v>
      </c>
      <c r="M277" s="13">
        <f t="shared" si="18"/>
        <v>0.49337244001045666</v>
      </c>
      <c r="N277" s="13">
        <f t="shared" si="19"/>
        <v>0.25877868177019053</v>
      </c>
      <c r="O277" s="5">
        <f t="shared" si="20"/>
        <v>0.72818601620366674</v>
      </c>
      <c r="AH277" s="20"/>
    </row>
    <row r="278" spans="1:34" ht="15.75" customHeight="1">
      <c r="A278" s="8">
        <v>70705</v>
      </c>
      <c r="B278" s="9" t="s">
        <v>303</v>
      </c>
      <c r="C278" s="10">
        <v>2276</v>
      </c>
      <c r="D278" s="10">
        <v>1091.1111389994621</v>
      </c>
      <c r="E278" s="10">
        <v>3462</v>
      </c>
      <c r="F278" s="11">
        <f t="shared" si="14"/>
        <v>0.65742345465049101</v>
      </c>
      <c r="G278" s="11">
        <f t="shared" si="15"/>
        <v>0.47939856722296226</v>
      </c>
      <c r="H278" s="11">
        <f t="shared" si="16"/>
        <v>0.31516786221821552</v>
      </c>
      <c r="I278" s="12">
        <v>6028</v>
      </c>
      <c r="J278" s="12">
        <v>2913.8889653980732</v>
      </c>
      <c r="K278" s="12">
        <v>8392</v>
      </c>
      <c r="L278" s="13">
        <f t="shared" si="17"/>
        <v>0.71830314585319355</v>
      </c>
      <c r="M278" s="13">
        <f t="shared" si="18"/>
        <v>0.48339233002622317</v>
      </c>
      <c r="N278" s="13">
        <f t="shared" si="19"/>
        <v>0.34722223133914126</v>
      </c>
      <c r="O278" s="5">
        <f t="shared" si="20"/>
        <v>0.9076834193556651</v>
      </c>
      <c r="AH278" s="20"/>
    </row>
    <row r="279" spans="1:34" ht="15.75" customHeight="1">
      <c r="A279" s="8">
        <v>70706</v>
      </c>
      <c r="B279" s="9" t="s">
        <v>304</v>
      </c>
      <c r="C279" s="10">
        <v>2181</v>
      </c>
      <c r="D279" s="10">
        <v>883.11113354563713</v>
      </c>
      <c r="E279" s="10">
        <v>12415</v>
      </c>
      <c r="F279" s="11">
        <f t="shared" si="14"/>
        <v>0.17567458719291179</v>
      </c>
      <c r="G279" s="11">
        <f t="shared" si="15"/>
        <v>0.40491111120845352</v>
      </c>
      <c r="H279" s="11">
        <f t="shared" si="16"/>
        <v>7.1132592311368273E-2</v>
      </c>
      <c r="I279" s="12">
        <v>3213</v>
      </c>
      <c r="J279" s="12">
        <v>1315.3333680927753</v>
      </c>
      <c r="K279" s="12">
        <v>20457</v>
      </c>
      <c r="L279" s="13">
        <f t="shared" si="17"/>
        <v>0.15706115266168061</v>
      </c>
      <c r="M279" s="13">
        <f t="shared" si="18"/>
        <v>0.40937857705968733</v>
      </c>
      <c r="N279" s="13">
        <f t="shared" si="19"/>
        <v>6.429747118799313E-2</v>
      </c>
      <c r="O279" s="5">
        <f t="shared" si="20"/>
        <v>1.1063046648194079</v>
      </c>
      <c r="AH279" s="20"/>
    </row>
    <row r="280" spans="1:34" ht="15.75" customHeight="1">
      <c r="A280" s="8">
        <v>70707</v>
      </c>
      <c r="B280" s="9" t="s">
        <v>305</v>
      </c>
      <c r="C280" s="10">
        <v>726</v>
      </c>
      <c r="D280" s="10">
        <v>328.44445309042931</v>
      </c>
      <c r="E280" s="10">
        <v>1584</v>
      </c>
      <c r="F280" s="11">
        <f t="shared" si="14"/>
        <v>0.45833333333333331</v>
      </c>
      <c r="G280" s="11">
        <f t="shared" si="15"/>
        <v>0.45240282794824971</v>
      </c>
      <c r="H280" s="11">
        <f t="shared" si="16"/>
        <v>0.20735129614294778</v>
      </c>
      <c r="I280" s="12">
        <v>1652</v>
      </c>
      <c r="J280" s="12">
        <v>783.11113104224205</v>
      </c>
      <c r="K280" s="12">
        <v>3309</v>
      </c>
      <c r="L280" s="13">
        <f t="shared" si="17"/>
        <v>0.49924448473859173</v>
      </c>
      <c r="M280" s="13">
        <f t="shared" si="18"/>
        <v>0.47403821491661141</v>
      </c>
      <c r="N280" s="13">
        <f t="shared" si="19"/>
        <v>0.23666096435244546</v>
      </c>
      <c r="O280" s="5">
        <f t="shared" si="20"/>
        <v>0.87615334751256868</v>
      </c>
      <c r="AH280" s="20"/>
    </row>
    <row r="281" spans="1:34" ht="15.75" customHeight="1">
      <c r="A281" s="8">
        <v>70801</v>
      </c>
      <c r="B281" s="9" t="s">
        <v>306</v>
      </c>
      <c r="C281" s="10">
        <v>1444</v>
      </c>
      <c r="D281" s="10">
        <v>624.44446018338203</v>
      </c>
      <c r="E281" s="10">
        <v>5331</v>
      </c>
      <c r="F281" s="11">
        <f t="shared" si="14"/>
        <v>0.27086850497092479</v>
      </c>
      <c r="G281" s="11">
        <f t="shared" si="15"/>
        <v>0.43244076189984904</v>
      </c>
      <c r="H281" s="11">
        <f t="shared" si="16"/>
        <v>0.11713458266429977</v>
      </c>
      <c r="I281" s="12">
        <v>3871</v>
      </c>
      <c r="J281" s="12">
        <v>1739.1111573576927</v>
      </c>
      <c r="K281" s="12">
        <v>11368</v>
      </c>
      <c r="L281" s="13">
        <f t="shared" si="17"/>
        <v>0.34051724137931033</v>
      </c>
      <c r="M281" s="13">
        <f t="shared" si="18"/>
        <v>0.44926663842875036</v>
      </c>
      <c r="N281" s="13">
        <f t="shared" si="19"/>
        <v>0.15298303636151411</v>
      </c>
      <c r="O281" s="5">
        <f t="shared" si="20"/>
        <v>0.76567040013181009</v>
      </c>
      <c r="AH281" s="20"/>
    </row>
    <row r="282" spans="1:34" ht="15.75" customHeight="1">
      <c r="A282" s="8">
        <v>70802</v>
      </c>
      <c r="B282" s="9" t="s">
        <v>307</v>
      </c>
      <c r="C282" s="10">
        <v>113</v>
      </c>
      <c r="D282" s="10">
        <v>45.222223401069641</v>
      </c>
      <c r="E282" s="10">
        <v>601</v>
      </c>
      <c r="F282" s="11">
        <f t="shared" si="14"/>
        <v>0.18801996672212978</v>
      </c>
      <c r="G282" s="11">
        <f t="shared" si="15"/>
        <v>0.40019666726610303</v>
      </c>
      <c r="H282" s="11">
        <f t="shared" si="16"/>
        <v>7.5244964061679936E-2</v>
      </c>
      <c r="I282" s="12">
        <v>364</v>
      </c>
      <c r="J282" s="12">
        <v>151.88889297842979</v>
      </c>
      <c r="K282" s="12">
        <v>1468</v>
      </c>
      <c r="L282" s="13">
        <f t="shared" si="17"/>
        <v>0.24795640326975477</v>
      </c>
      <c r="M282" s="13">
        <f t="shared" si="18"/>
        <v>0.41727717851216978</v>
      </c>
      <c r="N282" s="13">
        <f t="shared" si="19"/>
        <v>0.10346654835042901</v>
      </c>
      <c r="O282" s="5">
        <f t="shared" si="20"/>
        <v>0.72723953066293567</v>
      </c>
      <c r="AH282" s="20"/>
    </row>
    <row r="283" spans="1:34" ht="15.75" customHeight="1">
      <c r="A283" s="8">
        <v>70803</v>
      </c>
      <c r="B283" s="9" t="s">
        <v>308</v>
      </c>
      <c r="C283" s="10">
        <v>294</v>
      </c>
      <c r="D283" s="10">
        <v>137.1111147403717</v>
      </c>
      <c r="E283" s="10">
        <v>696</v>
      </c>
      <c r="F283" s="11">
        <f t="shared" si="14"/>
        <v>0.42241379310344829</v>
      </c>
      <c r="G283" s="11">
        <f t="shared" si="15"/>
        <v>0.46636433585160442</v>
      </c>
      <c r="H283" s="11">
        <f t="shared" si="16"/>
        <v>0.19699872807524671</v>
      </c>
      <c r="I283" s="12">
        <v>925</v>
      </c>
      <c r="J283" s="12">
        <v>420.22223243117332</v>
      </c>
      <c r="K283" s="12">
        <v>2050</v>
      </c>
      <c r="L283" s="13">
        <f t="shared" si="17"/>
        <v>0.45121951219512196</v>
      </c>
      <c r="M283" s="13">
        <f t="shared" si="18"/>
        <v>0.45429430533099818</v>
      </c>
      <c r="N283" s="13">
        <f t="shared" si="19"/>
        <v>0.20498645484447481</v>
      </c>
      <c r="O283" s="5">
        <f t="shared" si="20"/>
        <v>0.96103290446537815</v>
      </c>
      <c r="AH283" s="20"/>
    </row>
    <row r="284" spans="1:34" ht="15.75" customHeight="1">
      <c r="A284" s="8">
        <v>70804</v>
      </c>
      <c r="B284" s="9" t="s">
        <v>309</v>
      </c>
      <c r="C284" s="10">
        <v>227</v>
      </c>
      <c r="D284" s="10">
        <v>122.33333644270897</v>
      </c>
      <c r="E284" s="10">
        <v>543</v>
      </c>
      <c r="F284" s="11">
        <f t="shared" si="14"/>
        <v>0.41804788213627991</v>
      </c>
      <c r="G284" s="11">
        <f t="shared" si="15"/>
        <v>0.53891337639959902</v>
      </c>
      <c r="H284" s="11">
        <f t="shared" si="16"/>
        <v>0.22529159565876422</v>
      </c>
      <c r="I284" s="12">
        <v>932</v>
      </c>
      <c r="J284" s="12">
        <v>505.66668105125427</v>
      </c>
      <c r="K284" s="12">
        <v>1745</v>
      </c>
      <c r="L284" s="13">
        <f t="shared" si="17"/>
        <v>0.53409742120343839</v>
      </c>
      <c r="M284" s="13">
        <f t="shared" si="18"/>
        <v>0.542560816578599</v>
      </c>
      <c r="N284" s="13">
        <f t="shared" si="19"/>
        <v>0.28978033298066147</v>
      </c>
      <c r="O284" s="5">
        <f t="shared" si="20"/>
        <v>0.77745647312027588</v>
      </c>
      <c r="AH284" s="20"/>
    </row>
    <row r="285" spans="1:34" ht="15.75" customHeight="1">
      <c r="A285" s="8">
        <v>70805</v>
      </c>
      <c r="B285" s="9" t="s">
        <v>310</v>
      </c>
      <c r="C285" s="10">
        <v>194</v>
      </c>
      <c r="D285" s="10">
        <v>86.666668832302094</v>
      </c>
      <c r="E285" s="10">
        <v>419</v>
      </c>
      <c r="F285" s="11">
        <f t="shared" si="14"/>
        <v>0.46300715990453462</v>
      </c>
      <c r="G285" s="11">
        <f t="shared" si="15"/>
        <v>0.44673540635207265</v>
      </c>
      <c r="H285" s="11">
        <f t="shared" si="16"/>
        <v>0.20684169172387135</v>
      </c>
      <c r="I285" s="12">
        <v>891</v>
      </c>
      <c r="J285" s="12">
        <v>411.00001063942909</v>
      </c>
      <c r="K285" s="12">
        <v>1627</v>
      </c>
      <c r="L285" s="13">
        <f t="shared" si="17"/>
        <v>0.54763368162261827</v>
      </c>
      <c r="M285" s="13">
        <f t="shared" si="18"/>
        <v>0.46127947322045915</v>
      </c>
      <c r="N285" s="13">
        <f t="shared" si="19"/>
        <v>0.25261217617666198</v>
      </c>
      <c r="O285" s="5">
        <f t="shared" si="20"/>
        <v>0.8188112499344391</v>
      </c>
      <c r="AH285" s="20"/>
    </row>
    <row r="286" spans="1:34" ht="15.75" customHeight="1">
      <c r="A286" s="8">
        <v>70901</v>
      </c>
      <c r="B286" s="9" t="s">
        <v>311</v>
      </c>
      <c r="C286" s="10">
        <v>826</v>
      </c>
      <c r="D286" s="10">
        <v>365.33334285020828</v>
      </c>
      <c r="E286" s="10">
        <v>2760</v>
      </c>
      <c r="F286" s="11">
        <f t="shared" si="14"/>
        <v>0.29927536231884055</v>
      </c>
      <c r="G286" s="11">
        <f t="shared" si="15"/>
        <v>0.4422921826273708</v>
      </c>
      <c r="H286" s="11">
        <f t="shared" si="16"/>
        <v>0.1323671532065972</v>
      </c>
      <c r="I286" s="12">
        <v>2690</v>
      </c>
      <c r="J286" s="12">
        <v>1234.8889226317406</v>
      </c>
      <c r="K286" s="12">
        <v>7408</v>
      </c>
      <c r="L286" s="13">
        <f t="shared" si="17"/>
        <v>0.36312095032397407</v>
      </c>
      <c r="M286" s="13">
        <f t="shared" si="18"/>
        <v>0.45906651398949466</v>
      </c>
      <c r="N286" s="13">
        <f t="shared" si="19"/>
        <v>0.16669666882177925</v>
      </c>
      <c r="O286" s="5">
        <f t="shared" si="20"/>
        <v>0.79405997817577967</v>
      </c>
      <c r="AH286" s="20"/>
    </row>
    <row r="287" spans="1:34" ht="15.75" customHeight="1">
      <c r="A287" s="8">
        <v>70902</v>
      </c>
      <c r="B287" s="9" t="s">
        <v>312</v>
      </c>
      <c r="C287" s="10">
        <v>895</v>
      </c>
      <c r="D287" s="10">
        <v>390.77778881788254</v>
      </c>
      <c r="E287" s="10">
        <v>2590</v>
      </c>
      <c r="F287" s="11">
        <f t="shared" si="14"/>
        <v>0.34555984555984554</v>
      </c>
      <c r="G287" s="11">
        <f t="shared" si="15"/>
        <v>0.4366232277294777</v>
      </c>
      <c r="H287" s="11">
        <f t="shared" si="16"/>
        <v>0.15087945514203957</v>
      </c>
      <c r="I287" s="12">
        <v>2155</v>
      </c>
      <c r="J287" s="12">
        <v>966.00002664327621</v>
      </c>
      <c r="K287" s="12">
        <v>6474</v>
      </c>
      <c r="L287" s="13">
        <f t="shared" si="17"/>
        <v>0.33286994130367625</v>
      </c>
      <c r="M287" s="13">
        <f t="shared" si="18"/>
        <v>0.44825987315233234</v>
      </c>
      <c r="N287" s="13">
        <f t="shared" si="19"/>
        <v>0.14921223766501024</v>
      </c>
      <c r="O287" s="5">
        <f t="shared" si="20"/>
        <v>1.0111734634043377</v>
      </c>
      <c r="AH287" s="20"/>
    </row>
    <row r="288" spans="1:34" ht="15.75" customHeight="1">
      <c r="A288" s="8">
        <v>70903</v>
      </c>
      <c r="B288" s="9" t="s">
        <v>313</v>
      </c>
      <c r="C288" s="10">
        <v>609</v>
      </c>
      <c r="D288" s="10">
        <v>249.88889536261559</v>
      </c>
      <c r="E288" s="10">
        <v>2251</v>
      </c>
      <c r="F288" s="11">
        <f t="shared" si="14"/>
        <v>0.27054642381163929</v>
      </c>
      <c r="G288" s="11">
        <f t="shared" si="15"/>
        <v>0.41032659337046895</v>
      </c>
      <c r="H288" s="11">
        <f t="shared" si="16"/>
        <v>0.11101239243119307</v>
      </c>
      <c r="I288" s="12">
        <v>2045</v>
      </c>
      <c r="J288" s="12">
        <v>855.88891059160233</v>
      </c>
      <c r="K288" s="12">
        <v>7725</v>
      </c>
      <c r="L288" s="13">
        <f t="shared" si="17"/>
        <v>0.26472491909385115</v>
      </c>
      <c r="M288" s="13">
        <f t="shared" si="18"/>
        <v>0.41852758464137035</v>
      </c>
      <c r="N288" s="13">
        <f t="shared" si="19"/>
        <v>0.11079468098273171</v>
      </c>
      <c r="O288" s="5">
        <f t="shared" si="20"/>
        <v>1.0019649991004107</v>
      </c>
      <c r="AH288" s="20"/>
    </row>
    <row r="289" spans="1:34" ht="15.75" customHeight="1">
      <c r="A289" s="8">
        <v>70904</v>
      </c>
      <c r="B289" s="9" t="s">
        <v>314</v>
      </c>
      <c r="C289" s="10">
        <v>182</v>
      </c>
      <c r="D289" s="10">
        <v>84.88889154791832</v>
      </c>
      <c r="E289" s="10">
        <v>649</v>
      </c>
      <c r="F289" s="11">
        <f t="shared" si="14"/>
        <v>0.28043143297380585</v>
      </c>
      <c r="G289" s="11">
        <f t="shared" si="15"/>
        <v>0.46642248103251827</v>
      </c>
      <c r="H289" s="11">
        <f t="shared" si="16"/>
        <v>0.13079952472714687</v>
      </c>
      <c r="I289" s="12">
        <v>698</v>
      </c>
      <c r="J289" s="12">
        <v>312.44445225596428</v>
      </c>
      <c r="K289" s="12">
        <v>2259</v>
      </c>
      <c r="L289" s="13">
        <f t="shared" si="17"/>
        <v>0.30898627711376714</v>
      </c>
      <c r="M289" s="13">
        <f t="shared" si="18"/>
        <v>0.44762815509450471</v>
      </c>
      <c r="N289" s="13">
        <f t="shared" si="19"/>
        <v>0.13831095717395497</v>
      </c>
      <c r="O289" s="5">
        <f t="shared" si="20"/>
        <v>0.94569170367781563</v>
      </c>
      <c r="AH289" s="20"/>
    </row>
    <row r="290" spans="1:34" ht="15.75" customHeight="1">
      <c r="A290" s="8">
        <v>71001</v>
      </c>
      <c r="B290" s="9" t="s">
        <v>315</v>
      </c>
      <c r="C290" s="10">
        <v>8334</v>
      </c>
      <c r="D290" s="10">
        <v>3336.2223055362701</v>
      </c>
      <c r="E290" s="10">
        <v>37318</v>
      </c>
      <c r="F290" s="11">
        <f t="shared" si="14"/>
        <v>0.22332386515890454</v>
      </c>
      <c r="G290" s="11">
        <f t="shared" si="15"/>
        <v>0.40031465149223305</v>
      </c>
      <c r="H290" s="11">
        <f t="shared" si="16"/>
        <v>8.9399815250985323E-2</v>
      </c>
      <c r="I290" s="12">
        <v>14057</v>
      </c>
      <c r="J290" s="12">
        <v>5611.3334761857986</v>
      </c>
      <c r="K290" s="12">
        <v>69304</v>
      </c>
      <c r="L290" s="13">
        <f t="shared" si="17"/>
        <v>0.20283100542537227</v>
      </c>
      <c r="M290" s="13">
        <f t="shared" si="18"/>
        <v>0.39918428371528764</v>
      </c>
      <c r="N290" s="13">
        <f t="shared" si="19"/>
        <v>8.0966949615978848E-2</v>
      </c>
      <c r="O290" s="5">
        <f t="shared" si="20"/>
        <v>1.1041519493448009</v>
      </c>
      <c r="AH290" s="20"/>
    </row>
    <row r="291" spans="1:34" ht="15.75" customHeight="1">
      <c r="A291" s="8">
        <v>71002</v>
      </c>
      <c r="B291" s="9" t="s">
        <v>316</v>
      </c>
      <c r="C291" s="10">
        <v>1371</v>
      </c>
      <c r="D291" s="10">
        <v>553.77779185771942</v>
      </c>
      <c r="E291" s="10">
        <v>3836</v>
      </c>
      <c r="F291" s="11">
        <f t="shared" si="14"/>
        <v>0.35740354535974972</v>
      </c>
      <c r="G291" s="11">
        <f t="shared" si="15"/>
        <v>0.40392253235428111</v>
      </c>
      <c r="H291" s="11">
        <f t="shared" si="16"/>
        <v>0.14436334511410828</v>
      </c>
      <c r="I291" s="12">
        <v>3292</v>
      </c>
      <c r="J291" s="12">
        <v>1372.2222585082054</v>
      </c>
      <c r="K291" s="12">
        <v>10024</v>
      </c>
      <c r="L291" s="13">
        <f t="shared" si="17"/>
        <v>0.32841181165203509</v>
      </c>
      <c r="M291" s="13">
        <f t="shared" si="18"/>
        <v>0.41683543697090081</v>
      </c>
      <c r="N291" s="13">
        <f t="shared" si="19"/>
        <v>0.13689368101638122</v>
      </c>
      <c r="O291" s="5">
        <f t="shared" si="20"/>
        <v>1.0545654411676841</v>
      </c>
      <c r="AH291" s="20"/>
    </row>
    <row r="292" spans="1:34" ht="15.75" customHeight="1">
      <c r="A292" s="8">
        <v>71003</v>
      </c>
      <c r="B292" s="9" t="s">
        <v>317</v>
      </c>
      <c r="C292" s="10">
        <v>2546</v>
      </c>
      <c r="D292" s="10">
        <v>1020.1111374497414</v>
      </c>
      <c r="E292" s="10">
        <v>6809</v>
      </c>
      <c r="F292" s="11">
        <f t="shared" si="14"/>
        <v>0.37391687472462914</v>
      </c>
      <c r="G292" s="11">
        <f t="shared" si="15"/>
        <v>0.40067208855056613</v>
      </c>
      <c r="H292" s="11">
        <f t="shared" si="16"/>
        <v>0.14981805514021754</v>
      </c>
      <c r="I292" s="12">
        <v>5914</v>
      </c>
      <c r="J292" s="12">
        <v>2391.5556155741215</v>
      </c>
      <c r="K292" s="12">
        <v>16021</v>
      </c>
      <c r="L292" s="13">
        <f t="shared" si="17"/>
        <v>0.36914050308969476</v>
      </c>
      <c r="M292" s="13">
        <f t="shared" si="18"/>
        <v>0.40438884267401443</v>
      </c>
      <c r="N292" s="13">
        <f t="shared" si="19"/>
        <v>0.14927630082854512</v>
      </c>
      <c r="O292" s="5">
        <f t="shared" si="20"/>
        <v>1.0036292050959561</v>
      </c>
      <c r="AH292" s="20"/>
    </row>
    <row r="293" spans="1:34" ht="15.75" customHeight="1">
      <c r="A293" s="8">
        <v>71004</v>
      </c>
      <c r="B293" s="9" t="s">
        <v>318</v>
      </c>
      <c r="C293" s="10">
        <v>1258</v>
      </c>
      <c r="D293" s="10">
        <v>517.55556926131248</v>
      </c>
      <c r="E293" s="10">
        <v>3415</v>
      </c>
      <c r="F293" s="11">
        <f t="shared" si="14"/>
        <v>0.36837481698389457</v>
      </c>
      <c r="G293" s="11">
        <f t="shared" si="15"/>
        <v>0.41141142230628974</v>
      </c>
      <c r="H293" s="11">
        <f t="shared" si="16"/>
        <v>0.15155360739716325</v>
      </c>
      <c r="I293" s="12">
        <v>3319</v>
      </c>
      <c r="J293" s="12">
        <v>1307.4444770812988</v>
      </c>
      <c r="K293" s="12">
        <v>10327</v>
      </c>
      <c r="L293" s="13">
        <f t="shared" si="17"/>
        <v>0.32139052967948095</v>
      </c>
      <c r="M293" s="13">
        <f t="shared" si="18"/>
        <v>0.3939272302143112</v>
      </c>
      <c r="N293" s="13">
        <f t="shared" si="19"/>
        <v>0.12660448117374831</v>
      </c>
      <c r="O293" s="5">
        <f t="shared" si="20"/>
        <v>1.197063531970685</v>
      </c>
      <c r="AH293" s="20"/>
    </row>
    <row r="294" spans="1:34" ht="15.75" customHeight="1">
      <c r="A294" s="8">
        <v>71005</v>
      </c>
      <c r="B294" s="9" t="s">
        <v>319</v>
      </c>
      <c r="C294" s="10">
        <v>1291</v>
      </c>
      <c r="D294" s="10">
        <v>510.88890162110329</v>
      </c>
      <c r="E294" s="10">
        <v>4075</v>
      </c>
      <c r="F294" s="11">
        <f t="shared" si="14"/>
        <v>0.31680981595092023</v>
      </c>
      <c r="G294" s="11">
        <f t="shared" si="15"/>
        <v>0.39573113990790337</v>
      </c>
      <c r="H294" s="11">
        <f t="shared" si="16"/>
        <v>0.12537150960027074</v>
      </c>
      <c r="I294" s="12">
        <v>3385</v>
      </c>
      <c r="J294" s="12">
        <v>1332.0000342726707</v>
      </c>
      <c r="K294" s="12">
        <v>11906</v>
      </c>
      <c r="L294" s="13">
        <f t="shared" si="17"/>
        <v>0.28431043171510162</v>
      </c>
      <c r="M294" s="13">
        <f t="shared" si="18"/>
        <v>0.393500748677303</v>
      </c>
      <c r="N294" s="13">
        <f t="shared" si="19"/>
        <v>0.11187636773665972</v>
      </c>
      <c r="O294" s="5">
        <f t="shared" si="20"/>
        <v>1.1206254916621585</v>
      </c>
      <c r="AH294" s="20"/>
    </row>
    <row r="295" spans="1:34" ht="15.75" customHeight="1">
      <c r="A295" s="8">
        <v>71101</v>
      </c>
      <c r="B295" s="9" t="s">
        <v>320</v>
      </c>
      <c r="C295" s="10">
        <v>2090</v>
      </c>
      <c r="D295" s="10">
        <v>974.33335855603218</v>
      </c>
      <c r="E295" s="10">
        <v>3845</v>
      </c>
      <c r="F295" s="11">
        <f t="shared" si="14"/>
        <v>0.54356306892067618</v>
      </c>
      <c r="G295" s="11">
        <f t="shared" si="15"/>
        <v>0.46618820983542208</v>
      </c>
      <c r="H295" s="11">
        <f t="shared" si="16"/>
        <v>0.25340269403277821</v>
      </c>
      <c r="I295" s="12">
        <v>7820</v>
      </c>
      <c r="J295" s="12">
        <v>3477.666757106781</v>
      </c>
      <c r="K295" s="12">
        <v>14554</v>
      </c>
      <c r="L295" s="13">
        <f t="shared" si="17"/>
        <v>0.53730933076817367</v>
      </c>
      <c r="M295" s="13">
        <f t="shared" si="18"/>
        <v>0.44471441906736331</v>
      </c>
      <c r="N295" s="13">
        <f t="shared" si="19"/>
        <v>0.2389492068920421</v>
      </c>
      <c r="O295" s="5">
        <f t="shared" si="20"/>
        <v>1.0604876966478747</v>
      </c>
      <c r="AH295" s="20"/>
    </row>
    <row r="296" spans="1:34" ht="15.75" customHeight="1">
      <c r="A296" s="8">
        <v>71102</v>
      </c>
      <c r="B296" s="9" t="s">
        <v>321</v>
      </c>
      <c r="C296" s="10">
        <v>1623</v>
      </c>
      <c r="D296" s="10">
        <v>722.00002014636993</v>
      </c>
      <c r="E296" s="10">
        <v>3749</v>
      </c>
      <c r="F296" s="11">
        <f t="shared" si="14"/>
        <v>0.43291544411843158</v>
      </c>
      <c r="G296" s="11">
        <f t="shared" si="15"/>
        <v>0.44485521882093032</v>
      </c>
      <c r="H296" s="11">
        <f t="shared" si="16"/>
        <v>0.19258469462426511</v>
      </c>
      <c r="I296" s="12">
        <v>5086</v>
      </c>
      <c r="J296" s="12">
        <v>2363.2222828865051</v>
      </c>
      <c r="K296" s="12">
        <v>9572</v>
      </c>
      <c r="L296" s="13">
        <f t="shared" si="17"/>
        <v>0.53134141245298783</v>
      </c>
      <c r="M296" s="13">
        <f t="shared" si="18"/>
        <v>0.46465243470045325</v>
      </c>
      <c r="N296" s="13">
        <f t="shared" si="19"/>
        <v>0.24688908095345852</v>
      </c>
      <c r="O296" s="5">
        <f t="shared" si="20"/>
        <v>0.78004541100207503</v>
      </c>
      <c r="AH296" s="20"/>
    </row>
    <row r="297" spans="1:34" ht="15.75" customHeight="1">
      <c r="A297" s="8">
        <v>71103</v>
      </c>
      <c r="B297" s="9" t="s">
        <v>322</v>
      </c>
      <c r="C297" s="10">
        <v>5617</v>
      </c>
      <c r="D297" s="10">
        <v>2277.333388954401</v>
      </c>
      <c r="E297" s="10">
        <v>14004</v>
      </c>
      <c r="F297" s="11">
        <f t="shared" si="14"/>
        <v>0.40109968580405597</v>
      </c>
      <c r="G297" s="11">
        <f t="shared" si="15"/>
        <v>0.40543588907858308</v>
      </c>
      <c r="H297" s="11">
        <f t="shared" si="16"/>
        <v>0.16262020772310776</v>
      </c>
      <c r="I297" s="12">
        <v>13104</v>
      </c>
      <c r="J297" s="12">
        <v>5263.1112407445908</v>
      </c>
      <c r="K297" s="12">
        <v>32142</v>
      </c>
      <c r="L297" s="13">
        <f t="shared" si="17"/>
        <v>0.4076908717565802</v>
      </c>
      <c r="M297" s="13">
        <f t="shared" si="18"/>
        <v>0.4016415782008998</v>
      </c>
      <c r="N297" s="13">
        <f t="shared" si="19"/>
        <v>0.1637456051504135</v>
      </c>
      <c r="O297" s="5">
        <f t="shared" si="20"/>
        <v>0.99312715949675734</v>
      </c>
      <c r="AH297" s="20"/>
    </row>
    <row r="298" spans="1:34" ht="15.75" customHeight="1">
      <c r="A298" s="8">
        <v>71104</v>
      </c>
      <c r="B298" s="9" t="s">
        <v>323</v>
      </c>
      <c r="C298" s="10">
        <v>357</v>
      </c>
      <c r="D298" s="10">
        <v>162.88889330625534</v>
      </c>
      <c r="E298" s="10">
        <v>1129</v>
      </c>
      <c r="F298" s="11">
        <f t="shared" si="14"/>
        <v>0.31620903454384414</v>
      </c>
      <c r="G298" s="11">
        <f t="shared" si="15"/>
        <v>0.45627140982144354</v>
      </c>
      <c r="H298" s="11">
        <f t="shared" si="16"/>
        <v>0.14427714198959732</v>
      </c>
      <c r="I298" s="12">
        <v>1942</v>
      </c>
      <c r="J298" s="12">
        <v>818.88891044259071</v>
      </c>
      <c r="K298" s="12">
        <v>5320</v>
      </c>
      <c r="L298" s="13">
        <f t="shared" si="17"/>
        <v>0.36503759398496238</v>
      </c>
      <c r="M298" s="13">
        <f t="shared" si="18"/>
        <v>0.42167297139165333</v>
      </c>
      <c r="N298" s="13">
        <f t="shared" si="19"/>
        <v>0.15392648692529901</v>
      </c>
      <c r="O298" s="5">
        <f t="shared" si="20"/>
        <v>0.93731199140285359</v>
      </c>
      <c r="AH298" s="20"/>
    </row>
    <row r="299" spans="1:34" ht="15.75" customHeight="1">
      <c r="A299" s="8">
        <v>71105</v>
      </c>
      <c r="B299" s="9" t="s">
        <v>324</v>
      </c>
      <c r="C299" s="10">
        <v>871</v>
      </c>
      <c r="D299" s="10">
        <v>363.44445312023163</v>
      </c>
      <c r="E299" s="10">
        <v>2220</v>
      </c>
      <c r="F299" s="11">
        <f t="shared" si="14"/>
        <v>0.39234234234234233</v>
      </c>
      <c r="G299" s="11">
        <f t="shared" si="15"/>
        <v>0.4172726212631821</v>
      </c>
      <c r="H299" s="11">
        <f t="shared" si="16"/>
        <v>0.16371371762172596</v>
      </c>
      <c r="I299" s="12">
        <v>2070</v>
      </c>
      <c r="J299" s="12">
        <v>926.77780044078827</v>
      </c>
      <c r="K299" s="12">
        <v>4699</v>
      </c>
      <c r="L299" s="13">
        <f t="shared" si="17"/>
        <v>0.44051925941689724</v>
      </c>
      <c r="M299" s="13">
        <f t="shared" si="18"/>
        <v>0.44771874417429386</v>
      </c>
      <c r="N299" s="13">
        <f t="shared" si="19"/>
        <v>0.19722872961072321</v>
      </c>
      <c r="O299" s="5">
        <f t="shared" si="20"/>
        <v>0.83007033480798198</v>
      </c>
      <c r="AH299" s="20"/>
    </row>
    <row r="300" spans="1:34" ht="15.75" customHeight="1">
      <c r="A300" s="8">
        <v>71106</v>
      </c>
      <c r="B300" s="9" t="s">
        <v>325</v>
      </c>
      <c r="C300" s="10">
        <v>1375</v>
      </c>
      <c r="D300" s="10">
        <v>550.33334714174271</v>
      </c>
      <c r="E300" s="10">
        <v>4810</v>
      </c>
      <c r="F300" s="11">
        <f t="shared" si="14"/>
        <v>0.28586278586278585</v>
      </c>
      <c r="G300" s="11">
        <f t="shared" si="15"/>
        <v>0.4002424342849038</v>
      </c>
      <c r="H300" s="11">
        <f t="shared" si="16"/>
        <v>0.11441441728518559</v>
      </c>
      <c r="I300" s="12">
        <v>5094</v>
      </c>
      <c r="J300" s="12">
        <v>1949.7778271436691</v>
      </c>
      <c r="K300" s="12">
        <v>16496</v>
      </c>
      <c r="L300" s="13">
        <f t="shared" si="17"/>
        <v>0.30880213385063043</v>
      </c>
      <c r="M300" s="13">
        <f t="shared" si="18"/>
        <v>0.38275968338116789</v>
      </c>
      <c r="N300" s="13">
        <f t="shared" si="19"/>
        <v>0.11819700698009633</v>
      </c>
      <c r="O300" s="5">
        <f t="shared" si="20"/>
        <v>0.9679975847819251</v>
      </c>
      <c r="AH300" s="20"/>
    </row>
    <row r="301" spans="1:34" ht="15.75" customHeight="1">
      <c r="A301" s="8">
        <v>71201</v>
      </c>
      <c r="B301" s="9" t="s">
        <v>326</v>
      </c>
      <c r="C301" s="10">
        <v>2199</v>
      </c>
      <c r="D301" s="10">
        <v>963.55558058619499</v>
      </c>
      <c r="E301" s="10">
        <v>4083</v>
      </c>
      <c r="F301" s="11">
        <f t="shared" si="14"/>
        <v>0.53857457751653193</v>
      </c>
      <c r="G301" s="11">
        <f t="shared" si="15"/>
        <v>0.43817898162173485</v>
      </c>
      <c r="H301" s="11">
        <f t="shared" si="16"/>
        <v>0.23599205990355004</v>
      </c>
      <c r="I301" s="12">
        <v>5305</v>
      </c>
      <c r="J301" s="12">
        <v>2379.6667314171791</v>
      </c>
      <c r="K301" s="12">
        <v>9954</v>
      </c>
      <c r="L301" s="13">
        <f t="shared" si="17"/>
        <v>0.53295157725537468</v>
      </c>
      <c r="M301" s="13">
        <f t="shared" si="18"/>
        <v>0.44857054315121192</v>
      </c>
      <c r="N301" s="13">
        <f t="shared" si="19"/>
        <v>0.23906637848273851</v>
      </c>
      <c r="O301" s="5">
        <f t="shared" si="20"/>
        <v>0.98714031392159796</v>
      </c>
      <c r="AH301" s="20"/>
    </row>
    <row r="302" spans="1:34" ht="15.75" customHeight="1">
      <c r="A302" s="8">
        <v>71301</v>
      </c>
      <c r="B302" s="9" t="s">
        <v>327</v>
      </c>
      <c r="C302" s="10">
        <v>1282</v>
      </c>
      <c r="D302" s="10">
        <v>589.11112758517265</v>
      </c>
      <c r="E302" s="10">
        <v>4144</v>
      </c>
      <c r="F302" s="11">
        <f t="shared" si="14"/>
        <v>0.30936293436293438</v>
      </c>
      <c r="G302" s="11">
        <f t="shared" si="15"/>
        <v>0.45952506051885544</v>
      </c>
      <c r="H302" s="11">
        <f t="shared" si="16"/>
        <v>0.14216002113541812</v>
      </c>
      <c r="I302" s="12">
        <v>4155</v>
      </c>
      <c r="J302" s="12">
        <v>1893.1111591160297</v>
      </c>
      <c r="K302" s="12">
        <v>11540</v>
      </c>
      <c r="L302" s="13">
        <f t="shared" si="17"/>
        <v>0.360051993067591</v>
      </c>
      <c r="M302" s="13">
        <f t="shared" si="18"/>
        <v>0.45562242096655348</v>
      </c>
      <c r="N302" s="13">
        <f t="shared" si="19"/>
        <v>0.16404776075528854</v>
      </c>
      <c r="O302" s="5">
        <f t="shared" si="20"/>
        <v>0.86657702903655875</v>
      </c>
      <c r="AH302" s="20"/>
    </row>
    <row r="303" spans="1:34" ht="15.75" customHeight="1">
      <c r="A303" s="8">
        <v>71302</v>
      </c>
      <c r="B303" s="9" t="s">
        <v>328</v>
      </c>
      <c r="C303" s="10">
        <v>698</v>
      </c>
      <c r="D303" s="10">
        <v>290.2222295999527</v>
      </c>
      <c r="E303" s="10">
        <v>1769</v>
      </c>
      <c r="F303" s="11">
        <f t="shared" si="14"/>
        <v>0.39457320520067835</v>
      </c>
      <c r="G303" s="11">
        <f t="shared" si="15"/>
        <v>0.41579115988531906</v>
      </c>
      <c r="H303" s="11">
        <f t="shared" si="16"/>
        <v>0.16406005065005805</v>
      </c>
      <c r="I303" s="12">
        <v>1975</v>
      </c>
      <c r="J303" s="12">
        <v>828.8889117538929</v>
      </c>
      <c r="K303" s="12">
        <v>5322</v>
      </c>
      <c r="L303" s="13">
        <f t="shared" si="17"/>
        <v>0.37110108981585871</v>
      </c>
      <c r="M303" s="13">
        <f t="shared" si="18"/>
        <v>0.41969058822981919</v>
      </c>
      <c r="N303" s="13">
        <f t="shared" si="19"/>
        <v>0.15574763467754471</v>
      </c>
      <c r="O303" s="5">
        <f t="shared" si="20"/>
        <v>1.0533710575426916</v>
      </c>
      <c r="AH303" s="20"/>
    </row>
    <row r="304" spans="1:34" ht="15.75" customHeight="1">
      <c r="A304" s="8">
        <v>71401</v>
      </c>
      <c r="B304" s="9" t="s">
        <v>329</v>
      </c>
      <c r="C304" s="10">
        <v>1344</v>
      </c>
      <c r="D304" s="10">
        <v>526.7777909040451</v>
      </c>
      <c r="E304" s="10">
        <v>5304</v>
      </c>
      <c r="F304" s="11">
        <f t="shared" si="14"/>
        <v>0.25339366515837103</v>
      </c>
      <c r="G304" s="11">
        <f t="shared" si="15"/>
        <v>0.39194776108931928</v>
      </c>
      <c r="H304" s="11">
        <f t="shared" si="16"/>
        <v>9.9317079733040173E-2</v>
      </c>
      <c r="I304" s="12">
        <v>2936</v>
      </c>
      <c r="J304" s="12">
        <v>1188.2222515642643</v>
      </c>
      <c r="K304" s="12">
        <v>13151</v>
      </c>
      <c r="L304" s="13">
        <f t="shared" si="17"/>
        <v>0.22325298456391149</v>
      </c>
      <c r="M304" s="13">
        <f t="shared" si="18"/>
        <v>0.40470785135022624</v>
      </c>
      <c r="N304" s="13">
        <f t="shared" si="19"/>
        <v>9.0352235690385849E-2</v>
      </c>
      <c r="O304" s="5">
        <f t="shared" si="20"/>
        <v>1.0992210538472402</v>
      </c>
      <c r="AH304" s="20"/>
    </row>
    <row r="305" spans="1:34" ht="15.75" customHeight="1">
      <c r="A305" s="8">
        <v>71402</v>
      </c>
      <c r="B305" s="9" t="s">
        <v>330</v>
      </c>
      <c r="C305" s="10">
        <v>1543</v>
      </c>
      <c r="D305" s="10">
        <v>600.88890334963799</v>
      </c>
      <c r="E305" s="10">
        <v>4817</v>
      </c>
      <c r="F305" s="11">
        <f t="shared" si="14"/>
        <v>0.32032385302055222</v>
      </c>
      <c r="G305" s="11">
        <f t="shared" si="15"/>
        <v>0.38942897171071805</v>
      </c>
      <c r="H305" s="11">
        <f t="shared" si="16"/>
        <v>0.12474338869620884</v>
      </c>
      <c r="I305" s="12">
        <v>2708</v>
      </c>
      <c r="J305" s="12">
        <v>1041.2222466468811</v>
      </c>
      <c r="K305" s="12">
        <v>10831</v>
      </c>
      <c r="L305" s="13">
        <f t="shared" si="17"/>
        <v>0.2500230818945619</v>
      </c>
      <c r="M305" s="13">
        <f t="shared" si="18"/>
        <v>0.38449861397595314</v>
      </c>
      <c r="N305" s="13">
        <f t="shared" si="19"/>
        <v>9.613352845045528E-2</v>
      </c>
      <c r="O305" s="5">
        <f t="shared" si="20"/>
        <v>1.2976054318083032</v>
      </c>
      <c r="AH305" s="20"/>
    </row>
    <row r="306" spans="1:34" ht="15.75" customHeight="1">
      <c r="A306" s="8">
        <v>71403</v>
      </c>
      <c r="B306" s="9" t="s">
        <v>331</v>
      </c>
      <c r="C306" s="10">
        <v>898</v>
      </c>
      <c r="D306" s="10">
        <v>383.00001019239426</v>
      </c>
      <c r="E306" s="10">
        <v>1994</v>
      </c>
      <c r="F306" s="11">
        <f t="shared" si="14"/>
        <v>0.45035105315947843</v>
      </c>
      <c r="G306" s="11">
        <f t="shared" si="15"/>
        <v>0.42650335210734325</v>
      </c>
      <c r="H306" s="11">
        <f t="shared" si="16"/>
        <v>0.1920762337975899</v>
      </c>
      <c r="I306" s="12">
        <v>1935</v>
      </c>
      <c r="J306" s="12">
        <v>850.33335411548615</v>
      </c>
      <c r="K306" s="12">
        <v>4059</v>
      </c>
      <c r="L306" s="13">
        <f t="shared" si="17"/>
        <v>0.47671840354767187</v>
      </c>
      <c r="M306" s="13">
        <f t="shared" si="18"/>
        <v>0.43944876181678871</v>
      </c>
      <c r="N306" s="13">
        <f t="shared" si="19"/>
        <v>0.20949331217430062</v>
      </c>
      <c r="O306" s="5">
        <f t="shared" si="20"/>
        <v>0.9168609336692356</v>
      </c>
      <c r="AH306" s="20"/>
    </row>
    <row r="307" spans="1:34" ht="15.75" customHeight="1">
      <c r="A307" s="8">
        <v>71501</v>
      </c>
      <c r="B307" s="9" t="s">
        <v>332</v>
      </c>
      <c r="C307" s="10">
        <v>4932</v>
      </c>
      <c r="D307" s="10">
        <v>2254.4445033371449</v>
      </c>
      <c r="E307" s="10">
        <v>7393</v>
      </c>
      <c r="F307" s="11">
        <f t="shared" si="14"/>
        <v>0.66711754362234543</v>
      </c>
      <c r="G307" s="11">
        <f t="shared" si="15"/>
        <v>0.45710553595643649</v>
      </c>
      <c r="H307" s="11">
        <f t="shared" si="16"/>
        <v>0.30494312232343362</v>
      </c>
      <c r="I307" s="12">
        <v>11073</v>
      </c>
      <c r="J307" s="12">
        <v>4812.3334589898586</v>
      </c>
      <c r="K307" s="12">
        <v>18671</v>
      </c>
      <c r="L307" s="13">
        <f t="shared" si="17"/>
        <v>0.59305875421777088</v>
      </c>
      <c r="M307" s="13">
        <f t="shared" si="18"/>
        <v>0.43460069168155502</v>
      </c>
      <c r="N307" s="13">
        <f t="shared" si="19"/>
        <v>0.25774374479084455</v>
      </c>
      <c r="O307" s="5">
        <f t="shared" si="20"/>
        <v>1.1831252105493024</v>
      </c>
      <c r="AH307" s="20"/>
    </row>
    <row r="308" spans="1:34" ht="15.75" customHeight="1">
      <c r="A308" s="8">
        <v>71502</v>
      </c>
      <c r="B308" s="9" t="s">
        <v>333</v>
      </c>
      <c r="C308" s="10">
        <v>1060</v>
      </c>
      <c r="D308" s="10">
        <v>471.55556711554527</v>
      </c>
      <c r="E308" s="10">
        <v>1900</v>
      </c>
      <c r="F308" s="11">
        <f t="shared" si="14"/>
        <v>0.55789473684210522</v>
      </c>
      <c r="G308" s="11">
        <f t="shared" si="15"/>
        <v>0.44486374256183514</v>
      </c>
      <c r="H308" s="11">
        <f t="shared" si="16"/>
        <v>0.24818714058712907</v>
      </c>
      <c r="I308" s="12">
        <v>2750</v>
      </c>
      <c r="J308" s="12">
        <v>1217.2222555577755</v>
      </c>
      <c r="K308" s="12">
        <v>4866</v>
      </c>
      <c r="L308" s="13">
        <f t="shared" si="17"/>
        <v>0.56514591039868478</v>
      </c>
      <c r="M308" s="13">
        <f t="shared" si="18"/>
        <v>0.44262627474828198</v>
      </c>
      <c r="N308" s="13">
        <f t="shared" si="19"/>
        <v>0.2501484290089962</v>
      </c>
      <c r="O308" s="5">
        <f t="shared" si="20"/>
        <v>0.99215950134231468</v>
      </c>
      <c r="AH308" s="20"/>
    </row>
    <row r="309" spans="1:34" ht="15.75" customHeight="1">
      <c r="A309" s="8">
        <v>71503</v>
      </c>
      <c r="B309" s="9" t="s">
        <v>278</v>
      </c>
      <c r="C309" s="10">
        <v>2287</v>
      </c>
      <c r="D309" s="10">
        <v>1002.0000253021717</v>
      </c>
      <c r="E309" s="10">
        <v>3364</v>
      </c>
      <c r="F309" s="11">
        <f t="shared" si="14"/>
        <v>0.67984542211652799</v>
      </c>
      <c r="G309" s="11">
        <f t="shared" si="15"/>
        <v>0.4381285637525893</v>
      </c>
      <c r="H309" s="11">
        <f t="shared" si="16"/>
        <v>0.29785969836568721</v>
      </c>
      <c r="I309" s="12">
        <v>6663</v>
      </c>
      <c r="J309" s="12">
        <v>2947.5556311607361</v>
      </c>
      <c r="K309" s="12">
        <v>10473</v>
      </c>
      <c r="L309" s="13">
        <f t="shared" si="17"/>
        <v>0.63620739043254082</v>
      </c>
      <c r="M309" s="13">
        <f t="shared" si="18"/>
        <v>0.44237665183261837</v>
      </c>
      <c r="N309" s="13">
        <f t="shared" si="19"/>
        <v>0.28144329525071482</v>
      </c>
      <c r="O309" s="5">
        <f t="shared" si="20"/>
        <v>1.0583293451718165</v>
      </c>
      <c r="AH309" s="20"/>
    </row>
    <row r="310" spans="1:34" ht="15.75" customHeight="1">
      <c r="A310" s="8">
        <v>80101</v>
      </c>
      <c r="B310" s="9" t="s">
        <v>334</v>
      </c>
      <c r="C310" s="10">
        <v>13797</v>
      </c>
      <c r="D310" s="10">
        <v>5654.7779248356819</v>
      </c>
      <c r="E310" s="10">
        <v>36807</v>
      </c>
      <c r="F310" s="11">
        <f t="shared" si="14"/>
        <v>0.37484717580894938</v>
      </c>
      <c r="G310" s="11">
        <f t="shared" si="15"/>
        <v>0.40985561533925358</v>
      </c>
      <c r="H310" s="11">
        <f t="shared" si="16"/>
        <v>0.15363321989935833</v>
      </c>
      <c r="I310" s="12">
        <v>22771</v>
      </c>
      <c r="J310" s="12">
        <v>9217.6669020950794</v>
      </c>
      <c r="K310" s="12">
        <v>65902</v>
      </c>
      <c r="L310" s="13">
        <f t="shared" si="17"/>
        <v>0.34552820855209249</v>
      </c>
      <c r="M310" s="13">
        <f t="shared" si="18"/>
        <v>0.40479851135633393</v>
      </c>
      <c r="N310" s="13">
        <f t="shared" si="19"/>
        <v>0.13986930445350793</v>
      </c>
      <c r="O310" s="5">
        <f t="shared" si="20"/>
        <v>1.0984055472330276</v>
      </c>
      <c r="AH310" s="20"/>
    </row>
    <row r="311" spans="1:34" ht="15.75" customHeight="1">
      <c r="A311" s="8">
        <v>80102</v>
      </c>
      <c r="B311" s="9" t="s">
        <v>321</v>
      </c>
      <c r="C311" s="10">
        <v>461</v>
      </c>
      <c r="D311" s="10">
        <v>206.66667273640633</v>
      </c>
      <c r="E311" s="10">
        <v>783</v>
      </c>
      <c r="F311" s="11">
        <f t="shared" si="14"/>
        <v>0.58876117496807157</v>
      </c>
      <c r="G311" s="11">
        <f t="shared" si="15"/>
        <v>0.44830080853884235</v>
      </c>
      <c r="H311" s="11">
        <f t="shared" si="16"/>
        <v>0.26394211077446533</v>
      </c>
      <c r="I311" s="12">
        <v>2569</v>
      </c>
      <c r="J311" s="12">
        <v>1092.7778051197529</v>
      </c>
      <c r="K311" s="12">
        <v>4443</v>
      </c>
      <c r="L311" s="13">
        <f t="shared" si="17"/>
        <v>0.57821291919873963</v>
      </c>
      <c r="M311" s="13">
        <f t="shared" si="18"/>
        <v>0.4253708856051977</v>
      </c>
      <c r="N311" s="13">
        <f t="shared" si="19"/>
        <v>0.24595494150793448</v>
      </c>
      <c r="O311" s="5">
        <f t="shared" si="20"/>
        <v>1.073131969442259</v>
      </c>
      <c r="AH311" s="20"/>
    </row>
    <row r="312" spans="1:34" ht="15.75" customHeight="1">
      <c r="A312" s="8">
        <v>80201</v>
      </c>
      <c r="B312" s="9" t="s">
        <v>335</v>
      </c>
      <c r="C312" s="10">
        <v>20411</v>
      </c>
      <c r="D312" s="10">
        <v>8919.0002308487892</v>
      </c>
      <c r="E312" s="10">
        <v>29674</v>
      </c>
      <c r="F312" s="11">
        <f t="shared" si="14"/>
        <v>0.68784120779133251</v>
      </c>
      <c r="G312" s="11">
        <f t="shared" si="15"/>
        <v>0.436970272443721</v>
      </c>
      <c r="H312" s="11">
        <f t="shared" si="16"/>
        <v>0.30056615996659669</v>
      </c>
      <c r="I312" s="12">
        <v>37660</v>
      </c>
      <c r="J312" s="12">
        <v>16489.000421017408</v>
      </c>
      <c r="K312" s="12">
        <v>56851</v>
      </c>
      <c r="L312" s="13">
        <f t="shared" si="17"/>
        <v>0.66243337848058959</v>
      </c>
      <c r="M312" s="13">
        <f t="shared" si="18"/>
        <v>0.43783856667598003</v>
      </c>
      <c r="N312" s="13">
        <f t="shared" si="19"/>
        <v>0.29003888095226832</v>
      </c>
      <c r="O312" s="5">
        <f t="shared" si="20"/>
        <v>1.03629609581917</v>
      </c>
      <c r="AH312" s="20"/>
    </row>
    <row r="313" spans="1:34" ht="15.75" customHeight="1">
      <c r="A313" s="8">
        <v>80202</v>
      </c>
      <c r="B313" s="9" t="s">
        <v>336</v>
      </c>
      <c r="C313" s="10">
        <v>4940</v>
      </c>
      <c r="D313" s="10">
        <v>2027.7778313755989</v>
      </c>
      <c r="E313" s="10">
        <v>13122</v>
      </c>
      <c r="F313" s="11">
        <f t="shared" si="14"/>
        <v>0.37646700198140526</v>
      </c>
      <c r="G313" s="11">
        <f t="shared" si="15"/>
        <v>0.41048134238372447</v>
      </c>
      <c r="H313" s="11">
        <f t="shared" si="16"/>
        <v>0.1545326803365035</v>
      </c>
      <c r="I313" s="12">
        <v>10105</v>
      </c>
      <c r="J313" s="12">
        <v>4211.0001055598259</v>
      </c>
      <c r="K313" s="12">
        <v>26915</v>
      </c>
      <c r="L313" s="13">
        <f t="shared" si="17"/>
        <v>0.37544120378970836</v>
      </c>
      <c r="M313" s="13">
        <f t="shared" si="18"/>
        <v>0.41672440431072005</v>
      </c>
      <c r="N313" s="13">
        <f t="shared" si="19"/>
        <v>0.15645551200296587</v>
      </c>
      <c r="O313" s="5">
        <f t="shared" si="20"/>
        <v>0.98771004203146306</v>
      </c>
      <c r="AH313" s="20"/>
    </row>
    <row r="314" spans="1:34" ht="15.75" customHeight="1">
      <c r="A314" s="8">
        <v>80301</v>
      </c>
      <c r="B314" s="9" t="s">
        <v>337</v>
      </c>
      <c r="C314" s="10">
        <v>1760</v>
      </c>
      <c r="D314" s="10">
        <v>751.77779743075371</v>
      </c>
      <c r="E314" s="10">
        <v>3043</v>
      </c>
      <c r="F314" s="11">
        <f t="shared" si="14"/>
        <v>0.57837660203746299</v>
      </c>
      <c r="G314" s="11">
        <f t="shared" si="15"/>
        <v>0.42714647581292825</v>
      </c>
      <c r="H314" s="11">
        <f t="shared" si="16"/>
        <v>0.24705152725295881</v>
      </c>
      <c r="I314" s="12">
        <v>6516</v>
      </c>
      <c r="J314" s="12">
        <v>2909.3334104418755</v>
      </c>
      <c r="K314" s="12">
        <v>9805</v>
      </c>
      <c r="L314" s="13">
        <f t="shared" si="17"/>
        <v>0.66455889852116268</v>
      </c>
      <c r="M314" s="13">
        <f t="shared" si="18"/>
        <v>0.44649070141833569</v>
      </c>
      <c r="N314" s="13">
        <f t="shared" si="19"/>
        <v>0.29671936873451049</v>
      </c>
      <c r="O314" s="5">
        <f t="shared" si="20"/>
        <v>0.83261004600615762</v>
      </c>
      <c r="AH314" s="20"/>
    </row>
    <row r="315" spans="1:34" ht="15.75" customHeight="1">
      <c r="A315" s="8">
        <v>80302</v>
      </c>
      <c r="B315" s="9" t="s">
        <v>338</v>
      </c>
      <c r="C315" s="10">
        <v>5487</v>
      </c>
      <c r="D315" s="10">
        <v>2575.5556203722954</v>
      </c>
      <c r="E315" s="10">
        <v>10358</v>
      </c>
      <c r="F315" s="11">
        <f t="shared" si="14"/>
        <v>0.52973547016798606</v>
      </c>
      <c r="G315" s="11">
        <f t="shared" si="15"/>
        <v>0.46939231280705218</v>
      </c>
      <c r="H315" s="11">
        <f t="shared" si="16"/>
        <v>0.24865375751808216</v>
      </c>
      <c r="I315" s="12">
        <v>18833</v>
      </c>
      <c r="J315" s="12">
        <v>10446.444698780775</v>
      </c>
      <c r="K315" s="12">
        <v>29396</v>
      </c>
      <c r="L315" s="13">
        <f t="shared" si="17"/>
        <v>0.6406653966526058</v>
      </c>
      <c r="M315" s="13">
        <f t="shared" si="18"/>
        <v>0.55468829707326373</v>
      </c>
      <c r="N315" s="13">
        <f t="shared" si="19"/>
        <v>0.35536959786300093</v>
      </c>
      <c r="O315" s="5">
        <f t="shared" si="20"/>
        <v>0.69970464275320776</v>
      </c>
      <c r="AH315" s="20"/>
    </row>
    <row r="316" spans="1:34" ht="15.75" customHeight="1">
      <c r="A316" s="8">
        <v>80303</v>
      </c>
      <c r="B316" s="9" t="s">
        <v>339</v>
      </c>
      <c r="C316" s="10">
        <v>995</v>
      </c>
      <c r="D316" s="10">
        <v>414.44445511698723</v>
      </c>
      <c r="E316" s="10">
        <v>2214</v>
      </c>
      <c r="F316" s="11">
        <f t="shared" si="14"/>
        <v>0.44941282746160793</v>
      </c>
      <c r="G316" s="11">
        <f t="shared" si="15"/>
        <v>0.41652709056983639</v>
      </c>
      <c r="H316" s="11">
        <f t="shared" si="16"/>
        <v>0.18719261748734742</v>
      </c>
      <c r="I316" s="12">
        <v>3306</v>
      </c>
      <c r="J316" s="12">
        <v>1429.7778137028217</v>
      </c>
      <c r="K316" s="12">
        <v>7047</v>
      </c>
      <c r="L316" s="13">
        <f t="shared" si="17"/>
        <v>0.46913580246913578</v>
      </c>
      <c r="M316" s="13">
        <f t="shared" si="18"/>
        <v>0.4324796774660683</v>
      </c>
      <c r="N316" s="13">
        <f t="shared" si="19"/>
        <v>0.20289170053963698</v>
      </c>
      <c r="O316" s="5">
        <f t="shared" si="20"/>
        <v>0.92262333545170028</v>
      </c>
      <c r="AH316" s="20"/>
    </row>
    <row r="317" spans="1:34" ht="15.75" customHeight="1">
      <c r="A317" s="8">
        <v>80304</v>
      </c>
      <c r="B317" s="9" t="s">
        <v>340</v>
      </c>
      <c r="C317" s="10">
        <v>1734</v>
      </c>
      <c r="D317" s="10">
        <v>779.77779796719551</v>
      </c>
      <c r="E317" s="10">
        <v>4934</v>
      </c>
      <c r="F317" s="11">
        <f t="shared" si="14"/>
        <v>0.35143899473044182</v>
      </c>
      <c r="G317" s="11">
        <f t="shared" si="15"/>
        <v>0.4496988454251416</v>
      </c>
      <c r="H317" s="11">
        <f t="shared" si="16"/>
        <v>0.15804171016765212</v>
      </c>
      <c r="I317" s="12">
        <v>4794</v>
      </c>
      <c r="J317" s="12">
        <v>2254.6667234301567</v>
      </c>
      <c r="K317" s="12">
        <v>13286</v>
      </c>
      <c r="L317" s="13">
        <f t="shared" si="17"/>
        <v>0.36083094987204578</v>
      </c>
      <c r="M317" s="13">
        <f t="shared" si="18"/>
        <v>0.47031012170007441</v>
      </c>
      <c r="N317" s="13">
        <f t="shared" si="19"/>
        <v>0.1697024479474753</v>
      </c>
      <c r="O317" s="5">
        <f t="shared" si="20"/>
        <v>0.93128715630883352</v>
      </c>
      <c r="AH317" s="20"/>
    </row>
    <row r="318" spans="1:34" ht="15.75" customHeight="1">
      <c r="A318" s="8">
        <v>80401</v>
      </c>
      <c r="B318" s="9" t="s">
        <v>341</v>
      </c>
      <c r="C318" s="10">
        <v>2167</v>
      </c>
      <c r="D318" s="10">
        <v>934.55557906627655</v>
      </c>
      <c r="E318" s="10">
        <v>5355</v>
      </c>
      <c r="F318" s="11">
        <f t="shared" si="14"/>
        <v>0.40466853408029879</v>
      </c>
      <c r="G318" s="11">
        <f t="shared" si="15"/>
        <v>0.43126699541590979</v>
      </c>
      <c r="H318" s="11">
        <f t="shared" si="16"/>
        <v>0.17452018283217116</v>
      </c>
      <c r="I318" s="12">
        <v>4647</v>
      </c>
      <c r="J318" s="12">
        <v>2129.2222754657269</v>
      </c>
      <c r="K318" s="12">
        <v>11187</v>
      </c>
      <c r="L318" s="13">
        <f t="shared" si="17"/>
        <v>0.41539286672030035</v>
      </c>
      <c r="M318" s="13">
        <f t="shared" si="18"/>
        <v>0.45819287184543295</v>
      </c>
      <c r="N318" s="13">
        <f t="shared" si="19"/>
        <v>0.19033005054668159</v>
      </c>
      <c r="O318" s="5">
        <f t="shared" si="20"/>
        <v>0.9169344637428507</v>
      </c>
      <c r="AH318" s="20"/>
    </row>
    <row r="319" spans="1:34" ht="15.75" customHeight="1">
      <c r="A319" s="8">
        <v>80402</v>
      </c>
      <c r="B319" s="9" t="s">
        <v>342</v>
      </c>
      <c r="C319" s="10">
        <v>783</v>
      </c>
      <c r="D319" s="10">
        <v>352.22223052382469</v>
      </c>
      <c r="E319" s="10">
        <v>1170</v>
      </c>
      <c r="F319" s="11">
        <f t="shared" si="14"/>
        <v>0.66923076923076918</v>
      </c>
      <c r="G319" s="11">
        <f t="shared" si="15"/>
        <v>0.44983682059236868</v>
      </c>
      <c r="H319" s="11">
        <f t="shared" si="16"/>
        <v>0.30104464147335441</v>
      </c>
      <c r="I319" s="12">
        <v>3566</v>
      </c>
      <c r="J319" s="12">
        <v>1741.4444910883904</v>
      </c>
      <c r="K319" s="12">
        <v>4813</v>
      </c>
      <c r="L319" s="13">
        <f t="shared" si="17"/>
        <v>0.74091003532100563</v>
      </c>
      <c r="M319" s="13">
        <f t="shared" si="18"/>
        <v>0.48834674455647514</v>
      </c>
      <c r="N319" s="13">
        <f t="shared" si="19"/>
        <v>0.36182100375823611</v>
      </c>
      <c r="O319" s="5">
        <f t="shared" si="20"/>
        <v>0.83202643944492605</v>
      </c>
      <c r="AH319" s="20"/>
    </row>
    <row r="320" spans="1:34" ht="15.75" customHeight="1">
      <c r="A320" s="8">
        <v>80501</v>
      </c>
      <c r="B320" s="9" t="s">
        <v>343</v>
      </c>
      <c r="C320" s="10">
        <v>3387</v>
      </c>
      <c r="D320" s="10">
        <v>1528.00003901124</v>
      </c>
      <c r="E320" s="10">
        <v>4998</v>
      </c>
      <c r="F320" s="11">
        <f t="shared" si="14"/>
        <v>0.6776710684273709</v>
      </c>
      <c r="G320" s="11">
        <f t="shared" si="15"/>
        <v>0.45113671066171834</v>
      </c>
      <c r="H320" s="11">
        <f t="shared" si="16"/>
        <v>0.30572229672093637</v>
      </c>
      <c r="I320" s="12">
        <v>9205</v>
      </c>
      <c r="J320" s="12">
        <v>4364.5556681454182</v>
      </c>
      <c r="K320" s="12">
        <v>13660</v>
      </c>
      <c r="L320" s="13">
        <f t="shared" si="17"/>
        <v>0.67386530014641288</v>
      </c>
      <c r="M320" s="13">
        <f t="shared" si="18"/>
        <v>0.47415053429064835</v>
      </c>
      <c r="N320" s="13">
        <f t="shared" si="19"/>
        <v>0.31951359210434976</v>
      </c>
      <c r="O320" s="5">
        <f t="shared" si="20"/>
        <v>0.9568365924823965</v>
      </c>
      <c r="AH320" s="20"/>
    </row>
    <row r="321" spans="1:34" ht="15.75" customHeight="1">
      <c r="A321" s="8">
        <v>80601</v>
      </c>
      <c r="B321" s="9" t="s">
        <v>344</v>
      </c>
      <c r="C321" s="10">
        <v>433</v>
      </c>
      <c r="D321" s="10">
        <v>199.44444951415062</v>
      </c>
      <c r="E321" s="10">
        <v>771</v>
      </c>
      <c r="F321" s="11">
        <f t="shared" si="14"/>
        <v>0.56160830090791181</v>
      </c>
      <c r="G321" s="11">
        <f t="shared" si="15"/>
        <v>0.46061073790796908</v>
      </c>
      <c r="H321" s="11">
        <f t="shared" si="16"/>
        <v>0.25868281389643399</v>
      </c>
      <c r="I321" s="12">
        <v>2048</v>
      </c>
      <c r="J321" s="12">
        <v>1007.7778038978577</v>
      </c>
      <c r="K321" s="12">
        <v>2943</v>
      </c>
      <c r="L321" s="13">
        <f t="shared" si="17"/>
        <v>0.69588854909955833</v>
      </c>
      <c r="M321" s="13">
        <f t="shared" si="18"/>
        <v>0.49207900580950081</v>
      </c>
      <c r="N321" s="13">
        <f t="shared" si="19"/>
        <v>0.34243214539512667</v>
      </c>
      <c r="O321" s="5">
        <f t="shared" si="20"/>
        <v>0.75542795083663727</v>
      </c>
      <c r="AH321" s="20"/>
    </row>
    <row r="322" spans="1:34" ht="15.75" customHeight="1">
      <c r="A322" s="8">
        <v>80602</v>
      </c>
      <c r="B322" s="9" t="s">
        <v>345</v>
      </c>
      <c r="C322" s="10">
        <v>1428</v>
      </c>
      <c r="D322" s="10">
        <v>612.44445922970772</v>
      </c>
      <c r="E322" s="10">
        <v>2963</v>
      </c>
      <c r="F322" s="11">
        <f t="shared" si="14"/>
        <v>0.48194397570030373</v>
      </c>
      <c r="G322" s="11">
        <f t="shared" si="15"/>
        <v>0.42888267453060763</v>
      </c>
      <c r="H322" s="11">
        <f t="shared" si="16"/>
        <v>0.20669742127226043</v>
      </c>
      <c r="I322" s="12">
        <v>4690</v>
      </c>
      <c r="J322" s="12">
        <v>2050.2222748398781</v>
      </c>
      <c r="K322" s="12">
        <v>8788</v>
      </c>
      <c r="L322" s="13">
        <f t="shared" si="17"/>
        <v>0.53368229403732359</v>
      </c>
      <c r="M322" s="13">
        <f t="shared" si="18"/>
        <v>0.43714760657566698</v>
      </c>
      <c r="N322" s="13">
        <f t="shared" si="19"/>
        <v>0.23329793751022734</v>
      </c>
      <c r="O322" s="5">
        <f t="shared" si="20"/>
        <v>0.88598049120429623</v>
      </c>
      <c r="AH322" s="20"/>
    </row>
    <row r="323" spans="1:34" ht="15.75" customHeight="1">
      <c r="A323" s="8">
        <v>80701</v>
      </c>
      <c r="B323" s="9" t="s">
        <v>346</v>
      </c>
      <c r="C323" s="10">
        <v>874</v>
      </c>
      <c r="D323" s="10">
        <v>371.66667619347572</v>
      </c>
      <c r="E323" s="10">
        <v>1614</v>
      </c>
      <c r="F323" s="11">
        <f t="shared" si="14"/>
        <v>0.54151177199504341</v>
      </c>
      <c r="G323" s="11">
        <f t="shared" si="15"/>
        <v>0.42524791326484634</v>
      </c>
      <c r="H323" s="11">
        <f t="shared" si="16"/>
        <v>0.23027675104924147</v>
      </c>
      <c r="I323" s="12">
        <v>2624</v>
      </c>
      <c r="J323" s="12">
        <v>1109.4444718062878</v>
      </c>
      <c r="K323" s="12">
        <v>4894</v>
      </c>
      <c r="L323" s="13">
        <f t="shared" si="17"/>
        <v>0.53616673477727828</v>
      </c>
      <c r="M323" s="13">
        <f t="shared" si="18"/>
        <v>0.42280658224324991</v>
      </c>
      <c r="N323" s="13">
        <f t="shared" si="19"/>
        <v>0.22669482464370408</v>
      </c>
      <c r="O323" s="5">
        <f t="shared" si="20"/>
        <v>1.0158006536371842</v>
      </c>
      <c r="AH323" s="20"/>
    </row>
    <row r="324" spans="1:34" ht="15.75" customHeight="1">
      <c r="A324" s="8">
        <v>80702</v>
      </c>
      <c r="B324" s="9" t="s">
        <v>322</v>
      </c>
      <c r="C324" s="10">
        <v>454</v>
      </c>
      <c r="D324" s="10">
        <v>185.44444936513901</v>
      </c>
      <c r="E324" s="10">
        <v>1024</v>
      </c>
      <c r="F324" s="11">
        <f t="shared" si="14"/>
        <v>0.443359375</v>
      </c>
      <c r="G324" s="11">
        <f t="shared" si="15"/>
        <v>0.40846795014347798</v>
      </c>
      <c r="H324" s="11">
        <f t="shared" si="16"/>
        <v>0.18109809508314356</v>
      </c>
      <c r="I324" s="12">
        <v>1705</v>
      </c>
      <c r="J324" s="12">
        <v>731.77779605984688</v>
      </c>
      <c r="K324" s="12">
        <v>3707</v>
      </c>
      <c r="L324" s="13">
        <f t="shared" si="17"/>
        <v>0.4599406528189911</v>
      </c>
      <c r="M324" s="13">
        <f t="shared" si="18"/>
        <v>0.4291951883048955</v>
      </c>
      <c r="N324" s="13">
        <f t="shared" si="19"/>
        <v>0.19740431509572345</v>
      </c>
      <c r="O324" s="5">
        <f t="shared" si="20"/>
        <v>0.91739684107374841</v>
      </c>
      <c r="AH324" s="20"/>
    </row>
    <row r="325" spans="1:34" ht="15.75" customHeight="1">
      <c r="A325" s="8">
        <v>80703</v>
      </c>
      <c r="B325" s="9" t="s">
        <v>347</v>
      </c>
      <c r="C325" s="10">
        <v>86</v>
      </c>
      <c r="D325" s="10">
        <v>42.111112356185913</v>
      </c>
      <c r="E325" s="10">
        <v>152</v>
      </c>
      <c r="F325" s="11">
        <f t="shared" si="14"/>
        <v>0.56578947368421051</v>
      </c>
      <c r="G325" s="11">
        <f t="shared" si="15"/>
        <v>0.48966409716495246</v>
      </c>
      <c r="H325" s="11">
        <f t="shared" si="16"/>
        <v>0.27704679181701258</v>
      </c>
      <c r="I325" s="12">
        <v>322</v>
      </c>
      <c r="J325" s="12">
        <v>135.22222569584846</v>
      </c>
      <c r="K325" s="12">
        <v>682</v>
      </c>
      <c r="L325" s="13">
        <f t="shared" si="17"/>
        <v>0.47214076246334313</v>
      </c>
      <c r="M325" s="13">
        <f t="shared" si="18"/>
        <v>0.41994480029766607</v>
      </c>
      <c r="N325" s="13">
        <f t="shared" si="19"/>
        <v>0.19827305820505642</v>
      </c>
      <c r="O325" s="5">
        <f t="shared" si="20"/>
        <v>1.3972992312979176</v>
      </c>
      <c r="AH325" s="20"/>
    </row>
    <row r="326" spans="1:34" ht="15.75" customHeight="1">
      <c r="A326" s="8">
        <v>80801</v>
      </c>
      <c r="B326" s="9" t="s">
        <v>348</v>
      </c>
      <c r="C326" s="10">
        <v>1570</v>
      </c>
      <c r="D326" s="10">
        <v>674.11112761497498</v>
      </c>
      <c r="E326" s="10">
        <v>2813</v>
      </c>
      <c r="F326" s="11">
        <f t="shared" si="14"/>
        <v>0.55812300035549234</v>
      </c>
      <c r="G326" s="11">
        <f t="shared" si="15"/>
        <v>0.42937014497769105</v>
      </c>
      <c r="H326" s="11">
        <f t="shared" si="16"/>
        <v>0.23964135357802166</v>
      </c>
      <c r="I326" s="12">
        <v>4867</v>
      </c>
      <c r="J326" s="12">
        <v>2095.4444965720177</v>
      </c>
      <c r="K326" s="12">
        <v>8196</v>
      </c>
      <c r="L326" s="13">
        <f t="shared" si="17"/>
        <v>0.59382625671059053</v>
      </c>
      <c r="M326" s="13">
        <f t="shared" si="18"/>
        <v>0.43054129783686412</v>
      </c>
      <c r="N326" s="13">
        <f t="shared" si="19"/>
        <v>0.25566672725378448</v>
      </c>
      <c r="O326" s="5">
        <f t="shared" si="20"/>
        <v>0.93731928339718829</v>
      </c>
      <c r="AH326" s="20"/>
    </row>
    <row r="327" spans="1:34" ht="15.75" customHeight="1">
      <c r="A327" s="8">
        <v>80802</v>
      </c>
      <c r="B327" s="9" t="s">
        <v>349</v>
      </c>
      <c r="C327" s="10">
        <v>620</v>
      </c>
      <c r="D327" s="10">
        <v>260.55556210875511</v>
      </c>
      <c r="E327" s="10">
        <v>1320</v>
      </c>
      <c r="F327" s="11">
        <f t="shared" si="14"/>
        <v>0.46969696969696972</v>
      </c>
      <c r="G327" s="11">
        <f t="shared" si="15"/>
        <v>0.42025090662702436</v>
      </c>
      <c r="H327" s="11">
        <f t="shared" si="16"/>
        <v>0.1973905773551175</v>
      </c>
      <c r="I327" s="12">
        <v>2080</v>
      </c>
      <c r="J327" s="12">
        <v>867.11113139986992</v>
      </c>
      <c r="K327" s="12">
        <v>4136</v>
      </c>
      <c r="L327" s="13">
        <f t="shared" si="17"/>
        <v>0.50290135396518376</v>
      </c>
      <c r="M327" s="13">
        <f t="shared" si="18"/>
        <v>0.41688035163455284</v>
      </c>
      <c r="N327" s="13">
        <f t="shared" si="19"/>
        <v>0.20964969327849853</v>
      </c>
      <c r="O327" s="5">
        <f t="shared" si="20"/>
        <v>0.9415257149596874</v>
      </c>
      <c r="AH327" s="20"/>
    </row>
    <row r="328" spans="1:34" ht="15.75" customHeight="1">
      <c r="A328" s="8">
        <v>80803</v>
      </c>
      <c r="B328" s="9" t="s">
        <v>350</v>
      </c>
      <c r="C328" s="10">
        <v>404</v>
      </c>
      <c r="D328" s="10">
        <v>180.00000470876694</v>
      </c>
      <c r="E328" s="10">
        <v>805</v>
      </c>
      <c r="F328" s="11">
        <f t="shared" si="14"/>
        <v>0.50186335403726712</v>
      </c>
      <c r="G328" s="11">
        <f t="shared" si="15"/>
        <v>0.44554456611080923</v>
      </c>
      <c r="H328" s="11">
        <f t="shared" si="16"/>
        <v>0.2236024903214496</v>
      </c>
      <c r="I328" s="12">
        <v>1676</v>
      </c>
      <c r="J328" s="12">
        <v>727.22224172949791</v>
      </c>
      <c r="K328" s="12">
        <v>3186</v>
      </c>
      <c r="L328" s="13">
        <f t="shared" si="17"/>
        <v>0.52605147520401763</v>
      </c>
      <c r="M328" s="13">
        <f t="shared" si="18"/>
        <v>0.43390348551879349</v>
      </c>
      <c r="N328" s="13">
        <f t="shared" si="19"/>
        <v>0.22825556865332641</v>
      </c>
      <c r="O328" s="5">
        <f t="shared" si="20"/>
        <v>0.97961461199247291</v>
      </c>
      <c r="AH328" s="20"/>
    </row>
    <row r="329" spans="1:34" ht="15.75" customHeight="1">
      <c r="A329" s="8">
        <v>80901</v>
      </c>
      <c r="B329" s="9" t="s">
        <v>351</v>
      </c>
      <c r="C329" s="10">
        <v>319</v>
      </c>
      <c r="D329" s="10">
        <v>182.55556052923203</v>
      </c>
      <c r="E329" s="10">
        <v>371</v>
      </c>
      <c r="F329" s="11">
        <f t="shared" si="14"/>
        <v>0.85983827493261455</v>
      </c>
      <c r="G329" s="11">
        <f t="shared" si="15"/>
        <v>0.57227448441765527</v>
      </c>
      <c r="H329" s="11">
        <f t="shared" si="16"/>
        <v>0.49206350546962813</v>
      </c>
      <c r="I329" s="12">
        <v>2463</v>
      </c>
      <c r="J329" s="12">
        <v>1267.2222535610199</v>
      </c>
      <c r="K329" s="12">
        <v>2775</v>
      </c>
      <c r="L329" s="13">
        <f t="shared" si="17"/>
        <v>0.88756756756756761</v>
      </c>
      <c r="M329" s="13">
        <f t="shared" si="18"/>
        <v>0.51450355402396264</v>
      </c>
      <c r="N329" s="13">
        <f t="shared" si="19"/>
        <v>0.45665666794991711</v>
      </c>
      <c r="O329" s="5">
        <f t="shared" si="20"/>
        <v>1.0775349184731366</v>
      </c>
      <c r="AH329" s="20"/>
    </row>
    <row r="330" spans="1:34" ht="15.75" customHeight="1">
      <c r="A330" s="8">
        <v>90101</v>
      </c>
      <c r="B330" s="9" t="s">
        <v>352</v>
      </c>
      <c r="C330" s="10">
        <v>3785</v>
      </c>
      <c r="D330" s="10">
        <v>1555.8889280855656</v>
      </c>
      <c r="E330" s="10">
        <v>13966</v>
      </c>
      <c r="F330" s="11">
        <f t="shared" si="14"/>
        <v>0.27101532292710867</v>
      </c>
      <c r="G330" s="11">
        <f t="shared" si="15"/>
        <v>0.4110670880014704</v>
      </c>
      <c r="H330" s="11">
        <f t="shared" si="16"/>
        <v>0.11140547959942471</v>
      </c>
      <c r="I330" s="12">
        <v>7973</v>
      </c>
      <c r="J330" s="12">
        <v>3322.0000820457935</v>
      </c>
      <c r="K330" s="12">
        <v>29436</v>
      </c>
      <c r="L330" s="13">
        <f t="shared" si="17"/>
        <v>0.27085881233863296</v>
      </c>
      <c r="M330" s="13">
        <f t="shared" si="18"/>
        <v>0.41665622501515032</v>
      </c>
      <c r="N330" s="13">
        <f t="shared" si="19"/>
        <v>0.11285501026110183</v>
      </c>
      <c r="O330" s="5">
        <f t="shared" si="20"/>
        <v>0.9871558147190499</v>
      </c>
      <c r="AH330" s="20"/>
    </row>
    <row r="331" spans="1:34" ht="15.75" customHeight="1">
      <c r="A331" s="8">
        <v>90102</v>
      </c>
      <c r="B331" s="9" t="s">
        <v>353</v>
      </c>
      <c r="C331" s="10">
        <v>520</v>
      </c>
      <c r="D331" s="10">
        <v>220.22222745418549</v>
      </c>
      <c r="E331" s="10">
        <v>1478</v>
      </c>
      <c r="F331" s="11">
        <f t="shared" si="14"/>
        <v>0.35182679296346414</v>
      </c>
      <c r="G331" s="11">
        <f t="shared" si="15"/>
        <v>0.42350428356574132</v>
      </c>
      <c r="H331" s="11">
        <f t="shared" si="16"/>
        <v>0.14900015389322427</v>
      </c>
      <c r="I331" s="12">
        <v>2471</v>
      </c>
      <c r="J331" s="12">
        <v>1055.1111376285553</v>
      </c>
      <c r="K331" s="12">
        <v>6158</v>
      </c>
      <c r="L331" s="13">
        <f t="shared" si="17"/>
        <v>0.40126664501461512</v>
      </c>
      <c r="M331" s="13">
        <f t="shared" si="18"/>
        <v>0.42699762753077913</v>
      </c>
      <c r="N331" s="13">
        <f t="shared" si="19"/>
        <v>0.17133990542847599</v>
      </c>
      <c r="O331" s="5">
        <f t="shared" si="20"/>
        <v>0.86961734641217481</v>
      </c>
      <c r="AH331" s="20"/>
    </row>
    <row r="332" spans="1:34" ht="15.75" customHeight="1">
      <c r="A332" s="8">
        <v>90103</v>
      </c>
      <c r="B332" s="9" t="s">
        <v>354</v>
      </c>
      <c r="C332" s="10">
        <v>305</v>
      </c>
      <c r="D332" s="10">
        <v>143.11111468076706</v>
      </c>
      <c r="E332" s="10">
        <v>374</v>
      </c>
      <c r="F332" s="11">
        <f t="shared" si="14"/>
        <v>0.81550802139037437</v>
      </c>
      <c r="G332" s="11">
        <f t="shared" si="15"/>
        <v>0.4692167694451379</v>
      </c>
      <c r="H332" s="11">
        <f t="shared" si="16"/>
        <v>0.38265003925338786</v>
      </c>
      <c r="I332" s="12">
        <v>1263</v>
      </c>
      <c r="J332" s="12">
        <v>600.7777935564518</v>
      </c>
      <c r="K332" s="12">
        <v>1666</v>
      </c>
      <c r="L332" s="13">
        <f t="shared" si="17"/>
        <v>0.75810324129651863</v>
      </c>
      <c r="M332" s="13">
        <f t="shared" si="18"/>
        <v>0.47567521263377022</v>
      </c>
      <c r="N332" s="13">
        <f t="shared" si="19"/>
        <v>0.36061092050207189</v>
      </c>
      <c r="O332" s="5">
        <f t="shared" si="20"/>
        <v>1.0611160602696983</v>
      </c>
      <c r="AH332" s="20"/>
    </row>
    <row r="333" spans="1:34" ht="15.75" customHeight="1">
      <c r="A333" s="8">
        <v>90104</v>
      </c>
      <c r="B333" s="9" t="s">
        <v>355</v>
      </c>
      <c r="C333" s="10">
        <v>412</v>
      </c>
      <c r="D333" s="10">
        <v>196.55556154251099</v>
      </c>
      <c r="E333" s="10">
        <v>749</v>
      </c>
      <c r="F333" s="11">
        <f t="shared" si="14"/>
        <v>0.55006675567423235</v>
      </c>
      <c r="G333" s="11">
        <f t="shared" si="15"/>
        <v>0.47707660568570626</v>
      </c>
      <c r="H333" s="11">
        <f t="shared" si="16"/>
        <v>0.26242398069761147</v>
      </c>
      <c r="I333" s="12">
        <v>1759</v>
      </c>
      <c r="J333" s="12">
        <v>826.88891127705574</v>
      </c>
      <c r="K333" s="12">
        <v>2795</v>
      </c>
      <c r="L333" s="13">
        <f t="shared" si="17"/>
        <v>0.6293381037567084</v>
      </c>
      <c r="M333" s="13">
        <f t="shared" si="18"/>
        <v>0.47009034182891174</v>
      </c>
      <c r="N333" s="13">
        <f t="shared" si="19"/>
        <v>0.29584576432095017</v>
      </c>
      <c r="O333" s="5">
        <f t="shared" si="20"/>
        <v>0.88702970380511903</v>
      </c>
      <c r="AH333" s="20"/>
    </row>
    <row r="334" spans="1:34" ht="15.75" customHeight="1">
      <c r="A334" s="8">
        <v>90201</v>
      </c>
      <c r="B334" s="9" t="s">
        <v>356</v>
      </c>
      <c r="C334" s="10">
        <v>514</v>
      </c>
      <c r="D334" s="10">
        <v>213.22222763299942</v>
      </c>
      <c r="E334" s="10">
        <v>1240</v>
      </c>
      <c r="F334" s="11">
        <f t="shared" si="14"/>
        <v>0.41451612903225804</v>
      </c>
      <c r="G334" s="11">
        <f t="shared" si="15"/>
        <v>0.4148292366400767</v>
      </c>
      <c r="H334" s="11">
        <f t="shared" si="16"/>
        <v>0.17195340938145115</v>
      </c>
      <c r="I334" s="12">
        <v>2295</v>
      </c>
      <c r="J334" s="12">
        <v>1020.4444697201252</v>
      </c>
      <c r="K334" s="12">
        <v>4372</v>
      </c>
      <c r="L334" s="13">
        <f t="shared" si="17"/>
        <v>0.52493138151875574</v>
      </c>
      <c r="M334" s="13">
        <f t="shared" si="18"/>
        <v>0.44463811316781054</v>
      </c>
      <c r="N334" s="13">
        <f t="shared" si="19"/>
        <v>0.23340449902107163</v>
      </c>
      <c r="O334" s="5">
        <f t="shared" si="20"/>
        <v>0.73671848701565645</v>
      </c>
      <c r="AH334" s="20"/>
    </row>
    <row r="335" spans="1:34" ht="15.75" customHeight="1">
      <c r="A335" s="8">
        <v>90202</v>
      </c>
      <c r="B335" s="9" t="s">
        <v>319</v>
      </c>
      <c r="C335" s="10">
        <v>409</v>
      </c>
      <c r="D335" s="10">
        <v>207.66667181253433</v>
      </c>
      <c r="E335" s="10">
        <v>445</v>
      </c>
      <c r="F335" s="11">
        <f t="shared" si="14"/>
        <v>0.91910112359550566</v>
      </c>
      <c r="G335" s="11">
        <f t="shared" si="15"/>
        <v>0.50774247386927707</v>
      </c>
      <c r="H335" s="11">
        <f t="shared" si="16"/>
        <v>0.46666667823041424</v>
      </c>
      <c r="I335" s="12">
        <v>2347</v>
      </c>
      <c r="J335" s="12">
        <v>1202.0000348687172</v>
      </c>
      <c r="K335" s="12">
        <v>2536</v>
      </c>
      <c r="L335" s="13">
        <f t="shared" si="17"/>
        <v>0.92547318611987384</v>
      </c>
      <c r="M335" s="13">
        <f t="shared" si="18"/>
        <v>0.51214317633946194</v>
      </c>
      <c r="N335" s="13">
        <f t="shared" si="19"/>
        <v>0.47397477715643421</v>
      </c>
      <c r="O335" s="5">
        <f t="shared" si="20"/>
        <v>0.98458124930220081</v>
      </c>
      <c r="AH335" s="20"/>
    </row>
    <row r="336" spans="1:34" ht="15.75" customHeight="1">
      <c r="A336" s="8">
        <v>90203</v>
      </c>
      <c r="B336" s="9" t="s">
        <v>357</v>
      </c>
      <c r="C336" s="10">
        <v>624</v>
      </c>
      <c r="D336" s="10">
        <v>281.66667383909225</v>
      </c>
      <c r="E336" s="10">
        <v>902</v>
      </c>
      <c r="F336" s="11">
        <f t="shared" si="14"/>
        <v>0.69179600886917958</v>
      </c>
      <c r="G336" s="11">
        <f t="shared" si="15"/>
        <v>0.45138890038316065</v>
      </c>
      <c r="H336" s="11">
        <f t="shared" si="16"/>
        <v>0.3122690397329182</v>
      </c>
      <c r="I336" s="12">
        <v>3042</v>
      </c>
      <c r="J336" s="12">
        <v>1359.5555901527405</v>
      </c>
      <c r="K336" s="12">
        <v>4623</v>
      </c>
      <c r="L336" s="13">
        <f t="shared" si="17"/>
        <v>0.65801427644386767</v>
      </c>
      <c r="M336" s="13">
        <f t="shared" si="18"/>
        <v>0.44692820189110471</v>
      </c>
      <c r="N336" s="13">
        <f t="shared" si="19"/>
        <v>0.29408513738973407</v>
      </c>
      <c r="O336" s="5">
        <f t="shared" si="20"/>
        <v>1.0618321024468709</v>
      </c>
      <c r="AH336" s="20"/>
    </row>
    <row r="337" spans="1:34" ht="15.75" customHeight="1">
      <c r="A337" s="8">
        <v>90301</v>
      </c>
      <c r="B337" s="9" t="s">
        <v>358</v>
      </c>
      <c r="C337" s="10">
        <v>634</v>
      </c>
      <c r="D337" s="10">
        <v>289.22222992777824</v>
      </c>
      <c r="E337" s="10">
        <v>1148</v>
      </c>
      <c r="F337" s="11">
        <f t="shared" si="14"/>
        <v>0.55226480836236935</v>
      </c>
      <c r="G337" s="11">
        <f t="shared" si="15"/>
        <v>0.45618648253592781</v>
      </c>
      <c r="H337" s="11">
        <f t="shared" si="16"/>
        <v>0.25193574035520755</v>
      </c>
      <c r="I337" s="12">
        <v>4549</v>
      </c>
      <c r="J337" s="12">
        <v>2242.8889475464821</v>
      </c>
      <c r="K337" s="12">
        <v>6382</v>
      </c>
      <c r="L337" s="13">
        <f t="shared" si="17"/>
        <v>0.71278596051394549</v>
      </c>
      <c r="M337" s="13">
        <f t="shared" si="18"/>
        <v>0.49305098868904862</v>
      </c>
      <c r="N337" s="13">
        <f t="shared" si="19"/>
        <v>0.351439822555074</v>
      </c>
      <c r="O337" s="5">
        <f t="shared" si="20"/>
        <v>0.71686736728797085</v>
      </c>
      <c r="AH337" s="20"/>
    </row>
    <row r="338" spans="1:34" ht="15.75" customHeight="1">
      <c r="A338" s="8">
        <v>90302</v>
      </c>
      <c r="B338" s="9" t="s">
        <v>359</v>
      </c>
      <c r="C338" s="10">
        <v>521</v>
      </c>
      <c r="D338" s="10">
        <v>256.44445085525513</v>
      </c>
      <c r="E338" s="10">
        <v>746</v>
      </c>
      <c r="F338" s="11">
        <f t="shared" si="14"/>
        <v>0.69839142091152817</v>
      </c>
      <c r="G338" s="11">
        <f t="shared" si="15"/>
        <v>0.49221583657438606</v>
      </c>
      <c r="H338" s="11">
        <f t="shared" si="16"/>
        <v>0.343759317500342</v>
      </c>
      <c r="I338" s="12">
        <v>4661</v>
      </c>
      <c r="J338" s="12">
        <v>2173.8889454007149</v>
      </c>
      <c r="K338" s="12">
        <v>6309</v>
      </c>
      <c r="L338" s="13">
        <f t="shared" si="17"/>
        <v>0.7387858614677445</v>
      </c>
      <c r="M338" s="13">
        <f t="shared" si="18"/>
        <v>0.46639968792120035</v>
      </c>
      <c r="N338" s="13">
        <f t="shared" si="19"/>
        <v>0.3445694952291512</v>
      </c>
      <c r="O338" s="5">
        <f t="shared" si="20"/>
        <v>0.99764872474195543</v>
      </c>
      <c r="AH338" s="20"/>
    </row>
    <row r="339" spans="1:34" ht="15.75" customHeight="1">
      <c r="A339" s="8">
        <v>90303</v>
      </c>
      <c r="B339" s="9" t="s">
        <v>360</v>
      </c>
      <c r="C339" s="10">
        <v>1071</v>
      </c>
      <c r="D339" s="10">
        <v>571.6666806936264</v>
      </c>
      <c r="E339" s="10">
        <v>1127</v>
      </c>
      <c r="F339" s="11">
        <f t="shared" si="14"/>
        <v>0.9503105590062112</v>
      </c>
      <c r="G339" s="11">
        <f t="shared" si="15"/>
        <v>0.53376907627789583</v>
      </c>
      <c r="H339" s="11">
        <f t="shared" si="16"/>
        <v>0.50724638925787613</v>
      </c>
      <c r="I339" s="12">
        <v>6673</v>
      </c>
      <c r="J339" s="12">
        <v>3557.666766166687</v>
      </c>
      <c r="K339" s="12">
        <v>7021</v>
      </c>
      <c r="L339" s="13">
        <f t="shared" si="17"/>
        <v>0.95043441105255666</v>
      </c>
      <c r="M339" s="13">
        <f t="shared" si="18"/>
        <v>0.53314352857285885</v>
      </c>
      <c r="N339" s="13">
        <f t="shared" si="19"/>
        <v>0.50671795558562704</v>
      </c>
      <c r="O339" s="5">
        <f t="shared" si="20"/>
        <v>1.0010428556289037</v>
      </c>
      <c r="AH339" s="20"/>
    </row>
    <row r="340" spans="1:34" ht="15.75" customHeight="1">
      <c r="A340" s="8">
        <v>90401</v>
      </c>
      <c r="B340" s="9" t="s">
        <v>361</v>
      </c>
      <c r="C340" s="10">
        <v>229</v>
      </c>
      <c r="D340" s="10">
        <v>98.333335995674133</v>
      </c>
      <c r="E340" s="10">
        <v>398</v>
      </c>
      <c r="F340" s="11">
        <f t="shared" si="14"/>
        <v>0.57537688442211055</v>
      </c>
      <c r="G340" s="11">
        <f t="shared" si="15"/>
        <v>0.42940321395490888</v>
      </c>
      <c r="H340" s="11">
        <f t="shared" si="16"/>
        <v>0.24706868340621641</v>
      </c>
      <c r="I340" s="12">
        <v>896</v>
      </c>
      <c r="J340" s="12">
        <v>387.5555654168129</v>
      </c>
      <c r="K340" s="12">
        <v>1783</v>
      </c>
      <c r="L340" s="13">
        <f t="shared" si="17"/>
        <v>0.50252383623107122</v>
      </c>
      <c r="M340" s="13">
        <f t="shared" si="18"/>
        <v>0.43253969354555011</v>
      </c>
      <c r="N340" s="13">
        <f t="shared" si="19"/>
        <v>0.21736150612272176</v>
      </c>
      <c r="O340" s="5">
        <f t="shared" si="20"/>
        <v>1.1366717493516172</v>
      </c>
      <c r="AH340" s="20"/>
    </row>
    <row r="341" spans="1:34" ht="15.75" customHeight="1">
      <c r="A341" s="8">
        <v>90402</v>
      </c>
      <c r="B341" s="9" t="s">
        <v>362</v>
      </c>
      <c r="C341" s="10">
        <v>115</v>
      </c>
      <c r="D341" s="10">
        <v>51.555556833744049</v>
      </c>
      <c r="E341" s="10">
        <v>148</v>
      </c>
      <c r="F341" s="11">
        <f t="shared" si="14"/>
        <v>0.77702702702702697</v>
      </c>
      <c r="G341" s="11">
        <f t="shared" si="15"/>
        <v>0.44830918985864393</v>
      </c>
      <c r="H341" s="11">
        <f t="shared" si="16"/>
        <v>0.34834835698475708</v>
      </c>
      <c r="I341" s="12">
        <v>992</v>
      </c>
      <c r="J341" s="12">
        <v>452.11112385988235</v>
      </c>
      <c r="K341" s="12">
        <v>1469</v>
      </c>
      <c r="L341" s="13">
        <f t="shared" si="17"/>
        <v>0.67528931245745405</v>
      </c>
      <c r="M341" s="13">
        <f t="shared" si="18"/>
        <v>0.4557571813103653</v>
      </c>
      <c r="N341" s="13">
        <f t="shared" si="19"/>
        <v>0.30776795361462383</v>
      </c>
      <c r="O341" s="5">
        <f t="shared" si="20"/>
        <v>1.1318538947721197</v>
      </c>
      <c r="AH341" s="20"/>
    </row>
    <row r="342" spans="1:34" ht="15.75" customHeight="1">
      <c r="A342" s="8">
        <v>90501</v>
      </c>
      <c r="B342" s="9" t="s">
        <v>363</v>
      </c>
      <c r="C342" s="10">
        <v>261</v>
      </c>
      <c r="D342" s="10">
        <v>120.55555903911591</v>
      </c>
      <c r="E342" s="10">
        <v>340</v>
      </c>
      <c r="F342" s="11">
        <f t="shared" si="14"/>
        <v>0.76764705882352946</v>
      </c>
      <c r="G342" s="11">
        <f t="shared" si="15"/>
        <v>0.46189869363645941</v>
      </c>
      <c r="H342" s="11">
        <f t="shared" si="16"/>
        <v>0.35457517364445856</v>
      </c>
      <c r="I342" s="12">
        <v>1110</v>
      </c>
      <c r="J342" s="12">
        <v>489.33334645628929</v>
      </c>
      <c r="K342" s="12">
        <v>1435</v>
      </c>
      <c r="L342" s="13">
        <f t="shared" si="17"/>
        <v>0.77351916376306618</v>
      </c>
      <c r="M342" s="13">
        <f t="shared" si="18"/>
        <v>0.44084085266332368</v>
      </c>
      <c r="N342" s="13">
        <f t="shared" si="19"/>
        <v>0.34099884770473121</v>
      </c>
      <c r="O342" s="5">
        <f t="shared" si="20"/>
        <v>1.0398134070865923</v>
      </c>
      <c r="AH342" s="20"/>
    </row>
    <row r="343" spans="1:34" ht="15.75" customHeight="1">
      <c r="A343" s="8">
        <v>90502</v>
      </c>
      <c r="B343" s="9" t="s">
        <v>364</v>
      </c>
      <c r="C343" s="10">
        <v>243</v>
      </c>
      <c r="D343" s="10">
        <v>106.44444751739502</v>
      </c>
      <c r="E343" s="10">
        <v>402</v>
      </c>
      <c r="F343" s="11">
        <f t="shared" si="14"/>
        <v>0.60447761194029848</v>
      </c>
      <c r="G343" s="11">
        <f t="shared" si="15"/>
        <v>0.43804299389874496</v>
      </c>
      <c r="H343" s="11">
        <f t="shared" si="16"/>
        <v>0.26478718287909209</v>
      </c>
      <c r="I343" s="12">
        <v>1952</v>
      </c>
      <c r="J343" s="12">
        <v>925.11113518476486</v>
      </c>
      <c r="K343" s="12">
        <v>2384</v>
      </c>
      <c r="L343" s="13">
        <f t="shared" si="17"/>
        <v>0.81879194630872487</v>
      </c>
      <c r="M343" s="13">
        <f t="shared" si="18"/>
        <v>0.47392988482826071</v>
      </c>
      <c r="N343" s="13">
        <f t="shared" si="19"/>
        <v>0.38804997281240139</v>
      </c>
      <c r="O343" s="5">
        <f t="shared" si="20"/>
        <v>0.68235330867321209</v>
      </c>
      <c r="AH343" s="20"/>
    </row>
    <row r="344" spans="1:34" ht="15.75" customHeight="1">
      <c r="A344" s="8">
        <v>90503</v>
      </c>
      <c r="B344" s="9" t="s">
        <v>365</v>
      </c>
      <c r="C344" s="10">
        <v>246</v>
      </c>
      <c r="D344" s="10">
        <v>114.44444742798805</v>
      </c>
      <c r="E344" s="10">
        <v>297</v>
      </c>
      <c r="F344" s="11">
        <f t="shared" si="14"/>
        <v>0.82828282828282829</v>
      </c>
      <c r="G344" s="11">
        <f t="shared" si="15"/>
        <v>0.4652213310080815</v>
      </c>
      <c r="H344" s="11">
        <f t="shared" si="16"/>
        <v>0.3853348398248756</v>
      </c>
      <c r="I344" s="12">
        <v>1320</v>
      </c>
      <c r="J344" s="12">
        <v>620.00001627206802</v>
      </c>
      <c r="K344" s="12">
        <v>1668</v>
      </c>
      <c r="L344" s="13">
        <f t="shared" si="17"/>
        <v>0.79136690647482011</v>
      </c>
      <c r="M344" s="13">
        <f t="shared" si="18"/>
        <v>0.46969698202429394</v>
      </c>
      <c r="N344" s="13">
        <f t="shared" si="19"/>
        <v>0.37170264764512467</v>
      </c>
      <c r="O344" s="5">
        <f t="shared" si="20"/>
        <v>1.0366749934823332</v>
      </c>
      <c r="AH344" s="20"/>
    </row>
    <row r="345" spans="1:34" ht="15.75" customHeight="1">
      <c r="A345" s="1">
        <v>10</v>
      </c>
      <c r="B345" s="9" t="s">
        <v>38</v>
      </c>
      <c r="C345" s="10">
        <v>7586</v>
      </c>
      <c r="D345" s="10">
        <v>3134.3334138393402</v>
      </c>
      <c r="E345" s="10">
        <v>41540</v>
      </c>
      <c r="F345" s="11">
        <f t="shared" si="14"/>
        <v>0.18261916225324987</v>
      </c>
      <c r="G345" s="11">
        <f t="shared" si="15"/>
        <v>0.41317340018973636</v>
      </c>
      <c r="H345" s="11">
        <f t="shared" si="16"/>
        <v>7.54533802079764E-2</v>
      </c>
      <c r="I345" s="10">
        <v>19135</v>
      </c>
      <c r="J345" s="10">
        <v>8027.4446521699429</v>
      </c>
      <c r="K345" s="10">
        <v>97062</v>
      </c>
      <c r="L345" s="13">
        <f t="shared" si="17"/>
        <v>0.19714203292740723</v>
      </c>
      <c r="M345" s="13">
        <f t="shared" si="18"/>
        <v>0.41951631315233567</v>
      </c>
      <c r="N345" s="13">
        <f t="shared" si="19"/>
        <v>8.2704298821062242E-2</v>
      </c>
      <c r="O345" s="5">
        <f t="shared" si="20"/>
        <v>0.9123271859329366</v>
      </c>
      <c r="AH345" s="20"/>
    </row>
    <row r="346" spans="1:34" ht="15.75" customHeight="1">
      <c r="A346" s="1">
        <v>11</v>
      </c>
      <c r="B346" s="9" t="s">
        <v>40</v>
      </c>
      <c r="C346" s="10">
        <v>920886</v>
      </c>
      <c r="D346" s="10">
        <v>401400.78813257813</v>
      </c>
      <c r="E346" s="10">
        <v>3155610</v>
      </c>
      <c r="F346" s="11">
        <f t="shared" si="14"/>
        <v>0.29182503541312138</v>
      </c>
      <c r="G346" s="11">
        <f t="shared" si="15"/>
        <v>0.43588542787335038</v>
      </c>
      <c r="H346" s="11">
        <f t="shared" si="16"/>
        <v>0.12720228042520404</v>
      </c>
      <c r="I346" s="10">
        <v>2028724</v>
      </c>
      <c r="J346" s="10">
        <v>904132.8009724617</v>
      </c>
      <c r="K346" s="10">
        <v>6634409</v>
      </c>
      <c r="L346" s="13">
        <f t="shared" si="17"/>
        <v>0.3057882020840138</v>
      </c>
      <c r="M346" s="13">
        <f t="shared" si="18"/>
        <v>0.44566574899910572</v>
      </c>
      <c r="N346" s="13">
        <f t="shared" si="19"/>
        <v>0.13627932811686191</v>
      </c>
      <c r="O346" s="5">
        <f t="shared" si="20"/>
        <v>0.93339380361580482</v>
      </c>
      <c r="AH346" s="20"/>
    </row>
    <row r="347" spans="1:34" ht="15.75" customHeight="1">
      <c r="F347" s="22"/>
      <c r="G347" s="22"/>
      <c r="H347" s="22"/>
      <c r="I347" s="6"/>
      <c r="J347" s="16"/>
      <c r="K347" s="16"/>
      <c r="L347" s="23"/>
      <c r="M347" s="23"/>
      <c r="N347" s="23"/>
      <c r="O347" s="23"/>
      <c r="AH347" s="20"/>
    </row>
    <row r="348" spans="1:34" ht="15.75" customHeight="1">
      <c r="F348" s="22"/>
      <c r="G348" s="22"/>
      <c r="H348" s="22"/>
      <c r="I348" s="6"/>
      <c r="J348" s="16"/>
      <c r="K348" s="16"/>
      <c r="L348" s="23"/>
      <c r="M348" s="23"/>
      <c r="N348" s="23"/>
      <c r="O348" s="23"/>
      <c r="AH348" s="20"/>
    </row>
    <row r="349" spans="1:34" ht="15.75" customHeight="1">
      <c r="F349" s="22"/>
      <c r="G349" s="22"/>
      <c r="H349" s="22"/>
      <c r="I349" s="6"/>
      <c r="J349" s="16"/>
      <c r="K349" s="16"/>
      <c r="L349" s="23"/>
      <c r="M349" s="23"/>
      <c r="N349" s="23"/>
      <c r="O349" s="23"/>
      <c r="AH349" s="20"/>
    </row>
    <row r="350" spans="1:34" ht="15.75" customHeight="1">
      <c r="F350" s="22"/>
      <c r="G350" s="22"/>
      <c r="H350" s="22"/>
      <c r="I350" s="6"/>
      <c r="J350" s="16"/>
      <c r="K350" s="16"/>
      <c r="L350" s="23"/>
      <c r="M350" s="23"/>
      <c r="N350" s="23"/>
      <c r="O350" s="23"/>
      <c r="AH350" s="20"/>
    </row>
    <row r="351" spans="1:34" ht="15.75" customHeight="1">
      <c r="F351" s="22"/>
      <c r="G351" s="22"/>
      <c r="H351" s="22"/>
      <c r="I351" s="6"/>
      <c r="J351" s="16"/>
      <c r="K351" s="16"/>
      <c r="L351" s="23"/>
      <c r="M351" s="23"/>
      <c r="N351" s="23"/>
      <c r="O351" s="23"/>
      <c r="AH351" s="20"/>
    </row>
    <row r="352" spans="1:34" ht="15.75" customHeight="1">
      <c r="F352" s="22"/>
      <c r="G352" s="22"/>
      <c r="H352" s="22"/>
      <c r="I352" s="6"/>
      <c r="J352" s="16"/>
      <c r="K352" s="16"/>
      <c r="L352" s="23"/>
      <c r="M352" s="23"/>
      <c r="N352" s="23"/>
      <c r="O352" s="23"/>
      <c r="AH352" s="20"/>
    </row>
    <row r="353" spans="6:34" ht="15.75" customHeight="1">
      <c r="F353" s="22"/>
      <c r="G353" s="22"/>
      <c r="H353" s="22"/>
      <c r="I353" s="6"/>
      <c r="J353" s="16"/>
      <c r="K353" s="16"/>
      <c r="L353" s="23"/>
      <c r="M353" s="23"/>
      <c r="N353" s="23"/>
      <c r="O353" s="23"/>
      <c r="AH353" s="20"/>
    </row>
    <row r="354" spans="6:34" ht="15.75" customHeight="1">
      <c r="F354" s="22"/>
      <c r="G354" s="22"/>
      <c r="H354" s="22"/>
      <c r="I354" s="6"/>
      <c r="J354" s="16"/>
      <c r="K354" s="16"/>
      <c r="L354" s="23"/>
      <c r="M354" s="23"/>
      <c r="N354" s="23"/>
      <c r="O354" s="23"/>
      <c r="AH354" s="20"/>
    </row>
    <row r="355" spans="6:34" ht="15.75" customHeight="1">
      <c r="F355" s="22"/>
      <c r="G355" s="22"/>
      <c r="H355" s="22"/>
      <c r="I355" s="6"/>
      <c r="J355" s="16"/>
      <c r="K355" s="16"/>
      <c r="L355" s="23"/>
      <c r="M355" s="23"/>
      <c r="N355" s="23"/>
      <c r="O355" s="23"/>
      <c r="AH355" s="20"/>
    </row>
    <row r="356" spans="6:34" ht="15.75" customHeight="1">
      <c r="F356" s="22"/>
      <c r="G356" s="22"/>
      <c r="H356" s="22"/>
      <c r="I356" s="6"/>
      <c r="J356" s="16"/>
      <c r="K356" s="16"/>
      <c r="L356" s="23"/>
      <c r="M356" s="23"/>
      <c r="N356" s="23"/>
      <c r="O356" s="23"/>
      <c r="AH356" s="20"/>
    </row>
    <row r="357" spans="6:34" ht="15.75" customHeight="1">
      <c r="F357" s="22"/>
      <c r="G357" s="22"/>
      <c r="H357" s="22"/>
      <c r="I357" s="6"/>
      <c r="J357" s="16"/>
      <c r="K357" s="16"/>
      <c r="L357" s="23"/>
      <c r="M357" s="23"/>
      <c r="N357" s="23"/>
      <c r="O357" s="23"/>
      <c r="AH357" s="20"/>
    </row>
    <row r="358" spans="6:34" ht="15.75" customHeight="1">
      <c r="F358" s="22"/>
      <c r="G358" s="22"/>
      <c r="H358" s="22"/>
      <c r="I358" s="6"/>
      <c r="J358" s="16"/>
      <c r="K358" s="16"/>
      <c r="L358" s="23"/>
      <c r="M358" s="23"/>
      <c r="N358" s="23"/>
      <c r="O358" s="23"/>
      <c r="AH358" s="20"/>
    </row>
    <row r="359" spans="6:34" ht="15.75" customHeight="1">
      <c r="F359" s="22"/>
      <c r="G359" s="22"/>
      <c r="H359" s="22"/>
      <c r="I359" s="6"/>
      <c r="J359" s="16"/>
      <c r="K359" s="16"/>
      <c r="L359" s="23"/>
      <c r="M359" s="23"/>
      <c r="N359" s="23"/>
      <c r="O359" s="23"/>
      <c r="AH359" s="20"/>
    </row>
    <row r="360" spans="6:34" ht="15.75" customHeight="1">
      <c r="F360" s="22"/>
      <c r="G360" s="22"/>
      <c r="H360" s="22"/>
      <c r="I360" s="6"/>
      <c r="J360" s="16"/>
      <c r="K360" s="16"/>
      <c r="L360" s="23"/>
      <c r="M360" s="23"/>
      <c r="N360" s="23"/>
      <c r="O360" s="23"/>
      <c r="AH360" s="20"/>
    </row>
    <row r="361" spans="6:34" ht="15.75" customHeight="1">
      <c r="F361" s="22"/>
      <c r="G361" s="22"/>
      <c r="H361" s="22"/>
      <c r="I361" s="6"/>
      <c r="J361" s="16"/>
      <c r="K361" s="16"/>
      <c r="L361" s="23"/>
      <c r="M361" s="23"/>
      <c r="N361" s="23"/>
      <c r="O361" s="23"/>
      <c r="AH361" s="20"/>
    </row>
    <row r="362" spans="6:34" ht="15.75" customHeight="1">
      <c r="F362" s="22"/>
      <c r="G362" s="22"/>
      <c r="H362" s="22"/>
      <c r="I362" s="6"/>
      <c r="J362" s="16"/>
      <c r="K362" s="16"/>
      <c r="L362" s="23"/>
      <c r="M362" s="23"/>
      <c r="N362" s="23"/>
      <c r="O362" s="23"/>
      <c r="AH362" s="20"/>
    </row>
    <row r="363" spans="6:34" ht="15.75" customHeight="1">
      <c r="F363" s="22"/>
      <c r="G363" s="22"/>
      <c r="H363" s="22"/>
      <c r="I363" s="6"/>
      <c r="J363" s="16"/>
      <c r="K363" s="16"/>
      <c r="L363" s="23"/>
      <c r="M363" s="23"/>
      <c r="N363" s="23"/>
      <c r="O363" s="23"/>
      <c r="AH363" s="20"/>
    </row>
    <row r="364" spans="6:34" ht="15.75" customHeight="1">
      <c r="F364" s="22"/>
      <c r="G364" s="22"/>
      <c r="H364" s="22"/>
      <c r="I364" s="6"/>
      <c r="J364" s="16"/>
      <c r="K364" s="16"/>
      <c r="L364" s="23"/>
      <c r="M364" s="23"/>
      <c r="N364" s="23"/>
      <c r="O364" s="23"/>
      <c r="AH364" s="20"/>
    </row>
    <row r="365" spans="6:34" ht="15.75" customHeight="1">
      <c r="F365" s="22"/>
      <c r="G365" s="22"/>
      <c r="H365" s="22"/>
      <c r="I365" s="6"/>
      <c r="J365" s="16"/>
      <c r="K365" s="16"/>
      <c r="L365" s="23"/>
      <c r="M365" s="23"/>
      <c r="N365" s="23"/>
      <c r="O365" s="23"/>
      <c r="AH365" s="20"/>
    </row>
    <row r="366" spans="6:34" ht="15.75" customHeight="1">
      <c r="F366" s="22"/>
      <c r="G366" s="22"/>
      <c r="H366" s="22"/>
      <c r="I366" s="6"/>
      <c r="J366" s="16"/>
      <c r="K366" s="16"/>
      <c r="L366" s="23"/>
      <c r="M366" s="23"/>
      <c r="N366" s="23"/>
      <c r="O366" s="23"/>
      <c r="AH366" s="20"/>
    </row>
    <row r="367" spans="6:34" ht="15.75" customHeight="1">
      <c r="F367" s="22"/>
      <c r="G367" s="22"/>
      <c r="H367" s="22"/>
      <c r="I367" s="6"/>
      <c r="J367" s="16"/>
      <c r="K367" s="16"/>
      <c r="L367" s="23"/>
      <c r="M367" s="23"/>
      <c r="N367" s="23"/>
      <c r="O367" s="23"/>
      <c r="AH367" s="20"/>
    </row>
    <row r="368" spans="6:34" ht="15.75" customHeight="1">
      <c r="F368" s="22"/>
      <c r="G368" s="22"/>
      <c r="H368" s="22"/>
      <c r="I368" s="6"/>
      <c r="J368" s="16"/>
      <c r="K368" s="16"/>
      <c r="L368" s="23"/>
      <c r="M368" s="23"/>
      <c r="N368" s="23"/>
      <c r="O368" s="23"/>
      <c r="AH368" s="20"/>
    </row>
    <row r="369" spans="6:34" ht="15.75" customHeight="1">
      <c r="F369" s="22"/>
      <c r="G369" s="22"/>
      <c r="H369" s="22"/>
      <c r="I369" s="6"/>
      <c r="J369" s="16"/>
      <c r="K369" s="16"/>
      <c r="L369" s="23"/>
      <c r="M369" s="23"/>
      <c r="N369" s="23"/>
      <c r="O369" s="23"/>
      <c r="AH369" s="20"/>
    </row>
    <row r="370" spans="6:34" ht="15.75" customHeight="1">
      <c r="F370" s="22"/>
      <c r="G370" s="22"/>
      <c r="H370" s="22"/>
      <c r="I370" s="6"/>
      <c r="J370" s="16"/>
      <c r="K370" s="16"/>
      <c r="L370" s="23"/>
      <c r="M370" s="23"/>
      <c r="N370" s="23"/>
      <c r="O370" s="23"/>
      <c r="AH370" s="20"/>
    </row>
    <row r="371" spans="6:34" ht="15.75" customHeight="1">
      <c r="F371" s="22"/>
      <c r="G371" s="22"/>
      <c r="H371" s="22"/>
      <c r="I371" s="6"/>
      <c r="J371" s="16"/>
      <c r="K371" s="16"/>
      <c r="L371" s="23"/>
      <c r="M371" s="23"/>
      <c r="N371" s="23"/>
      <c r="O371" s="23"/>
      <c r="AH371" s="20"/>
    </row>
    <row r="372" spans="6:34" ht="15.75" customHeight="1">
      <c r="F372" s="22"/>
      <c r="G372" s="22"/>
      <c r="H372" s="22"/>
      <c r="I372" s="6"/>
      <c r="J372" s="16"/>
      <c r="K372" s="16"/>
      <c r="L372" s="23"/>
      <c r="M372" s="23"/>
      <c r="N372" s="23"/>
      <c r="O372" s="23"/>
      <c r="AH372" s="20"/>
    </row>
    <row r="373" spans="6:34" ht="15.75" customHeight="1">
      <c r="F373" s="22"/>
      <c r="G373" s="22"/>
      <c r="H373" s="22"/>
      <c r="I373" s="6"/>
      <c r="J373" s="16"/>
      <c r="K373" s="16"/>
      <c r="L373" s="23"/>
      <c r="M373" s="23"/>
      <c r="N373" s="23"/>
      <c r="O373" s="23"/>
      <c r="AH373" s="20"/>
    </row>
    <row r="374" spans="6:34" ht="15.75" customHeight="1">
      <c r="F374" s="22"/>
      <c r="G374" s="22"/>
      <c r="H374" s="22"/>
      <c r="I374" s="6"/>
      <c r="J374" s="16"/>
      <c r="K374" s="16"/>
      <c r="L374" s="23"/>
      <c r="M374" s="23"/>
      <c r="N374" s="23"/>
      <c r="O374" s="23"/>
      <c r="AH374" s="20"/>
    </row>
    <row r="375" spans="6:34" ht="15.75" customHeight="1">
      <c r="F375" s="22"/>
      <c r="G375" s="22"/>
      <c r="H375" s="22"/>
      <c r="I375" s="6"/>
      <c r="J375" s="16"/>
      <c r="K375" s="16"/>
      <c r="L375" s="23"/>
      <c r="M375" s="23"/>
      <c r="N375" s="23"/>
      <c r="O375" s="23"/>
      <c r="AH375" s="20"/>
    </row>
    <row r="376" spans="6:34" ht="15.75" customHeight="1">
      <c r="F376" s="22"/>
      <c r="G376" s="22"/>
      <c r="H376" s="22"/>
      <c r="I376" s="6"/>
      <c r="J376" s="16"/>
      <c r="K376" s="16"/>
      <c r="L376" s="23"/>
      <c r="M376" s="23"/>
      <c r="N376" s="23"/>
      <c r="O376" s="23"/>
      <c r="AH376" s="20"/>
    </row>
    <row r="377" spans="6:34" ht="15.75" customHeight="1">
      <c r="F377" s="22"/>
      <c r="G377" s="22"/>
      <c r="H377" s="22"/>
      <c r="I377" s="6"/>
      <c r="J377" s="16"/>
      <c r="K377" s="16"/>
      <c r="L377" s="23"/>
      <c r="M377" s="23"/>
      <c r="N377" s="23"/>
      <c r="O377" s="23"/>
      <c r="AH377" s="20"/>
    </row>
    <row r="378" spans="6:34" ht="15.75" customHeight="1">
      <c r="F378" s="22"/>
      <c r="G378" s="22"/>
      <c r="H378" s="22"/>
      <c r="I378" s="6"/>
      <c r="J378" s="16"/>
      <c r="K378" s="16"/>
      <c r="L378" s="23"/>
      <c r="M378" s="23"/>
      <c r="N378" s="23"/>
      <c r="O378" s="23"/>
      <c r="AH378" s="20"/>
    </row>
    <row r="379" spans="6:34" ht="15.75" customHeight="1">
      <c r="F379" s="22"/>
      <c r="G379" s="22"/>
      <c r="H379" s="22"/>
      <c r="I379" s="6"/>
      <c r="J379" s="16"/>
      <c r="K379" s="16"/>
      <c r="L379" s="23"/>
      <c r="M379" s="23"/>
      <c r="N379" s="23"/>
      <c r="O379" s="23"/>
      <c r="AH379" s="20"/>
    </row>
    <row r="380" spans="6:34" ht="15.75" customHeight="1">
      <c r="F380" s="22"/>
      <c r="G380" s="22"/>
      <c r="H380" s="22"/>
      <c r="I380" s="6"/>
      <c r="J380" s="16"/>
      <c r="K380" s="16"/>
      <c r="L380" s="23"/>
      <c r="M380" s="23"/>
      <c r="N380" s="23"/>
      <c r="O380" s="23"/>
      <c r="AH380" s="20"/>
    </row>
    <row r="381" spans="6:34" ht="15.75" customHeight="1">
      <c r="F381" s="22"/>
      <c r="G381" s="22"/>
      <c r="H381" s="22"/>
      <c r="I381" s="6"/>
      <c r="J381" s="16"/>
      <c r="K381" s="16"/>
      <c r="L381" s="23"/>
      <c r="M381" s="23"/>
      <c r="N381" s="23"/>
      <c r="O381" s="23"/>
      <c r="AH381" s="20"/>
    </row>
    <row r="382" spans="6:34" ht="15.75" customHeight="1">
      <c r="F382" s="22"/>
      <c r="G382" s="22"/>
      <c r="H382" s="22"/>
      <c r="I382" s="6"/>
      <c r="J382" s="16"/>
      <c r="K382" s="16"/>
      <c r="L382" s="23"/>
      <c r="M382" s="23"/>
      <c r="N382" s="23"/>
      <c r="O382" s="23"/>
      <c r="AH382" s="20"/>
    </row>
    <row r="383" spans="6:34" ht="15.75" customHeight="1">
      <c r="F383" s="22"/>
      <c r="G383" s="22"/>
      <c r="H383" s="22"/>
      <c r="I383" s="6"/>
      <c r="J383" s="16"/>
      <c r="K383" s="16"/>
      <c r="L383" s="23"/>
      <c r="M383" s="23"/>
      <c r="N383" s="23"/>
      <c r="O383" s="23"/>
      <c r="AH383" s="20"/>
    </row>
    <row r="384" spans="6:34" ht="15.75" customHeight="1">
      <c r="F384" s="22"/>
      <c r="G384" s="22"/>
      <c r="H384" s="22"/>
      <c r="I384" s="6"/>
      <c r="J384" s="16"/>
      <c r="K384" s="16"/>
      <c r="L384" s="23"/>
      <c r="M384" s="23"/>
      <c r="N384" s="23"/>
      <c r="O384" s="23"/>
      <c r="AH384" s="20"/>
    </row>
    <row r="385" spans="6:34" ht="15.75" customHeight="1">
      <c r="F385" s="22"/>
      <c r="G385" s="22"/>
      <c r="H385" s="22"/>
      <c r="I385" s="6"/>
      <c r="J385" s="16"/>
      <c r="K385" s="16"/>
      <c r="L385" s="23"/>
      <c r="M385" s="23"/>
      <c r="N385" s="23"/>
      <c r="O385" s="23"/>
      <c r="AH385" s="20"/>
    </row>
    <row r="386" spans="6:34" ht="15.75" customHeight="1">
      <c r="F386" s="22"/>
      <c r="G386" s="22"/>
      <c r="H386" s="22"/>
      <c r="I386" s="6"/>
      <c r="J386" s="16"/>
      <c r="K386" s="16"/>
      <c r="L386" s="23"/>
      <c r="M386" s="23"/>
      <c r="N386" s="23"/>
      <c r="O386" s="23"/>
      <c r="AH386" s="20"/>
    </row>
    <row r="387" spans="6:34" ht="15.75" customHeight="1">
      <c r="F387" s="22"/>
      <c r="G387" s="22"/>
      <c r="H387" s="22"/>
      <c r="I387" s="6"/>
      <c r="J387" s="16"/>
      <c r="K387" s="16"/>
      <c r="L387" s="23"/>
      <c r="M387" s="23"/>
      <c r="N387" s="23"/>
      <c r="O387" s="23"/>
      <c r="AH387" s="20"/>
    </row>
    <row r="388" spans="6:34" ht="15.75" customHeight="1">
      <c r="F388" s="22"/>
      <c r="G388" s="22"/>
      <c r="H388" s="22"/>
      <c r="I388" s="6"/>
      <c r="J388" s="16"/>
      <c r="K388" s="16"/>
      <c r="L388" s="23"/>
      <c r="M388" s="23"/>
      <c r="N388" s="23"/>
      <c r="O388" s="23"/>
      <c r="AH388" s="20"/>
    </row>
    <row r="389" spans="6:34" ht="15.75" customHeight="1">
      <c r="F389" s="22"/>
      <c r="G389" s="22"/>
      <c r="H389" s="22"/>
      <c r="I389" s="6"/>
      <c r="J389" s="16"/>
      <c r="K389" s="16"/>
      <c r="L389" s="23"/>
      <c r="M389" s="23"/>
      <c r="N389" s="23"/>
      <c r="O389" s="23"/>
      <c r="AH389" s="20"/>
    </row>
    <row r="390" spans="6:34" ht="15.75" customHeight="1">
      <c r="F390" s="22"/>
      <c r="G390" s="22"/>
      <c r="H390" s="22"/>
      <c r="I390" s="6"/>
      <c r="J390" s="16"/>
      <c r="K390" s="16"/>
      <c r="L390" s="23"/>
      <c r="M390" s="23"/>
      <c r="N390" s="23"/>
      <c r="O390" s="23"/>
      <c r="AH390" s="20"/>
    </row>
    <row r="391" spans="6:34" ht="15.75" customHeight="1">
      <c r="F391" s="22"/>
      <c r="G391" s="22"/>
      <c r="H391" s="22"/>
      <c r="I391" s="6"/>
      <c r="J391" s="16"/>
      <c r="K391" s="16"/>
      <c r="L391" s="23"/>
      <c r="M391" s="23"/>
      <c r="N391" s="23"/>
      <c r="O391" s="23"/>
      <c r="AH391" s="20"/>
    </row>
    <row r="392" spans="6:34" ht="15.75" customHeight="1">
      <c r="F392" s="22"/>
      <c r="G392" s="22"/>
      <c r="H392" s="22"/>
      <c r="I392" s="6"/>
      <c r="J392" s="16"/>
      <c r="K392" s="16"/>
      <c r="L392" s="23"/>
      <c r="M392" s="23"/>
      <c r="N392" s="23"/>
      <c r="O392" s="23"/>
      <c r="AH392" s="20"/>
    </row>
    <row r="393" spans="6:34" ht="15.75" customHeight="1">
      <c r="F393" s="22"/>
      <c r="G393" s="22"/>
      <c r="H393" s="22"/>
      <c r="I393" s="6"/>
      <c r="J393" s="16"/>
      <c r="K393" s="16"/>
      <c r="L393" s="23"/>
      <c r="M393" s="23"/>
      <c r="N393" s="23"/>
      <c r="O393" s="23"/>
      <c r="AH393" s="20"/>
    </row>
    <row r="394" spans="6:34" ht="15.75" customHeight="1">
      <c r="F394" s="22"/>
      <c r="G394" s="22"/>
      <c r="H394" s="22"/>
      <c r="I394" s="6"/>
      <c r="J394" s="16"/>
      <c r="K394" s="16"/>
      <c r="L394" s="23"/>
      <c r="M394" s="23"/>
      <c r="N394" s="23"/>
      <c r="O394" s="23"/>
      <c r="AH394" s="20"/>
    </row>
    <row r="395" spans="6:34" ht="15.75" customHeight="1">
      <c r="F395" s="22"/>
      <c r="G395" s="22"/>
      <c r="H395" s="22"/>
      <c r="I395" s="6"/>
      <c r="J395" s="16"/>
      <c r="K395" s="16"/>
      <c r="L395" s="23"/>
      <c r="M395" s="23"/>
      <c r="N395" s="23"/>
      <c r="O395" s="23"/>
      <c r="AH395" s="20"/>
    </row>
    <row r="396" spans="6:34" ht="15.75" customHeight="1">
      <c r="F396" s="22"/>
      <c r="G396" s="22"/>
      <c r="H396" s="22"/>
      <c r="I396" s="6"/>
      <c r="J396" s="16"/>
      <c r="K396" s="16"/>
      <c r="L396" s="23"/>
      <c r="M396" s="23"/>
      <c r="N396" s="23"/>
      <c r="O396" s="23"/>
      <c r="AH396" s="20"/>
    </row>
    <row r="397" spans="6:34" ht="15.75" customHeight="1">
      <c r="F397" s="22"/>
      <c r="G397" s="22"/>
      <c r="H397" s="22"/>
      <c r="I397" s="6"/>
      <c r="J397" s="16"/>
      <c r="K397" s="16"/>
      <c r="L397" s="23"/>
      <c r="M397" s="23"/>
      <c r="N397" s="23"/>
      <c r="O397" s="23"/>
      <c r="AH397" s="20"/>
    </row>
    <row r="398" spans="6:34" ht="15.75" customHeight="1">
      <c r="F398" s="22"/>
      <c r="G398" s="22"/>
      <c r="H398" s="22"/>
      <c r="I398" s="6"/>
      <c r="J398" s="16"/>
      <c r="K398" s="16"/>
      <c r="L398" s="23"/>
      <c r="M398" s="23"/>
      <c r="N398" s="23"/>
      <c r="O398" s="23"/>
      <c r="AH398" s="20"/>
    </row>
    <row r="399" spans="6:34" ht="15.75" customHeight="1">
      <c r="F399" s="22"/>
      <c r="G399" s="22"/>
      <c r="H399" s="22"/>
      <c r="I399" s="6"/>
      <c r="J399" s="16"/>
      <c r="K399" s="16"/>
      <c r="L399" s="23"/>
      <c r="M399" s="23"/>
      <c r="N399" s="23"/>
      <c r="O399" s="23"/>
      <c r="AH399" s="20"/>
    </row>
    <row r="400" spans="6:34" ht="15.75" customHeight="1">
      <c r="F400" s="22"/>
      <c r="G400" s="22"/>
      <c r="H400" s="22"/>
      <c r="I400" s="6"/>
      <c r="J400" s="16"/>
      <c r="K400" s="16"/>
      <c r="L400" s="23"/>
      <c r="M400" s="23"/>
      <c r="N400" s="23"/>
      <c r="O400" s="23"/>
      <c r="AH400" s="20"/>
    </row>
    <row r="401" spans="6:34" ht="15.75" customHeight="1">
      <c r="F401" s="22"/>
      <c r="G401" s="22"/>
      <c r="H401" s="22"/>
      <c r="I401" s="6"/>
      <c r="J401" s="16"/>
      <c r="K401" s="16"/>
      <c r="L401" s="23"/>
      <c r="M401" s="23"/>
      <c r="N401" s="23"/>
      <c r="O401" s="23"/>
      <c r="AH401" s="20"/>
    </row>
    <row r="402" spans="6:34" ht="15.75" customHeight="1">
      <c r="F402" s="22"/>
      <c r="G402" s="22"/>
      <c r="H402" s="22"/>
      <c r="I402" s="6"/>
      <c r="J402" s="16"/>
      <c r="K402" s="16"/>
      <c r="L402" s="23"/>
      <c r="M402" s="23"/>
      <c r="N402" s="23"/>
      <c r="O402" s="23"/>
      <c r="AH402" s="20"/>
    </row>
    <row r="403" spans="6:34" ht="15.75" customHeight="1">
      <c r="F403" s="22"/>
      <c r="G403" s="22"/>
      <c r="H403" s="22"/>
      <c r="I403" s="6"/>
      <c r="J403" s="16"/>
      <c r="K403" s="16"/>
      <c r="L403" s="23"/>
      <c r="M403" s="23"/>
      <c r="N403" s="23"/>
      <c r="O403" s="23"/>
      <c r="AH403" s="20"/>
    </row>
    <row r="404" spans="6:34" ht="15.75" customHeight="1">
      <c r="F404" s="22"/>
      <c r="G404" s="22"/>
      <c r="H404" s="22"/>
      <c r="I404" s="6"/>
      <c r="J404" s="16"/>
      <c r="K404" s="16"/>
      <c r="L404" s="23"/>
      <c r="M404" s="23"/>
      <c r="N404" s="23"/>
      <c r="O404" s="23"/>
      <c r="AH404" s="20"/>
    </row>
    <row r="405" spans="6:34" ht="15.75" customHeight="1">
      <c r="F405" s="22"/>
      <c r="G405" s="22"/>
      <c r="H405" s="22"/>
      <c r="I405" s="6"/>
      <c r="J405" s="16"/>
      <c r="K405" s="16"/>
      <c r="L405" s="23"/>
      <c r="M405" s="23"/>
      <c r="N405" s="23"/>
      <c r="O405" s="23"/>
      <c r="AH405" s="20"/>
    </row>
    <row r="406" spans="6:34" ht="15.75" customHeight="1">
      <c r="F406" s="22"/>
      <c r="G406" s="22"/>
      <c r="H406" s="22"/>
      <c r="I406" s="6"/>
      <c r="J406" s="16"/>
      <c r="K406" s="16"/>
      <c r="L406" s="23"/>
      <c r="M406" s="23"/>
      <c r="N406" s="23"/>
      <c r="O406" s="23"/>
      <c r="AH406" s="20"/>
    </row>
    <row r="407" spans="6:34" ht="15.75" customHeight="1">
      <c r="F407" s="22"/>
      <c r="G407" s="22"/>
      <c r="H407" s="22"/>
      <c r="I407" s="6"/>
      <c r="J407" s="16"/>
      <c r="K407" s="16"/>
      <c r="L407" s="23"/>
      <c r="M407" s="23"/>
      <c r="N407" s="23"/>
      <c r="O407" s="23"/>
      <c r="AH407" s="20"/>
    </row>
    <row r="408" spans="6:34" ht="15.75" customHeight="1">
      <c r="F408" s="22"/>
      <c r="G408" s="22"/>
      <c r="H408" s="22"/>
      <c r="I408" s="6"/>
      <c r="J408" s="16"/>
      <c r="K408" s="16"/>
      <c r="L408" s="23"/>
      <c r="M408" s="23"/>
      <c r="N408" s="23"/>
      <c r="O408" s="23"/>
      <c r="AH408" s="20"/>
    </row>
    <row r="409" spans="6:34" ht="15.75" customHeight="1">
      <c r="F409" s="22"/>
      <c r="G409" s="22"/>
      <c r="H409" s="22"/>
      <c r="I409" s="6"/>
      <c r="J409" s="16"/>
      <c r="K409" s="16"/>
      <c r="L409" s="23"/>
      <c r="M409" s="23"/>
      <c r="N409" s="23"/>
      <c r="O409" s="23"/>
      <c r="AH409" s="20"/>
    </row>
    <row r="410" spans="6:34" ht="15.75" customHeight="1">
      <c r="F410" s="22"/>
      <c r="G410" s="22"/>
      <c r="H410" s="22"/>
      <c r="I410" s="6"/>
      <c r="J410" s="16"/>
      <c r="K410" s="16"/>
      <c r="L410" s="23"/>
      <c r="M410" s="23"/>
      <c r="N410" s="23"/>
      <c r="O410" s="23"/>
      <c r="AH410" s="20"/>
    </row>
    <row r="411" spans="6:34" ht="15.75" customHeight="1">
      <c r="F411" s="22"/>
      <c r="G411" s="22"/>
      <c r="H411" s="22"/>
      <c r="I411" s="6"/>
      <c r="J411" s="16"/>
      <c r="K411" s="16"/>
      <c r="L411" s="23"/>
      <c r="M411" s="23"/>
      <c r="N411" s="23"/>
      <c r="O411" s="23"/>
      <c r="AH411" s="20"/>
    </row>
    <row r="412" spans="6:34" ht="15.75" customHeight="1">
      <c r="F412" s="22"/>
      <c r="G412" s="22"/>
      <c r="H412" s="22"/>
      <c r="I412" s="6"/>
      <c r="J412" s="16"/>
      <c r="K412" s="16"/>
      <c r="L412" s="23"/>
      <c r="M412" s="23"/>
      <c r="N412" s="23"/>
      <c r="O412" s="23"/>
      <c r="AH412" s="20"/>
    </row>
    <row r="413" spans="6:34" ht="15.75" customHeight="1">
      <c r="F413" s="22"/>
      <c r="G413" s="22"/>
      <c r="H413" s="22"/>
      <c r="I413" s="6"/>
      <c r="J413" s="16"/>
      <c r="K413" s="16"/>
      <c r="L413" s="23"/>
      <c r="M413" s="23"/>
      <c r="N413" s="23"/>
      <c r="O413" s="23"/>
      <c r="AH413" s="20"/>
    </row>
    <row r="414" spans="6:34" ht="15.75" customHeight="1">
      <c r="F414" s="22"/>
      <c r="G414" s="22"/>
      <c r="H414" s="22"/>
      <c r="I414" s="6"/>
      <c r="J414" s="16"/>
      <c r="K414" s="16"/>
      <c r="L414" s="23"/>
      <c r="M414" s="23"/>
      <c r="N414" s="23"/>
      <c r="O414" s="23"/>
      <c r="AH414" s="20"/>
    </row>
    <row r="415" spans="6:34" ht="15.75" customHeight="1">
      <c r="F415" s="22"/>
      <c r="G415" s="22"/>
      <c r="H415" s="22"/>
      <c r="I415" s="6"/>
      <c r="J415" s="16"/>
      <c r="K415" s="16"/>
      <c r="L415" s="23"/>
      <c r="M415" s="23"/>
      <c r="N415" s="23"/>
      <c r="O415" s="23"/>
      <c r="AH415" s="20"/>
    </row>
    <row r="416" spans="6:34" ht="15.75" customHeight="1">
      <c r="F416" s="22"/>
      <c r="G416" s="22"/>
      <c r="H416" s="22"/>
      <c r="I416" s="6"/>
      <c r="J416" s="16"/>
      <c r="K416" s="16"/>
      <c r="L416" s="23"/>
      <c r="M416" s="23"/>
      <c r="N416" s="23"/>
      <c r="O416" s="23"/>
      <c r="AH416" s="20"/>
    </row>
    <row r="417" spans="6:34" ht="15.75" customHeight="1">
      <c r="F417" s="22"/>
      <c r="G417" s="22"/>
      <c r="H417" s="22"/>
      <c r="I417" s="6"/>
      <c r="J417" s="16"/>
      <c r="K417" s="16"/>
      <c r="L417" s="23"/>
      <c r="M417" s="23"/>
      <c r="N417" s="23"/>
      <c r="O417" s="23"/>
      <c r="AH417" s="20"/>
    </row>
    <row r="418" spans="6:34" ht="15.75" customHeight="1">
      <c r="F418" s="22"/>
      <c r="G418" s="22"/>
      <c r="H418" s="22"/>
      <c r="I418" s="6"/>
      <c r="J418" s="16"/>
      <c r="K418" s="16"/>
      <c r="L418" s="23"/>
      <c r="M418" s="23"/>
      <c r="N418" s="23"/>
      <c r="O418" s="23"/>
      <c r="AH418" s="20"/>
    </row>
    <row r="419" spans="6:34" ht="15.75" customHeight="1">
      <c r="F419" s="22"/>
      <c r="G419" s="22"/>
      <c r="H419" s="22"/>
      <c r="I419" s="6"/>
      <c r="J419" s="16"/>
      <c r="K419" s="16"/>
      <c r="L419" s="23"/>
      <c r="M419" s="23"/>
      <c r="N419" s="23"/>
      <c r="O419" s="23"/>
      <c r="AH419" s="20"/>
    </row>
    <row r="420" spans="6:34" ht="15.75" customHeight="1">
      <c r="F420" s="22"/>
      <c r="G420" s="22"/>
      <c r="H420" s="22"/>
      <c r="I420" s="6"/>
      <c r="J420" s="16"/>
      <c r="K420" s="16"/>
      <c r="L420" s="23"/>
      <c r="M420" s="23"/>
      <c r="N420" s="23"/>
      <c r="O420" s="23"/>
      <c r="AH420" s="20"/>
    </row>
    <row r="421" spans="6:34" ht="15.75" customHeight="1">
      <c r="F421" s="22"/>
      <c r="G421" s="22"/>
      <c r="H421" s="22"/>
      <c r="I421" s="6"/>
      <c r="J421" s="16"/>
      <c r="K421" s="16"/>
      <c r="L421" s="23"/>
      <c r="M421" s="23"/>
      <c r="N421" s="23"/>
      <c r="O421" s="23"/>
      <c r="AH421" s="20"/>
    </row>
    <row r="422" spans="6:34" ht="15.75" customHeight="1">
      <c r="F422" s="22"/>
      <c r="G422" s="22"/>
      <c r="H422" s="22"/>
      <c r="I422" s="6"/>
      <c r="J422" s="16"/>
      <c r="K422" s="16"/>
      <c r="L422" s="23"/>
      <c r="M422" s="23"/>
      <c r="N422" s="23"/>
      <c r="O422" s="23"/>
      <c r="AH422" s="20"/>
    </row>
    <row r="423" spans="6:34" ht="15.75" customHeight="1">
      <c r="F423" s="22"/>
      <c r="G423" s="22"/>
      <c r="H423" s="22"/>
      <c r="I423" s="6"/>
      <c r="J423" s="16"/>
      <c r="K423" s="16"/>
      <c r="L423" s="23"/>
      <c r="M423" s="23"/>
      <c r="N423" s="23"/>
      <c r="O423" s="23"/>
      <c r="AH423" s="20"/>
    </row>
    <row r="424" spans="6:34" ht="15.75" customHeight="1">
      <c r="F424" s="22"/>
      <c r="G424" s="22"/>
      <c r="H424" s="22"/>
      <c r="I424" s="6"/>
      <c r="J424" s="16"/>
      <c r="K424" s="16"/>
      <c r="L424" s="23"/>
      <c r="M424" s="23"/>
      <c r="N424" s="23"/>
      <c r="O424" s="23"/>
      <c r="AH424" s="20"/>
    </row>
    <row r="425" spans="6:34" ht="15.75" customHeight="1">
      <c r="F425" s="22"/>
      <c r="G425" s="22"/>
      <c r="H425" s="22"/>
      <c r="I425" s="6"/>
      <c r="J425" s="16"/>
      <c r="K425" s="16"/>
      <c r="L425" s="23"/>
      <c r="M425" s="23"/>
      <c r="N425" s="23"/>
      <c r="O425" s="23"/>
      <c r="AH425" s="20"/>
    </row>
    <row r="426" spans="6:34" ht="15.75" customHeight="1">
      <c r="F426" s="22"/>
      <c r="G426" s="22"/>
      <c r="H426" s="22"/>
      <c r="I426" s="6"/>
      <c r="J426" s="16"/>
      <c r="K426" s="16"/>
      <c r="L426" s="23"/>
      <c r="M426" s="23"/>
      <c r="N426" s="23"/>
      <c r="O426" s="23"/>
      <c r="AH426" s="20"/>
    </row>
    <row r="427" spans="6:34" ht="15.75" customHeight="1">
      <c r="F427" s="22"/>
      <c r="G427" s="22"/>
      <c r="H427" s="22"/>
      <c r="I427" s="6"/>
      <c r="J427" s="16"/>
      <c r="K427" s="16"/>
      <c r="L427" s="23"/>
      <c r="M427" s="23"/>
      <c r="N427" s="23"/>
      <c r="O427" s="23"/>
      <c r="AH427" s="20"/>
    </row>
    <row r="428" spans="6:34" ht="15.75" customHeight="1">
      <c r="F428" s="22"/>
      <c r="G428" s="22"/>
      <c r="H428" s="22"/>
      <c r="I428" s="6"/>
      <c r="J428" s="16"/>
      <c r="K428" s="16"/>
      <c r="L428" s="23"/>
      <c r="M428" s="23"/>
      <c r="N428" s="23"/>
      <c r="O428" s="23"/>
      <c r="AH428" s="20"/>
    </row>
    <row r="429" spans="6:34" ht="15.75" customHeight="1">
      <c r="F429" s="22"/>
      <c r="G429" s="22"/>
      <c r="H429" s="22"/>
      <c r="I429" s="6"/>
      <c r="J429" s="16"/>
      <c r="K429" s="16"/>
      <c r="L429" s="23"/>
      <c r="M429" s="23"/>
      <c r="N429" s="23"/>
      <c r="O429" s="23"/>
      <c r="AH429" s="20"/>
    </row>
    <row r="430" spans="6:34" ht="15.75" customHeight="1">
      <c r="F430" s="22"/>
      <c r="G430" s="22"/>
      <c r="H430" s="22"/>
      <c r="I430" s="6"/>
      <c r="J430" s="16"/>
      <c r="K430" s="16"/>
      <c r="L430" s="23"/>
      <c r="M430" s="23"/>
      <c r="N430" s="23"/>
      <c r="O430" s="23"/>
      <c r="AH430" s="20"/>
    </row>
    <row r="431" spans="6:34" ht="15.75" customHeight="1">
      <c r="F431" s="22"/>
      <c r="G431" s="22"/>
      <c r="H431" s="22"/>
      <c r="I431" s="6"/>
      <c r="J431" s="16"/>
      <c r="K431" s="16"/>
      <c r="L431" s="23"/>
      <c r="M431" s="23"/>
      <c r="N431" s="23"/>
      <c r="O431" s="23"/>
      <c r="AH431" s="20"/>
    </row>
    <row r="432" spans="6:34" ht="15.75" customHeight="1">
      <c r="F432" s="22"/>
      <c r="G432" s="22"/>
      <c r="H432" s="22"/>
      <c r="I432" s="6"/>
      <c r="J432" s="16"/>
      <c r="K432" s="16"/>
      <c r="L432" s="23"/>
      <c r="M432" s="23"/>
      <c r="N432" s="23"/>
      <c r="O432" s="23"/>
      <c r="AH432" s="20"/>
    </row>
    <row r="433" spans="6:34" ht="15.75" customHeight="1">
      <c r="F433" s="22"/>
      <c r="G433" s="22"/>
      <c r="H433" s="22"/>
      <c r="I433" s="6"/>
      <c r="J433" s="16"/>
      <c r="K433" s="16"/>
      <c r="L433" s="23"/>
      <c r="M433" s="23"/>
      <c r="N433" s="23"/>
      <c r="O433" s="23"/>
      <c r="AH433" s="20"/>
    </row>
    <row r="434" spans="6:34" ht="15.75" customHeight="1">
      <c r="F434" s="22"/>
      <c r="G434" s="22"/>
      <c r="H434" s="22"/>
      <c r="I434" s="6"/>
      <c r="J434" s="16"/>
      <c r="K434" s="16"/>
      <c r="L434" s="23"/>
      <c r="M434" s="23"/>
      <c r="N434" s="23"/>
      <c r="O434" s="23"/>
      <c r="AH434" s="20"/>
    </row>
    <row r="435" spans="6:34" ht="15.75" customHeight="1">
      <c r="F435" s="22"/>
      <c r="G435" s="22"/>
      <c r="H435" s="22"/>
      <c r="I435" s="6"/>
      <c r="J435" s="16"/>
      <c r="K435" s="16"/>
      <c r="L435" s="23"/>
      <c r="M435" s="23"/>
      <c r="N435" s="23"/>
      <c r="O435" s="23"/>
      <c r="AH435" s="20"/>
    </row>
    <row r="436" spans="6:34" ht="15.75" customHeight="1">
      <c r="F436" s="22"/>
      <c r="G436" s="22"/>
      <c r="H436" s="22"/>
      <c r="I436" s="6"/>
      <c r="J436" s="16"/>
      <c r="K436" s="16"/>
      <c r="L436" s="23"/>
      <c r="M436" s="23"/>
      <c r="N436" s="23"/>
      <c r="O436" s="23"/>
      <c r="AH436" s="20"/>
    </row>
    <row r="437" spans="6:34" ht="15.75" customHeight="1">
      <c r="F437" s="22"/>
      <c r="G437" s="22"/>
      <c r="H437" s="22"/>
      <c r="I437" s="6"/>
      <c r="J437" s="16"/>
      <c r="K437" s="16"/>
      <c r="L437" s="23"/>
      <c r="M437" s="23"/>
      <c r="N437" s="23"/>
      <c r="O437" s="23"/>
      <c r="AH437" s="20"/>
    </row>
    <row r="438" spans="6:34" ht="15.75" customHeight="1">
      <c r="F438" s="22"/>
      <c r="G438" s="22"/>
      <c r="H438" s="22"/>
      <c r="I438" s="6"/>
      <c r="J438" s="16"/>
      <c r="K438" s="16"/>
      <c r="L438" s="23"/>
      <c r="M438" s="23"/>
      <c r="N438" s="23"/>
      <c r="O438" s="23"/>
      <c r="AH438" s="20"/>
    </row>
    <row r="439" spans="6:34" ht="15.75" customHeight="1">
      <c r="F439" s="22"/>
      <c r="G439" s="22"/>
      <c r="H439" s="22"/>
      <c r="I439" s="6"/>
      <c r="J439" s="16"/>
      <c r="K439" s="16"/>
      <c r="L439" s="23"/>
      <c r="M439" s="23"/>
      <c r="N439" s="23"/>
      <c r="O439" s="23"/>
      <c r="AH439" s="20"/>
    </row>
    <row r="440" spans="6:34" ht="15.75" customHeight="1">
      <c r="F440" s="22"/>
      <c r="G440" s="22"/>
      <c r="H440" s="22"/>
      <c r="I440" s="6"/>
      <c r="J440" s="16"/>
      <c r="K440" s="16"/>
      <c r="L440" s="23"/>
      <c r="M440" s="23"/>
      <c r="N440" s="23"/>
      <c r="O440" s="23"/>
      <c r="AH440" s="20"/>
    </row>
    <row r="441" spans="6:34" ht="15.75" customHeight="1">
      <c r="F441" s="22"/>
      <c r="G441" s="22"/>
      <c r="H441" s="22"/>
      <c r="I441" s="6"/>
      <c r="J441" s="16"/>
      <c r="K441" s="16"/>
      <c r="L441" s="23"/>
      <c r="M441" s="23"/>
      <c r="N441" s="23"/>
      <c r="O441" s="23"/>
      <c r="AH441" s="20"/>
    </row>
    <row r="442" spans="6:34" ht="15.75" customHeight="1">
      <c r="F442" s="22"/>
      <c r="G442" s="22"/>
      <c r="H442" s="22"/>
      <c r="I442" s="6"/>
      <c r="J442" s="16"/>
      <c r="K442" s="16"/>
      <c r="L442" s="23"/>
      <c r="M442" s="23"/>
      <c r="N442" s="23"/>
      <c r="O442" s="23"/>
      <c r="AH442" s="20"/>
    </row>
    <row r="443" spans="6:34" ht="15.75" customHeight="1">
      <c r="F443" s="22"/>
      <c r="G443" s="22"/>
      <c r="H443" s="22"/>
      <c r="I443" s="6"/>
      <c r="J443" s="16"/>
      <c r="K443" s="16"/>
      <c r="L443" s="23"/>
      <c r="M443" s="23"/>
      <c r="N443" s="23"/>
      <c r="O443" s="23"/>
      <c r="AH443" s="20"/>
    </row>
    <row r="444" spans="6:34" ht="15.75" customHeight="1">
      <c r="F444" s="22"/>
      <c r="G444" s="22"/>
      <c r="H444" s="22"/>
      <c r="I444" s="6"/>
      <c r="J444" s="16"/>
      <c r="K444" s="16"/>
      <c r="L444" s="23"/>
      <c r="M444" s="23"/>
      <c r="N444" s="23"/>
      <c r="O444" s="23"/>
      <c r="AH444" s="20"/>
    </row>
    <row r="445" spans="6:34" ht="15.75" customHeight="1">
      <c r="F445" s="22"/>
      <c r="G445" s="22"/>
      <c r="H445" s="22"/>
      <c r="I445" s="6"/>
      <c r="J445" s="16"/>
      <c r="K445" s="16"/>
      <c r="L445" s="23"/>
      <c r="M445" s="23"/>
      <c r="N445" s="23"/>
      <c r="O445" s="23"/>
      <c r="AH445" s="20"/>
    </row>
    <row r="446" spans="6:34" ht="15.75" customHeight="1">
      <c r="F446" s="22"/>
      <c r="G446" s="22"/>
      <c r="H446" s="22"/>
      <c r="I446" s="6"/>
      <c r="J446" s="16"/>
      <c r="K446" s="16"/>
      <c r="L446" s="23"/>
      <c r="M446" s="23"/>
      <c r="N446" s="23"/>
      <c r="O446" s="23"/>
      <c r="AH446" s="20"/>
    </row>
    <row r="447" spans="6:34" ht="15.75" customHeight="1">
      <c r="F447" s="22"/>
      <c r="G447" s="22"/>
      <c r="H447" s="22"/>
      <c r="I447" s="6"/>
      <c r="J447" s="16"/>
      <c r="K447" s="16"/>
      <c r="L447" s="23"/>
      <c r="M447" s="23"/>
      <c r="N447" s="23"/>
      <c r="O447" s="23"/>
      <c r="AH447" s="20"/>
    </row>
    <row r="448" spans="6:34" ht="15.75" customHeight="1">
      <c r="F448" s="22"/>
      <c r="G448" s="22"/>
      <c r="H448" s="22"/>
      <c r="I448" s="6"/>
      <c r="J448" s="16"/>
      <c r="K448" s="16"/>
      <c r="L448" s="23"/>
      <c r="M448" s="23"/>
      <c r="N448" s="23"/>
      <c r="O448" s="23"/>
      <c r="AH448" s="20"/>
    </row>
    <row r="449" spans="6:34" ht="15.75" customHeight="1">
      <c r="F449" s="22"/>
      <c r="G449" s="22"/>
      <c r="H449" s="22"/>
      <c r="I449" s="6"/>
      <c r="J449" s="16"/>
      <c r="K449" s="16"/>
      <c r="L449" s="23"/>
      <c r="M449" s="23"/>
      <c r="N449" s="23"/>
      <c r="O449" s="23"/>
      <c r="AH449" s="20"/>
    </row>
    <row r="450" spans="6:34" ht="15.75" customHeight="1">
      <c r="F450" s="22"/>
      <c r="G450" s="22"/>
      <c r="H450" s="22"/>
      <c r="I450" s="6"/>
      <c r="J450" s="16"/>
      <c r="K450" s="16"/>
      <c r="L450" s="23"/>
      <c r="M450" s="23"/>
      <c r="N450" s="23"/>
      <c r="O450" s="23"/>
      <c r="AH450" s="20"/>
    </row>
    <row r="451" spans="6:34" ht="15.75" customHeight="1">
      <c r="F451" s="22"/>
      <c r="G451" s="22"/>
      <c r="H451" s="22"/>
      <c r="I451" s="6"/>
      <c r="J451" s="16"/>
      <c r="K451" s="16"/>
      <c r="L451" s="23"/>
      <c r="M451" s="23"/>
      <c r="N451" s="23"/>
      <c r="O451" s="23"/>
      <c r="AH451" s="20"/>
    </row>
    <row r="452" spans="6:34" ht="15.75" customHeight="1">
      <c r="F452" s="22"/>
      <c r="G452" s="22"/>
      <c r="H452" s="22"/>
      <c r="I452" s="6"/>
      <c r="J452" s="16"/>
      <c r="K452" s="16"/>
      <c r="L452" s="23"/>
      <c r="M452" s="23"/>
      <c r="N452" s="23"/>
      <c r="O452" s="23"/>
      <c r="AH452" s="20"/>
    </row>
    <row r="453" spans="6:34" ht="15.75" customHeight="1">
      <c r="F453" s="22"/>
      <c r="G453" s="22"/>
      <c r="H453" s="22"/>
      <c r="I453" s="6"/>
      <c r="J453" s="16"/>
      <c r="K453" s="16"/>
      <c r="L453" s="23"/>
      <c r="M453" s="23"/>
      <c r="N453" s="23"/>
      <c r="O453" s="23"/>
      <c r="AH453" s="20"/>
    </row>
    <row r="454" spans="6:34" ht="15.75" customHeight="1">
      <c r="F454" s="22"/>
      <c r="G454" s="22"/>
      <c r="H454" s="22"/>
      <c r="I454" s="6"/>
      <c r="J454" s="16"/>
      <c r="K454" s="16"/>
      <c r="L454" s="23"/>
      <c r="M454" s="23"/>
      <c r="N454" s="23"/>
      <c r="O454" s="23"/>
      <c r="AH454" s="20"/>
    </row>
    <row r="455" spans="6:34" ht="15.75" customHeight="1">
      <c r="F455" s="22"/>
      <c r="G455" s="22"/>
      <c r="H455" s="22"/>
      <c r="I455" s="6"/>
      <c r="J455" s="16"/>
      <c r="K455" s="16"/>
      <c r="L455" s="23"/>
      <c r="M455" s="23"/>
      <c r="N455" s="23"/>
      <c r="O455" s="23"/>
      <c r="AH455" s="20"/>
    </row>
    <row r="456" spans="6:34" ht="15.75" customHeight="1">
      <c r="F456" s="22"/>
      <c r="G456" s="22"/>
      <c r="H456" s="22"/>
      <c r="I456" s="6"/>
      <c r="J456" s="16"/>
      <c r="K456" s="16"/>
      <c r="L456" s="23"/>
      <c r="M456" s="23"/>
      <c r="N456" s="23"/>
      <c r="O456" s="23"/>
      <c r="AH456" s="20"/>
    </row>
    <row r="457" spans="6:34" ht="15.75" customHeight="1">
      <c r="F457" s="22"/>
      <c r="G457" s="22"/>
      <c r="H457" s="22"/>
      <c r="I457" s="6"/>
      <c r="J457" s="16"/>
      <c r="K457" s="16"/>
      <c r="L457" s="23"/>
      <c r="M457" s="23"/>
      <c r="N457" s="23"/>
      <c r="O457" s="23"/>
      <c r="AH457" s="20"/>
    </row>
    <row r="458" spans="6:34" ht="15.75" customHeight="1">
      <c r="F458" s="22"/>
      <c r="G458" s="22"/>
      <c r="H458" s="22"/>
      <c r="I458" s="6"/>
      <c r="J458" s="16"/>
      <c r="K458" s="16"/>
      <c r="L458" s="23"/>
      <c r="M458" s="23"/>
      <c r="N458" s="23"/>
      <c r="O458" s="23"/>
      <c r="AH458" s="20"/>
    </row>
    <row r="459" spans="6:34" ht="15.75" customHeight="1">
      <c r="F459" s="22"/>
      <c r="G459" s="22"/>
      <c r="H459" s="22"/>
      <c r="I459" s="6"/>
      <c r="J459" s="16"/>
      <c r="K459" s="16"/>
      <c r="L459" s="23"/>
      <c r="M459" s="23"/>
      <c r="N459" s="23"/>
      <c r="O459" s="23"/>
      <c r="AH459" s="20"/>
    </row>
    <row r="460" spans="6:34" ht="15.75" customHeight="1">
      <c r="F460" s="22"/>
      <c r="G460" s="22"/>
      <c r="H460" s="22"/>
      <c r="I460" s="6"/>
      <c r="J460" s="16"/>
      <c r="K460" s="16"/>
      <c r="L460" s="23"/>
      <c r="M460" s="23"/>
      <c r="N460" s="23"/>
      <c r="O460" s="23"/>
      <c r="AH460" s="20"/>
    </row>
    <row r="461" spans="6:34" ht="15.75" customHeight="1">
      <c r="F461" s="22"/>
      <c r="G461" s="22"/>
      <c r="H461" s="22"/>
      <c r="I461" s="6"/>
      <c r="J461" s="16"/>
      <c r="K461" s="16"/>
      <c r="L461" s="23"/>
      <c r="M461" s="23"/>
      <c r="N461" s="23"/>
      <c r="O461" s="23"/>
      <c r="AH461" s="20"/>
    </row>
    <row r="462" spans="6:34" ht="15.75" customHeight="1">
      <c r="F462" s="22"/>
      <c r="G462" s="22"/>
      <c r="H462" s="22"/>
      <c r="I462" s="6"/>
      <c r="J462" s="16"/>
      <c r="K462" s="16"/>
      <c r="L462" s="23"/>
      <c r="M462" s="23"/>
      <c r="N462" s="23"/>
      <c r="O462" s="23"/>
      <c r="AH462" s="20"/>
    </row>
    <row r="463" spans="6:34" ht="15.75" customHeight="1">
      <c r="F463" s="22"/>
      <c r="G463" s="22"/>
      <c r="H463" s="22"/>
      <c r="I463" s="6"/>
      <c r="J463" s="16"/>
      <c r="K463" s="16"/>
      <c r="L463" s="23"/>
      <c r="M463" s="23"/>
      <c r="N463" s="23"/>
      <c r="O463" s="23"/>
      <c r="AH463" s="20"/>
    </row>
    <row r="464" spans="6:34" ht="15.75" customHeight="1">
      <c r="F464" s="22"/>
      <c r="G464" s="22"/>
      <c r="H464" s="22"/>
      <c r="I464" s="6"/>
      <c r="J464" s="16"/>
      <c r="K464" s="16"/>
      <c r="L464" s="23"/>
      <c r="M464" s="23"/>
      <c r="N464" s="23"/>
      <c r="O464" s="23"/>
      <c r="AH464" s="20"/>
    </row>
    <row r="465" spans="6:34" ht="15.75" customHeight="1">
      <c r="F465" s="22"/>
      <c r="G465" s="22"/>
      <c r="H465" s="22"/>
      <c r="I465" s="6"/>
      <c r="J465" s="16"/>
      <c r="K465" s="16"/>
      <c r="L465" s="23"/>
      <c r="M465" s="23"/>
      <c r="N465" s="23"/>
      <c r="O465" s="23"/>
      <c r="AH465" s="20"/>
    </row>
    <row r="466" spans="6:34" ht="15.75" customHeight="1">
      <c r="F466" s="22"/>
      <c r="G466" s="22"/>
      <c r="H466" s="22"/>
      <c r="I466" s="6"/>
      <c r="J466" s="16"/>
      <c r="K466" s="16"/>
      <c r="L466" s="23"/>
      <c r="M466" s="23"/>
      <c r="N466" s="23"/>
      <c r="O466" s="23"/>
      <c r="AH466" s="20"/>
    </row>
    <row r="467" spans="6:34" ht="15.75" customHeight="1">
      <c r="F467" s="22"/>
      <c r="G467" s="22"/>
      <c r="H467" s="22"/>
      <c r="I467" s="6"/>
      <c r="J467" s="16"/>
      <c r="K467" s="16"/>
      <c r="L467" s="23"/>
      <c r="M467" s="23"/>
      <c r="N467" s="23"/>
      <c r="O467" s="23"/>
      <c r="AH467" s="20"/>
    </row>
    <row r="468" spans="6:34" ht="15.75" customHeight="1">
      <c r="F468" s="22"/>
      <c r="G468" s="22"/>
      <c r="H468" s="22"/>
      <c r="I468" s="6"/>
      <c r="J468" s="16"/>
      <c r="K468" s="16"/>
      <c r="L468" s="23"/>
      <c r="M468" s="23"/>
      <c r="N468" s="23"/>
      <c r="O468" s="23"/>
      <c r="AH468" s="20"/>
    </row>
    <row r="469" spans="6:34" ht="15.75" customHeight="1">
      <c r="F469" s="22"/>
      <c r="G469" s="22"/>
      <c r="H469" s="22"/>
      <c r="I469" s="6"/>
      <c r="J469" s="16"/>
      <c r="K469" s="16"/>
      <c r="L469" s="23"/>
      <c r="M469" s="23"/>
      <c r="N469" s="23"/>
      <c r="O469" s="23"/>
      <c r="AH469" s="20"/>
    </row>
    <row r="470" spans="6:34" ht="15.75" customHeight="1">
      <c r="F470" s="22"/>
      <c r="G470" s="22"/>
      <c r="H470" s="22"/>
      <c r="I470" s="6"/>
      <c r="J470" s="16"/>
      <c r="K470" s="16"/>
      <c r="L470" s="23"/>
      <c r="M470" s="23"/>
      <c r="N470" s="23"/>
      <c r="O470" s="23"/>
      <c r="AH470" s="20"/>
    </row>
    <row r="471" spans="6:34" ht="15.75" customHeight="1">
      <c r="F471" s="22"/>
      <c r="G471" s="22"/>
      <c r="H471" s="22"/>
      <c r="I471" s="6"/>
      <c r="J471" s="16"/>
      <c r="K471" s="16"/>
      <c r="L471" s="23"/>
      <c r="M471" s="23"/>
      <c r="N471" s="23"/>
      <c r="O471" s="23"/>
      <c r="AH471" s="20"/>
    </row>
    <row r="472" spans="6:34" ht="15.75" customHeight="1">
      <c r="F472" s="22"/>
      <c r="G472" s="22"/>
      <c r="H472" s="22"/>
      <c r="I472" s="6"/>
      <c r="J472" s="16"/>
      <c r="K472" s="16"/>
      <c r="L472" s="23"/>
      <c r="M472" s="23"/>
      <c r="N472" s="23"/>
      <c r="O472" s="23"/>
      <c r="AH472" s="20"/>
    </row>
    <row r="473" spans="6:34" ht="15.75" customHeight="1">
      <c r="F473" s="22"/>
      <c r="G473" s="22"/>
      <c r="H473" s="22"/>
      <c r="I473" s="6"/>
      <c r="J473" s="16"/>
      <c r="K473" s="16"/>
      <c r="L473" s="23"/>
      <c r="M473" s="23"/>
      <c r="N473" s="23"/>
      <c r="O473" s="23"/>
      <c r="AH473" s="20"/>
    </row>
    <row r="474" spans="6:34" ht="15.75" customHeight="1">
      <c r="F474" s="22"/>
      <c r="G474" s="22"/>
      <c r="H474" s="22"/>
      <c r="I474" s="6"/>
      <c r="J474" s="16"/>
      <c r="K474" s="16"/>
      <c r="L474" s="23"/>
      <c r="M474" s="23"/>
      <c r="N474" s="23"/>
      <c r="O474" s="23"/>
      <c r="AH474" s="20"/>
    </row>
    <row r="475" spans="6:34" ht="15.75" customHeight="1">
      <c r="F475" s="22"/>
      <c r="G475" s="22"/>
      <c r="H475" s="22"/>
      <c r="I475" s="6"/>
      <c r="J475" s="16"/>
      <c r="K475" s="16"/>
      <c r="L475" s="23"/>
      <c r="M475" s="23"/>
      <c r="N475" s="23"/>
      <c r="O475" s="23"/>
      <c r="AH475" s="20"/>
    </row>
    <row r="476" spans="6:34" ht="15.75" customHeight="1">
      <c r="F476" s="22"/>
      <c r="G476" s="22"/>
      <c r="H476" s="22"/>
      <c r="I476" s="6"/>
      <c r="J476" s="16"/>
      <c r="K476" s="16"/>
      <c r="L476" s="23"/>
      <c r="M476" s="23"/>
      <c r="N476" s="23"/>
      <c r="O476" s="23"/>
      <c r="AH476" s="20"/>
    </row>
    <row r="477" spans="6:34" ht="15.75" customHeight="1">
      <c r="F477" s="22"/>
      <c r="G477" s="22"/>
      <c r="H477" s="22"/>
      <c r="I477" s="6"/>
      <c r="J477" s="16"/>
      <c r="K477" s="16"/>
      <c r="L477" s="23"/>
      <c r="M477" s="23"/>
      <c r="N477" s="23"/>
      <c r="O477" s="23"/>
      <c r="AH477" s="20"/>
    </row>
    <row r="478" spans="6:34" ht="15.75" customHeight="1">
      <c r="F478" s="22"/>
      <c r="G478" s="22"/>
      <c r="H478" s="22"/>
      <c r="I478" s="6"/>
      <c r="J478" s="16"/>
      <c r="K478" s="16"/>
      <c r="L478" s="23"/>
      <c r="M478" s="23"/>
      <c r="N478" s="23"/>
      <c r="O478" s="23"/>
      <c r="AH478" s="20"/>
    </row>
    <row r="479" spans="6:34" ht="15.75" customHeight="1">
      <c r="F479" s="22"/>
      <c r="G479" s="22"/>
      <c r="H479" s="22"/>
      <c r="I479" s="6"/>
      <c r="J479" s="16"/>
      <c r="K479" s="16"/>
      <c r="L479" s="23"/>
      <c r="M479" s="23"/>
      <c r="N479" s="23"/>
      <c r="O479" s="23"/>
      <c r="AH479" s="20"/>
    </row>
    <row r="480" spans="6:34" ht="15.75" customHeight="1">
      <c r="F480" s="22"/>
      <c r="G480" s="22"/>
      <c r="H480" s="22"/>
      <c r="I480" s="6"/>
      <c r="J480" s="16"/>
      <c r="K480" s="16"/>
      <c r="L480" s="23"/>
      <c r="M480" s="23"/>
      <c r="N480" s="23"/>
      <c r="O480" s="23"/>
      <c r="AH480" s="20"/>
    </row>
    <row r="481" spans="6:34" ht="15.75" customHeight="1">
      <c r="F481" s="22"/>
      <c r="G481" s="22"/>
      <c r="H481" s="22"/>
      <c r="I481" s="6"/>
      <c r="J481" s="16"/>
      <c r="K481" s="16"/>
      <c r="L481" s="23"/>
      <c r="M481" s="23"/>
      <c r="N481" s="23"/>
      <c r="O481" s="23"/>
      <c r="AH481" s="20"/>
    </row>
    <row r="482" spans="6:34" ht="15.75" customHeight="1">
      <c r="F482" s="22"/>
      <c r="G482" s="22"/>
      <c r="H482" s="22"/>
      <c r="I482" s="6"/>
      <c r="J482" s="16"/>
      <c r="K482" s="16"/>
      <c r="L482" s="23"/>
      <c r="M482" s="23"/>
      <c r="N482" s="23"/>
      <c r="O482" s="23"/>
      <c r="AH482" s="20"/>
    </row>
    <row r="483" spans="6:34" ht="15.75" customHeight="1">
      <c r="F483" s="22"/>
      <c r="G483" s="22"/>
      <c r="H483" s="22"/>
      <c r="I483" s="6"/>
      <c r="J483" s="16"/>
      <c r="K483" s="16"/>
      <c r="L483" s="23"/>
      <c r="M483" s="23"/>
      <c r="N483" s="23"/>
      <c r="O483" s="23"/>
      <c r="AH483" s="20"/>
    </row>
    <row r="484" spans="6:34" ht="15.75" customHeight="1">
      <c r="F484" s="22"/>
      <c r="G484" s="22"/>
      <c r="H484" s="22"/>
      <c r="I484" s="6"/>
      <c r="J484" s="16"/>
      <c r="K484" s="16"/>
      <c r="L484" s="23"/>
      <c r="M484" s="23"/>
      <c r="N484" s="23"/>
      <c r="O484" s="23"/>
      <c r="AH484" s="20"/>
    </row>
    <row r="485" spans="6:34" ht="15.75" customHeight="1">
      <c r="F485" s="22"/>
      <c r="G485" s="22"/>
      <c r="H485" s="22"/>
      <c r="I485" s="6"/>
      <c r="J485" s="16"/>
      <c r="K485" s="16"/>
      <c r="L485" s="23"/>
      <c r="M485" s="23"/>
      <c r="N485" s="23"/>
      <c r="O485" s="23"/>
      <c r="AH485" s="20"/>
    </row>
    <row r="486" spans="6:34" ht="15.75" customHeight="1">
      <c r="F486" s="22"/>
      <c r="G486" s="22"/>
      <c r="H486" s="22"/>
      <c r="I486" s="6"/>
      <c r="J486" s="16"/>
      <c r="K486" s="16"/>
      <c r="L486" s="23"/>
      <c r="M486" s="23"/>
      <c r="N486" s="23"/>
      <c r="O486" s="23"/>
      <c r="AH486" s="20"/>
    </row>
    <row r="487" spans="6:34" ht="15.75" customHeight="1">
      <c r="F487" s="22"/>
      <c r="G487" s="22"/>
      <c r="H487" s="22"/>
      <c r="I487" s="6"/>
      <c r="J487" s="16"/>
      <c r="K487" s="16"/>
      <c r="L487" s="23"/>
      <c r="M487" s="23"/>
      <c r="N487" s="23"/>
      <c r="O487" s="23"/>
      <c r="AH487" s="20"/>
    </row>
    <row r="488" spans="6:34" ht="15.75" customHeight="1">
      <c r="F488" s="22"/>
      <c r="G488" s="22"/>
      <c r="H488" s="22"/>
      <c r="I488" s="6"/>
      <c r="J488" s="16"/>
      <c r="K488" s="16"/>
      <c r="L488" s="23"/>
      <c r="M488" s="23"/>
      <c r="N488" s="23"/>
      <c r="O488" s="23"/>
      <c r="AH488" s="20"/>
    </row>
    <row r="489" spans="6:34" ht="15.75" customHeight="1">
      <c r="F489" s="22"/>
      <c r="G489" s="22"/>
      <c r="H489" s="22"/>
      <c r="I489" s="6"/>
      <c r="J489" s="16"/>
      <c r="K489" s="16"/>
      <c r="L489" s="23"/>
      <c r="M489" s="23"/>
      <c r="N489" s="23"/>
      <c r="O489" s="23"/>
      <c r="AH489" s="20"/>
    </row>
    <row r="490" spans="6:34" ht="15.75" customHeight="1">
      <c r="F490" s="22"/>
      <c r="G490" s="22"/>
      <c r="H490" s="22"/>
      <c r="I490" s="6"/>
      <c r="J490" s="16"/>
      <c r="K490" s="16"/>
      <c r="L490" s="23"/>
      <c r="M490" s="23"/>
      <c r="N490" s="23"/>
      <c r="O490" s="23"/>
      <c r="AH490" s="20"/>
    </row>
    <row r="491" spans="6:34" ht="15.75" customHeight="1">
      <c r="F491" s="22"/>
      <c r="G491" s="22"/>
      <c r="H491" s="22"/>
      <c r="I491" s="6"/>
      <c r="J491" s="16"/>
      <c r="K491" s="16"/>
      <c r="L491" s="23"/>
      <c r="M491" s="23"/>
      <c r="N491" s="23"/>
      <c r="O491" s="23"/>
      <c r="AH491" s="20"/>
    </row>
    <row r="492" spans="6:34" ht="15.75" customHeight="1">
      <c r="F492" s="22"/>
      <c r="G492" s="22"/>
      <c r="H492" s="22"/>
      <c r="I492" s="6"/>
      <c r="J492" s="16"/>
      <c r="K492" s="16"/>
      <c r="L492" s="23"/>
      <c r="M492" s="23"/>
      <c r="N492" s="23"/>
      <c r="O492" s="23"/>
      <c r="AH492" s="20"/>
    </row>
    <row r="493" spans="6:34" ht="15.75" customHeight="1">
      <c r="F493" s="22"/>
      <c r="G493" s="22"/>
      <c r="H493" s="22"/>
      <c r="I493" s="6"/>
      <c r="J493" s="16"/>
      <c r="K493" s="16"/>
      <c r="L493" s="23"/>
      <c r="M493" s="23"/>
      <c r="N493" s="23"/>
      <c r="O493" s="23"/>
      <c r="AH493" s="20"/>
    </row>
    <row r="494" spans="6:34" ht="15.75" customHeight="1">
      <c r="F494" s="22"/>
      <c r="G494" s="22"/>
      <c r="H494" s="22"/>
      <c r="I494" s="6"/>
      <c r="J494" s="16"/>
      <c r="K494" s="16"/>
      <c r="L494" s="23"/>
      <c r="M494" s="23"/>
      <c r="N494" s="23"/>
      <c r="O494" s="23"/>
      <c r="AH494" s="20"/>
    </row>
    <row r="495" spans="6:34" ht="15.75" customHeight="1">
      <c r="F495" s="22"/>
      <c r="G495" s="22"/>
      <c r="H495" s="22"/>
      <c r="I495" s="6"/>
      <c r="J495" s="16"/>
      <c r="K495" s="16"/>
      <c r="L495" s="23"/>
      <c r="M495" s="23"/>
      <c r="N495" s="23"/>
      <c r="O495" s="23"/>
      <c r="AH495" s="20"/>
    </row>
    <row r="496" spans="6:34" ht="15.75" customHeight="1">
      <c r="F496" s="22"/>
      <c r="G496" s="22"/>
      <c r="H496" s="22"/>
      <c r="I496" s="6"/>
      <c r="J496" s="16"/>
      <c r="K496" s="16"/>
      <c r="L496" s="23"/>
      <c r="M496" s="23"/>
      <c r="N496" s="23"/>
      <c r="O496" s="23"/>
      <c r="AH496" s="20"/>
    </row>
    <row r="497" spans="6:34" ht="15.75" customHeight="1">
      <c r="F497" s="22"/>
      <c r="G497" s="22"/>
      <c r="H497" s="22"/>
      <c r="I497" s="6"/>
      <c r="J497" s="16"/>
      <c r="K497" s="16"/>
      <c r="L497" s="23"/>
      <c r="M497" s="23"/>
      <c r="N497" s="23"/>
      <c r="O497" s="23"/>
      <c r="AH497" s="20"/>
    </row>
    <row r="498" spans="6:34" ht="15.75" customHeight="1">
      <c r="F498" s="22"/>
      <c r="G498" s="22"/>
      <c r="H498" s="22"/>
      <c r="I498" s="6"/>
      <c r="J498" s="16"/>
      <c r="K498" s="16"/>
      <c r="L498" s="23"/>
      <c r="M498" s="23"/>
      <c r="N498" s="23"/>
      <c r="O498" s="23"/>
      <c r="AH498" s="20"/>
    </row>
    <row r="499" spans="6:34" ht="15.75" customHeight="1">
      <c r="F499" s="22"/>
      <c r="G499" s="22"/>
      <c r="H499" s="22"/>
      <c r="I499" s="6"/>
      <c r="J499" s="16"/>
      <c r="K499" s="16"/>
      <c r="L499" s="23"/>
      <c r="M499" s="23"/>
      <c r="N499" s="23"/>
      <c r="O499" s="23"/>
      <c r="AH499" s="20"/>
    </row>
    <row r="500" spans="6:34" ht="15.75" customHeight="1">
      <c r="F500" s="22"/>
      <c r="G500" s="22"/>
      <c r="H500" s="22"/>
      <c r="I500" s="6"/>
      <c r="J500" s="16"/>
      <c r="K500" s="16"/>
      <c r="L500" s="23"/>
      <c r="M500" s="23"/>
      <c r="N500" s="23"/>
      <c r="O500" s="23"/>
      <c r="AH500" s="20"/>
    </row>
    <row r="501" spans="6:34" ht="15.75" customHeight="1">
      <c r="F501" s="22"/>
      <c r="G501" s="22"/>
      <c r="H501" s="22"/>
      <c r="I501" s="6"/>
      <c r="J501" s="16"/>
      <c r="K501" s="16"/>
      <c r="L501" s="23"/>
      <c r="M501" s="23"/>
      <c r="N501" s="23"/>
      <c r="O501" s="23"/>
      <c r="AH501" s="20"/>
    </row>
    <row r="502" spans="6:34" ht="15.75" customHeight="1">
      <c r="F502" s="22"/>
      <c r="G502" s="22"/>
      <c r="H502" s="22"/>
      <c r="I502" s="6"/>
      <c r="J502" s="16"/>
      <c r="K502" s="16"/>
      <c r="L502" s="23"/>
      <c r="M502" s="23"/>
      <c r="N502" s="23"/>
      <c r="O502" s="23"/>
      <c r="AH502" s="20"/>
    </row>
    <row r="503" spans="6:34" ht="15.75" customHeight="1">
      <c r="F503" s="22"/>
      <c r="G503" s="22"/>
      <c r="H503" s="22"/>
      <c r="I503" s="6"/>
      <c r="J503" s="16"/>
      <c r="K503" s="16"/>
      <c r="L503" s="23"/>
      <c r="M503" s="23"/>
      <c r="N503" s="23"/>
      <c r="O503" s="23"/>
      <c r="AH503" s="20"/>
    </row>
    <row r="504" spans="6:34" ht="15.75" customHeight="1">
      <c r="F504" s="22"/>
      <c r="G504" s="22"/>
      <c r="H504" s="22"/>
      <c r="I504" s="6"/>
      <c r="J504" s="16"/>
      <c r="K504" s="16"/>
      <c r="L504" s="23"/>
      <c r="M504" s="23"/>
      <c r="N504" s="23"/>
      <c r="O504" s="23"/>
      <c r="AH504" s="20"/>
    </row>
    <row r="505" spans="6:34" ht="15.75" customHeight="1">
      <c r="F505" s="22"/>
      <c r="G505" s="22"/>
      <c r="H505" s="22"/>
      <c r="I505" s="6"/>
      <c r="J505" s="16"/>
      <c r="K505" s="16"/>
      <c r="L505" s="23"/>
      <c r="M505" s="23"/>
      <c r="N505" s="23"/>
      <c r="O505" s="23"/>
      <c r="AH505" s="20"/>
    </row>
    <row r="506" spans="6:34" ht="15.75" customHeight="1">
      <c r="F506" s="22"/>
      <c r="G506" s="22"/>
      <c r="H506" s="22"/>
      <c r="I506" s="6"/>
      <c r="J506" s="16"/>
      <c r="K506" s="16"/>
      <c r="L506" s="23"/>
      <c r="M506" s="23"/>
      <c r="N506" s="23"/>
      <c r="O506" s="23"/>
      <c r="AH506" s="20"/>
    </row>
    <row r="507" spans="6:34" ht="15.75" customHeight="1">
      <c r="F507" s="22"/>
      <c r="G507" s="22"/>
      <c r="H507" s="22"/>
      <c r="I507" s="6"/>
      <c r="J507" s="16"/>
      <c r="K507" s="16"/>
      <c r="L507" s="23"/>
      <c r="M507" s="23"/>
      <c r="N507" s="23"/>
      <c r="O507" s="23"/>
      <c r="AH507" s="20"/>
    </row>
    <row r="508" spans="6:34" ht="15.75" customHeight="1">
      <c r="F508" s="22"/>
      <c r="G508" s="22"/>
      <c r="H508" s="22"/>
      <c r="I508" s="6"/>
      <c r="J508" s="16"/>
      <c r="K508" s="16"/>
      <c r="L508" s="23"/>
      <c r="M508" s="23"/>
      <c r="N508" s="23"/>
      <c r="O508" s="23"/>
      <c r="AH508" s="20"/>
    </row>
    <row r="509" spans="6:34" ht="15.75" customHeight="1">
      <c r="F509" s="22"/>
      <c r="G509" s="22"/>
      <c r="H509" s="22"/>
      <c r="I509" s="6"/>
      <c r="J509" s="16"/>
      <c r="K509" s="16"/>
      <c r="L509" s="23"/>
      <c r="M509" s="23"/>
      <c r="N509" s="23"/>
      <c r="O509" s="23"/>
      <c r="AH509" s="20"/>
    </row>
    <row r="510" spans="6:34" ht="15.75" customHeight="1">
      <c r="F510" s="22"/>
      <c r="G510" s="22"/>
      <c r="H510" s="22"/>
      <c r="I510" s="6"/>
      <c r="J510" s="16"/>
      <c r="K510" s="16"/>
      <c r="L510" s="23"/>
      <c r="M510" s="23"/>
      <c r="N510" s="23"/>
      <c r="O510" s="23"/>
      <c r="AH510" s="20"/>
    </row>
    <row r="511" spans="6:34" ht="15.75" customHeight="1">
      <c r="F511" s="22"/>
      <c r="G511" s="22"/>
      <c r="H511" s="22"/>
      <c r="I511" s="6"/>
      <c r="J511" s="16"/>
      <c r="K511" s="16"/>
      <c r="L511" s="23"/>
      <c r="M511" s="23"/>
      <c r="N511" s="23"/>
      <c r="O511" s="23"/>
      <c r="AH511" s="20"/>
    </row>
    <row r="512" spans="6:34" ht="15.75" customHeight="1">
      <c r="F512" s="22"/>
      <c r="G512" s="22"/>
      <c r="H512" s="22"/>
      <c r="I512" s="6"/>
      <c r="J512" s="16"/>
      <c r="K512" s="16"/>
      <c r="L512" s="23"/>
      <c r="M512" s="23"/>
      <c r="N512" s="23"/>
      <c r="O512" s="23"/>
      <c r="AH512" s="20"/>
    </row>
    <row r="513" spans="6:34" ht="15.75" customHeight="1">
      <c r="F513" s="22"/>
      <c r="G513" s="22"/>
      <c r="H513" s="22"/>
      <c r="I513" s="6"/>
      <c r="J513" s="16"/>
      <c r="K513" s="16"/>
      <c r="L513" s="23"/>
      <c r="M513" s="23"/>
      <c r="N513" s="23"/>
      <c r="O513" s="23"/>
      <c r="AH513" s="20"/>
    </row>
    <row r="514" spans="6:34" ht="15.75" customHeight="1">
      <c r="F514" s="22"/>
      <c r="G514" s="22"/>
      <c r="H514" s="22"/>
      <c r="I514" s="6"/>
      <c r="J514" s="16"/>
      <c r="K514" s="16"/>
      <c r="L514" s="23"/>
      <c r="M514" s="23"/>
      <c r="N514" s="23"/>
      <c r="O514" s="23"/>
      <c r="AH514" s="20"/>
    </row>
    <row r="515" spans="6:34" ht="15.75" customHeight="1">
      <c r="F515" s="22"/>
      <c r="G515" s="22"/>
      <c r="H515" s="22"/>
      <c r="I515" s="6"/>
      <c r="J515" s="16"/>
      <c r="K515" s="16"/>
      <c r="L515" s="23"/>
      <c r="M515" s="23"/>
      <c r="N515" s="23"/>
      <c r="O515" s="23"/>
      <c r="AH515" s="20"/>
    </row>
    <row r="516" spans="6:34" ht="15.75" customHeight="1">
      <c r="F516" s="22"/>
      <c r="G516" s="22"/>
      <c r="H516" s="22"/>
      <c r="I516" s="6"/>
      <c r="J516" s="16"/>
      <c r="K516" s="16"/>
      <c r="L516" s="23"/>
      <c r="M516" s="23"/>
      <c r="N516" s="23"/>
      <c r="O516" s="23"/>
      <c r="AH516" s="20"/>
    </row>
    <row r="517" spans="6:34" ht="15.75" customHeight="1">
      <c r="F517" s="22"/>
      <c r="G517" s="22"/>
      <c r="H517" s="22"/>
      <c r="I517" s="6"/>
      <c r="J517" s="16"/>
      <c r="K517" s="16"/>
      <c r="L517" s="23"/>
      <c r="M517" s="23"/>
      <c r="N517" s="23"/>
      <c r="O517" s="23"/>
      <c r="AH517" s="20"/>
    </row>
    <row r="518" spans="6:34" ht="15.75" customHeight="1">
      <c r="F518" s="22"/>
      <c r="G518" s="22"/>
      <c r="H518" s="22"/>
      <c r="I518" s="6"/>
      <c r="J518" s="16"/>
      <c r="K518" s="16"/>
      <c r="L518" s="23"/>
      <c r="M518" s="23"/>
      <c r="N518" s="23"/>
      <c r="O518" s="23"/>
      <c r="AH518" s="20"/>
    </row>
    <row r="519" spans="6:34" ht="15.75" customHeight="1">
      <c r="F519" s="22"/>
      <c r="G519" s="22"/>
      <c r="H519" s="22"/>
      <c r="I519" s="6"/>
      <c r="J519" s="16"/>
      <c r="K519" s="16"/>
      <c r="L519" s="23"/>
      <c r="M519" s="23"/>
      <c r="N519" s="23"/>
      <c r="O519" s="23"/>
      <c r="AH519" s="20"/>
    </row>
    <row r="520" spans="6:34" ht="15.75" customHeight="1">
      <c r="F520" s="22"/>
      <c r="G520" s="22"/>
      <c r="H520" s="22"/>
      <c r="I520" s="6"/>
      <c r="J520" s="16"/>
      <c r="K520" s="16"/>
      <c r="L520" s="23"/>
      <c r="M520" s="23"/>
      <c r="N520" s="23"/>
      <c r="O520" s="23"/>
      <c r="AH520" s="20"/>
    </row>
    <row r="521" spans="6:34" ht="15.75" customHeight="1">
      <c r="F521" s="22"/>
      <c r="G521" s="22"/>
      <c r="H521" s="22"/>
      <c r="I521" s="6"/>
      <c r="J521" s="16"/>
      <c r="K521" s="16"/>
      <c r="L521" s="23"/>
      <c r="M521" s="23"/>
      <c r="N521" s="23"/>
      <c r="O521" s="23"/>
      <c r="AH521" s="20"/>
    </row>
    <row r="522" spans="6:34" ht="15.75" customHeight="1">
      <c r="F522" s="22"/>
      <c r="G522" s="22"/>
      <c r="H522" s="22"/>
      <c r="I522" s="6"/>
      <c r="J522" s="16"/>
      <c r="K522" s="16"/>
      <c r="L522" s="23"/>
      <c r="M522" s="23"/>
      <c r="N522" s="23"/>
      <c r="O522" s="23"/>
      <c r="AH522" s="20"/>
    </row>
    <row r="523" spans="6:34" ht="15.75" customHeight="1">
      <c r="F523" s="22"/>
      <c r="G523" s="22"/>
      <c r="H523" s="22"/>
      <c r="I523" s="6"/>
      <c r="J523" s="16"/>
      <c r="K523" s="16"/>
      <c r="L523" s="23"/>
      <c r="M523" s="23"/>
      <c r="N523" s="23"/>
      <c r="O523" s="23"/>
      <c r="AH523" s="20"/>
    </row>
    <row r="524" spans="6:34" ht="15.75" customHeight="1">
      <c r="F524" s="22"/>
      <c r="G524" s="22"/>
      <c r="H524" s="22"/>
      <c r="I524" s="6"/>
      <c r="J524" s="16"/>
      <c r="K524" s="16"/>
      <c r="L524" s="23"/>
      <c r="M524" s="23"/>
      <c r="N524" s="23"/>
      <c r="O524" s="23"/>
      <c r="AH524" s="20"/>
    </row>
    <row r="525" spans="6:34" ht="15.75" customHeight="1">
      <c r="F525" s="22"/>
      <c r="G525" s="22"/>
      <c r="H525" s="22"/>
      <c r="I525" s="6"/>
      <c r="J525" s="16"/>
      <c r="K525" s="16"/>
      <c r="L525" s="23"/>
      <c r="M525" s="23"/>
      <c r="N525" s="23"/>
      <c r="O525" s="23"/>
      <c r="AH525" s="20"/>
    </row>
    <row r="526" spans="6:34" ht="15.75" customHeight="1">
      <c r="F526" s="22"/>
      <c r="G526" s="22"/>
      <c r="H526" s="22"/>
      <c r="I526" s="6"/>
      <c r="J526" s="16"/>
      <c r="K526" s="16"/>
      <c r="L526" s="23"/>
      <c r="M526" s="23"/>
      <c r="N526" s="23"/>
      <c r="O526" s="23"/>
      <c r="AH526" s="20"/>
    </row>
    <row r="527" spans="6:34" ht="15.75" customHeight="1">
      <c r="F527" s="22"/>
      <c r="G527" s="22"/>
      <c r="H527" s="22"/>
      <c r="I527" s="6"/>
      <c r="J527" s="16"/>
      <c r="K527" s="16"/>
      <c r="L527" s="23"/>
      <c r="M527" s="23"/>
      <c r="N527" s="23"/>
      <c r="O527" s="23"/>
      <c r="AH527" s="20"/>
    </row>
    <row r="528" spans="6:34" ht="15.75" customHeight="1">
      <c r="F528" s="22"/>
      <c r="G528" s="22"/>
      <c r="H528" s="22"/>
      <c r="I528" s="6"/>
      <c r="J528" s="16"/>
      <c r="K528" s="16"/>
      <c r="L528" s="23"/>
      <c r="M528" s="23"/>
      <c r="N528" s="23"/>
      <c r="O528" s="23"/>
      <c r="AH528" s="20"/>
    </row>
    <row r="529" spans="6:34" ht="15.75" customHeight="1">
      <c r="F529" s="22"/>
      <c r="G529" s="22"/>
      <c r="H529" s="22"/>
      <c r="I529" s="6"/>
      <c r="J529" s="16"/>
      <c r="K529" s="16"/>
      <c r="L529" s="23"/>
      <c r="M529" s="23"/>
      <c r="N529" s="23"/>
      <c r="O529" s="23"/>
      <c r="AH529" s="20"/>
    </row>
    <row r="530" spans="6:34" ht="15.75" customHeight="1">
      <c r="F530" s="22"/>
      <c r="G530" s="22"/>
      <c r="H530" s="22"/>
      <c r="I530" s="6"/>
      <c r="J530" s="16"/>
      <c r="K530" s="16"/>
      <c r="L530" s="23"/>
      <c r="M530" s="23"/>
      <c r="N530" s="23"/>
      <c r="O530" s="23"/>
      <c r="AH530" s="20"/>
    </row>
    <row r="531" spans="6:34" ht="15.75" customHeight="1">
      <c r="F531" s="22"/>
      <c r="G531" s="22"/>
      <c r="H531" s="22"/>
      <c r="I531" s="6"/>
      <c r="J531" s="16"/>
      <c r="K531" s="16"/>
      <c r="L531" s="23"/>
      <c r="M531" s="23"/>
      <c r="N531" s="23"/>
      <c r="O531" s="23"/>
      <c r="AH531" s="20"/>
    </row>
    <row r="532" spans="6:34" ht="15.75" customHeight="1">
      <c r="F532" s="22"/>
      <c r="G532" s="22"/>
      <c r="H532" s="22"/>
      <c r="I532" s="6"/>
      <c r="J532" s="16"/>
      <c r="K532" s="16"/>
      <c r="L532" s="23"/>
      <c r="M532" s="23"/>
      <c r="N532" s="23"/>
      <c r="O532" s="23"/>
      <c r="AH532" s="20"/>
    </row>
    <row r="533" spans="6:34" ht="15.75" customHeight="1">
      <c r="F533" s="22"/>
      <c r="G533" s="22"/>
      <c r="H533" s="22"/>
      <c r="I533" s="6"/>
      <c r="J533" s="16"/>
      <c r="K533" s="16"/>
      <c r="L533" s="23"/>
      <c r="M533" s="23"/>
      <c r="N533" s="23"/>
      <c r="O533" s="23"/>
      <c r="AH533" s="20"/>
    </row>
    <row r="534" spans="6:34" ht="15.75" customHeight="1">
      <c r="F534" s="22"/>
      <c r="G534" s="22"/>
      <c r="H534" s="22"/>
      <c r="I534" s="6"/>
      <c r="J534" s="16"/>
      <c r="K534" s="16"/>
      <c r="L534" s="23"/>
      <c r="M534" s="23"/>
      <c r="N534" s="23"/>
      <c r="O534" s="23"/>
      <c r="AH534" s="20"/>
    </row>
    <row r="535" spans="6:34" ht="15.75" customHeight="1">
      <c r="F535" s="22"/>
      <c r="G535" s="22"/>
      <c r="H535" s="22"/>
      <c r="I535" s="6"/>
      <c r="J535" s="16"/>
      <c r="K535" s="16"/>
      <c r="L535" s="23"/>
      <c r="M535" s="23"/>
      <c r="N535" s="23"/>
      <c r="O535" s="23"/>
      <c r="AH535" s="20"/>
    </row>
    <row r="536" spans="6:34" ht="15.75" customHeight="1">
      <c r="F536" s="22"/>
      <c r="G536" s="22"/>
      <c r="H536" s="22"/>
      <c r="I536" s="6"/>
      <c r="J536" s="16"/>
      <c r="K536" s="16"/>
      <c r="L536" s="23"/>
      <c r="M536" s="23"/>
      <c r="N536" s="23"/>
      <c r="O536" s="23"/>
      <c r="AH536" s="20"/>
    </row>
    <row r="537" spans="6:34" ht="15.75" customHeight="1">
      <c r="F537" s="22"/>
      <c r="G537" s="22"/>
      <c r="H537" s="22"/>
      <c r="I537" s="6"/>
      <c r="J537" s="16"/>
      <c r="K537" s="16"/>
      <c r="L537" s="23"/>
      <c r="M537" s="23"/>
      <c r="N537" s="23"/>
      <c r="O537" s="23"/>
      <c r="AH537" s="20"/>
    </row>
    <row r="538" spans="6:34" ht="15.75" customHeight="1">
      <c r="F538" s="22"/>
      <c r="G538" s="22"/>
      <c r="H538" s="22"/>
      <c r="I538" s="6"/>
      <c r="J538" s="16"/>
      <c r="K538" s="16"/>
      <c r="L538" s="23"/>
      <c r="M538" s="23"/>
      <c r="N538" s="23"/>
      <c r="O538" s="23"/>
      <c r="AH538" s="20"/>
    </row>
    <row r="539" spans="6:34" ht="15.75" customHeight="1">
      <c r="F539" s="22"/>
      <c r="G539" s="22"/>
      <c r="H539" s="22"/>
      <c r="I539" s="6"/>
      <c r="J539" s="16"/>
      <c r="K539" s="16"/>
      <c r="L539" s="23"/>
      <c r="M539" s="23"/>
      <c r="N539" s="23"/>
      <c r="O539" s="23"/>
      <c r="AH539" s="20"/>
    </row>
    <row r="540" spans="6:34" ht="15.75" customHeight="1">
      <c r="F540" s="22"/>
      <c r="G540" s="22"/>
      <c r="H540" s="22"/>
      <c r="I540" s="6"/>
      <c r="J540" s="16"/>
      <c r="K540" s="16"/>
      <c r="L540" s="23"/>
      <c r="M540" s="23"/>
      <c r="N540" s="23"/>
      <c r="O540" s="23"/>
      <c r="AH540" s="20"/>
    </row>
    <row r="541" spans="6:34" ht="15.75" customHeight="1">
      <c r="F541" s="22"/>
      <c r="G541" s="22"/>
      <c r="H541" s="22"/>
      <c r="I541" s="6"/>
      <c r="J541" s="16"/>
      <c r="K541" s="16"/>
      <c r="L541" s="23"/>
      <c r="M541" s="23"/>
      <c r="N541" s="23"/>
      <c r="O541" s="23"/>
      <c r="AH541" s="20"/>
    </row>
    <row r="542" spans="6:34" ht="15.75" customHeight="1">
      <c r="F542" s="22"/>
      <c r="G542" s="22"/>
      <c r="H542" s="22"/>
      <c r="I542" s="6"/>
      <c r="J542" s="16"/>
      <c r="K542" s="16"/>
      <c r="L542" s="23"/>
      <c r="M542" s="23"/>
      <c r="N542" s="23"/>
      <c r="O542" s="23"/>
      <c r="AH542" s="20"/>
    </row>
    <row r="543" spans="6:34" ht="15.75" customHeight="1">
      <c r="F543" s="22"/>
      <c r="G543" s="22"/>
      <c r="H543" s="22"/>
      <c r="I543" s="6"/>
      <c r="J543" s="16"/>
      <c r="K543" s="16"/>
      <c r="L543" s="23"/>
      <c r="M543" s="23"/>
      <c r="N543" s="23"/>
      <c r="O543" s="23"/>
      <c r="AH543" s="20"/>
    </row>
    <row r="544" spans="6:34" ht="15.75" customHeight="1">
      <c r="F544" s="22"/>
      <c r="G544" s="22"/>
      <c r="H544" s="22"/>
      <c r="I544" s="6"/>
      <c r="J544" s="16"/>
      <c r="K544" s="16"/>
      <c r="L544" s="23"/>
      <c r="M544" s="23"/>
      <c r="N544" s="23"/>
      <c r="O544" s="23"/>
      <c r="AH544" s="20"/>
    </row>
    <row r="545" spans="6:34" ht="15.75" customHeight="1">
      <c r="F545" s="22"/>
      <c r="G545" s="22"/>
      <c r="H545" s="22"/>
      <c r="I545" s="6"/>
      <c r="J545" s="16"/>
      <c r="K545" s="16"/>
      <c r="L545" s="23"/>
      <c r="M545" s="23"/>
      <c r="N545" s="23"/>
      <c r="O545" s="23"/>
      <c r="AH545" s="20"/>
    </row>
    <row r="546" spans="6:34" ht="15.75" customHeight="1">
      <c r="F546" s="22"/>
      <c r="G546" s="22"/>
      <c r="H546" s="22"/>
      <c r="I546" s="6"/>
      <c r="J546" s="16"/>
      <c r="K546" s="16"/>
      <c r="L546" s="23"/>
      <c r="M546" s="23"/>
      <c r="N546" s="23"/>
      <c r="O546" s="23"/>
      <c r="AH546" s="20"/>
    </row>
    <row r="547" spans="6:34" ht="15.75" customHeight="1">
      <c r="F547" s="22"/>
      <c r="G547" s="22"/>
      <c r="H547" s="22"/>
      <c r="I547" s="6"/>
      <c r="J547" s="16"/>
      <c r="K547" s="16"/>
      <c r="L547" s="23"/>
      <c r="M547" s="23"/>
      <c r="N547" s="23"/>
      <c r="O547" s="23"/>
      <c r="AH547" s="20"/>
    </row>
    <row r="548" spans="6:34" ht="15.75" customHeight="1">
      <c r="F548" s="22"/>
      <c r="G548" s="22"/>
      <c r="H548" s="22"/>
      <c r="I548" s="6"/>
      <c r="J548" s="16"/>
      <c r="K548" s="16"/>
      <c r="L548" s="23"/>
      <c r="M548" s="23"/>
      <c r="N548" s="23"/>
      <c r="O548" s="23"/>
      <c r="AH548" s="20"/>
    </row>
    <row r="549" spans="6:34" ht="15.75" customHeight="1">
      <c r="F549" s="22"/>
      <c r="G549" s="22"/>
      <c r="H549" s="22"/>
      <c r="I549" s="6"/>
      <c r="J549" s="16"/>
      <c r="K549" s="16"/>
      <c r="L549" s="23"/>
      <c r="M549" s="23"/>
      <c r="N549" s="23"/>
      <c r="O549" s="23"/>
      <c r="AH549" s="20"/>
    </row>
    <row r="550" spans="6:34" ht="15.75" customHeight="1">
      <c r="F550" s="22"/>
      <c r="G550" s="22"/>
      <c r="H550" s="22"/>
      <c r="I550" s="6"/>
      <c r="J550" s="16"/>
      <c r="K550" s="16"/>
      <c r="L550" s="23"/>
      <c r="M550" s="23"/>
      <c r="N550" s="23"/>
      <c r="O550" s="23"/>
      <c r="AH550" s="20"/>
    </row>
    <row r="551" spans="6:34" ht="15.75" customHeight="1">
      <c r="F551" s="22"/>
      <c r="G551" s="22"/>
      <c r="H551" s="22"/>
      <c r="I551" s="6"/>
      <c r="J551" s="16"/>
      <c r="K551" s="16"/>
      <c r="L551" s="23"/>
      <c r="M551" s="23"/>
      <c r="N551" s="23"/>
      <c r="O551" s="23"/>
      <c r="AH551" s="20"/>
    </row>
    <row r="552" spans="6:34" ht="15.75" customHeight="1">
      <c r="F552" s="22"/>
      <c r="G552" s="22"/>
      <c r="H552" s="22"/>
      <c r="I552" s="6"/>
      <c r="J552" s="16"/>
      <c r="K552" s="16"/>
      <c r="L552" s="23"/>
      <c r="M552" s="23"/>
      <c r="N552" s="23"/>
      <c r="O552" s="23"/>
      <c r="AH552" s="20"/>
    </row>
    <row r="553" spans="6:34" ht="15.75" customHeight="1">
      <c r="F553" s="22"/>
      <c r="G553" s="22"/>
      <c r="H553" s="22"/>
      <c r="I553" s="6"/>
      <c r="J553" s="16"/>
      <c r="K553" s="16"/>
      <c r="L553" s="23"/>
      <c r="M553" s="23"/>
      <c r="N553" s="23"/>
      <c r="O553" s="23"/>
      <c r="AH553" s="20"/>
    </row>
    <row r="554" spans="6:34" ht="15.75" customHeight="1">
      <c r="F554" s="22"/>
      <c r="G554" s="22"/>
      <c r="H554" s="22"/>
      <c r="I554" s="6"/>
      <c r="J554" s="16"/>
      <c r="K554" s="16"/>
      <c r="L554" s="23"/>
      <c r="M554" s="23"/>
      <c r="N554" s="23"/>
      <c r="O554" s="23"/>
      <c r="AH554" s="20"/>
    </row>
    <row r="555" spans="6:34" ht="15.75" customHeight="1">
      <c r="F555" s="22"/>
      <c r="G555" s="22"/>
      <c r="H555" s="22"/>
      <c r="I555" s="6"/>
      <c r="J555" s="16"/>
      <c r="K555" s="16"/>
      <c r="L555" s="23"/>
      <c r="M555" s="23"/>
      <c r="N555" s="23"/>
      <c r="O555" s="23"/>
      <c r="AH555" s="20"/>
    </row>
    <row r="556" spans="6:34" ht="15.75" customHeight="1">
      <c r="F556" s="22"/>
      <c r="G556" s="22"/>
      <c r="H556" s="22"/>
      <c r="I556" s="6"/>
      <c r="J556" s="16"/>
      <c r="K556" s="16"/>
      <c r="L556" s="23"/>
      <c r="M556" s="23"/>
      <c r="N556" s="23"/>
      <c r="O556" s="23"/>
      <c r="AH556" s="20"/>
    </row>
    <row r="557" spans="6:34" ht="15.75" customHeight="1">
      <c r="F557" s="22"/>
      <c r="G557" s="22"/>
      <c r="H557" s="22"/>
      <c r="I557" s="6"/>
      <c r="J557" s="16"/>
      <c r="K557" s="16"/>
      <c r="L557" s="23"/>
      <c r="M557" s="23"/>
      <c r="N557" s="23"/>
      <c r="O557" s="23"/>
      <c r="AH557" s="20"/>
    </row>
    <row r="558" spans="6:34" ht="15.75" customHeight="1">
      <c r="F558" s="22"/>
      <c r="G558" s="22"/>
      <c r="H558" s="22"/>
      <c r="I558" s="6"/>
      <c r="J558" s="16"/>
      <c r="K558" s="16"/>
      <c r="L558" s="23"/>
      <c r="M558" s="23"/>
      <c r="N558" s="23"/>
      <c r="O558" s="23"/>
      <c r="AH558" s="20"/>
    </row>
    <row r="559" spans="6:34" ht="15.75" customHeight="1">
      <c r="F559" s="22"/>
      <c r="G559" s="22"/>
      <c r="H559" s="22"/>
      <c r="I559" s="6"/>
      <c r="J559" s="16"/>
      <c r="K559" s="16"/>
      <c r="L559" s="23"/>
      <c r="M559" s="23"/>
      <c r="N559" s="23"/>
      <c r="O559" s="23"/>
      <c r="AH559" s="20"/>
    </row>
    <row r="560" spans="6:34" ht="15.75" customHeight="1">
      <c r="F560" s="22"/>
      <c r="G560" s="22"/>
      <c r="H560" s="22"/>
      <c r="I560" s="6"/>
      <c r="J560" s="16"/>
      <c r="K560" s="16"/>
      <c r="L560" s="23"/>
      <c r="M560" s="23"/>
      <c r="N560" s="23"/>
      <c r="O560" s="23"/>
      <c r="AH560" s="20"/>
    </row>
    <row r="561" spans="6:34" ht="15.75" customHeight="1">
      <c r="F561" s="22"/>
      <c r="G561" s="22"/>
      <c r="H561" s="22"/>
      <c r="I561" s="6"/>
      <c r="J561" s="16"/>
      <c r="K561" s="16"/>
      <c r="L561" s="23"/>
      <c r="M561" s="23"/>
      <c r="N561" s="23"/>
      <c r="O561" s="23"/>
      <c r="AH561" s="20"/>
    </row>
    <row r="562" spans="6:34" ht="15.75" customHeight="1">
      <c r="F562" s="22"/>
      <c r="G562" s="22"/>
      <c r="H562" s="22"/>
      <c r="I562" s="6"/>
      <c r="J562" s="16"/>
      <c r="K562" s="16"/>
      <c r="L562" s="23"/>
      <c r="M562" s="23"/>
      <c r="N562" s="23"/>
      <c r="O562" s="23"/>
      <c r="AH562" s="20"/>
    </row>
    <row r="563" spans="6:34" ht="15.75" customHeight="1">
      <c r="F563" s="22"/>
      <c r="G563" s="22"/>
      <c r="H563" s="22"/>
      <c r="I563" s="6"/>
      <c r="J563" s="16"/>
      <c r="K563" s="16"/>
      <c r="L563" s="23"/>
      <c r="M563" s="23"/>
      <c r="N563" s="23"/>
      <c r="O563" s="23"/>
      <c r="AH563" s="20"/>
    </row>
    <row r="564" spans="6:34" ht="15.75" customHeight="1">
      <c r="F564" s="22"/>
      <c r="G564" s="22"/>
      <c r="H564" s="22"/>
      <c r="I564" s="6"/>
      <c r="J564" s="16"/>
      <c r="K564" s="16"/>
      <c r="L564" s="23"/>
      <c r="M564" s="23"/>
      <c r="N564" s="23"/>
      <c r="O564" s="23"/>
      <c r="AH564" s="20"/>
    </row>
    <row r="565" spans="6:34" ht="15.75" customHeight="1">
      <c r="F565" s="22"/>
      <c r="G565" s="22"/>
      <c r="H565" s="22"/>
      <c r="I565" s="6"/>
      <c r="J565" s="16"/>
      <c r="K565" s="16"/>
      <c r="L565" s="23"/>
      <c r="M565" s="23"/>
      <c r="N565" s="23"/>
      <c r="O565" s="23"/>
      <c r="AH565" s="20"/>
    </row>
    <row r="566" spans="6:34" ht="15.75" customHeight="1">
      <c r="F566" s="22"/>
      <c r="G566" s="22"/>
      <c r="H566" s="22"/>
      <c r="I566" s="6"/>
      <c r="J566" s="16"/>
      <c r="K566" s="16"/>
      <c r="L566" s="23"/>
      <c r="M566" s="23"/>
      <c r="N566" s="23"/>
      <c r="O566" s="23"/>
      <c r="AH566" s="20"/>
    </row>
    <row r="567" spans="6:34" ht="15.75" customHeight="1">
      <c r="F567" s="22"/>
      <c r="G567" s="22"/>
      <c r="H567" s="22"/>
      <c r="I567" s="6"/>
      <c r="J567" s="16"/>
      <c r="K567" s="16"/>
      <c r="L567" s="23"/>
      <c r="M567" s="23"/>
      <c r="N567" s="23"/>
      <c r="O567" s="23"/>
      <c r="AH567" s="20"/>
    </row>
    <row r="568" spans="6:34" ht="15.75" customHeight="1">
      <c r="F568" s="22"/>
      <c r="G568" s="22"/>
      <c r="H568" s="22"/>
      <c r="I568" s="6"/>
      <c r="J568" s="16"/>
      <c r="K568" s="16"/>
      <c r="L568" s="23"/>
      <c r="M568" s="23"/>
      <c r="N568" s="23"/>
      <c r="O568" s="23"/>
      <c r="AH568" s="20"/>
    </row>
    <row r="569" spans="6:34" ht="15.75" customHeight="1">
      <c r="F569" s="22"/>
      <c r="G569" s="22"/>
      <c r="H569" s="22"/>
      <c r="I569" s="6"/>
      <c r="J569" s="16"/>
      <c r="K569" s="16"/>
      <c r="L569" s="23"/>
      <c r="M569" s="23"/>
      <c r="N569" s="23"/>
      <c r="O569" s="23"/>
      <c r="AH569" s="20"/>
    </row>
    <row r="570" spans="6:34" ht="15.75" customHeight="1">
      <c r="F570" s="22"/>
      <c r="G570" s="22"/>
      <c r="H570" s="22"/>
      <c r="I570" s="6"/>
      <c r="J570" s="16"/>
      <c r="K570" s="16"/>
      <c r="L570" s="23"/>
      <c r="M570" s="23"/>
      <c r="N570" s="23"/>
      <c r="O570" s="23"/>
      <c r="AH570" s="20"/>
    </row>
    <row r="571" spans="6:34" ht="15.75" customHeight="1">
      <c r="F571" s="22"/>
      <c r="G571" s="22"/>
      <c r="H571" s="22"/>
      <c r="I571" s="6"/>
      <c r="J571" s="16"/>
      <c r="K571" s="16"/>
      <c r="L571" s="23"/>
      <c r="M571" s="23"/>
      <c r="N571" s="23"/>
      <c r="O571" s="23"/>
      <c r="AH571" s="20"/>
    </row>
    <row r="572" spans="6:34" ht="15.75" customHeight="1">
      <c r="F572" s="22"/>
      <c r="G572" s="22"/>
      <c r="H572" s="22"/>
      <c r="I572" s="6"/>
      <c r="J572" s="16"/>
      <c r="K572" s="16"/>
      <c r="L572" s="23"/>
      <c r="M572" s="23"/>
      <c r="N572" s="23"/>
      <c r="O572" s="23"/>
      <c r="AH572" s="20"/>
    </row>
    <row r="573" spans="6:34" ht="15.75" customHeight="1">
      <c r="F573" s="22"/>
      <c r="G573" s="22"/>
      <c r="H573" s="22"/>
      <c r="I573" s="6"/>
      <c r="J573" s="16"/>
      <c r="K573" s="16"/>
      <c r="L573" s="23"/>
      <c r="M573" s="23"/>
      <c r="N573" s="23"/>
      <c r="O573" s="23"/>
      <c r="AH573" s="20"/>
    </row>
    <row r="574" spans="6:34" ht="15.75" customHeight="1">
      <c r="F574" s="22"/>
      <c r="G574" s="22"/>
      <c r="H574" s="22"/>
      <c r="I574" s="6"/>
      <c r="J574" s="16"/>
      <c r="K574" s="16"/>
      <c r="L574" s="23"/>
      <c r="M574" s="23"/>
      <c r="N574" s="23"/>
      <c r="O574" s="23"/>
      <c r="AH574" s="20"/>
    </row>
    <row r="575" spans="6:34" ht="15.75" customHeight="1">
      <c r="F575" s="22"/>
      <c r="G575" s="22"/>
      <c r="H575" s="22"/>
      <c r="I575" s="6"/>
      <c r="J575" s="16"/>
      <c r="K575" s="16"/>
      <c r="L575" s="23"/>
      <c r="M575" s="23"/>
      <c r="N575" s="23"/>
      <c r="O575" s="23"/>
      <c r="AH575" s="20"/>
    </row>
    <row r="576" spans="6:34" ht="15.75" customHeight="1">
      <c r="F576" s="22"/>
      <c r="G576" s="22"/>
      <c r="H576" s="22"/>
      <c r="I576" s="6"/>
      <c r="J576" s="16"/>
      <c r="K576" s="16"/>
      <c r="L576" s="23"/>
      <c r="M576" s="23"/>
      <c r="N576" s="23"/>
      <c r="O576" s="23"/>
      <c r="AH576" s="20"/>
    </row>
    <row r="577" spans="6:34" ht="15.75" customHeight="1">
      <c r="F577" s="22"/>
      <c r="G577" s="22"/>
      <c r="H577" s="22"/>
      <c r="I577" s="6"/>
      <c r="J577" s="16"/>
      <c r="K577" s="16"/>
      <c r="L577" s="23"/>
      <c r="M577" s="23"/>
      <c r="N577" s="23"/>
      <c r="O577" s="23"/>
      <c r="AH577" s="20"/>
    </row>
    <row r="578" spans="6:34" ht="15.75" customHeight="1">
      <c r="F578" s="22"/>
      <c r="G578" s="22"/>
      <c r="H578" s="22"/>
      <c r="I578" s="6"/>
      <c r="J578" s="16"/>
      <c r="K578" s="16"/>
      <c r="L578" s="23"/>
      <c r="M578" s="23"/>
      <c r="N578" s="23"/>
      <c r="O578" s="23"/>
      <c r="AH578" s="20"/>
    </row>
    <row r="579" spans="6:34" ht="15.75" customHeight="1">
      <c r="F579" s="22"/>
      <c r="G579" s="22"/>
      <c r="H579" s="22"/>
      <c r="I579" s="6"/>
      <c r="J579" s="16"/>
      <c r="K579" s="16"/>
      <c r="L579" s="23"/>
      <c r="M579" s="23"/>
      <c r="N579" s="23"/>
      <c r="O579" s="23"/>
      <c r="AH579" s="20"/>
    </row>
    <row r="580" spans="6:34" ht="15.75" customHeight="1">
      <c r="F580" s="22"/>
      <c r="G580" s="22"/>
      <c r="H580" s="22"/>
      <c r="I580" s="6"/>
      <c r="J580" s="16"/>
      <c r="K580" s="16"/>
      <c r="L580" s="23"/>
      <c r="M580" s="23"/>
      <c r="N580" s="23"/>
      <c r="O580" s="23"/>
      <c r="AH580" s="20"/>
    </row>
    <row r="581" spans="6:34" ht="15.75" customHeight="1">
      <c r="F581" s="22"/>
      <c r="G581" s="22"/>
      <c r="H581" s="22"/>
      <c r="I581" s="6"/>
      <c r="J581" s="16"/>
      <c r="K581" s="16"/>
      <c r="L581" s="23"/>
      <c r="M581" s="23"/>
      <c r="N581" s="23"/>
      <c r="O581" s="23"/>
      <c r="AH581" s="20"/>
    </row>
    <row r="582" spans="6:34" ht="15.75" customHeight="1">
      <c r="F582" s="22"/>
      <c r="G582" s="22"/>
      <c r="H582" s="22"/>
      <c r="I582" s="6"/>
      <c r="J582" s="16"/>
      <c r="K582" s="16"/>
      <c r="L582" s="23"/>
      <c r="M582" s="23"/>
      <c r="N582" s="23"/>
      <c r="O582" s="23"/>
      <c r="AH582" s="20"/>
    </row>
    <row r="583" spans="6:34" ht="15.75" customHeight="1">
      <c r="F583" s="22"/>
      <c r="G583" s="22"/>
      <c r="H583" s="22"/>
      <c r="I583" s="6"/>
      <c r="J583" s="16"/>
      <c r="K583" s="16"/>
      <c r="L583" s="23"/>
      <c r="M583" s="23"/>
      <c r="N583" s="23"/>
      <c r="O583" s="23"/>
      <c r="AH583" s="20"/>
    </row>
    <row r="584" spans="6:34" ht="15.75" customHeight="1">
      <c r="F584" s="22"/>
      <c r="G584" s="22"/>
      <c r="H584" s="22"/>
      <c r="I584" s="6"/>
      <c r="J584" s="16"/>
      <c r="K584" s="16"/>
      <c r="L584" s="23"/>
      <c r="M584" s="23"/>
      <c r="N584" s="23"/>
      <c r="O584" s="23"/>
      <c r="AH584" s="20"/>
    </row>
    <row r="585" spans="6:34" ht="15.75" customHeight="1">
      <c r="F585" s="22"/>
      <c r="G585" s="22"/>
      <c r="H585" s="22"/>
      <c r="I585" s="6"/>
      <c r="J585" s="16"/>
      <c r="K585" s="16"/>
      <c r="L585" s="23"/>
      <c r="M585" s="23"/>
      <c r="N585" s="23"/>
      <c r="O585" s="23"/>
      <c r="AH585" s="20"/>
    </row>
    <row r="586" spans="6:34" ht="15.75" customHeight="1">
      <c r="F586" s="22"/>
      <c r="G586" s="22"/>
      <c r="H586" s="22"/>
      <c r="I586" s="6"/>
      <c r="J586" s="16"/>
      <c r="K586" s="16"/>
      <c r="L586" s="23"/>
      <c r="M586" s="23"/>
      <c r="N586" s="23"/>
      <c r="O586" s="23"/>
      <c r="AH586" s="20"/>
    </row>
    <row r="587" spans="6:34" ht="15.75" customHeight="1">
      <c r="F587" s="22"/>
      <c r="G587" s="22"/>
      <c r="H587" s="22"/>
      <c r="I587" s="6"/>
      <c r="J587" s="16"/>
      <c r="K587" s="16"/>
      <c r="L587" s="23"/>
      <c r="M587" s="23"/>
      <c r="N587" s="23"/>
      <c r="O587" s="23"/>
      <c r="AH587" s="20"/>
    </row>
    <row r="588" spans="6:34" ht="15.75" customHeight="1">
      <c r="F588" s="22"/>
      <c r="G588" s="22"/>
      <c r="H588" s="22"/>
      <c r="I588" s="6"/>
      <c r="J588" s="16"/>
      <c r="K588" s="16"/>
      <c r="L588" s="23"/>
      <c r="M588" s="23"/>
      <c r="N588" s="23"/>
      <c r="O588" s="23"/>
      <c r="AH588" s="20"/>
    </row>
    <row r="589" spans="6:34" ht="15.75" customHeight="1">
      <c r="F589" s="22"/>
      <c r="G589" s="22"/>
      <c r="H589" s="22"/>
      <c r="I589" s="6"/>
      <c r="J589" s="16"/>
      <c r="K589" s="16"/>
      <c r="L589" s="23"/>
      <c r="M589" s="23"/>
      <c r="N589" s="23"/>
      <c r="O589" s="23"/>
      <c r="AH589" s="20"/>
    </row>
    <row r="590" spans="6:34" ht="15.75" customHeight="1">
      <c r="F590" s="22"/>
      <c r="G590" s="22"/>
      <c r="H590" s="22"/>
      <c r="I590" s="6"/>
      <c r="J590" s="16"/>
      <c r="K590" s="16"/>
      <c r="L590" s="23"/>
      <c r="M590" s="23"/>
      <c r="N590" s="23"/>
      <c r="O590" s="23"/>
      <c r="AH590" s="20"/>
    </row>
    <row r="591" spans="6:34" ht="15.75" customHeight="1">
      <c r="F591" s="22"/>
      <c r="G591" s="22"/>
      <c r="H591" s="22"/>
      <c r="I591" s="6"/>
      <c r="J591" s="16"/>
      <c r="K591" s="16"/>
      <c r="L591" s="23"/>
      <c r="M591" s="23"/>
      <c r="N591" s="23"/>
      <c r="O591" s="23"/>
      <c r="AH591" s="20"/>
    </row>
    <row r="592" spans="6:34" ht="15.75" customHeight="1">
      <c r="F592" s="22"/>
      <c r="G592" s="22"/>
      <c r="H592" s="22"/>
      <c r="I592" s="6"/>
      <c r="J592" s="16"/>
      <c r="K592" s="16"/>
      <c r="L592" s="23"/>
      <c r="M592" s="23"/>
      <c r="N592" s="23"/>
      <c r="O592" s="23"/>
      <c r="AH592" s="20"/>
    </row>
    <row r="593" spans="6:34" ht="15.75" customHeight="1">
      <c r="F593" s="22"/>
      <c r="G593" s="22"/>
      <c r="H593" s="22"/>
      <c r="I593" s="6"/>
      <c r="J593" s="16"/>
      <c r="K593" s="16"/>
      <c r="L593" s="23"/>
      <c r="M593" s="23"/>
      <c r="N593" s="23"/>
      <c r="O593" s="23"/>
      <c r="AH593" s="20"/>
    </row>
    <row r="594" spans="6:34" ht="15.75" customHeight="1">
      <c r="F594" s="22"/>
      <c r="G594" s="22"/>
      <c r="H594" s="22"/>
      <c r="I594" s="6"/>
      <c r="J594" s="16"/>
      <c r="K594" s="16"/>
      <c r="L594" s="23"/>
      <c r="M594" s="23"/>
      <c r="N594" s="23"/>
      <c r="O594" s="23"/>
      <c r="AH594" s="20"/>
    </row>
    <row r="595" spans="6:34" ht="15.75" customHeight="1">
      <c r="F595" s="22"/>
      <c r="G595" s="22"/>
      <c r="H595" s="22"/>
      <c r="I595" s="6"/>
      <c r="J595" s="16"/>
      <c r="K595" s="16"/>
      <c r="L595" s="23"/>
      <c r="M595" s="23"/>
      <c r="N595" s="23"/>
      <c r="O595" s="23"/>
      <c r="AH595" s="20"/>
    </row>
    <row r="596" spans="6:34" ht="15.75" customHeight="1">
      <c r="F596" s="22"/>
      <c r="G596" s="22"/>
      <c r="H596" s="22"/>
      <c r="I596" s="6"/>
      <c r="J596" s="16"/>
      <c r="K596" s="16"/>
      <c r="L596" s="23"/>
      <c r="M596" s="23"/>
      <c r="N596" s="23"/>
      <c r="O596" s="23"/>
      <c r="AH596" s="20"/>
    </row>
    <row r="597" spans="6:34" ht="15.75" customHeight="1">
      <c r="F597" s="22"/>
      <c r="G597" s="22"/>
      <c r="H597" s="22"/>
      <c r="I597" s="6"/>
      <c r="J597" s="16"/>
      <c r="K597" s="16"/>
      <c r="L597" s="23"/>
      <c r="M597" s="23"/>
      <c r="N597" s="23"/>
      <c r="O597" s="23"/>
      <c r="AH597" s="20"/>
    </row>
    <row r="598" spans="6:34" ht="15.75" customHeight="1">
      <c r="F598" s="22"/>
      <c r="G598" s="22"/>
      <c r="H598" s="22"/>
      <c r="I598" s="6"/>
      <c r="J598" s="16"/>
      <c r="K598" s="16"/>
      <c r="L598" s="23"/>
      <c r="M598" s="23"/>
      <c r="N598" s="23"/>
      <c r="O598" s="23"/>
      <c r="AH598" s="20"/>
    </row>
    <row r="599" spans="6:34" ht="15.75" customHeight="1">
      <c r="F599" s="22"/>
      <c r="G599" s="22"/>
      <c r="H599" s="22"/>
      <c r="I599" s="6"/>
      <c r="J599" s="16"/>
      <c r="K599" s="16"/>
      <c r="L599" s="23"/>
      <c r="M599" s="23"/>
      <c r="N599" s="23"/>
      <c r="O599" s="23"/>
      <c r="AH599" s="20"/>
    </row>
    <row r="600" spans="6:34" ht="15.75" customHeight="1">
      <c r="F600" s="22"/>
      <c r="G600" s="22"/>
      <c r="H600" s="22"/>
      <c r="I600" s="6"/>
      <c r="J600" s="16"/>
      <c r="K600" s="16"/>
      <c r="L600" s="23"/>
      <c r="M600" s="23"/>
      <c r="N600" s="23"/>
      <c r="O600" s="23"/>
      <c r="AH600" s="20"/>
    </row>
    <row r="601" spans="6:34" ht="15.75" customHeight="1">
      <c r="F601" s="22"/>
      <c r="G601" s="22"/>
      <c r="H601" s="22"/>
      <c r="I601" s="6"/>
      <c r="J601" s="16"/>
      <c r="K601" s="16"/>
      <c r="L601" s="23"/>
      <c r="M601" s="23"/>
      <c r="N601" s="23"/>
      <c r="O601" s="23"/>
      <c r="AH601" s="20"/>
    </row>
    <row r="602" spans="6:34" ht="15.75" customHeight="1">
      <c r="F602" s="22"/>
      <c r="G602" s="22"/>
      <c r="H602" s="22"/>
      <c r="I602" s="6"/>
      <c r="J602" s="16"/>
      <c r="K602" s="16"/>
      <c r="L602" s="23"/>
      <c r="M602" s="23"/>
      <c r="N602" s="23"/>
      <c r="O602" s="23"/>
      <c r="AH602" s="20"/>
    </row>
    <row r="603" spans="6:34" ht="15.75" customHeight="1">
      <c r="F603" s="22"/>
      <c r="G603" s="22"/>
      <c r="H603" s="22"/>
      <c r="I603" s="6"/>
      <c r="J603" s="16"/>
      <c r="K603" s="16"/>
      <c r="L603" s="23"/>
      <c r="M603" s="23"/>
      <c r="N603" s="23"/>
      <c r="O603" s="23"/>
      <c r="AH603" s="20"/>
    </row>
    <row r="604" spans="6:34" ht="15.75" customHeight="1">
      <c r="F604" s="22"/>
      <c r="G604" s="22"/>
      <c r="H604" s="22"/>
      <c r="I604" s="6"/>
      <c r="J604" s="16"/>
      <c r="K604" s="16"/>
      <c r="L604" s="23"/>
      <c r="M604" s="23"/>
      <c r="N604" s="23"/>
      <c r="O604" s="23"/>
      <c r="AH604" s="20"/>
    </row>
    <row r="605" spans="6:34" ht="15.75" customHeight="1">
      <c r="F605" s="22"/>
      <c r="G605" s="22"/>
      <c r="H605" s="22"/>
      <c r="I605" s="6"/>
      <c r="J605" s="16"/>
      <c r="K605" s="16"/>
      <c r="L605" s="23"/>
      <c r="M605" s="23"/>
      <c r="N605" s="23"/>
      <c r="O605" s="23"/>
      <c r="AH605" s="20"/>
    </row>
    <row r="606" spans="6:34" ht="15.75" customHeight="1">
      <c r="F606" s="22"/>
      <c r="G606" s="22"/>
      <c r="H606" s="22"/>
      <c r="I606" s="6"/>
      <c r="J606" s="16"/>
      <c r="K606" s="16"/>
      <c r="L606" s="23"/>
      <c r="M606" s="23"/>
      <c r="N606" s="23"/>
      <c r="O606" s="23"/>
      <c r="AH606" s="20"/>
    </row>
    <row r="607" spans="6:34" ht="15.75" customHeight="1">
      <c r="F607" s="22"/>
      <c r="G607" s="22"/>
      <c r="H607" s="22"/>
      <c r="I607" s="6"/>
      <c r="J607" s="16"/>
      <c r="K607" s="16"/>
      <c r="L607" s="23"/>
      <c r="M607" s="23"/>
      <c r="N607" s="23"/>
      <c r="O607" s="23"/>
      <c r="AH607" s="20"/>
    </row>
    <row r="608" spans="6:34" ht="15.75" customHeight="1">
      <c r="F608" s="22"/>
      <c r="G608" s="22"/>
      <c r="H608" s="22"/>
      <c r="I608" s="6"/>
      <c r="J608" s="16"/>
      <c r="K608" s="16"/>
      <c r="L608" s="23"/>
      <c r="M608" s="23"/>
      <c r="N608" s="23"/>
      <c r="O608" s="23"/>
      <c r="AH608" s="20"/>
    </row>
    <row r="609" spans="6:34" ht="15.75" customHeight="1">
      <c r="F609" s="22"/>
      <c r="G609" s="22"/>
      <c r="H609" s="22"/>
      <c r="I609" s="6"/>
      <c r="J609" s="16"/>
      <c r="K609" s="16"/>
      <c r="L609" s="23"/>
      <c r="M609" s="23"/>
      <c r="N609" s="23"/>
      <c r="O609" s="23"/>
      <c r="AH609" s="20"/>
    </row>
    <row r="610" spans="6:34" ht="15.75" customHeight="1">
      <c r="F610" s="22"/>
      <c r="G610" s="22"/>
      <c r="H610" s="22"/>
      <c r="I610" s="6"/>
      <c r="J610" s="16"/>
      <c r="K610" s="16"/>
      <c r="L610" s="23"/>
      <c r="M610" s="23"/>
      <c r="N610" s="23"/>
      <c r="O610" s="23"/>
      <c r="AH610" s="20"/>
    </row>
    <row r="611" spans="6:34" ht="15.75" customHeight="1">
      <c r="F611" s="22"/>
      <c r="G611" s="22"/>
      <c r="H611" s="22"/>
      <c r="I611" s="6"/>
      <c r="J611" s="16"/>
      <c r="K611" s="16"/>
      <c r="L611" s="23"/>
      <c r="M611" s="23"/>
      <c r="N611" s="23"/>
      <c r="O611" s="23"/>
      <c r="AH611" s="20"/>
    </row>
    <row r="612" spans="6:34" ht="15.75" customHeight="1">
      <c r="F612" s="22"/>
      <c r="G612" s="22"/>
      <c r="H612" s="22"/>
      <c r="I612" s="6"/>
      <c r="J612" s="16"/>
      <c r="K612" s="16"/>
      <c r="L612" s="23"/>
      <c r="M612" s="23"/>
      <c r="N612" s="23"/>
      <c r="O612" s="23"/>
      <c r="AH612" s="20"/>
    </row>
    <row r="613" spans="6:34" ht="15.75" customHeight="1">
      <c r="F613" s="22"/>
      <c r="G613" s="22"/>
      <c r="H613" s="22"/>
      <c r="I613" s="6"/>
      <c r="J613" s="16"/>
      <c r="K613" s="16"/>
      <c r="L613" s="23"/>
      <c r="M613" s="23"/>
      <c r="N613" s="23"/>
      <c r="O613" s="23"/>
      <c r="AH613" s="20"/>
    </row>
    <row r="614" spans="6:34" ht="15.75" customHeight="1">
      <c r="F614" s="22"/>
      <c r="G614" s="22"/>
      <c r="H614" s="22"/>
      <c r="I614" s="6"/>
      <c r="J614" s="16"/>
      <c r="K614" s="16"/>
      <c r="L614" s="23"/>
      <c r="M614" s="23"/>
      <c r="N614" s="23"/>
      <c r="O614" s="23"/>
      <c r="AH614" s="20"/>
    </row>
    <row r="615" spans="6:34" ht="15.75" customHeight="1">
      <c r="F615" s="22"/>
      <c r="G615" s="22"/>
      <c r="H615" s="22"/>
      <c r="I615" s="6"/>
      <c r="J615" s="16"/>
      <c r="K615" s="16"/>
      <c r="L615" s="23"/>
      <c r="M615" s="23"/>
      <c r="N615" s="23"/>
      <c r="O615" s="23"/>
      <c r="AH615" s="20"/>
    </row>
    <row r="616" spans="6:34" ht="15.75" customHeight="1">
      <c r="F616" s="22"/>
      <c r="G616" s="22"/>
      <c r="H616" s="22"/>
      <c r="I616" s="6"/>
      <c r="J616" s="16"/>
      <c r="K616" s="16"/>
      <c r="L616" s="23"/>
      <c r="M616" s="23"/>
      <c r="N616" s="23"/>
      <c r="O616" s="23"/>
      <c r="AH616" s="20"/>
    </row>
    <row r="617" spans="6:34" ht="15.75" customHeight="1">
      <c r="F617" s="22"/>
      <c r="G617" s="22"/>
      <c r="H617" s="22"/>
      <c r="I617" s="6"/>
      <c r="J617" s="16"/>
      <c r="K617" s="16"/>
      <c r="L617" s="23"/>
      <c r="M617" s="23"/>
      <c r="N617" s="23"/>
      <c r="O617" s="23"/>
      <c r="AH617" s="20"/>
    </row>
    <row r="618" spans="6:34" ht="15.75" customHeight="1">
      <c r="F618" s="22"/>
      <c r="G618" s="22"/>
      <c r="H618" s="22"/>
      <c r="I618" s="6"/>
      <c r="J618" s="16"/>
      <c r="K618" s="16"/>
      <c r="L618" s="23"/>
      <c r="M618" s="23"/>
      <c r="N618" s="23"/>
      <c r="O618" s="23"/>
      <c r="AH618" s="20"/>
    </row>
    <row r="619" spans="6:34" ht="15.75" customHeight="1">
      <c r="F619" s="22"/>
      <c r="G619" s="22"/>
      <c r="H619" s="22"/>
      <c r="I619" s="6"/>
      <c r="J619" s="16"/>
      <c r="K619" s="16"/>
      <c r="L619" s="23"/>
      <c r="M619" s="23"/>
      <c r="N619" s="23"/>
      <c r="O619" s="23"/>
      <c r="AH619" s="20"/>
    </row>
    <row r="620" spans="6:34" ht="15.75" customHeight="1">
      <c r="F620" s="22"/>
      <c r="G620" s="22"/>
      <c r="H620" s="22"/>
      <c r="I620" s="6"/>
      <c r="J620" s="16"/>
      <c r="K620" s="16"/>
      <c r="L620" s="23"/>
      <c r="M620" s="23"/>
      <c r="N620" s="23"/>
      <c r="O620" s="23"/>
      <c r="AH620" s="20"/>
    </row>
    <row r="621" spans="6:34" ht="15.75" customHeight="1">
      <c r="F621" s="22"/>
      <c r="G621" s="22"/>
      <c r="H621" s="22"/>
      <c r="I621" s="6"/>
      <c r="J621" s="16"/>
      <c r="K621" s="16"/>
      <c r="L621" s="23"/>
      <c r="M621" s="23"/>
      <c r="N621" s="23"/>
      <c r="O621" s="23"/>
      <c r="AH621" s="20"/>
    </row>
    <row r="622" spans="6:34" ht="15.75" customHeight="1">
      <c r="F622" s="22"/>
      <c r="G622" s="22"/>
      <c r="H622" s="22"/>
      <c r="I622" s="6"/>
      <c r="J622" s="16"/>
      <c r="K622" s="16"/>
      <c r="L622" s="23"/>
      <c r="M622" s="23"/>
      <c r="N622" s="23"/>
      <c r="O622" s="23"/>
      <c r="AH622" s="20"/>
    </row>
    <row r="623" spans="6:34" ht="15.75" customHeight="1">
      <c r="F623" s="22"/>
      <c r="G623" s="22"/>
      <c r="H623" s="22"/>
      <c r="I623" s="6"/>
      <c r="J623" s="16"/>
      <c r="K623" s="16"/>
      <c r="L623" s="23"/>
      <c r="M623" s="23"/>
      <c r="N623" s="23"/>
      <c r="O623" s="23"/>
      <c r="AH623" s="20"/>
    </row>
    <row r="624" spans="6:34" ht="15.75" customHeight="1">
      <c r="F624" s="22"/>
      <c r="G624" s="22"/>
      <c r="H624" s="22"/>
      <c r="I624" s="6"/>
      <c r="J624" s="16"/>
      <c r="K624" s="16"/>
      <c r="L624" s="23"/>
      <c r="M624" s="23"/>
      <c r="N624" s="23"/>
      <c r="O624" s="23"/>
      <c r="AH624" s="20"/>
    </row>
    <row r="625" spans="6:34" ht="15.75" customHeight="1">
      <c r="F625" s="22"/>
      <c r="G625" s="22"/>
      <c r="H625" s="22"/>
      <c r="I625" s="6"/>
      <c r="J625" s="16"/>
      <c r="K625" s="16"/>
      <c r="L625" s="23"/>
      <c r="M625" s="23"/>
      <c r="N625" s="23"/>
      <c r="O625" s="23"/>
      <c r="AH625" s="20"/>
    </row>
    <row r="626" spans="6:34" ht="15.75" customHeight="1">
      <c r="F626" s="22"/>
      <c r="G626" s="22"/>
      <c r="H626" s="22"/>
      <c r="I626" s="6"/>
      <c r="J626" s="16"/>
      <c r="K626" s="16"/>
      <c r="L626" s="23"/>
      <c r="M626" s="23"/>
      <c r="N626" s="23"/>
      <c r="O626" s="23"/>
      <c r="AH626" s="20"/>
    </row>
    <row r="627" spans="6:34" ht="15.75" customHeight="1">
      <c r="F627" s="22"/>
      <c r="G627" s="22"/>
      <c r="H627" s="22"/>
      <c r="I627" s="6"/>
      <c r="J627" s="16"/>
      <c r="K627" s="16"/>
      <c r="L627" s="23"/>
      <c r="M627" s="23"/>
      <c r="N627" s="23"/>
      <c r="O627" s="23"/>
      <c r="AH627" s="20"/>
    </row>
    <row r="628" spans="6:34" ht="15.75" customHeight="1">
      <c r="F628" s="22"/>
      <c r="G628" s="22"/>
      <c r="H628" s="22"/>
      <c r="I628" s="6"/>
      <c r="J628" s="16"/>
      <c r="K628" s="16"/>
      <c r="L628" s="23"/>
      <c r="M628" s="23"/>
      <c r="N628" s="23"/>
      <c r="O628" s="23"/>
      <c r="AH628" s="20"/>
    </row>
    <row r="629" spans="6:34" ht="15.75" customHeight="1">
      <c r="F629" s="22"/>
      <c r="G629" s="22"/>
      <c r="H629" s="22"/>
      <c r="I629" s="6"/>
      <c r="J629" s="16"/>
      <c r="K629" s="16"/>
      <c r="L629" s="23"/>
      <c r="M629" s="23"/>
      <c r="N629" s="23"/>
      <c r="O629" s="23"/>
      <c r="AH629" s="20"/>
    </row>
    <row r="630" spans="6:34" ht="15.75" customHeight="1">
      <c r="F630" s="22"/>
      <c r="G630" s="22"/>
      <c r="H630" s="22"/>
      <c r="I630" s="6"/>
      <c r="J630" s="16"/>
      <c r="K630" s="16"/>
      <c r="L630" s="23"/>
      <c r="M630" s="23"/>
      <c r="N630" s="23"/>
      <c r="O630" s="23"/>
      <c r="AH630" s="20"/>
    </row>
    <row r="631" spans="6:34" ht="15.75" customHeight="1">
      <c r="F631" s="22"/>
      <c r="G631" s="22"/>
      <c r="H631" s="22"/>
      <c r="I631" s="6"/>
      <c r="J631" s="16"/>
      <c r="K631" s="16"/>
      <c r="L631" s="23"/>
      <c r="M631" s="23"/>
      <c r="N631" s="23"/>
      <c r="O631" s="23"/>
      <c r="AH631" s="20"/>
    </row>
    <row r="632" spans="6:34" ht="15.75" customHeight="1">
      <c r="F632" s="22"/>
      <c r="G632" s="22"/>
      <c r="H632" s="22"/>
      <c r="I632" s="6"/>
      <c r="J632" s="16"/>
      <c r="K632" s="16"/>
      <c r="L632" s="23"/>
      <c r="M632" s="23"/>
      <c r="N632" s="23"/>
      <c r="O632" s="23"/>
      <c r="AH632" s="20"/>
    </row>
    <row r="633" spans="6:34" ht="15.75" customHeight="1">
      <c r="F633" s="22"/>
      <c r="G633" s="22"/>
      <c r="H633" s="22"/>
      <c r="I633" s="6"/>
      <c r="J633" s="16"/>
      <c r="K633" s="16"/>
      <c r="L633" s="23"/>
      <c r="M633" s="23"/>
      <c r="N633" s="23"/>
      <c r="O633" s="23"/>
      <c r="AH633" s="20"/>
    </row>
    <row r="634" spans="6:34" ht="15.75" customHeight="1">
      <c r="F634" s="22"/>
      <c r="G634" s="22"/>
      <c r="H634" s="22"/>
      <c r="I634" s="6"/>
      <c r="J634" s="16"/>
      <c r="K634" s="16"/>
      <c r="L634" s="23"/>
      <c r="M634" s="23"/>
      <c r="N634" s="23"/>
      <c r="O634" s="23"/>
      <c r="AH634" s="20"/>
    </row>
    <row r="635" spans="6:34" ht="15.75" customHeight="1">
      <c r="F635" s="22"/>
      <c r="G635" s="22"/>
      <c r="H635" s="22"/>
      <c r="I635" s="6"/>
      <c r="J635" s="16"/>
      <c r="K635" s="16"/>
      <c r="L635" s="23"/>
      <c r="M635" s="23"/>
      <c r="N635" s="23"/>
      <c r="O635" s="23"/>
      <c r="AH635" s="20"/>
    </row>
    <row r="636" spans="6:34" ht="15.75" customHeight="1">
      <c r="F636" s="22"/>
      <c r="G636" s="22"/>
      <c r="H636" s="22"/>
      <c r="I636" s="6"/>
      <c r="J636" s="16"/>
      <c r="K636" s="16"/>
      <c r="L636" s="23"/>
      <c r="M636" s="23"/>
      <c r="N636" s="23"/>
      <c r="O636" s="23"/>
      <c r="AH636" s="20"/>
    </row>
    <row r="637" spans="6:34" ht="15.75" customHeight="1">
      <c r="F637" s="22"/>
      <c r="G637" s="22"/>
      <c r="H637" s="22"/>
      <c r="I637" s="6"/>
      <c r="J637" s="16"/>
      <c r="K637" s="16"/>
      <c r="L637" s="23"/>
      <c r="M637" s="23"/>
      <c r="N637" s="23"/>
      <c r="O637" s="23"/>
      <c r="AH637" s="20"/>
    </row>
    <row r="638" spans="6:34" ht="15.75" customHeight="1">
      <c r="F638" s="22"/>
      <c r="G638" s="22"/>
      <c r="H638" s="22"/>
      <c r="I638" s="6"/>
      <c r="J638" s="16"/>
      <c r="K638" s="16"/>
      <c r="L638" s="23"/>
      <c r="M638" s="23"/>
      <c r="N638" s="23"/>
      <c r="O638" s="23"/>
      <c r="AH638" s="20"/>
    </row>
    <row r="639" spans="6:34" ht="15.75" customHeight="1">
      <c r="F639" s="22"/>
      <c r="G639" s="22"/>
      <c r="H639" s="22"/>
      <c r="I639" s="6"/>
      <c r="J639" s="16"/>
      <c r="K639" s="16"/>
      <c r="L639" s="23"/>
      <c r="M639" s="23"/>
      <c r="N639" s="23"/>
      <c r="O639" s="23"/>
      <c r="AH639" s="20"/>
    </row>
    <row r="640" spans="6:34" ht="15.75" customHeight="1">
      <c r="F640" s="22"/>
      <c r="G640" s="22"/>
      <c r="H640" s="22"/>
      <c r="I640" s="6"/>
      <c r="J640" s="16"/>
      <c r="K640" s="16"/>
      <c r="L640" s="23"/>
      <c r="M640" s="23"/>
      <c r="N640" s="23"/>
      <c r="O640" s="23"/>
      <c r="AH640" s="20"/>
    </row>
    <row r="641" spans="6:34" ht="15.75" customHeight="1">
      <c r="F641" s="22"/>
      <c r="G641" s="22"/>
      <c r="H641" s="22"/>
      <c r="I641" s="6"/>
      <c r="J641" s="16"/>
      <c r="K641" s="16"/>
      <c r="L641" s="23"/>
      <c r="M641" s="23"/>
      <c r="N641" s="23"/>
      <c r="O641" s="23"/>
      <c r="AH641" s="20"/>
    </row>
    <row r="642" spans="6:34" ht="15.75" customHeight="1">
      <c r="F642" s="22"/>
      <c r="G642" s="22"/>
      <c r="H642" s="22"/>
      <c r="I642" s="6"/>
      <c r="J642" s="16"/>
      <c r="K642" s="16"/>
      <c r="L642" s="23"/>
      <c r="M642" s="23"/>
      <c r="N642" s="23"/>
      <c r="O642" s="23"/>
      <c r="AH642" s="20"/>
    </row>
    <row r="643" spans="6:34" ht="15.75" customHeight="1">
      <c r="F643" s="22"/>
      <c r="G643" s="22"/>
      <c r="H643" s="22"/>
      <c r="I643" s="6"/>
      <c r="J643" s="16"/>
      <c r="K643" s="16"/>
      <c r="L643" s="23"/>
      <c r="M643" s="23"/>
      <c r="N643" s="23"/>
      <c r="O643" s="23"/>
      <c r="AH643" s="20"/>
    </row>
    <row r="644" spans="6:34" ht="15.75" customHeight="1">
      <c r="F644" s="22"/>
      <c r="G644" s="22"/>
      <c r="H644" s="22"/>
      <c r="I644" s="6"/>
      <c r="J644" s="16"/>
      <c r="K644" s="16"/>
      <c r="L644" s="23"/>
      <c r="M644" s="23"/>
      <c r="N644" s="23"/>
      <c r="O644" s="23"/>
      <c r="AH644" s="20"/>
    </row>
    <row r="645" spans="6:34" ht="15.75" customHeight="1">
      <c r="F645" s="22"/>
      <c r="G645" s="22"/>
      <c r="H645" s="22"/>
      <c r="I645" s="6"/>
      <c r="J645" s="16"/>
      <c r="K645" s="16"/>
      <c r="L645" s="23"/>
      <c r="M645" s="23"/>
      <c r="N645" s="23"/>
      <c r="O645" s="23"/>
      <c r="AH645" s="20"/>
    </row>
    <row r="646" spans="6:34" ht="15.75" customHeight="1">
      <c r="F646" s="22"/>
      <c r="G646" s="22"/>
      <c r="H646" s="22"/>
      <c r="I646" s="6"/>
      <c r="J646" s="16"/>
      <c r="K646" s="16"/>
      <c r="L646" s="23"/>
      <c r="M646" s="23"/>
      <c r="N646" s="23"/>
      <c r="O646" s="23"/>
      <c r="AH646" s="20"/>
    </row>
    <row r="647" spans="6:34" ht="15.75" customHeight="1">
      <c r="F647" s="22"/>
      <c r="G647" s="22"/>
      <c r="H647" s="22"/>
      <c r="I647" s="6"/>
      <c r="J647" s="16"/>
      <c r="K647" s="16"/>
      <c r="L647" s="23"/>
      <c r="M647" s="23"/>
      <c r="N647" s="23"/>
      <c r="O647" s="23"/>
      <c r="AH647" s="20"/>
    </row>
    <row r="648" spans="6:34" ht="15.75" customHeight="1">
      <c r="F648" s="22"/>
      <c r="G648" s="22"/>
      <c r="H648" s="22"/>
      <c r="I648" s="6"/>
      <c r="J648" s="16"/>
      <c r="K648" s="16"/>
      <c r="L648" s="23"/>
      <c r="M648" s="23"/>
      <c r="N648" s="23"/>
      <c r="O648" s="23"/>
      <c r="AH648" s="20"/>
    </row>
    <row r="649" spans="6:34" ht="15.75" customHeight="1">
      <c r="F649" s="22"/>
      <c r="G649" s="22"/>
      <c r="H649" s="22"/>
      <c r="I649" s="6"/>
      <c r="J649" s="16"/>
      <c r="K649" s="16"/>
      <c r="L649" s="23"/>
      <c r="M649" s="23"/>
      <c r="N649" s="23"/>
      <c r="O649" s="23"/>
      <c r="AH649" s="20"/>
    </row>
    <row r="650" spans="6:34" ht="15.75" customHeight="1">
      <c r="F650" s="22"/>
      <c r="G650" s="22"/>
      <c r="H650" s="22"/>
      <c r="I650" s="6"/>
      <c r="J650" s="16"/>
      <c r="K650" s="16"/>
      <c r="L650" s="23"/>
      <c r="M650" s="23"/>
      <c r="N650" s="23"/>
      <c r="O650" s="23"/>
      <c r="AH650" s="20"/>
    </row>
    <row r="651" spans="6:34" ht="15.75" customHeight="1">
      <c r="F651" s="22"/>
      <c r="G651" s="22"/>
      <c r="H651" s="22"/>
      <c r="I651" s="6"/>
      <c r="J651" s="16"/>
      <c r="K651" s="16"/>
      <c r="L651" s="23"/>
      <c r="M651" s="23"/>
      <c r="N651" s="23"/>
      <c r="O651" s="23"/>
      <c r="AH651" s="20"/>
    </row>
    <row r="652" spans="6:34" ht="15.75" customHeight="1">
      <c r="F652" s="22"/>
      <c r="G652" s="22"/>
      <c r="H652" s="22"/>
      <c r="I652" s="6"/>
      <c r="J652" s="16"/>
      <c r="K652" s="16"/>
      <c r="L652" s="23"/>
      <c r="M652" s="23"/>
      <c r="N652" s="23"/>
      <c r="O652" s="23"/>
      <c r="AH652" s="20"/>
    </row>
    <row r="653" spans="6:34" ht="15.75" customHeight="1">
      <c r="F653" s="22"/>
      <c r="G653" s="22"/>
      <c r="H653" s="22"/>
      <c r="I653" s="6"/>
      <c r="J653" s="16"/>
      <c r="K653" s="16"/>
      <c r="L653" s="23"/>
      <c r="M653" s="23"/>
      <c r="N653" s="23"/>
      <c r="O653" s="23"/>
      <c r="AH653" s="20"/>
    </row>
    <row r="654" spans="6:34" ht="15.75" customHeight="1">
      <c r="F654" s="22"/>
      <c r="G654" s="22"/>
      <c r="H654" s="22"/>
      <c r="I654" s="6"/>
      <c r="J654" s="16"/>
      <c r="K654" s="16"/>
      <c r="L654" s="23"/>
      <c r="M654" s="23"/>
      <c r="N654" s="23"/>
      <c r="O654" s="23"/>
      <c r="AH654" s="20"/>
    </row>
    <row r="655" spans="6:34" ht="15.75" customHeight="1">
      <c r="F655" s="22"/>
      <c r="G655" s="22"/>
      <c r="H655" s="22"/>
      <c r="I655" s="6"/>
      <c r="J655" s="16"/>
      <c r="K655" s="16"/>
      <c r="L655" s="23"/>
      <c r="M655" s="23"/>
      <c r="N655" s="23"/>
      <c r="O655" s="23"/>
      <c r="AH655" s="20"/>
    </row>
    <row r="656" spans="6:34" ht="15.75" customHeight="1">
      <c r="F656" s="22"/>
      <c r="G656" s="22"/>
      <c r="H656" s="22"/>
      <c r="I656" s="6"/>
      <c r="J656" s="16"/>
      <c r="K656" s="16"/>
      <c r="L656" s="23"/>
      <c r="M656" s="23"/>
      <c r="N656" s="23"/>
      <c r="O656" s="23"/>
      <c r="AH656" s="20"/>
    </row>
    <row r="657" spans="6:34" ht="15.75" customHeight="1">
      <c r="F657" s="22"/>
      <c r="G657" s="22"/>
      <c r="H657" s="22"/>
      <c r="I657" s="6"/>
      <c r="J657" s="16"/>
      <c r="K657" s="16"/>
      <c r="L657" s="23"/>
      <c r="M657" s="23"/>
      <c r="N657" s="23"/>
      <c r="O657" s="23"/>
      <c r="AH657" s="20"/>
    </row>
    <row r="658" spans="6:34" ht="15.75" customHeight="1">
      <c r="F658" s="22"/>
      <c r="G658" s="22"/>
      <c r="H658" s="22"/>
      <c r="I658" s="6"/>
      <c r="J658" s="16"/>
      <c r="K658" s="16"/>
      <c r="L658" s="23"/>
      <c r="M658" s="23"/>
      <c r="N658" s="23"/>
      <c r="O658" s="23"/>
      <c r="AH658" s="20"/>
    </row>
    <row r="659" spans="6:34" ht="15.75" customHeight="1">
      <c r="F659" s="22"/>
      <c r="G659" s="22"/>
      <c r="H659" s="22"/>
      <c r="I659" s="6"/>
      <c r="J659" s="16"/>
      <c r="K659" s="16"/>
      <c r="L659" s="23"/>
      <c r="M659" s="23"/>
      <c r="N659" s="23"/>
      <c r="O659" s="23"/>
      <c r="AH659" s="20"/>
    </row>
    <row r="660" spans="6:34" ht="15.75" customHeight="1">
      <c r="F660" s="22"/>
      <c r="G660" s="22"/>
      <c r="H660" s="22"/>
      <c r="I660" s="6"/>
      <c r="J660" s="16"/>
      <c r="K660" s="16"/>
      <c r="L660" s="23"/>
      <c r="M660" s="23"/>
      <c r="N660" s="23"/>
      <c r="O660" s="23"/>
      <c r="AH660" s="20"/>
    </row>
    <row r="661" spans="6:34" ht="15.75" customHeight="1">
      <c r="F661" s="22"/>
      <c r="G661" s="22"/>
      <c r="H661" s="22"/>
      <c r="I661" s="6"/>
      <c r="J661" s="16"/>
      <c r="K661" s="16"/>
      <c r="L661" s="23"/>
      <c r="M661" s="23"/>
      <c r="N661" s="23"/>
      <c r="O661" s="23"/>
      <c r="AH661" s="20"/>
    </row>
    <row r="662" spans="6:34" ht="15.75" customHeight="1">
      <c r="F662" s="22"/>
      <c r="G662" s="22"/>
      <c r="H662" s="22"/>
      <c r="I662" s="6"/>
      <c r="J662" s="16"/>
      <c r="K662" s="16"/>
      <c r="L662" s="23"/>
      <c r="M662" s="23"/>
      <c r="N662" s="23"/>
      <c r="O662" s="23"/>
      <c r="AH662" s="20"/>
    </row>
    <row r="663" spans="6:34" ht="15.75" customHeight="1">
      <c r="F663" s="22"/>
      <c r="G663" s="22"/>
      <c r="H663" s="22"/>
      <c r="I663" s="6"/>
      <c r="J663" s="16"/>
      <c r="K663" s="16"/>
      <c r="L663" s="23"/>
      <c r="M663" s="23"/>
      <c r="N663" s="23"/>
      <c r="O663" s="23"/>
      <c r="AH663" s="20"/>
    </row>
    <row r="664" spans="6:34" ht="15.75" customHeight="1">
      <c r="F664" s="22"/>
      <c r="G664" s="22"/>
      <c r="H664" s="22"/>
      <c r="I664" s="6"/>
      <c r="J664" s="16"/>
      <c r="K664" s="16"/>
      <c r="L664" s="23"/>
      <c r="M664" s="23"/>
      <c r="N664" s="23"/>
      <c r="O664" s="23"/>
      <c r="AH664" s="20"/>
    </row>
    <row r="665" spans="6:34" ht="15.75" customHeight="1">
      <c r="F665" s="22"/>
      <c r="G665" s="22"/>
      <c r="H665" s="22"/>
      <c r="I665" s="6"/>
      <c r="J665" s="16"/>
      <c r="K665" s="16"/>
      <c r="L665" s="23"/>
      <c r="M665" s="23"/>
      <c r="N665" s="23"/>
      <c r="O665" s="23"/>
      <c r="AH665" s="20"/>
    </row>
    <row r="666" spans="6:34" ht="15.75" customHeight="1">
      <c r="F666" s="22"/>
      <c r="G666" s="22"/>
      <c r="H666" s="22"/>
      <c r="I666" s="6"/>
      <c r="J666" s="16"/>
      <c r="K666" s="16"/>
      <c r="L666" s="23"/>
      <c r="M666" s="23"/>
      <c r="N666" s="23"/>
      <c r="O666" s="23"/>
      <c r="AH666" s="20"/>
    </row>
    <row r="667" spans="6:34" ht="15.75" customHeight="1">
      <c r="F667" s="22"/>
      <c r="G667" s="22"/>
      <c r="H667" s="22"/>
      <c r="I667" s="6"/>
      <c r="J667" s="16"/>
      <c r="K667" s="16"/>
      <c r="L667" s="23"/>
      <c r="M667" s="23"/>
      <c r="N667" s="23"/>
      <c r="O667" s="23"/>
      <c r="AH667" s="20"/>
    </row>
    <row r="668" spans="6:34" ht="15.75" customHeight="1">
      <c r="F668" s="22"/>
      <c r="G668" s="22"/>
      <c r="H668" s="22"/>
      <c r="I668" s="6"/>
      <c r="J668" s="16"/>
      <c r="K668" s="16"/>
      <c r="L668" s="23"/>
      <c r="M668" s="23"/>
      <c r="N668" s="23"/>
      <c r="O668" s="23"/>
      <c r="AH668" s="20"/>
    </row>
    <row r="669" spans="6:34" ht="15.75" customHeight="1">
      <c r="F669" s="22"/>
      <c r="G669" s="22"/>
      <c r="H669" s="22"/>
      <c r="I669" s="6"/>
      <c r="J669" s="16"/>
      <c r="K669" s="16"/>
      <c r="L669" s="23"/>
      <c r="M669" s="23"/>
      <c r="N669" s="23"/>
      <c r="O669" s="23"/>
      <c r="AH669" s="20"/>
    </row>
    <row r="670" spans="6:34" ht="15.75" customHeight="1">
      <c r="F670" s="22"/>
      <c r="G670" s="22"/>
      <c r="H670" s="22"/>
      <c r="I670" s="6"/>
      <c r="J670" s="16"/>
      <c r="K670" s="16"/>
      <c r="L670" s="23"/>
      <c r="M670" s="23"/>
      <c r="N670" s="23"/>
      <c r="O670" s="23"/>
      <c r="AH670" s="20"/>
    </row>
    <row r="671" spans="6:34" ht="15.75" customHeight="1">
      <c r="F671" s="22"/>
      <c r="G671" s="22"/>
      <c r="H671" s="22"/>
      <c r="I671" s="6"/>
      <c r="J671" s="16"/>
      <c r="K671" s="16"/>
      <c r="L671" s="23"/>
      <c r="M671" s="23"/>
      <c r="N671" s="23"/>
      <c r="O671" s="23"/>
      <c r="AH671" s="20"/>
    </row>
    <row r="672" spans="6:34" ht="15.75" customHeight="1">
      <c r="F672" s="22"/>
      <c r="G672" s="22"/>
      <c r="H672" s="22"/>
      <c r="I672" s="6"/>
      <c r="J672" s="16"/>
      <c r="K672" s="16"/>
      <c r="L672" s="23"/>
      <c r="M672" s="23"/>
      <c r="N672" s="23"/>
      <c r="O672" s="23"/>
      <c r="AH672" s="20"/>
    </row>
    <row r="673" spans="6:34" ht="15.75" customHeight="1">
      <c r="F673" s="22"/>
      <c r="G673" s="22"/>
      <c r="H673" s="22"/>
      <c r="I673" s="6"/>
      <c r="J673" s="16"/>
      <c r="K673" s="16"/>
      <c r="L673" s="23"/>
      <c r="M673" s="23"/>
      <c r="N673" s="23"/>
      <c r="O673" s="23"/>
      <c r="AH673" s="20"/>
    </row>
    <row r="674" spans="6:34" ht="15.75" customHeight="1">
      <c r="F674" s="22"/>
      <c r="G674" s="22"/>
      <c r="H674" s="22"/>
      <c r="I674" s="6"/>
      <c r="J674" s="16"/>
      <c r="K674" s="16"/>
      <c r="L674" s="23"/>
      <c r="M674" s="23"/>
      <c r="N674" s="23"/>
      <c r="O674" s="23"/>
      <c r="AH674" s="20"/>
    </row>
    <row r="675" spans="6:34" ht="15.75" customHeight="1">
      <c r="F675" s="22"/>
      <c r="G675" s="22"/>
      <c r="H675" s="22"/>
      <c r="I675" s="6"/>
      <c r="J675" s="16"/>
      <c r="K675" s="16"/>
      <c r="L675" s="23"/>
      <c r="M675" s="23"/>
      <c r="N675" s="23"/>
      <c r="O675" s="23"/>
      <c r="AH675" s="20"/>
    </row>
    <row r="676" spans="6:34" ht="15.75" customHeight="1">
      <c r="F676" s="22"/>
      <c r="G676" s="22"/>
      <c r="H676" s="22"/>
      <c r="I676" s="6"/>
      <c r="J676" s="16"/>
      <c r="K676" s="16"/>
      <c r="L676" s="23"/>
      <c r="M676" s="23"/>
      <c r="N676" s="23"/>
      <c r="O676" s="23"/>
      <c r="AH676" s="20"/>
    </row>
    <row r="677" spans="6:34" ht="15.75" customHeight="1">
      <c r="F677" s="22"/>
      <c r="G677" s="22"/>
      <c r="H677" s="22"/>
      <c r="I677" s="6"/>
      <c r="J677" s="16"/>
      <c r="K677" s="16"/>
      <c r="L677" s="23"/>
      <c r="M677" s="23"/>
      <c r="N677" s="23"/>
      <c r="O677" s="23"/>
      <c r="AH677" s="20"/>
    </row>
    <row r="678" spans="6:34" ht="15.75" customHeight="1">
      <c r="F678" s="22"/>
      <c r="G678" s="22"/>
      <c r="H678" s="22"/>
      <c r="I678" s="6"/>
      <c r="J678" s="16"/>
      <c r="K678" s="16"/>
      <c r="L678" s="23"/>
      <c r="M678" s="23"/>
      <c r="N678" s="23"/>
      <c r="O678" s="23"/>
      <c r="AH678" s="20"/>
    </row>
    <row r="679" spans="6:34" ht="15.75" customHeight="1">
      <c r="F679" s="22"/>
      <c r="G679" s="22"/>
      <c r="H679" s="22"/>
      <c r="I679" s="6"/>
      <c r="J679" s="16"/>
      <c r="K679" s="16"/>
      <c r="L679" s="23"/>
      <c r="M679" s="23"/>
      <c r="N679" s="23"/>
      <c r="O679" s="23"/>
      <c r="AH679" s="20"/>
    </row>
    <row r="680" spans="6:34" ht="15.75" customHeight="1">
      <c r="F680" s="22"/>
      <c r="G680" s="22"/>
      <c r="H680" s="22"/>
      <c r="I680" s="6"/>
      <c r="J680" s="16"/>
      <c r="K680" s="16"/>
      <c r="L680" s="23"/>
      <c r="M680" s="23"/>
      <c r="N680" s="23"/>
      <c r="O680" s="23"/>
      <c r="AH680" s="20"/>
    </row>
    <row r="681" spans="6:34" ht="15.75" customHeight="1">
      <c r="F681" s="22"/>
      <c r="G681" s="22"/>
      <c r="H681" s="22"/>
      <c r="I681" s="6"/>
      <c r="J681" s="16"/>
      <c r="K681" s="16"/>
      <c r="L681" s="23"/>
      <c r="M681" s="23"/>
      <c r="N681" s="23"/>
      <c r="O681" s="23"/>
      <c r="AH681" s="20"/>
    </row>
    <row r="682" spans="6:34" ht="15.75" customHeight="1">
      <c r="F682" s="22"/>
      <c r="G682" s="22"/>
      <c r="H682" s="22"/>
      <c r="I682" s="6"/>
      <c r="J682" s="16"/>
      <c r="K682" s="16"/>
      <c r="L682" s="23"/>
      <c r="M682" s="23"/>
      <c r="N682" s="23"/>
      <c r="O682" s="23"/>
      <c r="AH682" s="20"/>
    </row>
    <row r="683" spans="6:34" ht="15.75" customHeight="1">
      <c r="F683" s="22"/>
      <c r="G683" s="22"/>
      <c r="H683" s="22"/>
      <c r="I683" s="6"/>
      <c r="J683" s="16"/>
      <c r="K683" s="16"/>
      <c r="L683" s="23"/>
      <c r="M683" s="23"/>
      <c r="N683" s="23"/>
      <c r="O683" s="23"/>
      <c r="AH683" s="20"/>
    </row>
    <row r="684" spans="6:34" ht="15.75" customHeight="1">
      <c r="F684" s="22"/>
      <c r="G684" s="22"/>
      <c r="H684" s="22"/>
      <c r="I684" s="6"/>
      <c r="J684" s="16"/>
      <c r="K684" s="16"/>
      <c r="L684" s="23"/>
      <c r="M684" s="23"/>
      <c r="N684" s="23"/>
      <c r="O684" s="23"/>
      <c r="AH684" s="20"/>
    </row>
    <row r="685" spans="6:34" ht="15.75" customHeight="1">
      <c r="F685" s="22"/>
      <c r="G685" s="22"/>
      <c r="H685" s="22"/>
      <c r="I685" s="6"/>
      <c r="J685" s="16"/>
      <c r="K685" s="16"/>
      <c r="L685" s="23"/>
      <c r="M685" s="23"/>
      <c r="N685" s="23"/>
      <c r="O685" s="23"/>
      <c r="AH685" s="20"/>
    </row>
    <row r="686" spans="6:34" ht="15.75" customHeight="1">
      <c r="F686" s="22"/>
      <c r="G686" s="22"/>
      <c r="H686" s="22"/>
      <c r="I686" s="6"/>
      <c r="J686" s="16"/>
      <c r="K686" s="16"/>
      <c r="L686" s="23"/>
      <c r="M686" s="23"/>
      <c r="N686" s="23"/>
      <c r="O686" s="23"/>
      <c r="AH686" s="20"/>
    </row>
    <row r="687" spans="6:34" ht="15.75" customHeight="1">
      <c r="F687" s="22"/>
      <c r="G687" s="22"/>
      <c r="H687" s="22"/>
      <c r="I687" s="6"/>
      <c r="J687" s="16"/>
      <c r="K687" s="16"/>
      <c r="L687" s="23"/>
      <c r="M687" s="23"/>
      <c r="N687" s="23"/>
      <c r="O687" s="23"/>
      <c r="AH687" s="20"/>
    </row>
    <row r="688" spans="6:34" ht="15.75" customHeight="1">
      <c r="F688" s="22"/>
      <c r="G688" s="22"/>
      <c r="H688" s="22"/>
      <c r="I688" s="6"/>
      <c r="J688" s="16"/>
      <c r="K688" s="16"/>
      <c r="L688" s="23"/>
      <c r="M688" s="23"/>
      <c r="N688" s="23"/>
      <c r="O688" s="23"/>
      <c r="AH688" s="20"/>
    </row>
    <row r="689" spans="6:34" ht="15.75" customHeight="1">
      <c r="F689" s="22"/>
      <c r="G689" s="22"/>
      <c r="H689" s="22"/>
      <c r="I689" s="6"/>
      <c r="J689" s="16"/>
      <c r="K689" s="16"/>
      <c r="L689" s="23"/>
      <c r="M689" s="23"/>
      <c r="N689" s="23"/>
      <c r="O689" s="23"/>
      <c r="AH689" s="20"/>
    </row>
    <row r="690" spans="6:34" ht="15.75" customHeight="1">
      <c r="F690" s="22"/>
      <c r="G690" s="22"/>
      <c r="H690" s="22"/>
      <c r="I690" s="6"/>
      <c r="J690" s="16"/>
      <c r="K690" s="16"/>
      <c r="L690" s="23"/>
      <c r="M690" s="23"/>
      <c r="N690" s="23"/>
      <c r="O690" s="23"/>
      <c r="AH690" s="20"/>
    </row>
    <row r="691" spans="6:34" ht="15.75" customHeight="1">
      <c r="F691" s="22"/>
      <c r="G691" s="22"/>
      <c r="H691" s="22"/>
      <c r="I691" s="6"/>
      <c r="J691" s="16"/>
      <c r="K691" s="16"/>
      <c r="L691" s="23"/>
      <c r="M691" s="23"/>
      <c r="N691" s="23"/>
      <c r="O691" s="23"/>
      <c r="AH691" s="20"/>
    </row>
    <row r="692" spans="6:34" ht="15.75" customHeight="1">
      <c r="F692" s="22"/>
      <c r="G692" s="22"/>
      <c r="H692" s="22"/>
      <c r="I692" s="6"/>
      <c r="J692" s="16"/>
      <c r="K692" s="16"/>
      <c r="L692" s="23"/>
      <c r="M692" s="23"/>
      <c r="N692" s="23"/>
      <c r="O692" s="23"/>
      <c r="AH692" s="20"/>
    </row>
    <row r="693" spans="6:34" ht="15.75" customHeight="1">
      <c r="F693" s="22"/>
      <c r="G693" s="22"/>
      <c r="H693" s="22"/>
      <c r="I693" s="6"/>
      <c r="J693" s="16"/>
      <c r="K693" s="16"/>
      <c r="L693" s="23"/>
      <c r="M693" s="23"/>
      <c r="N693" s="23"/>
      <c r="O693" s="23"/>
      <c r="AH693" s="20"/>
    </row>
    <row r="694" spans="6:34" ht="15.75" customHeight="1">
      <c r="F694" s="22"/>
      <c r="G694" s="22"/>
      <c r="H694" s="22"/>
      <c r="I694" s="6"/>
      <c r="J694" s="16"/>
      <c r="K694" s="16"/>
      <c r="L694" s="23"/>
      <c r="M694" s="23"/>
      <c r="N694" s="23"/>
      <c r="O694" s="23"/>
      <c r="AH694" s="20"/>
    </row>
    <row r="695" spans="6:34" ht="15.75" customHeight="1">
      <c r="F695" s="22"/>
      <c r="G695" s="22"/>
      <c r="H695" s="22"/>
      <c r="I695" s="6"/>
      <c r="J695" s="16"/>
      <c r="K695" s="16"/>
      <c r="L695" s="23"/>
      <c r="M695" s="23"/>
      <c r="N695" s="23"/>
      <c r="O695" s="23"/>
      <c r="AH695" s="20"/>
    </row>
    <row r="696" spans="6:34" ht="15.75" customHeight="1">
      <c r="F696" s="22"/>
      <c r="G696" s="22"/>
      <c r="H696" s="22"/>
      <c r="I696" s="6"/>
      <c r="J696" s="16"/>
      <c r="K696" s="16"/>
      <c r="L696" s="23"/>
      <c r="M696" s="23"/>
      <c r="N696" s="23"/>
      <c r="O696" s="23"/>
      <c r="AH696" s="20"/>
    </row>
    <row r="697" spans="6:34" ht="15.75" customHeight="1">
      <c r="F697" s="22"/>
      <c r="G697" s="22"/>
      <c r="H697" s="22"/>
      <c r="I697" s="6"/>
      <c r="J697" s="16"/>
      <c r="K697" s="16"/>
      <c r="L697" s="23"/>
      <c r="M697" s="23"/>
      <c r="N697" s="23"/>
      <c r="O697" s="23"/>
      <c r="AH697" s="20"/>
    </row>
    <row r="698" spans="6:34" ht="15.75" customHeight="1">
      <c r="F698" s="22"/>
      <c r="G698" s="22"/>
      <c r="H698" s="22"/>
      <c r="I698" s="6"/>
      <c r="J698" s="16"/>
      <c r="K698" s="16"/>
      <c r="L698" s="23"/>
      <c r="M698" s="23"/>
      <c r="N698" s="23"/>
      <c r="O698" s="23"/>
      <c r="AH698" s="20"/>
    </row>
    <row r="699" spans="6:34" ht="15.75" customHeight="1">
      <c r="F699" s="22"/>
      <c r="G699" s="22"/>
      <c r="H699" s="22"/>
      <c r="I699" s="6"/>
      <c r="J699" s="16"/>
      <c r="K699" s="16"/>
      <c r="L699" s="23"/>
      <c r="M699" s="23"/>
      <c r="N699" s="23"/>
      <c r="O699" s="23"/>
      <c r="AH699" s="20"/>
    </row>
    <row r="700" spans="6:34" ht="15.75" customHeight="1">
      <c r="F700" s="22"/>
      <c r="G700" s="22"/>
      <c r="H700" s="22"/>
      <c r="I700" s="6"/>
      <c r="J700" s="16"/>
      <c r="K700" s="16"/>
      <c r="L700" s="23"/>
      <c r="M700" s="23"/>
      <c r="N700" s="23"/>
      <c r="O700" s="23"/>
      <c r="AH700" s="20"/>
    </row>
    <row r="701" spans="6:34" ht="15.75" customHeight="1">
      <c r="F701" s="22"/>
      <c r="G701" s="22"/>
      <c r="H701" s="22"/>
      <c r="I701" s="6"/>
      <c r="J701" s="16"/>
      <c r="K701" s="16"/>
      <c r="L701" s="23"/>
      <c r="M701" s="23"/>
      <c r="N701" s="23"/>
      <c r="O701" s="23"/>
      <c r="AH701" s="20"/>
    </row>
    <row r="702" spans="6:34" ht="15.75" customHeight="1">
      <c r="F702" s="22"/>
      <c r="G702" s="22"/>
      <c r="H702" s="22"/>
      <c r="I702" s="6"/>
      <c r="J702" s="16"/>
      <c r="K702" s="16"/>
      <c r="L702" s="23"/>
      <c r="M702" s="23"/>
      <c r="N702" s="23"/>
      <c r="O702" s="23"/>
      <c r="AH702" s="20"/>
    </row>
    <row r="703" spans="6:34" ht="15.75" customHeight="1">
      <c r="F703" s="22"/>
      <c r="G703" s="22"/>
      <c r="H703" s="22"/>
      <c r="I703" s="6"/>
      <c r="J703" s="16"/>
      <c r="K703" s="16"/>
      <c r="L703" s="23"/>
      <c r="M703" s="23"/>
      <c r="N703" s="23"/>
      <c r="O703" s="23"/>
      <c r="AH703" s="20"/>
    </row>
    <row r="704" spans="6:34" ht="15.75" customHeight="1">
      <c r="F704" s="22"/>
      <c r="G704" s="22"/>
      <c r="H704" s="22"/>
      <c r="I704" s="6"/>
      <c r="J704" s="16"/>
      <c r="K704" s="16"/>
      <c r="L704" s="23"/>
      <c r="M704" s="23"/>
      <c r="N704" s="23"/>
      <c r="O704" s="23"/>
      <c r="AH704" s="20"/>
    </row>
    <row r="705" spans="6:34" ht="15.75" customHeight="1">
      <c r="F705" s="22"/>
      <c r="G705" s="22"/>
      <c r="H705" s="22"/>
      <c r="I705" s="6"/>
      <c r="J705" s="16"/>
      <c r="K705" s="16"/>
      <c r="L705" s="23"/>
      <c r="M705" s="23"/>
      <c r="N705" s="23"/>
      <c r="O705" s="23"/>
      <c r="AH705" s="20"/>
    </row>
    <row r="706" spans="6:34" ht="15.75" customHeight="1">
      <c r="F706" s="22"/>
      <c r="G706" s="22"/>
      <c r="H706" s="22"/>
      <c r="I706" s="6"/>
      <c r="J706" s="16"/>
      <c r="K706" s="16"/>
      <c r="L706" s="23"/>
      <c r="M706" s="23"/>
      <c r="N706" s="23"/>
      <c r="O706" s="23"/>
      <c r="AH706" s="20"/>
    </row>
    <row r="707" spans="6:34" ht="15.75" customHeight="1">
      <c r="F707" s="22"/>
      <c r="G707" s="22"/>
      <c r="H707" s="22"/>
      <c r="I707" s="6"/>
      <c r="J707" s="16"/>
      <c r="K707" s="16"/>
      <c r="L707" s="23"/>
      <c r="M707" s="23"/>
      <c r="N707" s="23"/>
      <c r="O707" s="23"/>
      <c r="AH707" s="20"/>
    </row>
    <row r="708" spans="6:34" ht="15.75" customHeight="1">
      <c r="F708" s="22"/>
      <c r="G708" s="22"/>
      <c r="H708" s="22"/>
      <c r="I708" s="6"/>
      <c r="J708" s="16"/>
      <c r="K708" s="16"/>
      <c r="L708" s="23"/>
      <c r="M708" s="23"/>
      <c r="N708" s="23"/>
      <c r="O708" s="23"/>
      <c r="AH708" s="20"/>
    </row>
    <row r="709" spans="6:34" ht="15.75" customHeight="1">
      <c r="F709" s="22"/>
      <c r="G709" s="22"/>
      <c r="H709" s="22"/>
      <c r="I709" s="6"/>
      <c r="J709" s="16"/>
      <c r="K709" s="16"/>
      <c r="L709" s="23"/>
      <c r="M709" s="23"/>
      <c r="N709" s="23"/>
      <c r="O709" s="23"/>
      <c r="AH709" s="20"/>
    </row>
    <row r="710" spans="6:34" ht="15.75" customHeight="1">
      <c r="F710" s="22"/>
      <c r="G710" s="22"/>
      <c r="H710" s="22"/>
      <c r="I710" s="6"/>
      <c r="J710" s="16"/>
      <c r="K710" s="16"/>
      <c r="L710" s="23"/>
      <c r="M710" s="23"/>
      <c r="N710" s="23"/>
      <c r="O710" s="23"/>
      <c r="AH710" s="20"/>
    </row>
    <row r="711" spans="6:34" ht="15.75" customHeight="1">
      <c r="F711" s="22"/>
      <c r="G711" s="22"/>
      <c r="H711" s="22"/>
      <c r="I711" s="6"/>
      <c r="J711" s="16"/>
      <c r="K711" s="16"/>
      <c r="L711" s="23"/>
      <c r="M711" s="23"/>
      <c r="N711" s="23"/>
      <c r="O711" s="23"/>
      <c r="AH711" s="20"/>
    </row>
    <row r="712" spans="6:34" ht="15.75" customHeight="1">
      <c r="F712" s="22"/>
      <c r="G712" s="22"/>
      <c r="H712" s="22"/>
      <c r="I712" s="6"/>
      <c r="J712" s="16"/>
      <c r="K712" s="16"/>
      <c r="L712" s="23"/>
      <c r="M712" s="23"/>
      <c r="N712" s="23"/>
      <c r="O712" s="23"/>
      <c r="AH712" s="20"/>
    </row>
    <row r="713" spans="6:34" ht="15.75" customHeight="1">
      <c r="F713" s="22"/>
      <c r="G713" s="22"/>
      <c r="H713" s="22"/>
      <c r="I713" s="6"/>
      <c r="J713" s="16"/>
      <c r="K713" s="16"/>
      <c r="L713" s="23"/>
      <c r="M713" s="23"/>
      <c r="N713" s="23"/>
      <c r="O713" s="23"/>
      <c r="AH713" s="20"/>
    </row>
    <row r="714" spans="6:34" ht="15.75" customHeight="1">
      <c r="F714" s="22"/>
      <c r="G714" s="22"/>
      <c r="H714" s="22"/>
      <c r="I714" s="6"/>
      <c r="J714" s="16"/>
      <c r="K714" s="16"/>
      <c r="L714" s="23"/>
      <c r="M714" s="23"/>
      <c r="N714" s="23"/>
      <c r="O714" s="23"/>
      <c r="AH714" s="20"/>
    </row>
    <row r="715" spans="6:34" ht="15.75" customHeight="1">
      <c r="F715" s="22"/>
      <c r="G715" s="22"/>
      <c r="H715" s="22"/>
      <c r="I715" s="6"/>
      <c r="J715" s="16"/>
      <c r="K715" s="16"/>
      <c r="L715" s="23"/>
      <c r="M715" s="23"/>
      <c r="N715" s="23"/>
      <c r="O715" s="23"/>
      <c r="AH715" s="20"/>
    </row>
    <row r="716" spans="6:34" ht="15.75" customHeight="1">
      <c r="F716" s="22"/>
      <c r="G716" s="22"/>
      <c r="H716" s="22"/>
      <c r="I716" s="6"/>
      <c r="J716" s="16"/>
      <c r="K716" s="16"/>
      <c r="L716" s="23"/>
      <c r="M716" s="23"/>
      <c r="N716" s="23"/>
      <c r="O716" s="23"/>
      <c r="AH716" s="20"/>
    </row>
    <row r="717" spans="6:34" ht="15.75" customHeight="1">
      <c r="F717" s="22"/>
      <c r="G717" s="22"/>
      <c r="H717" s="22"/>
      <c r="I717" s="6"/>
      <c r="J717" s="16"/>
      <c r="K717" s="16"/>
      <c r="L717" s="23"/>
      <c r="M717" s="23"/>
      <c r="N717" s="23"/>
      <c r="O717" s="23"/>
      <c r="AH717" s="20"/>
    </row>
    <row r="718" spans="6:34" ht="15.75" customHeight="1">
      <c r="F718" s="22"/>
      <c r="G718" s="22"/>
      <c r="H718" s="22"/>
      <c r="I718" s="6"/>
      <c r="J718" s="16"/>
      <c r="K718" s="16"/>
      <c r="L718" s="23"/>
      <c r="M718" s="23"/>
      <c r="N718" s="23"/>
      <c r="O718" s="23"/>
      <c r="AH718" s="20"/>
    </row>
    <row r="719" spans="6:34" ht="15.75" customHeight="1">
      <c r="F719" s="22"/>
      <c r="G719" s="22"/>
      <c r="H719" s="22"/>
      <c r="I719" s="6"/>
      <c r="J719" s="16"/>
      <c r="K719" s="16"/>
      <c r="L719" s="23"/>
      <c r="M719" s="23"/>
      <c r="N719" s="23"/>
      <c r="O719" s="23"/>
      <c r="AH719" s="20"/>
    </row>
    <row r="720" spans="6:34" ht="15.75" customHeight="1">
      <c r="F720" s="22"/>
      <c r="G720" s="22"/>
      <c r="H720" s="22"/>
      <c r="I720" s="6"/>
      <c r="J720" s="16"/>
      <c r="K720" s="16"/>
      <c r="L720" s="23"/>
      <c r="M720" s="23"/>
      <c r="N720" s="23"/>
      <c r="O720" s="23"/>
      <c r="AH720" s="20"/>
    </row>
    <row r="721" spans="6:34" ht="15.75" customHeight="1">
      <c r="F721" s="22"/>
      <c r="G721" s="22"/>
      <c r="H721" s="22"/>
      <c r="I721" s="6"/>
      <c r="J721" s="16"/>
      <c r="K721" s="16"/>
      <c r="L721" s="23"/>
      <c r="M721" s="23"/>
      <c r="N721" s="23"/>
      <c r="O721" s="23"/>
      <c r="AH721" s="20"/>
    </row>
    <row r="722" spans="6:34" ht="15.75" customHeight="1">
      <c r="F722" s="22"/>
      <c r="G722" s="22"/>
      <c r="H722" s="22"/>
      <c r="I722" s="6"/>
      <c r="J722" s="16"/>
      <c r="K722" s="16"/>
      <c r="L722" s="23"/>
      <c r="M722" s="23"/>
      <c r="N722" s="23"/>
      <c r="O722" s="23"/>
      <c r="AH722" s="20"/>
    </row>
    <row r="723" spans="6:34" ht="15.75" customHeight="1">
      <c r="F723" s="22"/>
      <c r="G723" s="22"/>
      <c r="H723" s="22"/>
      <c r="I723" s="6"/>
      <c r="J723" s="16"/>
      <c r="K723" s="16"/>
      <c r="L723" s="23"/>
      <c r="M723" s="23"/>
      <c r="N723" s="23"/>
      <c r="O723" s="23"/>
      <c r="AH723" s="20"/>
    </row>
    <row r="724" spans="6:34" ht="15.75" customHeight="1">
      <c r="F724" s="22"/>
      <c r="G724" s="22"/>
      <c r="H724" s="22"/>
      <c r="I724" s="6"/>
      <c r="J724" s="16"/>
      <c r="K724" s="16"/>
      <c r="L724" s="23"/>
      <c r="M724" s="23"/>
      <c r="N724" s="23"/>
      <c r="O724" s="23"/>
      <c r="AH724" s="20"/>
    </row>
    <row r="725" spans="6:34" ht="15.75" customHeight="1">
      <c r="F725" s="22"/>
      <c r="G725" s="22"/>
      <c r="H725" s="22"/>
      <c r="I725" s="6"/>
      <c r="J725" s="16"/>
      <c r="K725" s="16"/>
      <c r="L725" s="23"/>
      <c r="M725" s="23"/>
      <c r="N725" s="23"/>
      <c r="O725" s="23"/>
      <c r="AH725" s="20"/>
    </row>
    <row r="726" spans="6:34" ht="15.75" customHeight="1">
      <c r="F726" s="22"/>
      <c r="G726" s="22"/>
      <c r="H726" s="22"/>
      <c r="I726" s="6"/>
      <c r="J726" s="16"/>
      <c r="K726" s="16"/>
      <c r="L726" s="23"/>
      <c r="M726" s="23"/>
      <c r="N726" s="23"/>
      <c r="O726" s="23"/>
      <c r="AH726" s="20"/>
    </row>
    <row r="727" spans="6:34" ht="15.75" customHeight="1">
      <c r="F727" s="22"/>
      <c r="G727" s="22"/>
      <c r="H727" s="22"/>
      <c r="I727" s="6"/>
      <c r="J727" s="16"/>
      <c r="K727" s="16"/>
      <c r="L727" s="23"/>
      <c r="M727" s="23"/>
      <c r="N727" s="23"/>
      <c r="O727" s="23"/>
      <c r="AH727" s="20"/>
    </row>
    <row r="728" spans="6:34" ht="15.75" customHeight="1">
      <c r="F728" s="22"/>
      <c r="G728" s="22"/>
      <c r="H728" s="22"/>
      <c r="I728" s="6"/>
      <c r="J728" s="16"/>
      <c r="K728" s="16"/>
      <c r="L728" s="23"/>
      <c r="M728" s="23"/>
      <c r="N728" s="23"/>
      <c r="O728" s="23"/>
      <c r="AH728" s="20"/>
    </row>
    <row r="729" spans="6:34" ht="15.75" customHeight="1">
      <c r="F729" s="22"/>
      <c r="G729" s="22"/>
      <c r="H729" s="22"/>
      <c r="I729" s="6"/>
      <c r="J729" s="16"/>
      <c r="K729" s="16"/>
      <c r="L729" s="23"/>
      <c r="M729" s="23"/>
      <c r="N729" s="23"/>
      <c r="O729" s="23"/>
      <c r="AH729" s="20"/>
    </row>
    <row r="730" spans="6:34" ht="15.75" customHeight="1">
      <c r="F730" s="22"/>
      <c r="G730" s="22"/>
      <c r="H730" s="22"/>
      <c r="I730" s="6"/>
      <c r="J730" s="16"/>
      <c r="K730" s="16"/>
      <c r="L730" s="23"/>
      <c r="M730" s="23"/>
      <c r="N730" s="23"/>
      <c r="O730" s="23"/>
      <c r="AH730" s="20"/>
    </row>
    <row r="731" spans="6:34" ht="15.75" customHeight="1">
      <c r="F731" s="22"/>
      <c r="G731" s="22"/>
      <c r="H731" s="22"/>
      <c r="I731" s="6"/>
      <c r="J731" s="16"/>
      <c r="K731" s="16"/>
      <c r="L731" s="23"/>
      <c r="M731" s="23"/>
      <c r="N731" s="23"/>
      <c r="O731" s="23"/>
      <c r="AH731" s="20"/>
    </row>
    <row r="732" spans="6:34" ht="15.75" customHeight="1">
      <c r="F732" s="22"/>
      <c r="G732" s="22"/>
      <c r="H732" s="22"/>
      <c r="I732" s="6"/>
      <c r="J732" s="16"/>
      <c r="K732" s="16"/>
      <c r="L732" s="23"/>
      <c r="M732" s="23"/>
      <c r="N732" s="23"/>
      <c r="O732" s="23"/>
      <c r="AH732" s="20"/>
    </row>
    <row r="733" spans="6:34" ht="15.75" customHeight="1">
      <c r="F733" s="22"/>
      <c r="G733" s="22"/>
      <c r="H733" s="22"/>
      <c r="I733" s="6"/>
      <c r="J733" s="16"/>
      <c r="K733" s="16"/>
      <c r="L733" s="23"/>
      <c r="M733" s="23"/>
      <c r="N733" s="23"/>
      <c r="O733" s="23"/>
      <c r="AH733" s="20"/>
    </row>
    <row r="734" spans="6:34" ht="15.75" customHeight="1">
      <c r="F734" s="22"/>
      <c r="G734" s="22"/>
      <c r="H734" s="22"/>
      <c r="I734" s="6"/>
      <c r="J734" s="16"/>
      <c r="K734" s="16"/>
      <c r="L734" s="23"/>
      <c r="M734" s="23"/>
      <c r="N734" s="23"/>
      <c r="O734" s="23"/>
      <c r="AH734" s="20"/>
    </row>
    <row r="735" spans="6:34" ht="15.75" customHeight="1">
      <c r="F735" s="22"/>
      <c r="G735" s="22"/>
      <c r="H735" s="22"/>
      <c r="I735" s="6"/>
      <c r="J735" s="16"/>
      <c r="K735" s="16"/>
      <c r="L735" s="23"/>
      <c r="M735" s="23"/>
      <c r="N735" s="23"/>
      <c r="O735" s="23"/>
      <c r="AH735" s="20"/>
    </row>
    <row r="736" spans="6:34" ht="15.75" customHeight="1">
      <c r="F736" s="22"/>
      <c r="G736" s="22"/>
      <c r="H736" s="22"/>
      <c r="I736" s="6"/>
      <c r="J736" s="16"/>
      <c r="K736" s="16"/>
      <c r="L736" s="23"/>
      <c r="M736" s="23"/>
      <c r="N736" s="23"/>
      <c r="O736" s="23"/>
      <c r="AH736" s="20"/>
    </row>
    <row r="737" spans="6:34" ht="15.75" customHeight="1">
      <c r="F737" s="22"/>
      <c r="G737" s="22"/>
      <c r="H737" s="22"/>
      <c r="I737" s="6"/>
      <c r="J737" s="16"/>
      <c r="K737" s="16"/>
      <c r="L737" s="23"/>
      <c r="M737" s="23"/>
      <c r="N737" s="23"/>
      <c r="O737" s="23"/>
      <c r="AH737" s="20"/>
    </row>
    <row r="738" spans="6:34" ht="15.75" customHeight="1">
      <c r="F738" s="22"/>
      <c r="G738" s="22"/>
      <c r="H738" s="22"/>
      <c r="I738" s="6"/>
      <c r="J738" s="16"/>
      <c r="K738" s="16"/>
      <c r="L738" s="23"/>
      <c r="M738" s="23"/>
      <c r="N738" s="23"/>
      <c r="O738" s="23"/>
      <c r="AH738" s="20"/>
    </row>
    <row r="739" spans="6:34" ht="15.75" customHeight="1">
      <c r="F739" s="22"/>
      <c r="G739" s="22"/>
      <c r="H739" s="22"/>
      <c r="I739" s="6"/>
      <c r="J739" s="16"/>
      <c r="K739" s="16"/>
      <c r="L739" s="23"/>
      <c r="M739" s="23"/>
      <c r="N739" s="23"/>
      <c r="O739" s="23"/>
      <c r="AH739" s="20"/>
    </row>
    <row r="740" spans="6:34" ht="15.75" customHeight="1">
      <c r="F740" s="22"/>
      <c r="G740" s="22"/>
      <c r="H740" s="22"/>
      <c r="I740" s="6"/>
      <c r="J740" s="16"/>
      <c r="K740" s="16"/>
      <c r="L740" s="23"/>
      <c r="M740" s="23"/>
      <c r="N740" s="23"/>
      <c r="O740" s="23"/>
      <c r="AH740" s="20"/>
    </row>
    <row r="741" spans="6:34" ht="15.75" customHeight="1">
      <c r="F741" s="22"/>
      <c r="G741" s="22"/>
      <c r="H741" s="22"/>
      <c r="I741" s="6"/>
      <c r="J741" s="16"/>
      <c r="K741" s="16"/>
      <c r="L741" s="23"/>
      <c r="M741" s="23"/>
      <c r="N741" s="23"/>
      <c r="O741" s="23"/>
      <c r="AH741" s="20"/>
    </row>
    <row r="742" spans="6:34" ht="15.75" customHeight="1">
      <c r="F742" s="22"/>
      <c r="G742" s="22"/>
      <c r="H742" s="22"/>
      <c r="I742" s="6"/>
      <c r="J742" s="16"/>
      <c r="K742" s="16"/>
      <c r="L742" s="23"/>
      <c r="M742" s="23"/>
      <c r="N742" s="23"/>
      <c r="O742" s="23"/>
      <c r="AH742" s="20"/>
    </row>
    <row r="743" spans="6:34" ht="15.75" customHeight="1">
      <c r="F743" s="22"/>
      <c r="G743" s="22"/>
      <c r="H743" s="22"/>
      <c r="I743" s="6"/>
      <c r="J743" s="16"/>
      <c r="K743" s="16"/>
      <c r="L743" s="23"/>
      <c r="M743" s="23"/>
      <c r="N743" s="23"/>
      <c r="O743" s="23"/>
      <c r="AH743" s="20"/>
    </row>
    <row r="744" spans="6:34" ht="15.75" customHeight="1">
      <c r="F744" s="22"/>
      <c r="G744" s="22"/>
      <c r="H744" s="22"/>
      <c r="I744" s="6"/>
      <c r="J744" s="16"/>
      <c r="K744" s="16"/>
      <c r="L744" s="23"/>
      <c r="M744" s="23"/>
      <c r="N744" s="23"/>
      <c r="O744" s="23"/>
      <c r="AH744" s="20"/>
    </row>
    <row r="745" spans="6:34" ht="15.75" customHeight="1">
      <c r="F745" s="22"/>
      <c r="G745" s="22"/>
      <c r="H745" s="22"/>
      <c r="I745" s="6"/>
      <c r="J745" s="16"/>
      <c r="K745" s="16"/>
      <c r="L745" s="23"/>
      <c r="M745" s="23"/>
      <c r="N745" s="23"/>
      <c r="O745" s="23"/>
      <c r="AH745" s="20"/>
    </row>
    <row r="746" spans="6:34" ht="15.75" customHeight="1">
      <c r="F746" s="22"/>
      <c r="G746" s="22"/>
      <c r="H746" s="22"/>
      <c r="I746" s="6"/>
      <c r="J746" s="16"/>
      <c r="K746" s="16"/>
      <c r="L746" s="23"/>
      <c r="M746" s="23"/>
      <c r="N746" s="23"/>
      <c r="O746" s="23"/>
      <c r="AH746" s="20"/>
    </row>
    <row r="747" spans="6:34" ht="15.75" customHeight="1">
      <c r="F747" s="22"/>
      <c r="G747" s="22"/>
      <c r="H747" s="22"/>
      <c r="I747" s="6"/>
      <c r="J747" s="16"/>
      <c r="K747" s="16"/>
      <c r="L747" s="23"/>
      <c r="M747" s="23"/>
      <c r="N747" s="23"/>
      <c r="O747" s="23"/>
      <c r="AH747" s="20"/>
    </row>
    <row r="748" spans="6:34" ht="15.75" customHeight="1">
      <c r="F748" s="22"/>
      <c r="G748" s="22"/>
      <c r="H748" s="22"/>
      <c r="I748" s="6"/>
      <c r="J748" s="16"/>
      <c r="K748" s="16"/>
      <c r="L748" s="23"/>
      <c r="M748" s="23"/>
      <c r="N748" s="23"/>
      <c r="O748" s="23"/>
      <c r="AH748" s="20"/>
    </row>
    <row r="749" spans="6:34" ht="15.75" customHeight="1">
      <c r="F749" s="22"/>
      <c r="G749" s="22"/>
      <c r="H749" s="22"/>
      <c r="I749" s="6"/>
      <c r="J749" s="16"/>
      <c r="K749" s="16"/>
      <c r="L749" s="23"/>
      <c r="M749" s="23"/>
      <c r="N749" s="23"/>
      <c r="O749" s="23"/>
      <c r="AH749" s="20"/>
    </row>
    <row r="750" spans="6:34" ht="15.75" customHeight="1">
      <c r="F750" s="22"/>
      <c r="G750" s="22"/>
      <c r="H750" s="22"/>
      <c r="I750" s="6"/>
      <c r="J750" s="16"/>
      <c r="K750" s="16"/>
      <c r="L750" s="23"/>
      <c r="M750" s="23"/>
      <c r="N750" s="23"/>
      <c r="O750" s="23"/>
      <c r="AH750" s="20"/>
    </row>
    <row r="751" spans="6:34" ht="15.75" customHeight="1">
      <c r="F751" s="22"/>
      <c r="G751" s="22"/>
      <c r="H751" s="22"/>
      <c r="I751" s="6"/>
      <c r="J751" s="16"/>
      <c r="K751" s="16"/>
      <c r="L751" s="23"/>
      <c r="M751" s="23"/>
      <c r="N751" s="23"/>
      <c r="O751" s="23"/>
      <c r="AH751" s="20"/>
    </row>
    <row r="752" spans="6:34" ht="15.75" customHeight="1">
      <c r="F752" s="22"/>
      <c r="G752" s="22"/>
      <c r="H752" s="22"/>
      <c r="I752" s="6"/>
      <c r="J752" s="16"/>
      <c r="K752" s="16"/>
      <c r="L752" s="23"/>
      <c r="M752" s="23"/>
      <c r="N752" s="23"/>
      <c r="O752" s="23"/>
      <c r="AH752" s="20"/>
    </row>
    <row r="753" spans="6:34" ht="15.75" customHeight="1">
      <c r="F753" s="22"/>
      <c r="G753" s="22"/>
      <c r="H753" s="22"/>
      <c r="I753" s="6"/>
      <c r="J753" s="16"/>
      <c r="K753" s="16"/>
      <c r="L753" s="23"/>
      <c r="M753" s="23"/>
      <c r="N753" s="23"/>
      <c r="O753" s="23"/>
      <c r="AH753" s="20"/>
    </row>
    <row r="754" spans="6:34" ht="15.75" customHeight="1">
      <c r="F754" s="22"/>
      <c r="G754" s="22"/>
      <c r="H754" s="22"/>
      <c r="I754" s="6"/>
      <c r="J754" s="16"/>
      <c r="K754" s="16"/>
      <c r="L754" s="23"/>
      <c r="M754" s="23"/>
      <c r="N754" s="23"/>
      <c r="O754" s="23"/>
      <c r="AH754" s="20"/>
    </row>
    <row r="755" spans="6:34" ht="15.75" customHeight="1">
      <c r="F755" s="22"/>
      <c r="G755" s="22"/>
      <c r="H755" s="22"/>
      <c r="I755" s="6"/>
      <c r="J755" s="16"/>
      <c r="K755" s="16"/>
      <c r="L755" s="23"/>
      <c r="M755" s="23"/>
      <c r="N755" s="23"/>
      <c r="O755" s="23"/>
      <c r="AH755" s="20"/>
    </row>
    <row r="756" spans="6:34" ht="15.75" customHeight="1">
      <c r="F756" s="22"/>
      <c r="G756" s="22"/>
      <c r="H756" s="22"/>
      <c r="I756" s="6"/>
      <c r="J756" s="16"/>
      <c r="K756" s="16"/>
      <c r="L756" s="23"/>
      <c r="M756" s="23"/>
      <c r="N756" s="23"/>
      <c r="O756" s="23"/>
      <c r="AH756" s="20"/>
    </row>
    <row r="757" spans="6:34" ht="15.75" customHeight="1">
      <c r="F757" s="22"/>
      <c r="G757" s="22"/>
      <c r="H757" s="22"/>
      <c r="I757" s="6"/>
      <c r="J757" s="16"/>
      <c r="K757" s="16"/>
      <c r="L757" s="23"/>
      <c r="M757" s="23"/>
      <c r="N757" s="23"/>
      <c r="O757" s="23"/>
      <c r="AH757" s="20"/>
    </row>
    <row r="758" spans="6:34" ht="15.75" customHeight="1">
      <c r="F758" s="22"/>
      <c r="G758" s="22"/>
      <c r="H758" s="22"/>
      <c r="I758" s="6"/>
      <c r="J758" s="16"/>
      <c r="K758" s="16"/>
      <c r="L758" s="23"/>
      <c r="M758" s="23"/>
      <c r="N758" s="23"/>
      <c r="O758" s="23"/>
      <c r="AH758" s="20"/>
    </row>
    <row r="759" spans="6:34" ht="15.75" customHeight="1">
      <c r="F759" s="22"/>
      <c r="G759" s="22"/>
      <c r="H759" s="22"/>
      <c r="I759" s="6"/>
      <c r="J759" s="16"/>
      <c r="K759" s="16"/>
      <c r="L759" s="23"/>
      <c r="M759" s="23"/>
      <c r="N759" s="23"/>
      <c r="O759" s="23"/>
      <c r="AH759" s="20"/>
    </row>
    <row r="760" spans="6:34" ht="15.75" customHeight="1">
      <c r="F760" s="22"/>
      <c r="G760" s="22"/>
      <c r="H760" s="22"/>
      <c r="I760" s="6"/>
      <c r="J760" s="16"/>
      <c r="K760" s="16"/>
      <c r="L760" s="23"/>
      <c r="M760" s="23"/>
      <c r="N760" s="23"/>
      <c r="O760" s="23"/>
      <c r="AH760" s="20"/>
    </row>
    <row r="761" spans="6:34" ht="15.75" customHeight="1">
      <c r="F761" s="22"/>
      <c r="G761" s="22"/>
      <c r="H761" s="22"/>
      <c r="I761" s="6"/>
      <c r="J761" s="16"/>
      <c r="K761" s="16"/>
      <c r="L761" s="23"/>
      <c r="M761" s="23"/>
      <c r="N761" s="23"/>
      <c r="O761" s="23"/>
      <c r="AH761" s="20"/>
    </row>
    <row r="762" spans="6:34" ht="15.75" customHeight="1">
      <c r="F762" s="22"/>
      <c r="G762" s="22"/>
      <c r="H762" s="22"/>
      <c r="I762" s="6"/>
      <c r="J762" s="16"/>
      <c r="K762" s="16"/>
      <c r="L762" s="23"/>
      <c r="M762" s="23"/>
      <c r="N762" s="23"/>
      <c r="O762" s="23"/>
      <c r="AH762" s="20"/>
    </row>
    <row r="763" spans="6:34" ht="15.75" customHeight="1">
      <c r="F763" s="22"/>
      <c r="G763" s="22"/>
      <c r="H763" s="22"/>
      <c r="I763" s="6"/>
      <c r="J763" s="16"/>
      <c r="K763" s="16"/>
      <c r="L763" s="23"/>
      <c r="M763" s="23"/>
      <c r="N763" s="23"/>
      <c r="O763" s="23"/>
      <c r="AH763" s="20"/>
    </row>
    <row r="764" spans="6:34" ht="15.75" customHeight="1">
      <c r="F764" s="22"/>
      <c r="G764" s="22"/>
      <c r="H764" s="22"/>
      <c r="I764" s="6"/>
      <c r="J764" s="16"/>
      <c r="K764" s="16"/>
      <c r="L764" s="23"/>
      <c r="M764" s="23"/>
      <c r="N764" s="23"/>
      <c r="O764" s="23"/>
      <c r="AH764" s="20"/>
    </row>
    <row r="765" spans="6:34" ht="15.75" customHeight="1">
      <c r="F765" s="22"/>
      <c r="G765" s="22"/>
      <c r="H765" s="22"/>
      <c r="I765" s="6"/>
      <c r="J765" s="16"/>
      <c r="K765" s="16"/>
      <c r="L765" s="23"/>
      <c r="M765" s="23"/>
      <c r="N765" s="23"/>
      <c r="O765" s="23"/>
      <c r="AH765" s="20"/>
    </row>
    <row r="766" spans="6:34" ht="15.75" customHeight="1">
      <c r="F766" s="22"/>
      <c r="G766" s="22"/>
      <c r="H766" s="22"/>
      <c r="I766" s="6"/>
      <c r="J766" s="16"/>
      <c r="K766" s="16"/>
      <c r="L766" s="23"/>
      <c r="M766" s="23"/>
      <c r="N766" s="23"/>
      <c r="O766" s="23"/>
      <c r="AH766" s="20"/>
    </row>
    <row r="767" spans="6:34" ht="15.75" customHeight="1">
      <c r="F767" s="22"/>
      <c r="G767" s="22"/>
      <c r="H767" s="22"/>
      <c r="I767" s="6"/>
      <c r="J767" s="16"/>
      <c r="K767" s="16"/>
      <c r="L767" s="23"/>
      <c r="M767" s="23"/>
      <c r="N767" s="23"/>
      <c r="O767" s="23"/>
      <c r="AH767" s="20"/>
    </row>
    <row r="768" spans="6:34" ht="15.75" customHeight="1">
      <c r="F768" s="22"/>
      <c r="G768" s="22"/>
      <c r="H768" s="22"/>
      <c r="I768" s="6"/>
      <c r="J768" s="16"/>
      <c r="K768" s="16"/>
      <c r="L768" s="23"/>
      <c r="M768" s="23"/>
      <c r="N768" s="23"/>
      <c r="O768" s="23"/>
      <c r="AH768" s="20"/>
    </row>
    <row r="769" spans="6:34" ht="15.75" customHeight="1">
      <c r="F769" s="22"/>
      <c r="G769" s="22"/>
      <c r="H769" s="22"/>
      <c r="I769" s="6"/>
      <c r="J769" s="16"/>
      <c r="K769" s="16"/>
      <c r="L769" s="23"/>
      <c r="M769" s="23"/>
      <c r="N769" s="23"/>
      <c r="O769" s="23"/>
      <c r="AH769" s="20"/>
    </row>
    <row r="770" spans="6:34" ht="15.75" customHeight="1">
      <c r="F770" s="22"/>
      <c r="G770" s="22"/>
      <c r="H770" s="22"/>
      <c r="I770" s="6"/>
      <c r="J770" s="16"/>
      <c r="K770" s="16"/>
      <c r="L770" s="23"/>
      <c r="M770" s="23"/>
      <c r="N770" s="23"/>
      <c r="O770" s="23"/>
      <c r="AH770" s="20"/>
    </row>
    <row r="771" spans="6:34" ht="15.75" customHeight="1">
      <c r="F771" s="22"/>
      <c r="G771" s="22"/>
      <c r="H771" s="22"/>
      <c r="I771" s="6"/>
      <c r="J771" s="16"/>
      <c r="K771" s="16"/>
      <c r="L771" s="23"/>
      <c r="M771" s="23"/>
      <c r="N771" s="23"/>
      <c r="O771" s="23"/>
      <c r="AH771" s="20"/>
    </row>
    <row r="772" spans="6:34" ht="15.75" customHeight="1">
      <c r="F772" s="22"/>
      <c r="G772" s="22"/>
      <c r="H772" s="22"/>
      <c r="I772" s="6"/>
      <c r="J772" s="16"/>
      <c r="K772" s="16"/>
      <c r="L772" s="23"/>
      <c r="M772" s="23"/>
      <c r="N772" s="23"/>
      <c r="O772" s="23"/>
      <c r="AH772" s="20"/>
    </row>
    <row r="773" spans="6:34" ht="15.75" customHeight="1">
      <c r="F773" s="22"/>
      <c r="G773" s="22"/>
      <c r="H773" s="22"/>
      <c r="I773" s="6"/>
      <c r="J773" s="16"/>
      <c r="K773" s="16"/>
      <c r="L773" s="23"/>
      <c r="M773" s="23"/>
      <c r="N773" s="23"/>
      <c r="O773" s="23"/>
      <c r="AH773" s="20"/>
    </row>
    <row r="774" spans="6:34" ht="15.75" customHeight="1">
      <c r="F774" s="22"/>
      <c r="G774" s="22"/>
      <c r="H774" s="22"/>
      <c r="I774" s="6"/>
      <c r="J774" s="16"/>
      <c r="K774" s="16"/>
      <c r="L774" s="23"/>
      <c r="M774" s="23"/>
      <c r="N774" s="23"/>
      <c r="O774" s="23"/>
      <c r="AH774" s="20"/>
    </row>
    <row r="775" spans="6:34" ht="15.75" customHeight="1">
      <c r="F775" s="22"/>
      <c r="G775" s="22"/>
      <c r="H775" s="22"/>
      <c r="I775" s="6"/>
      <c r="J775" s="16"/>
      <c r="K775" s="16"/>
      <c r="L775" s="23"/>
      <c r="M775" s="23"/>
      <c r="N775" s="23"/>
      <c r="O775" s="23"/>
      <c r="AH775" s="20"/>
    </row>
    <row r="776" spans="6:34" ht="15.75" customHeight="1">
      <c r="F776" s="22"/>
      <c r="G776" s="22"/>
      <c r="H776" s="22"/>
      <c r="I776" s="6"/>
      <c r="J776" s="16"/>
      <c r="K776" s="16"/>
      <c r="L776" s="23"/>
      <c r="M776" s="23"/>
      <c r="N776" s="23"/>
      <c r="O776" s="23"/>
      <c r="AH776" s="20"/>
    </row>
    <row r="777" spans="6:34" ht="15.75" customHeight="1">
      <c r="F777" s="22"/>
      <c r="G777" s="22"/>
      <c r="H777" s="22"/>
      <c r="I777" s="6"/>
      <c r="J777" s="16"/>
      <c r="K777" s="16"/>
      <c r="L777" s="23"/>
      <c r="M777" s="23"/>
      <c r="N777" s="23"/>
      <c r="O777" s="23"/>
      <c r="AH777" s="20"/>
    </row>
    <row r="778" spans="6:34" ht="15.75" customHeight="1">
      <c r="F778" s="22"/>
      <c r="G778" s="22"/>
      <c r="H778" s="22"/>
      <c r="I778" s="6"/>
      <c r="J778" s="16"/>
      <c r="K778" s="16"/>
      <c r="L778" s="23"/>
      <c r="M778" s="23"/>
      <c r="N778" s="23"/>
      <c r="O778" s="23"/>
      <c r="AH778" s="20"/>
    </row>
    <row r="779" spans="6:34" ht="15.75" customHeight="1">
      <c r="F779" s="22"/>
      <c r="G779" s="22"/>
      <c r="H779" s="22"/>
      <c r="I779" s="6"/>
      <c r="J779" s="16"/>
      <c r="K779" s="16"/>
      <c r="L779" s="23"/>
      <c r="M779" s="23"/>
      <c r="N779" s="23"/>
      <c r="O779" s="23"/>
      <c r="AH779" s="20"/>
    </row>
    <row r="780" spans="6:34" ht="15.75" customHeight="1">
      <c r="F780" s="22"/>
      <c r="G780" s="22"/>
      <c r="H780" s="22"/>
      <c r="I780" s="6"/>
      <c r="J780" s="16"/>
      <c r="K780" s="16"/>
      <c r="L780" s="23"/>
      <c r="M780" s="23"/>
      <c r="N780" s="23"/>
      <c r="O780" s="23"/>
      <c r="AH780" s="20"/>
    </row>
    <row r="781" spans="6:34" ht="15.75" customHeight="1">
      <c r="F781" s="22"/>
      <c r="G781" s="22"/>
      <c r="H781" s="22"/>
      <c r="I781" s="6"/>
      <c r="J781" s="16"/>
      <c r="K781" s="16"/>
      <c r="L781" s="23"/>
      <c r="M781" s="23"/>
      <c r="N781" s="23"/>
      <c r="O781" s="23"/>
      <c r="AH781" s="20"/>
    </row>
    <row r="782" spans="6:34" ht="15.75" customHeight="1">
      <c r="F782" s="22"/>
      <c r="G782" s="22"/>
      <c r="H782" s="22"/>
      <c r="I782" s="6"/>
      <c r="J782" s="16"/>
      <c r="K782" s="16"/>
      <c r="L782" s="23"/>
      <c r="M782" s="23"/>
      <c r="N782" s="23"/>
      <c r="O782" s="23"/>
      <c r="AH782" s="20"/>
    </row>
    <row r="783" spans="6:34" ht="15.75" customHeight="1">
      <c r="F783" s="22"/>
      <c r="G783" s="22"/>
      <c r="H783" s="22"/>
      <c r="I783" s="6"/>
      <c r="J783" s="16"/>
      <c r="K783" s="16"/>
      <c r="L783" s="23"/>
      <c r="M783" s="23"/>
      <c r="N783" s="23"/>
      <c r="O783" s="23"/>
      <c r="AH783" s="20"/>
    </row>
    <row r="784" spans="6:34" ht="15.75" customHeight="1">
      <c r="F784" s="22"/>
      <c r="G784" s="22"/>
      <c r="H784" s="22"/>
      <c r="I784" s="6"/>
      <c r="J784" s="16"/>
      <c r="K784" s="16"/>
      <c r="L784" s="23"/>
      <c r="M784" s="23"/>
      <c r="N784" s="23"/>
      <c r="O784" s="23"/>
      <c r="AH784" s="20"/>
    </row>
    <row r="785" spans="6:34" ht="15.75" customHeight="1">
      <c r="F785" s="22"/>
      <c r="G785" s="22"/>
      <c r="H785" s="22"/>
      <c r="I785" s="6"/>
      <c r="J785" s="16"/>
      <c r="K785" s="16"/>
      <c r="L785" s="23"/>
      <c r="M785" s="23"/>
      <c r="N785" s="23"/>
      <c r="O785" s="23"/>
      <c r="AH785" s="20"/>
    </row>
    <row r="786" spans="6:34" ht="15.75" customHeight="1">
      <c r="F786" s="22"/>
      <c r="G786" s="22"/>
      <c r="H786" s="22"/>
      <c r="I786" s="6"/>
      <c r="J786" s="16"/>
      <c r="K786" s="16"/>
      <c r="L786" s="23"/>
      <c r="M786" s="23"/>
      <c r="N786" s="23"/>
      <c r="O786" s="23"/>
      <c r="AH786" s="20"/>
    </row>
    <row r="787" spans="6:34" ht="15.75" customHeight="1">
      <c r="F787" s="22"/>
      <c r="G787" s="22"/>
      <c r="H787" s="22"/>
      <c r="I787" s="6"/>
      <c r="J787" s="16"/>
      <c r="K787" s="16"/>
      <c r="L787" s="23"/>
      <c r="M787" s="23"/>
      <c r="N787" s="23"/>
      <c r="O787" s="23"/>
      <c r="AH787" s="20"/>
    </row>
    <row r="788" spans="6:34" ht="15.75" customHeight="1">
      <c r="F788" s="22"/>
      <c r="G788" s="22"/>
      <c r="H788" s="22"/>
      <c r="I788" s="6"/>
      <c r="J788" s="16"/>
      <c r="K788" s="16"/>
      <c r="L788" s="23"/>
      <c r="M788" s="23"/>
      <c r="N788" s="23"/>
      <c r="O788" s="23"/>
      <c r="AH788" s="20"/>
    </row>
    <row r="789" spans="6:34" ht="15.75" customHeight="1">
      <c r="F789" s="22"/>
      <c r="G789" s="22"/>
      <c r="H789" s="22"/>
      <c r="I789" s="6"/>
      <c r="J789" s="16"/>
      <c r="K789" s="16"/>
      <c r="L789" s="23"/>
      <c r="M789" s="23"/>
      <c r="N789" s="23"/>
      <c r="O789" s="23"/>
      <c r="AH789" s="20"/>
    </row>
    <row r="790" spans="6:34" ht="15.75" customHeight="1">
      <c r="F790" s="22"/>
      <c r="G790" s="22"/>
      <c r="H790" s="22"/>
      <c r="I790" s="6"/>
      <c r="J790" s="16"/>
      <c r="K790" s="16"/>
      <c r="L790" s="23"/>
      <c r="M790" s="23"/>
      <c r="N790" s="23"/>
      <c r="O790" s="23"/>
      <c r="AH790" s="20"/>
    </row>
    <row r="791" spans="6:34" ht="15.75" customHeight="1">
      <c r="F791" s="22"/>
      <c r="G791" s="22"/>
      <c r="H791" s="22"/>
      <c r="I791" s="6"/>
      <c r="J791" s="16"/>
      <c r="K791" s="16"/>
      <c r="L791" s="23"/>
      <c r="M791" s="23"/>
      <c r="N791" s="23"/>
      <c r="O791" s="23"/>
      <c r="AH791" s="20"/>
    </row>
    <row r="792" spans="6:34" ht="15.75" customHeight="1">
      <c r="F792" s="22"/>
      <c r="G792" s="22"/>
      <c r="H792" s="22"/>
      <c r="I792" s="6"/>
      <c r="J792" s="16"/>
      <c r="K792" s="16"/>
      <c r="L792" s="23"/>
      <c r="M792" s="23"/>
      <c r="N792" s="23"/>
      <c r="O792" s="23"/>
      <c r="AH792" s="20"/>
    </row>
    <row r="793" spans="6:34" ht="15.75" customHeight="1">
      <c r="F793" s="22"/>
      <c r="G793" s="22"/>
      <c r="H793" s="22"/>
      <c r="I793" s="6"/>
      <c r="J793" s="16"/>
      <c r="K793" s="16"/>
      <c r="L793" s="23"/>
      <c r="M793" s="23"/>
      <c r="N793" s="23"/>
      <c r="O793" s="23"/>
      <c r="AH793" s="20"/>
    </row>
    <row r="794" spans="6:34" ht="15.75" customHeight="1">
      <c r="F794" s="22"/>
      <c r="G794" s="22"/>
      <c r="H794" s="22"/>
      <c r="I794" s="6"/>
      <c r="J794" s="16"/>
      <c r="K794" s="16"/>
      <c r="L794" s="23"/>
      <c r="M794" s="23"/>
      <c r="N794" s="23"/>
      <c r="O794" s="23"/>
      <c r="AH794" s="20"/>
    </row>
    <row r="795" spans="6:34" ht="15.75" customHeight="1">
      <c r="F795" s="22"/>
      <c r="G795" s="22"/>
      <c r="H795" s="22"/>
      <c r="I795" s="6"/>
      <c r="J795" s="16"/>
      <c r="K795" s="16"/>
      <c r="L795" s="23"/>
      <c r="M795" s="23"/>
      <c r="N795" s="23"/>
      <c r="O795" s="23"/>
      <c r="AH795" s="20"/>
    </row>
    <row r="796" spans="6:34" ht="15.75" customHeight="1">
      <c r="F796" s="22"/>
      <c r="G796" s="22"/>
      <c r="H796" s="22"/>
      <c r="I796" s="6"/>
      <c r="J796" s="16"/>
      <c r="K796" s="16"/>
      <c r="L796" s="23"/>
      <c r="M796" s="23"/>
      <c r="N796" s="23"/>
      <c r="O796" s="23"/>
      <c r="AH796" s="20"/>
    </row>
    <row r="797" spans="6:34" ht="15.75" customHeight="1">
      <c r="F797" s="22"/>
      <c r="G797" s="22"/>
      <c r="H797" s="22"/>
      <c r="I797" s="6"/>
      <c r="J797" s="16"/>
      <c r="K797" s="16"/>
      <c r="L797" s="23"/>
      <c r="M797" s="23"/>
      <c r="N797" s="23"/>
      <c r="O797" s="23"/>
      <c r="AH797" s="20"/>
    </row>
    <row r="798" spans="6:34" ht="15.75" customHeight="1">
      <c r="F798" s="22"/>
      <c r="G798" s="22"/>
      <c r="H798" s="22"/>
      <c r="I798" s="6"/>
      <c r="J798" s="16"/>
      <c r="K798" s="16"/>
      <c r="L798" s="23"/>
      <c r="M798" s="23"/>
      <c r="N798" s="23"/>
      <c r="O798" s="23"/>
      <c r="AH798" s="20"/>
    </row>
    <row r="799" spans="6:34" ht="15.75" customHeight="1">
      <c r="F799" s="22"/>
      <c r="G799" s="22"/>
      <c r="H799" s="22"/>
      <c r="I799" s="6"/>
      <c r="J799" s="16"/>
      <c r="K799" s="16"/>
      <c r="L799" s="23"/>
      <c r="M799" s="23"/>
      <c r="N799" s="23"/>
      <c r="O799" s="23"/>
      <c r="AH799" s="20"/>
    </row>
    <row r="800" spans="6:34" ht="15.75" customHeight="1">
      <c r="F800" s="22"/>
      <c r="G800" s="22"/>
      <c r="H800" s="22"/>
      <c r="I800" s="6"/>
      <c r="J800" s="16"/>
      <c r="K800" s="16"/>
      <c r="L800" s="23"/>
      <c r="M800" s="23"/>
      <c r="N800" s="23"/>
      <c r="O800" s="23"/>
      <c r="AH800" s="20"/>
    </row>
    <row r="801" spans="6:34" ht="15.75" customHeight="1">
      <c r="F801" s="22"/>
      <c r="G801" s="22"/>
      <c r="H801" s="22"/>
      <c r="I801" s="6"/>
      <c r="J801" s="16"/>
      <c r="K801" s="16"/>
      <c r="L801" s="23"/>
      <c r="M801" s="23"/>
      <c r="N801" s="23"/>
      <c r="O801" s="23"/>
      <c r="AH801" s="20"/>
    </row>
    <row r="802" spans="6:34" ht="15.75" customHeight="1">
      <c r="F802" s="22"/>
      <c r="G802" s="22"/>
      <c r="H802" s="22"/>
      <c r="I802" s="6"/>
      <c r="J802" s="16"/>
      <c r="K802" s="16"/>
      <c r="L802" s="23"/>
      <c r="M802" s="23"/>
      <c r="N802" s="23"/>
      <c r="O802" s="23"/>
      <c r="AH802" s="20"/>
    </row>
    <row r="803" spans="6:34" ht="15.75" customHeight="1">
      <c r="F803" s="22"/>
      <c r="G803" s="22"/>
      <c r="H803" s="22"/>
      <c r="I803" s="6"/>
      <c r="J803" s="16"/>
      <c r="K803" s="16"/>
      <c r="L803" s="23"/>
      <c r="M803" s="23"/>
      <c r="N803" s="23"/>
      <c r="O803" s="23"/>
      <c r="AH803" s="20"/>
    </row>
    <row r="804" spans="6:34" ht="15.75" customHeight="1">
      <c r="F804" s="22"/>
      <c r="G804" s="22"/>
      <c r="H804" s="22"/>
      <c r="I804" s="6"/>
      <c r="J804" s="16"/>
      <c r="K804" s="16"/>
      <c r="L804" s="23"/>
      <c r="M804" s="23"/>
      <c r="N804" s="23"/>
      <c r="O804" s="23"/>
      <c r="AH804" s="20"/>
    </row>
    <row r="805" spans="6:34" ht="15.75" customHeight="1">
      <c r="F805" s="22"/>
      <c r="G805" s="22"/>
      <c r="H805" s="22"/>
      <c r="I805" s="6"/>
      <c r="J805" s="16"/>
      <c r="K805" s="16"/>
      <c r="L805" s="23"/>
      <c r="M805" s="23"/>
      <c r="N805" s="23"/>
      <c r="O805" s="23"/>
      <c r="AH805" s="20"/>
    </row>
    <row r="806" spans="6:34" ht="15.75" customHeight="1">
      <c r="F806" s="22"/>
      <c r="G806" s="22"/>
      <c r="H806" s="22"/>
      <c r="I806" s="6"/>
      <c r="J806" s="16"/>
      <c r="K806" s="16"/>
      <c r="L806" s="23"/>
      <c r="M806" s="23"/>
      <c r="N806" s="23"/>
      <c r="O806" s="23"/>
      <c r="AH806" s="20"/>
    </row>
    <row r="807" spans="6:34" ht="15.75" customHeight="1">
      <c r="F807" s="22"/>
      <c r="G807" s="22"/>
      <c r="H807" s="22"/>
      <c r="I807" s="6"/>
      <c r="J807" s="16"/>
      <c r="K807" s="16"/>
      <c r="L807" s="23"/>
      <c r="M807" s="23"/>
      <c r="N807" s="23"/>
      <c r="O807" s="23"/>
      <c r="AH807" s="20"/>
    </row>
    <row r="808" spans="6:34" ht="15.75" customHeight="1">
      <c r="F808" s="22"/>
      <c r="G808" s="22"/>
      <c r="H808" s="22"/>
      <c r="I808" s="6"/>
      <c r="J808" s="16"/>
      <c r="K808" s="16"/>
      <c r="L808" s="23"/>
      <c r="M808" s="23"/>
      <c r="N808" s="23"/>
      <c r="O808" s="23"/>
      <c r="AH808" s="20"/>
    </row>
    <row r="809" spans="6:34" ht="15.75" customHeight="1">
      <c r="F809" s="22"/>
      <c r="G809" s="22"/>
      <c r="H809" s="22"/>
      <c r="I809" s="6"/>
      <c r="J809" s="16"/>
      <c r="K809" s="16"/>
      <c r="L809" s="23"/>
      <c r="M809" s="23"/>
      <c r="N809" s="23"/>
      <c r="O809" s="23"/>
      <c r="AH809" s="20"/>
    </row>
    <row r="810" spans="6:34" ht="15.75" customHeight="1">
      <c r="F810" s="22"/>
      <c r="G810" s="22"/>
      <c r="H810" s="22"/>
      <c r="I810" s="6"/>
      <c r="J810" s="16"/>
      <c r="K810" s="16"/>
      <c r="L810" s="23"/>
      <c r="M810" s="23"/>
      <c r="N810" s="23"/>
      <c r="O810" s="23"/>
      <c r="AH810" s="20"/>
    </row>
    <row r="811" spans="6:34" ht="15.75" customHeight="1">
      <c r="F811" s="22"/>
      <c r="G811" s="22"/>
      <c r="H811" s="22"/>
      <c r="I811" s="6"/>
      <c r="J811" s="16"/>
      <c r="K811" s="16"/>
      <c r="L811" s="23"/>
      <c r="M811" s="23"/>
      <c r="N811" s="23"/>
      <c r="O811" s="23"/>
      <c r="AH811" s="20"/>
    </row>
    <row r="812" spans="6:34" ht="15.75" customHeight="1">
      <c r="F812" s="22"/>
      <c r="G812" s="22"/>
      <c r="H812" s="22"/>
      <c r="I812" s="6"/>
      <c r="J812" s="16"/>
      <c r="K812" s="16"/>
      <c r="L812" s="23"/>
      <c r="M812" s="23"/>
      <c r="N812" s="23"/>
      <c r="O812" s="23"/>
      <c r="AH812" s="20"/>
    </row>
    <row r="813" spans="6:34" ht="15.75" customHeight="1">
      <c r="F813" s="22"/>
      <c r="G813" s="22"/>
      <c r="H813" s="22"/>
      <c r="I813" s="6"/>
      <c r="J813" s="16"/>
      <c r="K813" s="16"/>
      <c r="L813" s="23"/>
      <c r="M813" s="23"/>
      <c r="N813" s="23"/>
      <c r="O813" s="23"/>
      <c r="AH813" s="20"/>
    </row>
    <row r="814" spans="6:34" ht="15.75" customHeight="1">
      <c r="F814" s="22"/>
      <c r="G814" s="22"/>
      <c r="H814" s="22"/>
      <c r="I814" s="6"/>
      <c r="J814" s="16"/>
      <c r="K814" s="16"/>
      <c r="L814" s="23"/>
      <c r="M814" s="23"/>
      <c r="N814" s="23"/>
      <c r="O814" s="23"/>
      <c r="AH814" s="20"/>
    </row>
    <row r="815" spans="6:34" ht="15.75" customHeight="1">
      <c r="F815" s="22"/>
      <c r="G815" s="22"/>
      <c r="H815" s="22"/>
      <c r="I815" s="6"/>
      <c r="J815" s="16"/>
      <c r="K815" s="16"/>
      <c r="L815" s="23"/>
      <c r="M815" s="23"/>
      <c r="N815" s="23"/>
      <c r="O815" s="23"/>
      <c r="AH815" s="20"/>
    </row>
    <row r="816" spans="6:34" ht="15.75" customHeight="1">
      <c r="F816" s="22"/>
      <c r="G816" s="22"/>
      <c r="H816" s="22"/>
      <c r="I816" s="6"/>
      <c r="J816" s="16"/>
      <c r="K816" s="16"/>
      <c r="L816" s="23"/>
      <c r="M816" s="23"/>
      <c r="N816" s="23"/>
      <c r="O816" s="23"/>
      <c r="AH816" s="20"/>
    </row>
    <row r="817" spans="6:34" ht="15.75" customHeight="1">
      <c r="F817" s="22"/>
      <c r="G817" s="22"/>
      <c r="H817" s="22"/>
      <c r="I817" s="6"/>
      <c r="J817" s="16"/>
      <c r="K817" s="16"/>
      <c r="L817" s="23"/>
      <c r="M817" s="23"/>
      <c r="N817" s="23"/>
      <c r="O817" s="23"/>
      <c r="AH817" s="20"/>
    </row>
    <row r="818" spans="6:34" ht="15.75" customHeight="1">
      <c r="F818" s="22"/>
      <c r="G818" s="22"/>
      <c r="H818" s="22"/>
      <c r="I818" s="6"/>
      <c r="J818" s="16"/>
      <c r="K818" s="16"/>
      <c r="L818" s="23"/>
      <c r="M818" s="23"/>
      <c r="N818" s="23"/>
      <c r="O818" s="23"/>
      <c r="AH818" s="20"/>
    </row>
    <row r="819" spans="6:34" ht="15.75" customHeight="1">
      <c r="F819" s="22"/>
      <c r="G819" s="22"/>
      <c r="H819" s="22"/>
      <c r="I819" s="6"/>
      <c r="J819" s="16"/>
      <c r="K819" s="16"/>
      <c r="L819" s="23"/>
      <c r="M819" s="23"/>
      <c r="N819" s="23"/>
      <c r="O819" s="23"/>
      <c r="AH819" s="20"/>
    </row>
    <row r="820" spans="6:34" ht="15.75" customHeight="1">
      <c r="F820" s="22"/>
      <c r="G820" s="22"/>
      <c r="H820" s="22"/>
      <c r="I820" s="6"/>
      <c r="J820" s="16"/>
      <c r="K820" s="16"/>
      <c r="L820" s="23"/>
      <c r="M820" s="23"/>
      <c r="N820" s="23"/>
      <c r="O820" s="23"/>
      <c r="AH820" s="20"/>
    </row>
    <row r="821" spans="6:34" ht="15.75" customHeight="1">
      <c r="F821" s="22"/>
      <c r="G821" s="22"/>
      <c r="H821" s="22"/>
      <c r="I821" s="6"/>
      <c r="J821" s="16"/>
      <c r="K821" s="16"/>
      <c r="L821" s="23"/>
      <c r="M821" s="23"/>
      <c r="N821" s="23"/>
      <c r="O821" s="23"/>
      <c r="AH821" s="20"/>
    </row>
    <row r="822" spans="6:34" ht="15.75" customHeight="1">
      <c r="F822" s="22"/>
      <c r="G822" s="22"/>
      <c r="H822" s="22"/>
      <c r="I822" s="6"/>
      <c r="J822" s="16"/>
      <c r="K822" s="16"/>
      <c r="L822" s="23"/>
      <c r="M822" s="23"/>
      <c r="N822" s="23"/>
      <c r="O822" s="23"/>
      <c r="AH822" s="20"/>
    </row>
    <row r="823" spans="6:34" ht="15.75" customHeight="1">
      <c r="F823" s="22"/>
      <c r="G823" s="22"/>
      <c r="H823" s="22"/>
      <c r="I823" s="6"/>
      <c r="J823" s="16"/>
      <c r="K823" s="16"/>
      <c r="L823" s="23"/>
      <c r="M823" s="23"/>
      <c r="N823" s="23"/>
      <c r="O823" s="23"/>
      <c r="AH823" s="20"/>
    </row>
    <row r="824" spans="6:34" ht="15.75" customHeight="1">
      <c r="F824" s="22"/>
      <c r="G824" s="22"/>
      <c r="H824" s="22"/>
      <c r="I824" s="6"/>
      <c r="J824" s="16"/>
      <c r="K824" s="16"/>
      <c r="L824" s="23"/>
      <c r="M824" s="23"/>
      <c r="N824" s="23"/>
      <c r="O824" s="23"/>
      <c r="AH824" s="20"/>
    </row>
    <row r="825" spans="6:34" ht="15.75" customHeight="1">
      <c r="F825" s="22"/>
      <c r="G825" s="22"/>
      <c r="H825" s="22"/>
      <c r="I825" s="6"/>
      <c r="J825" s="16"/>
      <c r="K825" s="16"/>
      <c r="L825" s="23"/>
      <c r="M825" s="23"/>
      <c r="N825" s="23"/>
      <c r="O825" s="23"/>
      <c r="AH825" s="20"/>
    </row>
    <row r="826" spans="6:34" ht="15.75" customHeight="1">
      <c r="F826" s="22"/>
      <c r="G826" s="22"/>
      <c r="H826" s="22"/>
      <c r="I826" s="6"/>
      <c r="J826" s="16"/>
      <c r="K826" s="16"/>
      <c r="L826" s="23"/>
      <c r="M826" s="23"/>
      <c r="N826" s="23"/>
      <c r="O826" s="23"/>
      <c r="AH826" s="20"/>
    </row>
    <row r="827" spans="6:34" ht="15.75" customHeight="1">
      <c r="F827" s="22"/>
      <c r="G827" s="22"/>
      <c r="H827" s="22"/>
      <c r="I827" s="6"/>
      <c r="J827" s="16"/>
      <c r="K827" s="16"/>
      <c r="L827" s="23"/>
      <c r="M827" s="23"/>
      <c r="N827" s="23"/>
      <c r="O827" s="23"/>
      <c r="AH827" s="20"/>
    </row>
    <row r="828" spans="6:34" ht="15.75" customHeight="1">
      <c r="F828" s="22"/>
      <c r="G828" s="22"/>
      <c r="H828" s="22"/>
      <c r="I828" s="6"/>
      <c r="J828" s="16"/>
      <c r="K828" s="16"/>
      <c r="L828" s="23"/>
      <c r="M828" s="23"/>
      <c r="N828" s="23"/>
      <c r="O828" s="23"/>
      <c r="AH828" s="20"/>
    </row>
    <row r="829" spans="6:34" ht="15.75" customHeight="1">
      <c r="F829" s="22"/>
      <c r="G829" s="22"/>
      <c r="H829" s="22"/>
      <c r="I829" s="6"/>
      <c r="J829" s="16"/>
      <c r="K829" s="16"/>
      <c r="L829" s="23"/>
      <c r="M829" s="23"/>
      <c r="N829" s="23"/>
      <c r="O829" s="23"/>
      <c r="AH829" s="20"/>
    </row>
    <row r="830" spans="6:34" ht="15.75" customHeight="1">
      <c r="F830" s="22"/>
      <c r="G830" s="22"/>
      <c r="H830" s="22"/>
      <c r="I830" s="6"/>
      <c r="J830" s="16"/>
      <c r="K830" s="16"/>
      <c r="L830" s="23"/>
      <c r="M830" s="23"/>
      <c r="N830" s="23"/>
      <c r="O830" s="23"/>
      <c r="AH830" s="20"/>
    </row>
    <row r="831" spans="6:34" ht="15.75" customHeight="1">
      <c r="F831" s="22"/>
      <c r="G831" s="22"/>
      <c r="H831" s="22"/>
      <c r="I831" s="6"/>
      <c r="J831" s="16"/>
      <c r="K831" s="16"/>
      <c r="L831" s="23"/>
      <c r="M831" s="23"/>
      <c r="N831" s="23"/>
      <c r="O831" s="23"/>
      <c r="AH831" s="20"/>
    </row>
    <row r="832" spans="6:34" ht="15.75" customHeight="1">
      <c r="F832" s="22"/>
      <c r="G832" s="22"/>
      <c r="H832" s="22"/>
      <c r="I832" s="6"/>
      <c r="J832" s="16"/>
      <c r="K832" s="16"/>
      <c r="L832" s="23"/>
      <c r="M832" s="23"/>
      <c r="N832" s="23"/>
      <c r="O832" s="23"/>
      <c r="AH832" s="20"/>
    </row>
    <row r="833" spans="6:34" ht="15.75" customHeight="1">
      <c r="F833" s="22"/>
      <c r="G833" s="22"/>
      <c r="H833" s="22"/>
      <c r="I833" s="6"/>
      <c r="J833" s="16"/>
      <c r="K833" s="16"/>
      <c r="L833" s="23"/>
      <c r="M833" s="23"/>
      <c r="N833" s="23"/>
      <c r="O833" s="23"/>
      <c r="AH833" s="20"/>
    </row>
    <row r="834" spans="6:34" ht="15.75" customHeight="1">
      <c r="F834" s="22"/>
      <c r="G834" s="22"/>
      <c r="H834" s="22"/>
      <c r="I834" s="6"/>
      <c r="J834" s="16"/>
      <c r="K834" s="16"/>
      <c r="L834" s="23"/>
      <c r="M834" s="23"/>
      <c r="N834" s="23"/>
      <c r="O834" s="23"/>
      <c r="AH834" s="20"/>
    </row>
    <row r="835" spans="6:34" ht="15.75" customHeight="1">
      <c r="F835" s="22"/>
      <c r="G835" s="22"/>
      <c r="H835" s="22"/>
      <c r="I835" s="6"/>
      <c r="J835" s="16"/>
      <c r="K835" s="16"/>
      <c r="L835" s="23"/>
      <c r="M835" s="23"/>
      <c r="N835" s="23"/>
      <c r="O835" s="23"/>
      <c r="AH835" s="20"/>
    </row>
    <row r="836" spans="6:34" ht="15.75" customHeight="1">
      <c r="F836" s="22"/>
      <c r="G836" s="22"/>
      <c r="H836" s="22"/>
      <c r="I836" s="6"/>
      <c r="J836" s="16"/>
      <c r="K836" s="16"/>
      <c r="L836" s="23"/>
      <c r="M836" s="23"/>
      <c r="N836" s="23"/>
      <c r="O836" s="23"/>
      <c r="AH836" s="20"/>
    </row>
    <row r="837" spans="6:34" ht="15.75" customHeight="1">
      <c r="F837" s="22"/>
      <c r="G837" s="22"/>
      <c r="H837" s="22"/>
      <c r="I837" s="6"/>
      <c r="J837" s="16"/>
      <c r="K837" s="16"/>
      <c r="L837" s="23"/>
      <c r="M837" s="23"/>
      <c r="N837" s="23"/>
      <c r="O837" s="23"/>
      <c r="AH837" s="20"/>
    </row>
    <row r="838" spans="6:34" ht="15.75" customHeight="1">
      <c r="F838" s="22"/>
      <c r="G838" s="22"/>
      <c r="H838" s="22"/>
      <c r="I838" s="6"/>
      <c r="J838" s="16"/>
      <c r="K838" s="16"/>
      <c r="L838" s="23"/>
      <c r="M838" s="23"/>
      <c r="N838" s="23"/>
      <c r="O838" s="23"/>
      <c r="AH838" s="20"/>
    </row>
    <row r="839" spans="6:34" ht="15.75" customHeight="1">
      <c r="F839" s="22"/>
      <c r="G839" s="22"/>
      <c r="H839" s="22"/>
      <c r="I839" s="6"/>
      <c r="J839" s="16"/>
      <c r="K839" s="16"/>
      <c r="L839" s="23"/>
      <c r="M839" s="23"/>
      <c r="N839" s="23"/>
      <c r="O839" s="23"/>
      <c r="AH839" s="20"/>
    </row>
    <row r="840" spans="6:34" ht="15.75" customHeight="1">
      <c r="F840" s="22"/>
      <c r="G840" s="22"/>
      <c r="H840" s="22"/>
      <c r="I840" s="6"/>
      <c r="J840" s="16"/>
      <c r="K840" s="16"/>
      <c r="L840" s="23"/>
      <c r="M840" s="23"/>
      <c r="N840" s="23"/>
      <c r="O840" s="23"/>
      <c r="AH840" s="20"/>
    </row>
    <row r="841" spans="6:34" ht="15.75" customHeight="1">
      <c r="F841" s="22"/>
      <c r="G841" s="22"/>
      <c r="H841" s="22"/>
      <c r="I841" s="6"/>
      <c r="J841" s="16"/>
      <c r="K841" s="16"/>
      <c r="L841" s="23"/>
      <c r="M841" s="23"/>
      <c r="N841" s="23"/>
      <c r="O841" s="23"/>
      <c r="AH841" s="20"/>
    </row>
    <row r="842" spans="6:34" ht="15.75" customHeight="1">
      <c r="F842" s="22"/>
      <c r="G842" s="22"/>
      <c r="H842" s="22"/>
      <c r="I842" s="6"/>
      <c r="J842" s="16"/>
      <c r="K842" s="16"/>
      <c r="L842" s="23"/>
      <c r="M842" s="23"/>
      <c r="N842" s="23"/>
      <c r="O842" s="23"/>
      <c r="AH842" s="20"/>
    </row>
    <row r="843" spans="6:34" ht="15.75" customHeight="1">
      <c r="F843" s="22"/>
      <c r="G843" s="22"/>
      <c r="H843" s="22"/>
      <c r="I843" s="6"/>
      <c r="J843" s="16"/>
      <c r="K843" s="16"/>
      <c r="L843" s="23"/>
      <c r="M843" s="23"/>
      <c r="N843" s="23"/>
      <c r="O843" s="23"/>
      <c r="AH843" s="20"/>
    </row>
    <row r="844" spans="6:34" ht="15.75" customHeight="1">
      <c r="F844" s="22"/>
      <c r="G844" s="22"/>
      <c r="H844" s="22"/>
      <c r="I844" s="6"/>
      <c r="J844" s="16"/>
      <c r="K844" s="16"/>
      <c r="L844" s="23"/>
      <c r="M844" s="23"/>
      <c r="N844" s="23"/>
      <c r="O844" s="23"/>
      <c r="AH844" s="20"/>
    </row>
    <row r="845" spans="6:34" ht="15.75" customHeight="1">
      <c r="F845" s="22"/>
      <c r="G845" s="22"/>
      <c r="H845" s="22"/>
      <c r="I845" s="6"/>
      <c r="J845" s="16"/>
      <c r="K845" s="16"/>
      <c r="L845" s="23"/>
      <c r="M845" s="23"/>
      <c r="N845" s="23"/>
      <c r="O845" s="23"/>
      <c r="AH845" s="20"/>
    </row>
    <row r="846" spans="6:34" ht="15.75" customHeight="1">
      <c r="F846" s="22"/>
      <c r="G846" s="22"/>
      <c r="H846" s="22"/>
      <c r="I846" s="6"/>
      <c r="J846" s="16"/>
      <c r="K846" s="16"/>
      <c r="L846" s="23"/>
      <c r="M846" s="23"/>
      <c r="N846" s="23"/>
      <c r="O846" s="23"/>
      <c r="AH846" s="20"/>
    </row>
    <row r="847" spans="6:34" ht="15.75" customHeight="1">
      <c r="F847" s="22"/>
      <c r="G847" s="22"/>
      <c r="H847" s="22"/>
      <c r="I847" s="6"/>
      <c r="J847" s="16"/>
      <c r="K847" s="16"/>
      <c r="L847" s="23"/>
      <c r="M847" s="23"/>
      <c r="N847" s="23"/>
      <c r="O847" s="23"/>
      <c r="AH847" s="20"/>
    </row>
    <row r="848" spans="6:34" ht="15.75" customHeight="1">
      <c r="F848" s="22"/>
      <c r="G848" s="22"/>
      <c r="H848" s="22"/>
      <c r="I848" s="6"/>
      <c r="J848" s="16"/>
      <c r="K848" s="16"/>
      <c r="L848" s="23"/>
      <c r="M848" s="23"/>
      <c r="N848" s="23"/>
      <c r="O848" s="23"/>
      <c r="AH848" s="20"/>
    </row>
    <row r="849" spans="6:34" ht="15.75" customHeight="1">
      <c r="F849" s="22"/>
      <c r="G849" s="22"/>
      <c r="H849" s="22"/>
      <c r="I849" s="6"/>
      <c r="J849" s="16"/>
      <c r="K849" s="16"/>
      <c r="L849" s="23"/>
      <c r="M849" s="23"/>
      <c r="N849" s="23"/>
      <c r="O849" s="23"/>
      <c r="AH849" s="20"/>
    </row>
    <row r="850" spans="6:34" ht="15.75" customHeight="1">
      <c r="F850" s="22"/>
      <c r="G850" s="22"/>
      <c r="H850" s="22"/>
      <c r="I850" s="6"/>
      <c r="J850" s="16"/>
      <c r="K850" s="16"/>
      <c r="L850" s="23"/>
      <c r="M850" s="23"/>
      <c r="N850" s="23"/>
      <c r="O850" s="23"/>
      <c r="AH850" s="20"/>
    </row>
    <row r="851" spans="6:34" ht="15.75" customHeight="1">
      <c r="F851" s="22"/>
      <c r="G851" s="22"/>
      <c r="H851" s="22"/>
      <c r="I851" s="6"/>
      <c r="J851" s="16"/>
      <c r="K851" s="16"/>
      <c r="L851" s="23"/>
      <c r="M851" s="23"/>
      <c r="N851" s="23"/>
      <c r="O851" s="23"/>
      <c r="AH851" s="20"/>
    </row>
    <row r="852" spans="6:34" ht="15.75" customHeight="1">
      <c r="F852" s="22"/>
      <c r="G852" s="22"/>
      <c r="H852" s="22"/>
      <c r="I852" s="6"/>
      <c r="J852" s="16"/>
      <c r="K852" s="16"/>
      <c r="L852" s="23"/>
      <c r="M852" s="23"/>
      <c r="N852" s="23"/>
      <c r="O852" s="23"/>
      <c r="AH852" s="20"/>
    </row>
    <row r="853" spans="6:34" ht="15.75" customHeight="1">
      <c r="F853" s="22"/>
      <c r="G853" s="22"/>
      <c r="H853" s="22"/>
      <c r="I853" s="6"/>
      <c r="J853" s="16"/>
      <c r="K853" s="16"/>
      <c r="L853" s="23"/>
      <c r="M853" s="23"/>
      <c r="N853" s="23"/>
      <c r="O853" s="23"/>
      <c r="AH853" s="20"/>
    </row>
    <row r="854" spans="6:34" ht="15.75" customHeight="1">
      <c r="F854" s="22"/>
      <c r="G854" s="22"/>
      <c r="H854" s="22"/>
      <c r="I854" s="6"/>
      <c r="J854" s="16"/>
      <c r="K854" s="16"/>
      <c r="L854" s="23"/>
      <c r="M854" s="23"/>
      <c r="N854" s="23"/>
      <c r="O854" s="23"/>
      <c r="AH854" s="20"/>
    </row>
    <row r="855" spans="6:34" ht="15.75" customHeight="1">
      <c r="F855" s="22"/>
      <c r="G855" s="22"/>
      <c r="H855" s="22"/>
      <c r="I855" s="6"/>
      <c r="J855" s="16"/>
      <c r="K855" s="16"/>
      <c r="L855" s="23"/>
      <c r="M855" s="23"/>
      <c r="N855" s="23"/>
      <c r="O855" s="23"/>
      <c r="AH855" s="20"/>
    </row>
    <row r="856" spans="6:34" ht="15.75" customHeight="1">
      <c r="F856" s="22"/>
      <c r="G856" s="22"/>
      <c r="H856" s="22"/>
      <c r="I856" s="6"/>
      <c r="J856" s="16"/>
      <c r="K856" s="16"/>
      <c r="L856" s="23"/>
      <c r="M856" s="23"/>
      <c r="N856" s="23"/>
      <c r="O856" s="23"/>
      <c r="AH856" s="20"/>
    </row>
    <row r="857" spans="6:34" ht="15.75" customHeight="1">
      <c r="F857" s="22"/>
      <c r="G857" s="22"/>
      <c r="H857" s="22"/>
      <c r="I857" s="6"/>
      <c r="J857" s="16"/>
      <c r="K857" s="16"/>
      <c r="L857" s="23"/>
      <c r="M857" s="23"/>
      <c r="N857" s="23"/>
      <c r="O857" s="23"/>
      <c r="AH857" s="20"/>
    </row>
    <row r="858" spans="6:34" ht="15.75" customHeight="1">
      <c r="F858" s="22"/>
      <c r="G858" s="22"/>
      <c r="H858" s="22"/>
      <c r="I858" s="6"/>
      <c r="J858" s="16"/>
      <c r="K858" s="16"/>
      <c r="L858" s="23"/>
      <c r="M858" s="23"/>
      <c r="N858" s="23"/>
      <c r="O858" s="23"/>
      <c r="AH858" s="20"/>
    </row>
    <row r="859" spans="6:34" ht="15.75" customHeight="1">
      <c r="F859" s="22"/>
      <c r="G859" s="22"/>
      <c r="H859" s="22"/>
      <c r="I859" s="6"/>
      <c r="J859" s="16"/>
      <c r="K859" s="16"/>
      <c r="L859" s="23"/>
      <c r="M859" s="23"/>
      <c r="N859" s="23"/>
      <c r="O859" s="23"/>
      <c r="AH859" s="20"/>
    </row>
    <row r="860" spans="6:34" ht="15.75" customHeight="1">
      <c r="F860" s="22"/>
      <c r="G860" s="22"/>
      <c r="H860" s="22"/>
      <c r="I860" s="6"/>
      <c r="J860" s="16"/>
      <c r="K860" s="16"/>
      <c r="L860" s="23"/>
      <c r="M860" s="23"/>
      <c r="N860" s="23"/>
      <c r="O860" s="23"/>
      <c r="AH860" s="20"/>
    </row>
    <row r="861" spans="6:34" ht="15.75" customHeight="1">
      <c r="F861" s="22"/>
      <c r="G861" s="22"/>
      <c r="H861" s="22"/>
      <c r="I861" s="6"/>
      <c r="J861" s="16"/>
      <c r="K861" s="16"/>
      <c r="L861" s="23"/>
      <c r="M861" s="23"/>
      <c r="N861" s="23"/>
      <c r="O861" s="23"/>
      <c r="AH861" s="20"/>
    </row>
    <row r="862" spans="6:34" ht="15.75" customHeight="1">
      <c r="F862" s="22"/>
      <c r="G862" s="22"/>
      <c r="H862" s="22"/>
      <c r="I862" s="6"/>
      <c r="J862" s="16"/>
      <c r="K862" s="16"/>
      <c r="L862" s="23"/>
      <c r="M862" s="23"/>
      <c r="N862" s="23"/>
      <c r="O862" s="23"/>
      <c r="AH862" s="20"/>
    </row>
    <row r="863" spans="6:34" ht="15.75" customHeight="1">
      <c r="F863" s="22"/>
      <c r="G863" s="22"/>
      <c r="H863" s="22"/>
      <c r="I863" s="6"/>
      <c r="J863" s="16"/>
      <c r="K863" s="16"/>
      <c r="L863" s="23"/>
      <c r="M863" s="23"/>
      <c r="N863" s="23"/>
      <c r="O863" s="23"/>
      <c r="AH863" s="20"/>
    </row>
    <row r="864" spans="6:34" ht="15.75" customHeight="1">
      <c r="F864" s="22"/>
      <c r="G864" s="22"/>
      <c r="H864" s="22"/>
      <c r="I864" s="6"/>
      <c r="J864" s="16"/>
      <c r="K864" s="16"/>
      <c r="L864" s="23"/>
      <c r="M864" s="23"/>
      <c r="N864" s="23"/>
      <c r="O864" s="23"/>
      <c r="AH864" s="20"/>
    </row>
    <row r="865" spans="6:34" ht="15.75" customHeight="1">
      <c r="F865" s="22"/>
      <c r="G865" s="22"/>
      <c r="H865" s="22"/>
      <c r="I865" s="6"/>
      <c r="J865" s="16"/>
      <c r="K865" s="16"/>
      <c r="L865" s="23"/>
      <c r="M865" s="23"/>
      <c r="N865" s="23"/>
      <c r="O865" s="23"/>
      <c r="AH865" s="20"/>
    </row>
    <row r="866" spans="6:34" ht="15.75" customHeight="1">
      <c r="F866" s="22"/>
      <c r="G866" s="22"/>
      <c r="H866" s="22"/>
      <c r="I866" s="6"/>
      <c r="J866" s="16"/>
      <c r="K866" s="16"/>
      <c r="L866" s="23"/>
      <c r="M866" s="23"/>
      <c r="N866" s="23"/>
      <c r="O866" s="23"/>
      <c r="AH866" s="20"/>
    </row>
    <row r="867" spans="6:34" ht="15.75" customHeight="1">
      <c r="F867" s="22"/>
      <c r="G867" s="22"/>
      <c r="H867" s="22"/>
      <c r="I867" s="6"/>
      <c r="J867" s="16"/>
      <c r="K867" s="16"/>
      <c r="L867" s="23"/>
      <c r="M867" s="23"/>
      <c r="N867" s="23"/>
      <c r="O867" s="23"/>
      <c r="AH867" s="20"/>
    </row>
    <row r="868" spans="6:34" ht="15.75" customHeight="1">
      <c r="F868" s="22"/>
      <c r="G868" s="22"/>
      <c r="H868" s="22"/>
      <c r="I868" s="6"/>
      <c r="J868" s="16"/>
      <c r="K868" s="16"/>
      <c r="L868" s="23"/>
      <c r="M868" s="23"/>
      <c r="N868" s="23"/>
      <c r="O868" s="23"/>
      <c r="AH868" s="20"/>
    </row>
    <row r="869" spans="6:34" ht="15.75" customHeight="1">
      <c r="F869" s="22"/>
      <c r="G869" s="22"/>
      <c r="H869" s="22"/>
      <c r="I869" s="6"/>
      <c r="J869" s="16"/>
      <c r="K869" s="16"/>
      <c r="L869" s="23"/>
      <c r="M869" s="23"/>
      <c r="N869" s="23"/>
      <c r="O869" s="23"/>
      <c r="AH869" s="20"/>
    </row>
    <row r="870" spans="6:34" ht="15.75" customHeight="1">
      <c r="F870" s="22"/>
      <c r="G870" s="22"/>
      <c r="H870" s="22"/>
      <c r="I870" s="6"/>
      <c r="J870" s="16"/>
      <c r="K870" s="16"/>
      <c r="L870" s="23"/>
      <c r="M870" s="23"/>
      <c r="N870" s="23"/>
      <c r="O870" s="23"/>
      <c r="AH870" s="20"/>
    </row>
    <row r="871" spans="6:34" ht="15.75" customHeight="1">
      <c r="F871" s="22"/>
      <c r="G871" s="22"/>
      <c r="H871" s="22"/>
      <c r="I871" s="6"/>
      <c r="J871" s="16"/>
      <c r="K871" s="16"/>
      <c r="L871" s="23"/>
      <c r="M871" s="23"/>
      <c r="N871" s="23"/>
      <c r="O871" s="23"/>
      <c r="AH871" s="20"/>
    </row>
    <row r="872" spans="6:34" ht="15.75" customHeight="1">
      <c r="F872" s="22"/>
      <c r="G872" s="22"/>
      <c r="H872" s="22"/>
      <c r="I872" s="6"/>
      <c r="J872" s="16"/>
      <c r="K872" s="16"/>
      <c r="L872" s="23"/>
      <c r="M872" s="23"/>
      <c r="N872" s="23"/>
      <c r="O872" s="23"/>
      <c r="AH872" s="20"/>
    </row>
    <row r="873" spans="6:34" ht="15.75" customHeight="1">
      <c r="F873" s="22"/>
      <c r="G873" s="22"/>
      <c r="H873" s="22"/>
      <c r="I873" s="6"/>
      <c r="J873" s="16"/>
      <c r="K873" s="16"/>
      <c r="L873" s="23"/>
      <c r="M873" s="23"/>
      <c r="N873" s="23"/>
      <c r="O873" s="23"/>
      <c r="AH873" s="20"/>
    </row>
    <row r="874" spans="6:34" ht="15.75" customHeight="1">
      <c r="F874" s="22"/>
      <c r="G874" s="22"/>
      <c r="H874" s="22"/>
      <c r="I874" s="6"/>
      <c r="J874" s="16"/>
      <c r="K874" s="16"/>
      <c r="L874" s="23"/>
      <c r="M874" s="23"/>
      <c r="N874" s="23"/>
      <c r="O874" s="23"/>
      <c r="AH874" s="20"/>
    </row>
    <row r="875" spans="6:34" ht="15.75" customHeight="1">
      <c r="F875" s="22"/>
      <c r="G875" s="22"/>
      <c r="H875" s="22"/>
      <c r="I875" s="6"/>
      <c r="J875" s="16"/>
      <c r="K875" s="16"/>
      <c r="L875" s="23"/>
      <c r="M875" s="23"/>
      <c r="N875" s="23"/>
      <c r="O875" s="23"/>
      <c r="AH875" s="20"/>
    </row>
    <row r="876" spans="6:34" ht="15.75" customHeight="1">
      <c r="F876" s="22"/>
      <c r="G876" s="22"/>
      <c r="H876" s="22"/>
      <c r="I876" s="6"/>
      <c r="J876" s="16"/>
      <c r="K876" s="16"/>
      <c r="L876" s="23"/>
      <c r="M876" s="23"/>
      <c r="N876" s="23"/>
      <c r="O876" s="23"/>
      <c r="AH876" s="20"/>
    </row>
    <row r="877" spans="6:34" ht="15.75" customHeight="1">
      <c r="F877" s="22"/>
      <c r="G877" s="22"/>
      <c r="H877" s="22"/>
      <c r="I877" s="6"/>
      <c r="J877" s="16"/>
      <c r="K877" s="16"/>
      <c r="L877" s="23"/>
      <c r="M877" s="23"/>
      <c r="N877" s="23"/>
      <c r="O877" s="23"/>
      <c r="AH877" s="20"/>
    </row>
    <row r="878" spans="6:34" ht="15.75" customHeight="1">
      <c r="F878" s="22"/>
      <c r="G878" s="22"/>
      <c r="H878" s="22"/>
      <c r="I878" s="6"/>
      <c r="J878" s="16"/>
      <c r="K878" s="16"/>
      <c r="L878" s="23"/>
      <c r="M878" s="23"/>
      <c r="N878" s="23"/>
      <c r="O878" s="23"/>
      <c r="AH878" s="20"/>
    </row>
    <row r="879" spans="6:34" ht="15.75" customHeight="1">
      <c r="F879" s="22"/>
      <c r="G879" s="22"/>
      <c r="H879" s="22"/>
      <c r="I879" s="6"/>
      <c r="J879" s="16"/>
      <c r="K879" s="16"/>
      <c r="L879" s="23"/>
      <c r="M879" s="23"/>
      <c r="N879" s="23"/>
      <c r="O879" s="23"/>
      <c r="AH879" s="20"/>
    </row>
    <row r="880" spans="6:34" ht="15.75" customHeight="1">
      <c r="F880" s="22"/>
      <c r="G880" s="22"/>
      <c r="H880" s="22"/>
      <c r="I880" s="6"/>
      <c r="J880" s="16"/>
      <c r="K880" s="16"/>
      <c r="L880" s="23"/>
      <c r="M880" s="23"/>
      <c r="N880" s="23"/>
      <c r="O880" s="23"/>
      <c r="AH880" s="20"/>
    </row>
    <row r="881" spans="6:34" ht="15.75" customHeight="1">
      <c r="F881" s="22"/>
      <c r="G881" s="22"/>
      <c r="H881" s="22"/>
      <c r="I881" s="6"/>
      <c r="J881" s="16"/>
      <c r="K881" s="16"/>
      <c r="L881" s="23"/>
      <c r="M881" s="23"/>
      <c r="N881" s="23"/>
      <c r="O881" s="23"/>
      <c r="AH881" s="20"/>
    </row>
    <row r="882" spans="6:34" ht="15.75" customHeight="1">
      <c r="F882" s="22"/>
      <c r="G882" s="22"/>
      <c r="H882" s="22"/>
      <c r="I882" s="6"/>
      <c r="J882" s="16"/>
      <c r="K882" s="16"/>
      <c r="L882" s="23"/>
      <c r="M882" s="23"/>
      <c r="N882" s="23"/>
      <c r="O882" s="23"/>
      <c r="AH882" s="20"/>
    </row>
    <row r="883" spans="6:34" ht="15.75" customHeight="1">
      <c r="F883" s="22"/>
      <c r="G883" s="22"/>
      <c r="H883" s="22"/>
      <c r="I883" s="6"/>
      <c r="J883" s="16"/>
      <c r="K883" s="16"/>
      <c r="L883" s="23"/>
      <c r="M883" s="23"/>
      <c r="N883" s="23"/>
      <c r="O883" s="23"/>
      <c r="AH883" s="20"/>
    </row>
    <row r="884" spans="6:34" ht="15.75" customHeight="1">
      <c r="F884" s="22"/>
      <c r="G884" s="22"/>
      <c r="H884" s="22"/>
      <c r="I884" s="6"/>
      <c r="J884" s="16"/>
      <c r="K884" s="16"/>
      <c r="L884" s="23"/>
      <c r="M884" s="23"/>
      <c r="N884" s="23"/>
      <c r="O884" s="23"/>
      <c r="AH884" s="20"/>
    </row>
    <row r="885" spans="6:34" ht="15.75" customHeight="1">
      <c r="F885" s="22"/>
      <c r="G885" s="22"/>
      <c r="H885" s="22"/>
      <c r="I885" s="6"/>
      <c r="J885" s="16"/>
      <c r="K885" s="16"/>
      <c r="L885" s="23"/>
      <c r="M885" s="23"/>
      <c r="N885" s="23"/>
      <c r="O885" s="23"/>
      <c r="AH885" s="20"/>
    </row>
    <row r="886" spans="6:34" ht="15.75" customHeight="1">
      <c r="F886" s="22"/>
      <c r="G886" s="22"/>
      <c r="H886" s="22"/>
      <c r="I886" s="6"/>
      <c r="J886" s="16"/>
      <c r="K886" s="16"/>
      <c r="L886" s="23"/>
      <c r="M886" s="23"/>
      <c r="N886" s="23"/>
      <c r="O886" s="23"/>
      <c r="AH886" s="20"/>
    </row>
    <row r="887" spans="6:34" ht="15.75" customHeight="1">
      <c r="F887" s="22"/>
      <c r="G887" s="22"/>
      <c r="H887" s="22"/>
      <c r="I887" s="6"/>
      <c r="J887" s="16"/>
      <c r="K887" s="16"/>
      <c r="L887" s="23"/>
      <c r="M887" s="23"/>
      <c r="N887" s="23"/>
      <c r="O887" s="23"/>
      <c r="AH887" s="20"/>
    </row>
    <row r="888" spans="6:34" ht="15.75" customHeight="1">
      <c r="F888" s="22"/>
      <c r="G888" s="22"/>
      <c r="H888" s="22"/>
      <c r="I888" s="6"/>
      <c r="J888" s="16"/>
      <c r="K888" s="16"/>
      <c r="L888" s="23"/>
      <c r="M888" s="23"/>
      <c r="N888" s="23"/>
      <c r="O888" s="23"/>
      <c r="AH888" s="20"/>
    </row>
    <row r="889" spans="6:34" ht="15.75" customHeight="1">
      <c r="F889" s="22"/>
      <c r="G889" s="22"/>
      <c r="H889" s="22"/>
      <c r="I889" s="6"/>
      <c r="J889" s="16"/>
      <c r="K889" s="16"/>
      <c r="L889" s="23"/>
      <c r="M889" s="23"/>
      <c r="N889" s="23"/>
      <c r="O889" s="23"/>
      <c r="AH889" s="20"/>
    </row>
    <row r="890" spans="6:34" ht="15.75" customHeight="1">
      <c r="F890" s="22"/>
      <c r="G890" s="22"/>
      <c r="H890" s="22"/>
      <c r="I890" s="6"/>
      <c r="J890" s="16"/>
      <c r="K890" s="16"/>
      <c r="L890" s="23"/>
      <c r="M890" s="23"/>
      <c r="N890" s="23"/>
      <c r="O890" s="23"/>
      <c r="AH890" s="20"/>
    </row>
    <row r="891" spans="6:34" ht="15.75" customHeight="1">
      <c r="F891" s="22"/>
      <c r="G891" s="22"/>
      <c r="H891" s="22"/>
      <c r="I891" s="6"/>
      <c r="J891" s="16"/>
      <c r="K891" s="16"/>
      <c r="L891" s="23"/>
      <c r="M891" s="23"/>
      <c r="N891" s="23"/>
      <c r="O891" s="23"/>
      <c r="AH891" s="20"/>
    </row>
    <row r="892" spans="6:34" ht="15.75" customHeight="1">
      <c r="F892" s="22"/>
      <c r="G892" s="22"/>
      <c r="H892" s="22"/>
      <c r="I892" s="6"/>
      <c r="J892" s="16"/>
      <c r="K892" s="16"/>
      <c r="L892" s="23"/>
      <c r="M892" s="23"/>
      <c r="N892" s="23"/>
      <c r="O892" s="23"/>
      <c r="AH892" s="20"/>
    </row>
    <row r="893" spans="6:34" ht="15.75" customHeight="1">
      <c r="F893" s="22"/>
      <c r="G893" s="22"/>
      <c r="H893" s="22"/>
      <c r="I893" s="6"/>
      <c r="J893" s="16"/>
      <c r="K893" s="16"/>
      <c r="L893" s="23"/>
      <c r="M893" s="23"/>
      <c r="N893" s="23"/>
      <c r="O893" s="23"/>
      <c r="AH893" s="20"/>
    </row>
    <row r="894" spans="6:34" ht="15.75" customHeight="1">
      <c r="F894" s="22"/>
      <c r="G894" s="22"/>
      <c r="H894" s="22"/>
      <c r="I894" s="6"/>
      <c r="J894" s="16"/>
      <c r="K894" s="16"/>
      <c r="L894" s="23"/>
      <c r="M894" s="23"/>
      <c r="N894" s="23"/>
      <c r="O894" s="23"/>
      <c r="AH894" s="20"/>
    </row>
    <row r="895" spans="6:34" ht="15.75" customHeight="1">
      <c r="F895" s="22"/>
      <c r="G895" s="22"/>
      <c r="H895" s="22"/>
      <c r="I895" s="6"/>
      <c r="J895" s="16"/>
      <c r="K895" s="16"/>
      <c r="L895" s="23"/>
      <c r="M895" s="23"/>
      <c r="N895" s="23"/>
      <c r="O895" s="23"/>
      <c r="AH895" s="20"/>
    </row>
    <row r="896" spans="6:34" ht="15.75" customHeight="1">
      <c r="F896" s="22"/>
      <c r="G896" s="22"/>
      <c r="H896" s="22"/>
      <c r="I896" s="6"/>
      <c r="J896" s="16"/>
      <c r="K896" s="16"/>
      <c r="L896" s="23"/>
      <c r="M896" s="23"/>
      <c r="N896" s="23"/>
      <c r="O896" s="23"/>
      <c r="AH896" s="20"/>
    </row>
    <row r="897" spans="6:34" ht="15.75" customHeight="1">
      <c r="F897" s="22"/>
      <c r="G897" s="22"/>
      <c r="H897" s="22"/>
      <c r="I897" s="6"/>
      <c r="J897" s="16"/>
      <c r="K897" s="16"/>
      <c r="L897" s="23"/>
      <c r="M897" s="23"/>
      <c r="N897" s="23"/>
      <c r="O897" s="23"/>
      <c r="AH897" s="20"/>
    </row>
    <row r="898" spans="6:34" ht="15.75" customHeight="1">
      <c r="F898" s="22"/>
      <c r="G898" s="22"/>
      <c r="H898" s="22"/>
      <c r="I898" s="6"/>
      <c r="J898" s="16"/>
      <c r="K898" s="16"/>
      <c r="L898" s="23"/>
      <c r="M898" s="23"/>
      <c r="N898" s="23"/>
      <c r="O898" s="23"/>
      <c r="AH898" s="20"/>
    </row>
    <row r="899" spans="6:34" ht="15.75" customHeight="1">
      <c r="F899" s="22"/>
      <c r="G899" s="22"/>
      <c r="H899" s="22"/>
      <c r="I899" s="6"/>
      <c r="J899" s="16"/>
      <c r="K899" s="16"/>
      <c r="L899" s="23"/>
      <c r="M899" s="23"/>
      <c r="N899" s="23"/>
      <c r="O899" s="23"/>
      <c r="AH899" s="20"/>
    </row>
    <row r="900" spans="6:34" ht="15.75" customHeight="1">
      <c r="F900" s="22"/>
      <c r="G900" s="22"/>
      <c r="H900" s="22"/>
      <c r="I900" s="6"/>
      <c r="J900" s="16"/>
      <c r="K900" s="16"/>
      <c r="L900" s="23"/>
      <c r="M900" s="23"/>
      <c r="N900" s="23"/>
      <c r="O900" s="23"/>
      <c r="AH900" s="20"/>
    </row>
    <row r="901" spans="6:34" ht="15.75" customHeight="1">
      <c r="F901" s="22"/>
      <c r="G901" s="22"/>
      <c r="H901" s="22"/>
      <c r="I901" s="6"/>
      <c r="J901" s="16"/>
      <c r="K901" s="16"/>
      <c r="L901" s="23"/>
      <c r="M901" s="23"/>
      <c r="N901" s="23"/>
      <c r="O901" s="23"/>
      <c r="AH901" s="20"/>
    </row>
    <row r="902" spans="6:34" ht="15.75" customHeight="1">
      <c r="F902" s="22"/>
      <c r="G902" s="22"/>
      <c r="H902" s="22"/>
      <c r="I902" s="6"/>
      <c r="J902" s="16"/>
      <c r="K902" s="16"/>
      <c r="L902" s="23"/>
      <c r="M902" s="23"/>
      <c r="N902" s="23"/>
      <c r="O902" s="23"/>
      <c r="AH902" s="20"/>
    </row>
    <row r="903" spans="6:34" ht="15.75" customHeight="1">
      <c r="F903" s="22"/>
      <c r="G903" s="22"/>
      <c r="H903" s="22"/>
      <c r="I903" s="6"/>
      <c r="J903" s="16"/>
      <c r="K903" s="16"/>
      <c r="L903" s="23"/>
      <c r="M903" s="23"/>
      <c r="N903" s="23"/>
      <c r="O903" s="23"/>
      <c r="AH903" s="20"/>
    </row>
    <row r="904" spans="6:34" ht="15.75" customHeight="1">
      <c r="F904" s="22"/>
      <c r="G904" s="22"/>
      <c r="H904" s="22"/>
      <c r="I904" s="6"/>
      <c r="J904" s="16"/>
      <c r="K904" s="16"/>
      <c r="L904" s="23"/>
      <c r="M904" s="23"/>
      <c r="N904" s="23"/>
      <c r="O904" s="23"/>
      <c r="AH904" s="20"/>
    </row>
    <row r="905" spans="6:34" ht="15.75" customHeight="1">
      <c r="F905" s="22"/>
      <c r="G905" s="22"/>
      <c r="H905" s="22"/>
      <c r="I905" s="6"/>
      <c r="J905" s="16"/>
      <c r="K905" s="16"/>
      <c r="L905" s="23"/>
      <c r="M905" s="23"/>
      <c r="N905" s="23"/>
      <c r="O905" s="23"/>
      <c r="AH905" s="20"/>
    </row>
    <row r="906" spans="6:34" ht="15.75" customHeight="1">
      <c r="F906" s="22"/>
      <c r="G906" s="22"/>
      <c r="H906" s="22"/>
      <c r="I906" s="6"/>
      <c r="J906" s="16"/>
      <c r="K906" s="16"/>
      <c r="L906" s="23"/>
      <c r="M906" s="23"/>
      <c r="N906" s="23"/>
      <c r="O906" s="23"/>
      <c r="AH906" s="20"/>
    </row>
    <row r="907" spans="6:34" ht="15.75" customHeight="1">
      <c r="F907" s="22"/>
      <c r="G907" s="22"/>
      <c r="H907" s="22"/>
      <c r="I907" s="6"/>
      <c r="J907" s="16"/>
      <c r="K907" s="16"/>
      <c r="L907" s="23"/>
      <c r="M907" s="23"/>
      <c r="N907" s="23"/>
      <c r="O907" s="23"/>
      <c r="AH907" s="20"/>
    </row>
    <row r="908" spans="6:34" ht="15.75" customHeight="1">
      <c r="F908" s="22"/>
      <c r="G908" s="22"/>
      <c r="H908" s="22"/>
      <c r="I908" s="6"/>
      <c r="J908" s="16"/>
      <c r="K908" s="16"/>
      <c r="L908" s="23"/>
      <c r="M908" s="23"/>
      <c r="N908" s="23"/>
      <c r="O908" s="23"/>
      <c r="AH908" s="20"/>
    </row>
    <row r="909" spans="6:34" ht="15.75" customHeight="1">
      <c r="F909" s="22"/>
      <c r="G909" s="22"/>
      <c r="H909" s="22"/>
      <c r="I909" s="6"/>
      <c r="J909" s="16"/>
      <c r="K909" s="16"/>
      <c r="L909" s="23"/>
      <c r="M909" s="23"/>
      <c r="N909" s="23"/>
      <c r="O909" s="23"/>
      <c r="AH909" s="20"/>
    </row>
    <row r="910" spans="6:34" ht="15.75" customHeight="1">
      <c r="F910" s="22"/>
      <c r="G910" s="22"/>
      <c r="H910" s="22"/>
      <c r="I910" s="6"/>
      <c r="J910" s="16"/>
      <c r="K910" s="16"/>
      <c r="L910" s="23"/>
      <c r="M910" s="23"/>
      <c r="N910" s="23"/>
      <c r="O910" s="23"/>
      <c r="AH910" s="20"/>
    </row>
    <row r="911" spans="6:34" ht="15.75" customHeight="1">
      <c r="F911" s="22"/>
      <c r="G911" s="22"/>
      <c r="H911" s="22"/>
      <c r="I911" s="6"/>
      <c r="J911" s="16"/>
      <c r="K911" s="16"/>
      <c r="L911" s="23"/>
      <c r="M911" s="23"/>
      <c r="N911" s="23"/>
      <c r="O911" s="23"/>
      <c r="AH911" s="20"/>
    </row>
    <row r="912" spans="6:34" ht="15.75" customHeight="1">
      <c r="F912" s="22"/>
      <c r="G912" s="22"/>
      <c r="H912" s="22"/>
      <c r="I912" s="6"/>
      <c r="J912" s="16"/>
      <c r="K912" s="16"/>
      <c r="L912" s="23"/>
      <c r="M912" s="23"/>
      <c r="N912" s="23"/>
      <c r="O912" s="23"/>
      <c r="AH912" s="20"/>
    </row>
    <row r="913" spans="6:34" ht="15.75" customHeight="1">
      <c r="F913" s="22"/>
      <c r="G913" s="22"/>
      <c r="H913" s="22"/>
      <c r="I913" s="6"/>
      <c r="J913" s="16"/>
      <c r="K913" s="16"/>
      <c r="L913" s="23"/>
      <c r="M913" s="23"/>
      <c r="N913" s="23"/>
      <c r="O913" s="23"/>
      <c r="AH913" s="20"/>
    </row>
    <row r="914" spans="6:34" ht="15.75" customHeight="1">
      <c r="F914" s="22"/>
      <c r="G914" s="22"/>
      <c r="H914" s="22"/>
      <c r="I914" s="6"/>
      <c r="J914" s="16"/>
      <c r="K914" s="16"/>
      <c r="L914" s="23"/>
      <c r="M914" s="23"/>
      <c r="N914" s="23"/>
      <c r="O914" s="23"/>
      <c r="AH914" s="20"/>
    </row>
    <row r="915" spans="6:34" ht="15.75" customHeight="1">
      <c r="F915" s="22"/>
      <c r="G915" s="22"/>
      <c r="H915" s="22"/>
      <c r="I915" s="6"/>
      <c r="J915" s="16"/>
      <c r="K915" s="16"/>
      <c r="L915" s="23"/>
      <c r="M915" s="23"/>
      <c r="N915" s="23"/>
      <c r="O915" s="23"/>
      <c r="AH915" s="20"/>
    </row>
    <row r="916" spans="6:34" ht="15.75" customHeight="1">
      <c r="F916" s="22"/>
      <c r="G916" s="22"/>
      <c r="H916" s="22"/>
      <c r="I916" s="6"/>
      <c r="J916" s="16"/>
      <c r="K916" s="16"/>
      <c r="L916" s="23"/>
      <c r="M916" s="23"/>
      <c r="N916" s="23"/>
      <c r="O916" s="23"/>
      <c r="AH916" s="20"/>
    </row>
    <row r="917" spans="6:34" ht="15.75" customHeight="1">
      <c r="F917" s="22"/>
      <c r="G917" s="22"/>
      <c r="H917" s="22"/>
      <c r="I917" s="6"/>
      <c r="J917" s="16"/>
      <c r="K917" s="16"/>
      <c r="L917" s="23"/>
      <c r="M917" s="23"/>
      <c r="N917" s="23"/>
      <c r="O917" s="23"/>
      <c r="AH917" s="20"/>
    </row>
    <row r="918" spans="6:34" ht="15.75" customHeight="1">
      <c r="F918" s="22"/>
      <c r="G918" s="22"/>
      <c r="H918" s="22"/>
      <c r="I918" s="6"/>
      <c r="J918" s="16"/>
      <c r="K918" s="16"/>
      <c r="L918" s="23"/>
      <c r="M918" s="23"/>
      <c r="N918" s="23"/>
      <c r="O918" s="23"/>
      <c r="AH918" s="20"/>
    </row>
    <row r="919" spans="6:34" ht="15.75" customHeight="1">
      <c r="F919" s="22"/>
      <c r="G919" s="22"/>
      <c r="H919" s="22"/>
      <c r="I919" s="6"/>
      <c r="J919" s="16"/>
      <c r="K919" s="16"/>
      <c r="L919" s="23"/>
      <c r="M919" s="23"/>
      <c r="N919" s="23"/>
      <c r="O919" s="23"/>
      <c r="AH919" s="20"/>
    </row>
    <row r="920" spans="6:34" ht="15.75" customHeight="1">
      <c r="F920" s="22"/>
      <c r="G920" s="22"/>
      <c r="H920" s="22"/>
      <c r="I920" s="6"/>
      <c r="J920" s="16"/>
      <c r="K920" s="16"/>
      <c r="L920" s="23"/>
      <c r="M920" s="23"/>
      <c r="N920" s="23"/>
      <c r="O920" s="23"/>
      <c r="AH920" s="20"/>
    </row>
    <row r="921" spans="6:34" ht="15.75" customHeight="1">
      <c r="F921" s="22"/>
      <c r="G921" s="22"/>
      <c r="H921" s="22"/>
      <c r="I921" s="6"/>
      <c r="J921" s="16"/>
      <c r="K921" s="16"/>
      <c r="L921" s="23"/>
      <c r="M921" s="23"/>
      <c r="N921" s="23"/>
      <c r="O921" s="23"/>
      <c r="AH921" s="20"/>
    </row>
    <row r="922" spans="6:34" ht="15.75" customHeight="1">
      <c r="F922" s="22"/>
      <c r="G922" s="22"/>
      <c r="H922" s="22"/>
      <c r="I922" s="6"/>
      <c r="J922" s="16"/>
      <c r="K922" s="16"/>
      <c r="L922" s="23"/>
      <c r="M922" s="23"/>
      <c r="N922" s="23"/>
      <c r="O922" s="23"/>
      <c r="AH922" s="20"/>
    </row>
    <row r="923" spans="6:34" ht="15.75" customHeight="1">
      <c r="F923" s="22"/>
      <c r="G923" s="22"/>
      <c r="H923" s="22"/>
      <c r="I923" s="6"/>
      <c r="J923" s="16"/>
      <c r="K923" s="16"/>
      <c r="L923" s="23"/>
      <c r="M923" s="23"/>
      <c r="N923" s="23"/>
      <c r="O923" s="23"/>
      <c r="AH923" s="20"/>
    </row>
    <row r="924" spans="6:34" ht="15.75" customHeight="1">
      <c r="F924" s="22"/>
      <c r="G924" s="22"/>
      <c r="H924" s="22"/>
      <c r="I924" s="6"/>
      <c r="J924" s="16"/>
      <c r="K924" s="16"/>
      <c r="L924" s="23"/>
      <c r="M924" s="23"/>
      <c r="N924" s="23"/>
      <c r="O924" s="23"/>
      <c r="AH924" s="20"/>
    </row>
    <row r="925" spans="6:34" ht="15.75" customHeight="1">
      <c r="F925" s="22"/>
      <c r="G925" s="22"/>
      <c r="H925" s="22"/>
      <c r="I925" s="6"/>
      <c r="J925" s="16"/>
      <c r="K925" s="16"/>
      <c r="L925" s="23"/>
      <c r="M925" s="23"/>
      <c r="N925" s="23"/>
      <c r="O925" s="23"/>
      <c r="AH925" s="20"/>
    </row>
    <row r="926" spans="6:34" ht="15.75" customHeight="1">
      <c r="F926" s="22"/>
      <c r="G926" s="22"/>
      <c r="H926" s="22"/>
      <c r="I926" s="6"/>
      <c r="J926" s="16"/>
      <c r="K926" s="16"/>
      <c r="L926" s="23"/>
      <c r="M926" s="23"/>
      <c r="N926" s="23"/>
      <c r="O926" s="23"/>
      <c r="AH926" s="20"/>
    </row>
    <row r="927" spans="6:34" ht="15.75" customHeight="1">
      <c r="F927" s="22"/>
      <c r="G927" s="22"/>
      <c r="H927" s="22"/>
      <c r="I927" s="6"/>
      <c r="J927" s="16"/>
      <c r="K927" s="16"/>
      <c r="L927" s="23"/>
      <c r="M927" s="23"/>
      <c r="N927" s="23"/>
      <c r="O927" s="23"/>
      <c r="AH927" s="20"/>
    </row>
    <row r="928" spans="6:34" ht="15.75" customHeight="1">
      <c r="F928" s="22"/>
      <c r="G928" s="22"/>
      <c r="H928" s="22"/>
      <c r="I928" s="6"/>
      <c r="J928" s="16"/>
      <c r="K928" s="16"/>
      <c r="L928" s="23"/>
      <c r="M928" s="23"/>
      <c r="N928" s="23"/>
      <c r="O928" s="23"/>
      <c r="AH928" s="20"/>
    </row>
    <row r="929" spans="6:34" ht="15.75" customHeight="1">
      <c r="F929" s="22"/>
      <c r="G929" s="22"/>
      <c r="H929" s="22"/>
      <c r="I929" s="6"/>
      <c r="J929" s="16"/>
      <c r="K929" s="16"/>
      <c r="L929" s="23"/>
      <c r="M929" s="23"/>
      <c r="N929" s="23"/>
      <c r="O929" s="23"/>
      <c r="AH929" s="20"/>
    </row>
    <row r="930" spans="6:34" ht="15.75" customHeight="1">
      <c r="F930" s="22"/>
      <c r="G930" s="22"/>
      <c r="H930" s="22"/>
      <c r="I930" s="6"/>
      <c r="J930" s="16"/>
      <c r="K930" s="16"/>
      <c r="L930" s="23"/>
      <c r="M930" s="23"/>
      <c r="N930" s="23"/>
      <c r="O930" s="23"/>
      <c r="AH930" s="20"/>
    </row>
    <row r="931" spans="6:34" ht="15.75" customHeight="1">
      <c r="F931" s="22"/>
      <c r="G931" s="22"/>
      <c r="H931" s="22"/>
      <c r="I931" s="6"/>
      <c r="J931" s="16"/>
      <c r="K931" s="16"/>
      <c r="L931" s="23"/>
      <c r="M931" s="23"/>
      <c r="N931" s="23"/>
      <c r="O931" s="23"/>
      <c r="AH931" s="20"/>
    </row>
    <row r="932" spans="6:34" ht="15.75" customHeight="1">
      <c r="F932" s="22"/>
      <c r="G932" s="22"/>
      <c r="H932" s="22"/>
      <c r="I932" s="6"/>
      <c r="J932" s="16"/>
      <c r="K932" s="16"/>
      <c r="L932" s="23"/>
      <c r="M932" s="23"/>
      <c r="N932" s="23"/>
      <c r="O932" s="23"/>
      <c r="AH932" s="20"/>
    </row>
    <row r="933" spans="6:34" ht="15.75" customHeight="1">
      <c r="F933" s="22"/>
      <c r="G933" s="22"/>
      <c r="H933" s="22"/>
      <c r="I933" s="6"/>
      <c r="J933" s="16"/>
      <c r="K933" s="16"/>
      <c r="L933" s="23"/>
      <c r="M933" s="23"/>
      <c r="N933" s="23"/>
      <c r="O933" s="23"/>
      <c r="AH933" s="20"/>
    </row>
    <row r="934" spans="6:34" ht="15.75" customHeight="1">
      <c r="F934" s="22"/>
      <c r="G934" s="22"/>
      <c r="H934" s="22"/>
      <c r="I934" s="6"/>
      <c r="J934" s="16"/>
      <c r="K934" s="16"/>
      <c r="L934" s="23"/>
      <c r="M934" s="23"/>
      <c r="N934" s="23"/>
      <c r="O934" s="23"/>
      <c r="AH934" s="20"/>
    </row>
    <row r="935" spans="6:34" ht="15.75" customHeight="1">
      <c r="F935" s="22"/>
      <c r="G935" s="22"/>
      <c r="H935" s="22"/>
      <c r="I935" s="6"/>
      <c r="J935" s="16"/>
      <c r="K935" s="16"/>
      <c r="L935" s="23"/>
      <c r="M935" s="23"/>
      <c r="N935" s="23"/>
      <c r="O935" s="23"/>
      <c r="AH935" s="20"/>
    </row>
    <row r="936" spans="6:34" ht="15.75" customHeight="1">
      <c r="F936" s="22"/>
      <c r="G936" s="22"/>
      <c r="H936" s="22"/>
      <c r="I936" s="6"/>
      <c r="J936" s="16"/>
      <c r="K936" s="16"/>
      <c r="L936" s="23"/>
      <c r="M936" s="23"/>
      <c r="N936" s="23"/>
      <c r="O936" s="23"/>
      <c r="AH936" s="20"/>
    </row>
    <row r="937" spans="6:34" ht="15.75" customHeight="1">
      <c r="F937" s="22"/>
      <c r="G937" s="22"/>
      <c r="H937" s="22"/>
      <c r="I937" s="6"/>
      <c r="J937" s="16"/>
      <c r="K937" s="16"/>
      <c r="L937" s="23"/>
      <c r="M937" s="23"/>
      <c r="N937" s="23"/>
      <c r="O937" s="23"/>
      <c r="AH937" s="20"/>
    </row>
    <row r="938" spans="6:34" ht="15.75" customHeight="1">
      <c r="F938" s="22"/>
      <c r="G938" s="22"/>
      <c r="H938" s="22"/>
      <c r="I938" s="6"/>
      <c r="J938" s="16"/>
      <c r="K938" s="16"/>
      <c r="L938" s="23"/>
      <c r="M938" s="23"/>
      <c r="N938" s="23"/>
      <c r="O938" s="23"/>
      <c r="AH938" s="20"/>
    </row>
    <row r="939" spans="6:34" ht="15.75" customHeight="1">
      <c r="F939" s="22"/>
      <c r="G939" s="22"/>
      <c r="H939" s="22"/>
      <c r="I939" s="6"/>
      <c r="J939" s="16"/>
      <c r="K939" s="16"/>
      <c r="L939" s="23"/>
      <c r="M939" s="23"/>
      <c r="N939" s="23"/>
      <c r="O939" s="23"/>
      <c r="AH939" s="20"/>
    </row>
    <row r="940" spans="6:34" ht="15.75" customHeight="1">
      <c r="F940" s="22"/>
      <c r="G940" s="22"/>
      <c r="H940" s="22"/>
      <c r="I940" s="6"/>
      <c r="J940" s="16"/>
      <c r="K940" s="16"/>
      <c r="L940" s="23"/>
      <c r="M940" s="23"/>
      <c r="N940" s="23"/>
      <c r="O940" s="23"/>
      <c r="AH940" s="20"/>
    </row>
    <row r="941" spans="6:34" ht="15.75" customHeight="1">
      <c r="F941" s="22"/>
      <c r="G941" s="22"/>
      <c r="H941" s="22"/>
      <c r="I941" s="6"/>
      <c r="J941" s="16"/>
      <c r="K941" s="16"/>
      <c r="L941" s="23"/>
      <c r="M941" s="23"/>
      <c r="N941" s="23"/>
      <c r="O941" s="23"/>
      <c r="AH941" s="20"/>
    </row>
    <row r="942" spans="6:34" ht="15.75" customHeight="1">
      <c r="F942" s="22"/>
      <c r="G942" s="22"/>
      <c r="H942" s="22"/>
      <c r="I942" s="6"/>
      <c r="J942" s="16"/>
      <c r="K942" s="16"/>
      <c r="L942" s="23"/>
      <c r="M942" s="23"/>
      <c r="N942" s="23"/>
      <c r="O942" s="23"/>
      <c r="AH942" s="20"/>
    </row>
    <row r="943" spans="6:34" ht="15.75" customHeight="1">
      <c r="F943" s="22"/>
      <c r="G943" s="22"/>
      <c r="H943" s="22"/>
      <c r="I943" s="6"/>
      <c r="J943" s="16"/>
      <c r="K943" s="16"/>
      <c r="L943" s="23"/>
      <c r="M943" s="23"/>
      <c r="N943" s="23"/>
      <c r="O943" s="23"/>
      <c r="AH943" s="20"/>
    </row>
    <row r="944" spans="6:34" ht="15.75" customHeight="1">
      <c r="F944" s="22"/>
      <c r="G944" s="22"/>
      <c r="H944" s="22"/>
      <c r="I944" s="6"/>
      <c r="J944" s="16"/>
      <c r="K944" s="16"/>
      <c r="L944" s="23"/>
      <c r="M944" s="23"/>
      <c r="N944" s="23"/>
      <c r="O944" s="23"/>
      <c r="AH944" s="20"/>
    </row>
    <row r="945" spans="6:34" ht="15.75" customHeight="1">
      <c r="F945" s="22"/>
      <c r="G945" s="22"/>
      <c r="H945" s="22"/>
      <c r="I945" s="6"/>
      <c r="J945" s="16"/>
      <c r="K945" s="16"/>
      <c r="L945" s="23"/>
      <c r="M945" s="23"/>
      <c r="N945" s="23"/>
      <c r="O945" s="23"/>
      <c r="AH945" s="20"/>
    </row>
    <row r="946" spans="6:34" ht="15.75" customHeight="1">
      <c r="F946" s="22"/>
      <c r="G946" s="22"/>
      <c r="H946" s="22"/>
      <c r="I946" s="6"/>
      <c r="J946" s="16"/>
      <c r="K946" s="16"/>
      <c r="L946" s="23"/>
      <c r="M946" s="23"/>
      <c r="N946" s="23"/>
      <c r="O946" s="23"/>
      <c r="AH946" s="20"/>
    </row>
    <row r="947" spans="6:34" ht="15.75" customHeight="1">
      <c r="F947" s="22"/>
      <c r="G947" s="22"/>
      <c r="H947" s="22"/>
      <c r="I947" s="6"/>
      <c r="J947" s="16"/>
      <c r="K947" s="16"/>
      <c r="L947" s="23"/>
      <c r="M947" s="23"/>
      <c r="N947" s="23"/>
      <c r="O947" s="23"/>
      <c r="AH947" s="20"/>
    </row>
    <row r="948" spans="6:34" ht="15.75" customHeight="1">
      <c r="F948" s="22"/>
      <c r="G948" s="22"/>
      <c r="H948" s="22"/>
      <c r="I948" s="6"/>
      <c r="J948" s="16"/>
      <c r="K948" s="16"/>
      <c r="L948" s="23"/>
      <c r="M948" s="23"/>
      <c r="N948" s="23"/>
      <c r="O948" s="23"/>
      <c r="AH948" s="20"/>
    </row>
    <row r="949" spans="6:34" ht="15.75" customHeight="1">
      <c r="F949" s="22"/>
      <c r="G949" s="22"/>
      <c r="H949" s="22"/>
      <c r="I949" s="6"/>
      <c r="J949" s="16"/>
      <c r="K949" s="16"/>
      <c r="L949" s="23"/>
      <c r="M949" s="23"/>
      <c r="N949" s="23"/>
      <c r="O949" s="23"/>
      <c r="AH949" s="20"/>
    </row>
    <row r="950" spans="6:34" ht="15.75" customHeight="1">
      <c r="F950" s="22"/>
      <c r="G950" s="22"/>
      <c r="H950" s="22"/>
      <c r="I950" s="6"/>
      <c r="J950" s="16"/>
      <c r="K950" s="16"/>
      <c r="L950" s="23"/>
      <c r="M950" s="23"/>
      <c r="N950" s="23"/>
      <c r="O950" s="23"/>
      <c r="AH950" s="20"/>
    </row>
    <row r="951" spans="6:34" ht="15.75" customHeight="1">
      <c r="F951" s="22"/>
      <c r="G951" s="22"/>
      <c r="H951" s="22"/>
      <c r="I951" s="6"/>
      <c r="J951" s="16"/>
      <c r="K951" s="16"/>
      <c r="L951" s="23"/>
      <c r="M951" s="23"/>
      <c r="N951" s="23"/>
      <c r="O951" s="23"/>
      <c r="AH951" s="20"/>
    </row>
    <row r="952" spans="6:34" ht="15.75" customHeight="1">
      <c r="F952" s="22"/>
      <c r="G952" s="22"/>
      <c r="H952" s="22"/>
      <c r="I952" s="6"/>
      <c r="J952" s="16"/>
      <c r="K952" s="16"/>
      <c r="L952" s="23"/>
      <c r="M952" s="23"/>
      <c r="N952" s="23"/>
      <c r="O952" s="23"/>
      <c r="AH952" s="20"/>
    </row>
    <row r="953" spans="6:34" ht="15.75" customHeight="1">
      <c r="F953" s="22"/>
      <c r="G953" s="22"/>
      <c r="H953" s="22"/>
      <c r="I953" s="6"/>
      <c r="J953" s="16"/>
      <c r="K953" s="16"/>
      <c r="L953" s="23"/>
      <c r="M953" s="23"/>
      <c r="N953" s="23"/>
      <c r="O953" s="23"/>
      <c r="AH953" s="20"/>
    </row>
    <row r="954" spans="6:34" ht="15.75" customHeight="1">
      <c r="F954" s="22"/>
      <c r="G954" s="22"/>
      <c r="H954" s="22"/>
      <c r="I954" s="6"/>
      <c r="J954" s="16"/>
      <c r="K954" s="16"/>
      <c r="L954" s="23"/>
      <c r="M954" s="23"/>
      <c r="N954" s="23"/>
      <c r="O954" s="23"/>
      <c r="AH954" s="20"/>
    </row>
    <row r="955" spans="6:34" ht="15.75" customHeight="1">
      <c r="F955" s="22"/>
      <c r="G955" s="22"/>
      <c r="H955" s="22"/>
      <c r="I955" s="6"/>
      <c r="J955" s="16"/>
      <c r="K955" s="16"/>
      <c r="L955" s="23"/>
      <c r="M955" s="23"/>
      <c r="N955" s="23"/>
      <c r="O955" s="23"/>
      <c r="AH955" s="20"/>
    </row>
    <row r="956" spans="6:34" ht="15.75" customHeight="1">
      <c r="F956" s="22"/>
      <c r="G956" s="22"/>
      <c r="H956" s="22"/>
      <c r="I956" s="6"/>
      <c r="J956" s="16"/>
      <c r="K956" s="16"/>
      <c r="L956" s="23"/>
      <c r="M956" s="23"/>
      <c r="N956" s="23"/>
      <c r="O956" s="23"/>
      <c r="AH956" s="20"/>
    </row>
    <row r="957" spans="6:34" ht="15.75" customHeight="1">
      <c r="F957" s="22"/>
      <c r="G957" s="22"/>
      <c r="H957" s="22"/>
      <c r="I957" s="6"/>
      <c r="J957" s="16"/>
      <c r="K957" s="16"/>
      <c r="L957" s="23"/>
      <c r="M957" s="23"/>
      <c r="N957" s="23"/>
      <c r="O957" s="23"/>
      <c r="AH957" s="20"/>
    </row>
    <row r="958" spans="6:34" ht="15.75" customHeight="1">
      <c r="F958" s="22"/>
      <c r="G958" s="22"/>
      <c r="H958" s="22"/>
      <c r="I958" s="6"/>
      <c r="J958" s="16"/>
      <c r="K958" s="16"/>
      <c r="L958" s="23"/>
      <c r="M958" s="23"/>
      <c r="N958" s="23"/>
      <c r="O958" s="23"/>
      <c r="AH958" s="20"/>
    </row>
    <row r="959" spans="6:34" ht="15.75" customHeight="1">
      <c r="F959" s="22"/>
      <c r="G959" s="22"/>
      <c r="H959" s="22"/>
      <c r="I959" s="6"/>
      <c r="J959" s="16"/>
      <c r="K959" s="16"/>
      <c r="L959" s="23"/>
      <c r="M959" s="23"/>
      <c r="N959" s="23"/>
      <c r="O959" s="23"/>
      <c r="AH959" s="20"/>
    </row>
    <row r="960" spans="6:34" ht="15.75" customHeight="1">
      <c r="F960" s="22"/>
      <c r="G960" s="22"/>
      <c r="H960" s="22"/>
      <c r="I960" s="6"/>
      <c r="J960" s="16"/>
      <c r="K960" s="16"/>
      <c r="L960" s="23"/>
      <c r="M960" s="23"/>
      <c r="N960" s="23"/>
      <c r="O960" s="23"/>
      <c r="AH960" s="20"/>
    </row>
    <row r="961" spans="6:34" ht="15.75" customHeight="1">
      <c r="F961" s="22"/>
      <c r="G961" s="22"/>
      <c r="H961" s="22"/>
      <c r="I961" s="6"/>
      <c r="J961" s="16"/>
      <c r="K961" s="16"/>
      <c r="L961" s="23"/>
      <c r="M961" s="23"/>
      <c r="N961" s="23"/>
      <c r="O961" s="23"/>
      <c r="AH961" s="20"/>
    </row>
    <row r="962" spans="6:34" ht="15.75" customHeight="1">
      <c r="F962" s="22"/>
      <c r="G962" s="22"/>
      <c r="H962" s="22"/>
      <c r="I962" s="6"/>
      <c r="J962" s="16"/>
      <c r="K962" s="16"/>
      <c r="L962" s="23"/>
      <c r="M962" s="23"/>
      <c r="N962" s="23"/>
      <c r="O962" s="23"/>
      <c r="AH962" s="20"/>
    </row>
    <row r="963" spans="6:34" ht="15.75" customHeight="1">
      <c r="F963" s="22"/>
      <c r="G963" s="22"/>
      <c r="H963" s="22"/>
      <c r="I963" s="6"/>
      <c r="J963" s="16"/>
      <c r="K963" s="16"/>
      <c r="L963" s="23"/>
      <c r="M963" s="23"/>
      <c r="N963" s="23"/>
      <c r="O963" s="23"/>
      <c r="AH963" s="20"/>
    </row>
    <row r="964" spans="6:34" ht="15.75" customHeight="1">
      <c r="F964" s="22"/>
      <c r="G964" s="22"/>
      <c r="H964" s="22"/>
      <c r="I964" s="6"/>
      <c r="J964" s="16"/>
      <c r="K964" s="16"/>
      <c r="L964" s="23"/>
      <c r="M964" s="23"/>
      <c r="N964" s="23"/>
      <c r="O964" s="23"/>
      <c r="AH964" s="20"/>
    </row>
    <row r="965" spans="6:34" ht="15.75" customHeight="1">
      <c r="F965" s="22"/>
      <c r="G965" s="22"/>
      <c r="H965" s="22"/>
      <c r="I965" s="6"/>
      <c r="J965" s="16"/>
      <c r="K965" s="16"/>
      <c r="L965" s="23"/>
      <c r="M965" s="23"/>
      <c r="N965" s="23"/>
      <c r="O965" s="23"/>
      <c r="AH965" s="20"/>
    </row>
    <row r="966" spans="6:34" ht="15.75" customHeight="1">
      <c r="F966" s="22"/>
      <c r="G966" s="22"/>
      <c r="H966" s="22"/>
      <c r="I966" s="6"/>
      <c r="J966" s="16"/>
      <c r="K966" s="16"/>
      <c r="L966" s="23"/>
      <c r="M966" s="23"/>
      <c r="N966" s="23"/>
      <c r="O966" s="23"/>
      <c r="AH966" s="20"/>
    </row>
    <row r="967" spans="6:34" ht="15.75" customHeight="1">
      <c r="F967" s="22"/>
      <c r="G967" s="22"/>
      <c r="H967" s="22"/>
      <c r="I967" s="6"/>
      <c r="J967" s="16"/>
      <c r="K967" s="16"/>
      <c r="L967" s="23"/>
      <c r="M967" s="23"/>
      <c r="N967" s="23"/>
      <c r="O967" s="23"/>
      <c r="AH967" s="20"/>
    </row>
    <row r="968" spans="6:34" ht="15.75" customHeight="1">
      <c r="F968" s="22"/>
      <c r="G968" s="22"/>
      <c r="H968" s="22"/>
      <c r="I968" s="6"/>
      <c r="J968" s="16"/>
      <c r="K968" s="16"/>
      <c r="L968" s="23"/>
      <c r="M968" s="23"/>
      <c r="N968" s="23"/>
      <c r="O968" s="23"/>
      <c r="AH968" s="20"/>
    </row>
    <row r="969" spans="6:34" ht="15.75" customHeight="1">
      <c r="F969" s="22"/>
      <c r="G969" s="22"/>
      <c r="H969" s="22"/>
      <c r="I969" s="6"/>
      <c r="J969" s="16"/>
      <c r="K969" s="16"/>
      <c r="L969" s="23"/>
      <c r="M969" s="23"/>
      <c r="N969" s="23"/>
      <c r="O969" s="23"/>
      <c r="AH969" s="20"/>
    </row>
    <row r="970" spans="6:34" ht="15.75" customHeight="1">
      <c r="F970" s="22"/>
      <c r="G970" s="22"/>
      <c r="H970" s="22"/>
      <c r="I970" s="6"/>
      <c r="J970" s="16"/>
      <c r="K970" s="16"/>
      <c r="L970" s="23"/>
      <c r="M970" s="23"/>
      <c r="N970" s="23"/>
      <c r="O970" s="23"/>
      <c r="AH970" s="20"/>
    </row>
    <row r="971" spans="6:34" ht="15.75" customHeight="1">
      <c r="F971" s="22"/>
      <c r="G971" s="22"/>
      <c r="H971" s="22"/>
      <c r="I971" s="6"/>
      <c r="J971" s="16"/>
      <c r="K971" s="16"/>
      <c r="L971" s="23"/>
      <c r="M971" s="23"/>
      <c r="N971" s="23"/>
      <c r="O971" s="23"/>
      <c r="AH971" s="20"/>
    </row>
    <row r="972" spans="6:34" ht="15.75" customHeight="1">
      <c r="F972" s="22"/>
      <c r="G972" s="22"/>
      <c r="H972" s="22"/>
      <c r="I972" s="6"/>
      <c r="J972" s="16"/>
      <c r="K972" s="16"/>
      <c r="L972" s="23"/>
      <c r="M972" s="23"/>
      <c r="N972" s="23"/>
      <c r="O972" s="23"/>
      <c r="AH972" s="20"/>
    </row>
    <row r="973" spans="6:34" ht="15.75" customHeight="1">
      <c r="F973" s="22"/>
      <c r="G973" s="22"/>
      <c r="H973" s="22"/>
      <c r="I973" s="6"/>
      <c r="J973" s="16"/>
      <c r="K973" s="16"/>
      <c r="L973" s="23"/>
      <c r="M973" s="23"/>
      <c r="N973" s="23"/>
      <c r="O973" s="23"/>
      <c r="AH973" s="20"/>
    </row>
    <row r="974" spans="6:34" ht="15.75" customHeight="1">
      <c r="F974" s="22"/>
      <c r="G974" s="22"/>
      <c r="H974" s="22"/>
      <c r="I974" s="6"/>
      <c r="J974" s="16"/>
      <c r="K974" s="16"/>
      <c r="L974" s="23"/>
      <c r="M974" s="23"/>
      <c r="N974" s="23"/>
      <c r="O974" s="23"/>
      <c r="AH974" s="20"/>
    </row>
    <row r="975" spans="6:34" ht="15.75" customHeight="1">
      <c r="F975" s="22"/>
      <c r="G975" s="22"/>
      <c r="H975" s="22"/>
      <c r="I975" s="6"/>
      <c r="J975" s="16"/>
      <c r="K975" s="16"/>
      <c r="L975" s="23"/>
      <c r="M975" s="23"/>
      <c r="N975" s="23"/>
      <c r="O975" s="23"/>
      <c r="AH975" s="20"/>
    </row>
    <row r="976" spans="6:34" ht="15.75" customHeight="1">
      <c r="F976" s="22"/>
      <c r="G976" s="22"/>
      <c r="H976" s="22"/>
      <c r="I976" s="6"/>
      <c r="J976" s="16"/>
      <c r="K976" s="16"/>
      <c r="L976" s="23"/>
      <c r="M976" s="23"/>
      <c r="N976" s="23"/>
      <c r="O976" s="23"/>
      <c r="AH976" s="20"/>
    </row>
    <row r="977" spans="6:34" ht="15.75" customHeight="1">
      <c r="F977" s="22"/>
      <c r="G977" s="22"/>
      <c r="H977" s="22"/>
      <c r="I977" s="6"/>
      <c r="J977" s="16"/>
      <c r="K977" s="16"/>
      <c r="L977" s="23"/>
      <c r="M977" s="23"/>
      <c r="N977" s="23"/>
      <c r="O977" s="23"/>
      <c r="AH977" s="20"/>
    </row>
    <row r="978" spans="6:34" ht="15.75" customHeight="1">
      <c r="F978" s="22"/>
      <c r="G978" s="22"/>
      <c r="H978" s="22"/>
      <c r="I978" s="6"/>
      <c r="J978" s="16"/>
      <c r="K978" s="16"/>
      <c r="L978" s="23"/>
      <c r="M978" s="23"/>
      <c r="N978" s="23"/>
      <c r="O978" s="23"/>
      <c r="AH978" s="20"/>
    </row>
    <row r="979" spans="6:34" ht="15.75" customHeight="1">
      <c r="F979" s="22"/>
      <c r="G979" s="22"/>
      <c r="H979" s="22"/>
      <c r="I979" s="6"/>
      <c r="J979" s="16"/>
      <c r="K979" s="16"/>
      <c r="L979" s="23"/>
      <c r="M979" s="23"/>
      <c r="N979" s="23"/>
      <c r="O979" s="23"/>
      <c r="AH979" s="20"/>
    </row>
    <row r="980" spans="6:34" ht="15.75" customHeight="1">
      <c r="F980" s="22"/>
      <c r="G980" s="22"/>
      <c r="H980" s="22"/>
      <c r="I980" s="6"/>
      <c r="J980" s="16"/>
      <c r="K980" s="16"/>
      <c r="L980" s="23"/>
      <c r="M980" s="23"/>
      <c r="N980" s="23"/>
      <c r="O980" s="23"/>
      <c r="AH980" s="20"/>
    </row>
    <row r="981" spans="6:34" ht="15.75" customHeight="1">
      <c r="F981" s="22"/>
      <c r="G981" s="22"/>
      <c r="H981" s="22"/>
      <c r="I981" s="6"/>
      <c r="J981" s="16"/>
      <c r="K981" s="16"/>
      <c r="L981" s="23"/>
      <c r="M981" s="23"/>
      <c r="N981" s="23"/>
      <c r="O981" s="23"/>
      <c r="AH981" s="20"/>
    </row>
    <row r="982" spans="6:34" ht="15.75" customHeight="1">
      <c r="F982" s="22"/>
      <c r="G982" s="22"/>
      <c r="H982" s="22"/>
      <c r="I982" s="6"/>
      <c r="J982" s="16"/>
      <c r="K982" s="16"/>
      <c r="L982" s="23"/>
      <c r="M982" s="23"/>
      <c r="N982" s="23"/>
      <c r="O982" s="23"/>
      <c r="AH982" s="20"/>
    </row>
    <row r="983" spans="6:34" ht="15.75" customHeight="1">
      <c r="F983" s="22"/>
      <c r="G983" s="22"/>
      <c r="H983" s="22"/>
      <c r="I983" s="6"/>
      <c r="J983" s="16"/>
      <c r="K983" s="16"/>
      <c r="L983" s="23"/>
      <c r="M983" s="23"/>
      <c r="N983" s="23"/>
      <c r="O983" s="23"/>
      <c r="AH983" s="20"/>
    </row>
    <row r="984" spans="6:34" ht="15.75" customHeight="1">
      <c r="F984" s="22"/>
      <c r="G984" s="22"/>
      <c r="H984" s="22"/>
      <c r="I984" s="6"/>
      <c r="J984" s="16"/>
      <c r="K984" s="16"/>
      <c r="L984" s="23"/>
      <c r="M984" s="23"/>
      <c r="N984" s="23"/>
      <c r="O984" s="23"/>
      <c r="AH984" s="20"/>
    </row>
    <row r="985" spans="6:34" ht="15.75" customHeight="1">
      <c r="F985" s="22"/>
      <c r="G985" s="22"/>
      <c r="H985" s="22"/>
      <c r="I985" s="6"/>
      <c r="J985" s="16"/>
      <c r="K985" s="16"/>
      <c r="L985" s="23"/>
      <c r="M985" s="23"/>
      <c r="N985" s="23"/>
      <c r="O985" s="23"/>
      <c r="AH985" s="20"/>
    </row>
    <row r="986" spans="6:34" ht="15.75" customHeight="1">
      <c r="F986" s="22"/>
      <c r="G986" s="22"/>
      <c r="H986" s="22"/>
      <c r="I986" s="6"/>
      <c r="J986" s="16"/>
      <c r="K986" s="16"/>
      <c r="L986" s="23"/>
      <c r="M986" s="23"/>
      <c r="N986" s="23"/>
      <c r="O986" s="23"/>
      <c r="AH986" s="20"/>
    </row>
    <row r="987" spans="6:34" ht="15.75" customHeight="1">
      <c r="F987" s="22"/>
      <c r="G987" s="22"/>
      <c r="H987" s="22"/>
      <c r="I987" s="6"/>
      <c r="J987" s="16"/>
      <c r="K987" s="16"/>
      <c r="L987" s="23"/>
      <c r="M987" s="23"/>
      <c r="N987" s="23"/>
      <c r="O987" s="23"/>
      <c r="AH987" s="20"/>
    </row>
    <row r="988" spans="6:34" ht="15.75" customHeight="1">
      <c r="F988" s="22"/>
      <c r="G988" s="22"/>
      <c r="H988" s="22"/>
      <c r="I988" s="6"/>
      <c r="J988" s="16"/>
      <c r="K988" s="16"/>
      <c r="L988" s="23"/>
      <c r="M988" s="23"/>
      <c r="N988" s="23"/>
      <c r="O988" s="23"/>
      <c r="AH988" s="20"/>
    </row>
    <row r="989" spans="6:34" ht="15.75" customHeight="1">
      <c r="F989" s="22"/>
      <c r="G989" s="22"/>
      <c r="H989" s="22"/>
      <c r="I989" s="6"/>
      <c r="J989" s="16"/>
      <c r="K989" s="16"/>
      <c r="L989" s="23"/>
      <c r="M989" s="23"/>
      <c r="N989" s="23"/>
      <c r="O989" s="23"/>
      <c r="AH989" s="20"/>
    </row>
    <row r="990" spans="6:34" ht="15.75" customHeight="1">
      <c r="F990" s="22"/>
      <c r="G990" s="22"/>
      <c r="H990" s="22"/>
      <c r="I990" s="6"/>
      <c r="J990" s="16"/>
      <c r="K990" s="16"/>
      <c r="L990" s="23"/>
      <c r="M990" s="23"/>
      <c r="N990" s="23"/>
      <c r="O990" s="23"/>
      <c r="AH990" s="20"/>
    </row>
    <row r="991" spans="6:34" ht="15.75" customHeight="1">
      <c r="F991" s="22"/>
      <c r="G991" s="22"/>
      <c r="H991" s="22"/>
      <c r="I991" s="6"/>
      <c r="J991" s="16"/>
      <c r="K991" s="16"/>
      <c r="L991" s="23"/>
      <c r="M991" s="23"/>
      <c r="N991" s="23"/>
      <c r="O991" s="23"/>
      <c r="AH991" s="20"/>
    </row>
    <row r="992" spans="6:34" ht="15.75" customHeight="1">
      <c r="F992" s="22"/>
      <c r="G992" s="22"/>
      <c r="H992" s="22"/>
      <c r="I992" s="6"/>
      <c r="J992" s="16"/>
      <c r="K992" s="16"/>
      <c r="L992" s="23"/>
      <c r="M992" s="23"/>
      <c r="N992" s="23"/>
      <c r="O992" s="23"/>
      <c r="AH992" s="20"/>
    </row>
    <row r="993" spans="6:34" ht="15.75" customHeight="1">
      <c r="F993" s="22"/>
      <c r="G993" s="22"/>
      <c r="H993" s="22"/>
      <c r="I993" s="6"/>
      <c r="J993" s="16"/>
      <c r="K993" s="16"/>
      <c r="L993" s="23"/>
      <c r="M993" s="23"/>
      <c r="N993" s="23"/>
      <c r="O993" s="23"/>
      <c r="AH993" s="20"/>
    </row>
    <row r="994" spans="6:34" ht="15.75" customHeight="1">
      <c r="F994" s="22"/>
      <c r="G994" s="22"/>
      <c r="H994" s="22"/>
      <c r="I994" s="6"/>
      <c r="J994" s="16"/>
      <c r="K994" s="16"/>
      <c r="L994" s="23"/>
      <c r="M994" s="23"/>
      <c r="N994" s="23"/>
      <c r="O994" s="23"/>
      <c r="AH994" s="20"/>
    </row>
    <row r="995" spans="6:34" ht="15.75" customHeight="1">
      <c r="F995" s="22"/>
      <c r="G995" s="22"/>
      <c r="H995" s="22"/>
      <c r="I995" s="6"/>
      <c r="J995" s="16"/>
      <c r="K995" s="16"/>
      <c r="L995" s="23"/>
      <c r="M995" s="23"/>
      <c r="N995" s="23"/>
      <c r="O995" s="23"/>
      <c r="AH995" s="20"/>
    </row>
    <row r="996" spans="6:34" ht="15.75" customHeight="1">
      <c r="F996" s="22"/>
      <c r="G996" s="22"/>
      <c r="H996" s="22"/>
      <c r="I996" s="6"/>
      <c r="J996" s="16"/>
      <c r="K996" s="16"/>
      <c r="L996" s="23"/>
      <c r="M996" s="23"/>
      <c r="N996" s="23"/>
      <c r="O996" s="23"/>
      <c r="AH996" s="20"/>
    </row>
    <row r="997" spans="6:34" ht="15.75" customHeight="1">
      <c r="F997" s="22"/>
      <c r="G997" s="22"/>
      <c r="H997" s="22"/>
      <c r="I997" s="6"/>
      <c r="J997" s="16"/>
      <c r="K997" s="16"/>
      <c r="L997" s="23"/>
      <c r="M997" s="23"/>
      <c r="N997" s="23"/>
      <c r="O997" s="23"/>
      <c r="AH997" s="20"/>
    </row>
    <row r="998" spans="6:34" ht="15.75" customHeight="1">
      <c r="F998" s="22"/>
      <c r="G998" s="22"/>
      <c r="H998" s="22"/>
      <c r="I998" s="6"/>
      <c r="J998" s="16"/>
      <c r="K998" s="16"/>
      <c r="L998" s="23"/>
      <c r="M998" s="23"/>
      <c r="N998" s="23"/>
      <c r="O998" s="23"/>
      <c r="AH998" s="20"/>
    </row>
    <row r="999" spans="6:34" ht="15.75" customHeight="1">
      <c r="F999" s="22"/>
      <c r="G999" s="22"/>
      <c r="H999" s="22"/>
      <c r="I999" s="6"/>
      <c r="J999" s="16"/>
      <c r="K999" s="16"/>
      <c r="L999" s="23"/>
      <c r="M999" s="23"/>
      <c r="N999" s="23"/>
      <c r="O999" s="23"/>
      <c r="AH999" s="20"/>
    </row>
    <row r="1000" spans="6:34" ht="15.75" customHeight="1">
      <c r="F1000" s="22"/>
      <c r="G1000" s="22"/>
      <c r="H1000" s="22"/>
      <c r="I1000" s="6"/>
      <c r="J1000" s="16"/>
      <c r="K1000" s="16"/>
      <c r="L1000" s="23"/>
      <c r="M1000" s="23"/>
      <c r="N1000" s="23"/>
      <c r="O1000" s="23"/>
      <c r="AH1000" s="20"/>
    </row>
    <row r="1001" spans="6:34" ht="15.75" customHeight="1">
      <c r="F1001" s="22"/>
      <c r="G1001" s="22"/>
      <c r="H1001" s="22"/>
      <c r="I1001" s="6"/>
      <c r="J1001" s="16"/>
      <c r="K1001" s="16"/>
      <c r="L1001" s="23"/>
      <c r="M1001" s="23"/>
      <c r="N1001" s="23"/>
      <c r="O1001" s="23"/>
      <c r="AH1001" s="20"/>
    </row>
    <row r="1002" spans="6:34" ht="15.75" customHeight="1">
      <c r="F1002" s="22"/>
      <c r="G1002" s="22"/>
      <c r="H1002" s="22"/>
      <c r="I1002" s="6"/>
      <c r="J1002" s="16"/>
      <c r="K1002" s="16"/>
      <c r="L1002" s="23"/>
      <c r="M1002" s="23"/>
      <c r="N1002" s="23"/>
      <c r="O1002" s="23"/>
      <c r="AH1002" s="20"/>
    </row>
    <row r="1003" spans="6:34" ht="15.75" customHeight="1">
      <c r="F1003" s="22"/>
      <c r="G1003" s="22"/>
      <c r="H1003" s="22"/>
      <c r="I1003" s="6"/>
      <c r="J1003" s="16"/>
      <c r="K1003" s="16"/>
      <c r="L1003" s="23"/>
      <c r="M1003" s="23"/>
      <c r="N1003" s="23"/>
      <c r="O1003" s="23"/>
      <c r="AH1003" s="20"/>
    </row>
    <row r="1004" spans="6:34" ht="15.75" customHeight="1">
      <c r="F1004" s="22"/>
      <c r="G1004" s="22"/>
      <c r="H1004" s="22"/>
      <c r="I1004" s="6"/>
      <c r="J1004" s="16"/>
      <c r="K1004" s="16"/>
      <c r="L1004" s="23"/>
      <c r="M1004" s="23"/>
      <c r="N1004" s="23"/>
      <c r="O1004" s="23"/>
      <c r="AH1004" s="2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X1000"/>
  <sheetViews>
    <sheetView workbookViewId="0">
      <pane ySplit="1" topLeftCell="A167" activePane="bottomLeft" state="frozen"/>
      <selection pane="bottomLeft" activeCell="G179" sqref="G179"/>
    </sheetView>
  </sheetViews>
  <sheetFormatPr baseColWidth="10" defaultColWidth="14.44140625" defaultRowHeight="15" customHeight="1"/>
  <cols>
    <col min="3" max="3" width="9.6640625" customWidth="1"/>
    <col min="4" max="4" width="11.5546875" customWidth="1"/>
    <col min="5" max="5" width="10.44140625" customWidth="1"/>
    <col min="6" max="6" width="9.44140625" customWidth="1"/>
    <col min="7" max="7" width="8.5546875" customWidth="1"/>
    <col min="8" max="8" width="9.33203125" customWidth="1"/>
    <col min="9" max="9" width="7.88671875" customWidth="1"/>
    <col min="10" max="10" width="9" customWidth="1"/>
    <col min="11" max="11" width="9.33203125" customWidth="1"/>
    <col min="12" max="12" width="8.109375" customWidth="1"/>
    <col min="13" max="13" width="8" customWidth="1"/>
    <col min="14" max="14" width="6.5546875" customWidth="1"/>
    <col min="15" max="15" width="9.109375" customWidth="1"/>
    <col min="17" max="18" width="8.6640625" customWidth="1"/>
    <col min="19" max="19" width="12.44140625" customWidth="1"/>
    <col min="20" max="20" width="13.44140625" customWidth="1"/>
    <col min="21" max="21" width="12.44140625" customWidth="1"/>
    <col min="22" max="24" width="8.5546875" customWidth="1"/>
    <col min="25" max="25" width="12.44140625" customWidth="1"/>
    <col min="26" max="26" width="13.44140625" customWidth="1"/>
    <col min="27" max="27" width="12.44140625" customWidth="1"/>
    <col min="28" max="29" width="11.5546875" customWidth="1"/>
    <col min="31" max="31" width="12.44140625" customWidth="1"/>
  </cols>
  <sheetData>
    <row r="1" spans="1:50">
      <c r="A1" s="2" t="s">
        <v>0</v>
      </c>
      <c r="B1" s="24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5" t="s">
        <v>11</v>
      </c>
      <c r="M1" s="25" t="s">
        <v>12</v>
      </c>
      <c r="N1" s="25" t="s">
        <v>13</v>
      </c>
      <c r="O1" s="26" t="s">
        <v>366</v>
      </c>
      <c r="P1" s="18"/>
      <c r="Q1" s="2" t="s">
        <v>15</v>
      </c>
      <c r="R1" s="2" t="s">
        <v>16</v>
      </c>
      <c r="S1" s="2" t="s">
        <v>2</v>
      </c>
      <c r="T1" s="2" t="s">
        <v>3</v>
      </c>
      <c r="U1" s="2" t="s">
        <v>4</v>
      </c>
      <c r="V1" s="25" t="s">
        <v>5</v>
      </c>
      <c r="W1" s="25" t="s">
        <v>6</v>
      </c>
      <c r="X1" s="3" t="s">
        <v>7</v>
      </c>
      <c r="Y1" s="2" t="s">
        <v>8</v>
      </c>
      <c r="Z1" s="2" t="s">
        <v>9</v>
      </c>
      <c r="AA1" s="2" t="s">
        <v>10</v>
      </c>
      <c r="AB1" s="25" t="s">
        <v>11</v>
      </c>
      <c r="AC1" s="25" t="s">
        <v>12</v>
      </c>
      <c r="AD1" s="25" t="s">
        <v>13</v>
      </c>
      <c r="AE1" s="26" t="s">
        <v>367</v>
      </c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</row>
    <row r="2" spans="1:50">
      <c r="A2" s="8">
        <v>10101</v>
      </c>
      <c r="B2" s="9" t="s">
        <v>17</v>
      </c>
      <c r="C2" s="12">
        <v>4578</v>
      </c>
      <c r="D2" s="12">
        <v>1715.6667110025883</v>
      </c>
      <c r="E2" s="12">
        <v>118890</v>
      </c>
      <c r="F2" s="11">
        <v>3.850618218521322E-2</v>
      </c>
      <c r="G2" s="11">
        <v>0.37476337068645443</v>
      </c>
      <c r="H2" s="11">
        <v>1.443070662799721E-2</v>
      </c>
      <c r="I2" s="12">
        <v>5962</v>
      </c>
      <c r="J2" s="12">
        <v>2205.444500118494</v>
      </c>
      <c r="K2" s="12">
        <v>170863</v>
      </c>
      <c r="L2" s="14">
        <v>3.4893452649198478E-2</v>
      </c>
      <c r="M2" s="14">
        <v>0.36991689032514158</v>
      </c>
      <c r="N2" s="14">
        <v>1.2907677496699074E-2</v>
      </c>
      <c r="O2" s="14">
        <f t="shared" ref="O2:O256" si="0">H2/N2</f>
        <v>1.1179940490214157</v>
      </c>
      <c r="P2" s="17"/>
      <c r="Q2" s="8">
        <v>1</v>
      </c>
      <c r="R2" s="1" t="s">
        <v>18</v>
      </c>
      <c r="S2" s="12">
        <v>27203</v>
      </c>
      <c r="T2" s="12">
        <v>10858.000276327133</v>
      </c>
      <c r="U2" s="12">
        <v>217485</v>
      </c>
      <c r="V2" s="14">
        <f t="shared" ref="V2:V10" si="1">S2/U2</f>
        <v>0.12507989056716556</v>
      </c>
      <c r="W2" s="14">
        <f t="shared" ref="W2:W10" si="2">T2/S2</f>
        <v>0.39914716304551456</v>
      </c>
      <c r="X2" s="14">
        <f t="shared" ref="X2:X10" si="3">V2*W2</f>
        <v>4.9925283473927551E-2</v>
      </c>
      <c r="Y2" s="12">
        <v>59186</v>
      </c>
      <c r="Z2" s="12">
        <v>23725.000594109297</v>
      </c>
      <c r="AA2" s="12">
        <v>375136</v>
      </c>
      <c r="AB2" s="14">
        <f t="shared" ref="AB2:AB10" si="4">Y2/AA2</f>
        <v>0.15777211464642157</v>
      </c>
      <c r="AC2" s="14">
        <f t="shared" ref="AC2:AC10" si="5">Z2/Y2</f>
        <v>0.40085494194757709</v>
      </c>
      <c r="AD2" s="14">
        <f t="shared" ref="AD2:AD10" si="6">AB2*AC2</f>
        <v>6.3243731857537802E-2</v>
      </c>
      <c r="AE2" s="14">
        <f t="shared" ref="AE2:AE10" si="7">X2/AD2</f>
        <v>0.78941077649226554</v>
      </c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 spans="1:50">
      <c r="A3" s="8">
        <v>10102</v>
      </c>
      <c r="B3" s="9" t="s">
        <v>19</v>
      </c>
      <c r="C3" s="12">
        <v>300</v>
      </c>
      <c r="D3" s="12">
        <v>107.11111390590668</v>
      </c>
      <c r="E3" s="12">
        <v>3382</v>
      </c>
      <c r="F3" s="11">
        <v>8.870490833826139E-2</v>
      </c>
      <c r="G3" s="11">
        <v>0.35703704635302225</v>
      </c>
      <c r="H3" s="11">
        <v>3.167093847010842E-2</v>
      </c>
      <c r="I3" s="12">
        <v>402</v>
      </c>
      <c r="J3" s="12">
        <v>150.66667059063911</v>
      </c>
      <c r="K3" s="12">
        <v>5596</v>
      </c>
      <c r="L3" s="14">
        <v>7.1837026447462468E-2</v>
      </c>
      <c r="M3" s="14">
        <v>0.37479271291203758</v>
      </c>
      <c r="N3" s="14">
        <v>2.6923994029778252E-2</v>
      </c>
      <c r="O3" s="14">
        <f t="shared" si="0"/>
        <v>1.1763090734264756</v>
      </c>
      <c r="P3" s="17"/>
      <c r="Q3" s="8">
        <v>2</v>
      </c>
      <c r="R3" s="1" t="s">
        <v>21</v>
      </c>
      <c r="S3" s="12">
        <v>87222</v>
      </c>
      <c r="T3" s="12">
        <v>32548.111921221018</v>
      </c>
      <c r="U3" s="12">
        <v>1114878</v>
      </c>
      <c r="V3" s="14">
        <f t="shared" si="1"/>
        <v>7.8234569163621495E-2</v>
      </c>
      <c r="W3" s="14">
        <f t="shared" si="2"/>
        <v>0.37316401734907501</v>
      </c>
      <c r="X3" s="14">
        <f t="shared" si="3"/>
        <v>2.9194326124671061E-2</v>
      </c>
      <c r="Y3" s="12">
        <v>131138</v>
      </c>
      <c r="Z3" s="12">
        <v>48610.112320750952</v>
      </c>
      <c r="AA3" s="12">
        <v>1854267</v>
      </c>
      <c r="AB3" s="14">
        <f t="shared" si="4"/>
        <v>7.0722285409814234E-2</v>
      </c>
      <c r="AC3" s="14">
        <f t="shared" si="5"/>
        <v>0.37067907334831207</v>
      </c>
      <c r="AD3" s="14">
        <f t="shared" si="6"/>
        <v>2.6215271220784792E-2</v>
      </c>
      <c r="AE3" s="14">
        <f t="shared" si="7"/>
        <v>1.1136381492602803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 spans="1:50">
      <c r="A4" s="8">
        <v>10103</v>
      </c>
      <c r="B4" s="9" t="s">
        <v>22</v>
      </c>
      <c r="C4" s="12">
        <v>2509</v>
      </c>
      <c r="D4" s="12">
        <v>1068.0000278949738</v>
      </c>
      <c r="E4" s="12">
        <v>4754</v>
      </c>
      <c r="F4" s="11">
        <v>0.52776609171224231</v>
      </c>
      <c r="G4" s="11">
        <v>0.42566760777001744</v>
      </c>
      <c r="H4" s="11">
        <v>0.22465292972128181</v>
      </c>
      <c r="I4" s="12">
        <v>4794</v>
      </c>
      <c r="J4" s="12">
        <v>1964.7778261601925</v>
      </c>
      <c r="K4" s="12">
        <v>8847</v>
      </c>
      <c r="L4" s="14">
        <v>0.54187860291624279</v>
      </c>
      <c r="M4" s="14">
        <v>0.40984101505218867</v>
      </c>
      <c r="N4" s="14">
        <v>0.22208407665425484</v>
      </c>
      <c r="O4" s="14">
        <f t="shared" si="0"/>
        <v>1.0115670295039938</v>
      </c>
      <c r="P4" s="17"/>
      <c r="Q4" s="8">
        <v>3</v>
      </c>
      <c r="R4" s="1" t="s">
        <v>23</v>
      </c>
      <c r="S4" s="12">
        <v>83054</v>
      </c>
      <c r="T4" s="12">
        <v>31024.445225089788</v>
      </c>
      <c r="U4" s="12">
        <v>762772</v>
      </c>
      <c r="V4" s="14">
        <f t="shared" si="1"/>
        <v>0.10888443728925551</v>
      </c>
      <c r="W4" s="14">
        <f t="shared" si="2"/>
        <v>0.37354546710681952</v>
      </c>
      <c r="X4" s="14">
        <f t="shared" si="3"/>
        <v>4.0673287987878143E-2</v>
      </c>
      <c r="Y4" s="12">
        <v>120156</v>
      </c>
      <c r="Z4" s="12">
        <v>44721.556690365076</v>
      </c>
      <c r="AA4" s="12">
        <v>1217966</v>
      </c>
      <c r="AB4" s="14">
        <f t="shared" si="4"/>
        <v>9.8653000165850283E-2</v>
      </c>
      <c r="AC4" s="14">
        <f t="shared" si="5"/>
        <v>0.37219578456643926</v>
      </c>
      <c r="AD4" s="14">
        <f t="shared" si="6"/>
        <v>3.671823079656171E-2</v>
      </c>
      <c r="AE4" s="14">
        <f t="shared" si="7"/>
        <v>1.1077137189215223</v>
      </c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</row>
    <row r="5" spans="1:50">
      <c r="A5" s="8">
        <v>10201</v>
      </c>
      <c r="B5" s="9" t="s">
        <v>24</v>
      </c>
      <c r="C5" s="12">
        <v>947</v>
      </c>
      <c r="D5" s="12">
        <v>394.66667652130127</v>
      </c>
      <c r="E5" s="12">
        <v>2265</v>
      </c>
      <c r="F5" s="11">
        <v>0.41810154525386312</v>
      </c>
      <c r="G5" s="11">
        <v>0.41675467425691792</v>
      </c>
      <c r="H5" s="11">
        <v>0.17424577329858776</v>
      </c>
      <c r="I5" s="12">
        <v>2539</v>
      </c>
      <c r="J5" s="12">
        <v>1070.444469332695</v>
      </c>
      <c r="K5" s="12">
        <v>5566</v>
      </c>
      <c r="L5" s="14">
        <v>0.45616241466043839</v>
      </c>
      <c r="M5" s="14">
        <v>0.42160081501878494</v>
      </c>
      <c r="N5" s="14">
        <v>0.19231844580177776</v>
      </c>
      <c r="O5" s="14">
        <f t="shared" si="0"/>
        <v>0.90602735776152499</v>
      </c>
      <c r="P5" s="17"/>
      <c r="Q5" s="8">
        <v>4</v>
      </c>
      <c r="R5" s="1" t="s">
        <v>26</v>
      </c>
      <c r="S5" s="12">
        <v>20071</v>
      </c>
      <c r="T5" s="12">
        <v>7462.6668510437012</v>
      </c>
      <c r="U5" s="12">
        <v>205898</v>
      </c>
      <c r="V5" s="14">
        <f t="shared" si="1"/>
        <v>9.7480305782474824E-2</v>
      </c>
      <c r="W5" s="14">
        <f t="shared" si="2"/>
        <v>0.37181340496456089</v>
      </c>
      <c r="X5" s="14">
        <f t="shared" si="3"/>
        <v>3.6244484409968539E-2</v>
      </c>
      <c r="Y5" s="12">
        <v>36938</v>
      </c>
      <c r="Z5" s="12">
        <v>13525.444779485464</v>
      </c>
      <c r="AA5" s="12">
        <v>353563</v>
      </c>
      <c r="AB5" s="14">
        <f t="shared" si="4"/>
        <v>0.10447360159292686</v>
      </c>
      <c r="AC5" s="14">
        <f t="shared" si="5"/>
        <v>0.36616613729724035</v>
      </c>
      <c r="AD5" s="14">
        <f t="shared" si="6"/>
        <v>3.8254695144812847E-2</v>
      </c>
      <c r="AE5" s="14">
        <f t="shared" si="7"/>
        <v>0.947451921202491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</row>
    <row r="6" spans="1:50">
      <c r="A6" s="8">
        <v>10202</v>
      </c>
      <c r="B6" s="9" t="s">
        <v>27</v>
      </c>
      <c r="C6" s="12">
        <v>1493</v>
      </c>
      <c r="D6" s="12">
        <v>610.44446030259132</v>
      </c>
      <c r="E6" s="12">
        <v>4485</v>
      </c>
      <c r="F6" s="11">
        <v>0.33288740245261983</v>
      </c>
      <c r="G6" s="11">
        <v>0.4088710383808381</v>
      </c>
      <c r="H6" s="11">
        <v>0.13610801790470262</v>
      </c>
      <c r="I6" s="12">
        <v>3981</v>
      </c>
      <c r="J6" s="12">
        <v>1606.5555966198444</v>
      </c>
      <c r="K6" s="12">
        <v>12228</v>
      </c>
      <c r="L6" s="14">
        <v>0.32556427870461235</v>
      </c>
      <c r="M6" s="14">
        <v>0.40355578915343993</v>
      </c>
      <c r="N6" s="14">
        <v>0.1313833494128103</v>
      </c>
      <c r="O6" s="14">
        <f t="shared" si="0"/>
        <v>1.0359609380717436</v>
      </c>
      <c r="P6" s="17"/>
      <c r="Q6" s="8">
        <v>5</v>
      </c>
      <c r="R6" s="1" t="s">
        <v>28</v>
      </c>
      <c r="S6" s="12">
        <v>50229</v>
      </c>
      <c r="T6" s="12">
        <v>19569.000490933657</v>
      </c>
      <c r="U6" s="12">
        <v>307105</v>
      </c>
      <c r="V6" s="14">
        <f t="shared" si="1"/>
        <v>0.1635564383517038</v>
      </c>
      <c r="W6" s="14">
        <f t="shared" si="2"/>
        <v>0.38959566168814147</v>
      </c>
      <c r="X6" s="14">
        <f t="shared" si="3"/>
        <v>6.3720878822987756E-2</v>
      </c>
      <c r="Y6" s="12">
        <v>88962</v>
      </c>
      <c r="Z6" s="12">
        <v>34166.223080813885</v>
      </c>
      <c r="AA6" s="12">
        <v>538396</v>
      </c>
      <c r="AB6" s="14">
        <f t="shared" si="4"/>
        <v>0.16523525434810066</v>
      </c>
      <c r="AC6" s="14">
        <f t="shared" si="5"/>
        <v>0.38405412514122755</v>
      </c>
      <c r="AD6" s="14">
        <f t="shared" si="6"/>
        <v>6.3459281051148009E-2</v>
      </c>
      <c r="AE6" s="14">
        <f t="shared" si="7"/>
        <v>1.0041222933431739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</row>
    <row r="7" spans="1:50">
      <c r="A7" s="8">
        <v>10301</v>
      </c>
      <c r="B7" s="9" t="s">
        <v>29</v>
      </c>
      <c r="C7" s="12">
        <v>1087</v>
      </c>
      <c r="D7" s="12">
        <v>422.66667765378952</v>
      </c>
      <c r="E7" s="12">
        <v>5164</v>
      </c>
      <c r="F7" s="11">
        <v>0.21049573973663827</v>
      </c>
      <c r="G7" s="11">
        <v>0.38883778992988915</v>
      </c>
      <c r="H7" s="11">
        <v>8.1848698228851574E-2</v>
      </c>
      <c r="I7" s="12">
        <v>1811</v>
      </c>
      <c r="J7" s="12">
        <v>688.22223934531212</v>
      </c>
      <c r="K7" s="12">
        <v>8398</v>
      </c>
      <c r="L7" s="14">
        <v>0.21564658251964752</v>
      </c>
      <c r="M7" s="14">
        <v>0.38002332376880849</v>
      </c>
      <c r="N7" s="14">
        <v>8.1950731048501091E-2</v>
      </c>
      <c r="O7" s="14">
        <f t="shared" si="0"/>
        <v>0.99875494924396546</v>
      </c>
      <c r="P7" s="17"/>
      <c r="Q7" s="8">
        <v>6</v>
      </c>
      <c r="R7" s="1" t="s">
        <v>30</v>
      </c>
      <c r="S7" s="12">
        <v>9296</v>
      </c>
      <c r="T7" s="12">
        <v>3466.3334207236767</v>
      </c>
      <c r="U7" s="12">
        <v>194214</v>
      </c>
      <c r="V7" s="14">
        <f t="shared" si="1"/>
        <v>4.7864726538766514E-2</v>
      </c>
      <c r="W7" s="14">
        <f t="shared" si="2"/>
        <v>0.3728844041225986</v>
      </c>
      <c r="X7" s="14">
        <f t="shared" si="3"/>
        <v>1.7848010033899082E-2</v>
      </c>
      <c r="Y7" s="12">
        <v>15602</v>
      </c>
      <c r="Z7" s="12">
        <v>5828.1112580597401</v>
      </c>
      <c r="AA7" s="12">
        <v>328998</v>
      </c>
      <c r="AB7" s="14">
        <f t="shared" si="4"/>
        <v>4.7422780685596876E-2</v>
      </c>
      <c r="AC7" s="14">
        <f t="shared" si="5"/>
        <v>0.37354898462118574</v>
      </c>
      <c r="AD7" s="14">
        <f t="shared" si="6"/>
        <v>1.7714731573017891E-2</v>
      </c>
      <c r="AE7" s="14">
        <f t="shared" si="7"/>
        <v>1.0075235947173027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</row>
    <row r="8" spans="1:50">
      <c r="A8" s="8">
        <v>10302</v>
      </c>
      <c r="B8" s="9" t="s">
        <v>31</v>
      </c>
      <c r="C8" s="12">
        <v>1182</v>
      </c>
      <c r="D8" s="12">
        <v>489.11112430691719</v>
      </c>
      <c r="E8" s="12">
        <v>3642</v>
      </c>
      <c r="F8" s="11">
        <v>0.32454695222405272</v>
      </c>
      <c r="G8" s="11">
        <v>0.41379959755238344</v>
      </c>
      <c r="H8" s="11">
        <v>0.13429739821716563</v>
      </c>
      <c r="I8" s="12">
        <v>2845</v>
      </c>
      <c r="J8" s="12">
        <v>1149.4444731771946</v>
      </c>
      <c r="K8" s="12">
        <v>8831</v>
      </c>
      <c r="L8" s="14">
        <v>0.3221605707167931</v>
      </c>
      <c r="M8" s="14">
        <v>0.4040226619252002</v>
      </c>
      <c r="N8" s="14">
        <v>0.13016017134834046</v>
      </c>
      <c r="O8" s="14">
        <f t="shared" si="0"/>
        <v>1.0317856593608266</v>
      </c>
      <c r="P8" s="17"/>
      <c r="Q8" s="8">
        <v>7</v>
      </c>
      <c r="R8" s="1" t="s">
        <v>32</v>
      </c>
      <c r="S8" s="12">
        <v>48040</v>
      </c>
      <c r="T8" s="12">
        <v>17460.7782292068</v>
      </c>
      <c r="U8" s="12">
        <v>1072664</v>
      </c>
      <c r="V8" s="14">
        <f t="shared" si="1"/>
        <v>4.4785692444232306E-2</v>
      </c>
      <c r="W8" s="14">
        <f t="shared" si="2"/>
        <v>0.3634633270026395</v>
      </c>
      <c r="X8" s="14">
        <f t="shared" si="3"/>
        <v>1.6277956777897649E-2</v>
      </c>
      <c r="Y8" s="12">
        <v>95554</v>
      </c>
      <c r="Z8" s="12">
        <v>34731.334219902754</v>
      </c>
      <c r="AA8" s="12">
        <v>1982456</v>
      </c>
      <c r="AB8" s="14">
        <f t="shared" si="4"/>
        <v>4.8199808722110354E-2</v>
      </c>
      <c r="AC8" s="14">
        <f t="shared" si="5"/>
        <v>0.36347336814683584</v>
      </c>
      <c r="AD8" s="14">
        <f t="shared" si="6"/>
        <v>1.7519346820258686E-2</v>
      </c>
      <c r="AE8" s="14">
        <f t="shared" si="7"/>
        <v>0.92914176224164124</v>
      </c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</row>
    <row r="9" spans="1:50">
      <c r="A9" s="8">
        <v>10303</v>
      </c>
      <c r="B9" s="9" t="s">
        <v>33</v>
      </c>
      <c r="C9" s="12">
        <v>552</v>
      </c>
      <c r="D9" s="12">
        <v>201.77778312563896</v>
      </c>
      <c r="E9" s="12">
        <v>2758</v>
      </c>
      <c r="F9" s="11">
        <v>0.20014503263234229</v>
      </c>
      <c r="G9" s="11">
        <v>0.36553946218412853</v>
      </c>
      <c r="H9" s="11">
        <v>7.3160907587251259E-2</v>
      </c>
      <c r="I9" s="12">
        <v>1191</v>
      </c>
      <c r="J9" s="12">
        <v>463.88890010118484</v>
      </c>
      <c r="K9" s="12">
        <v>6262</v>
      </c>
      <c r="L9" s="14">
        <v>0.19019482593420634</v>
      </c>
      <c r="M9" s="14">
        <v>0.38949529815380757</v>
      </c>
      <c r="N9" s="14">
        <v>7.4079990434555223E-2</v>
      </c>
      <c r="O9" s="14">
        <f t="shared" si="0"/>
        <v>0.98759337248948598</v>
      </c>
      <c r="P9" s="17"/>
      <c r="Q9" s="8">
        <v>8</v>
      </c>
      <c r="R9" s="1" t="s">
        <v>34</v>
      </c>
      <c r="S9" s="12">
        <v>30902</v>
      </c>
      <c r="T9" s="12">
        <v>11784.778077930212</v>
      </c>
      <c r="U9" s="12">
        <v>176875</v>
      </c>
      <c r="V9" s="14">
        <f t="shared" si="1"/>
        <v>0.17471095406360423</v>
      </c>
      <c r="W9" s="14">
        <f t="shared" si="2"/>
        <v>0.38135972033946708</v>
      </c>
      <c r="X9" s="14">
        <f t="shared" si="3"/>
        <v>6.6627720581937597E-2</v>
      </c>
      <c r="Y9" s="12">
        <v>56287</v>
      </c>
      <c r="Z9" s="12">
        <v>22762.445029526949</v>
      </c>
      <c r="AA9" s="12">
        <v>297519</v>
      </c>
      <c r="AB9" s="14">
        <f t="shared" si="4"/>
        <v>0.18918791741031665</v>
      </c>
      <c r="AC9" s="14">
        <f t="shared" si="5"/>
        <v>0.40439968428814732</v>
      </c>
      <c r="AD9" s="14">
        <f t="shared" si="6"/>
        <v>7.6507534071864142E-2</v>
      </c>
      <c r="AE9" s="14">
        <f t="shared" si="7"/>
        <v>0.87086482906838492</v>
      </c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</row>
    <row r="10" spans="1:50">
      <c r="A10" s="8">
        <v>10304</v>
      </c>
      <c r="B10" s="9" t="s">
        <v>35</v>
      </c>
      <c r="C10" s="12">
        <v>824</v>
      </c>
      <c r="D10" s="12">
        <v>328.55556371808052</v>
      </c>
      <c r="E10" s="12">
        <v>3057</v>
      </c>
      <c r="F10" s="11">
        <v>0.26954530585541381</v>
      </c>
      <c r="G10" s="11">
        <v>0.39873248024038899</v>
      </c>
      <c r="H10" s="11">
        <v>0.1074764683408834</v>
      </c>
      <c r="I10" s="12">
        <v>1664</v>
      </c>
      <c r="J10" s="12">
        <v>652.77779442071915</v>
      </c>
      <c r="K10" s="12">
        <v>6067</v>
      </c>
      <c r="L10" s="14">
        <v>0.27427064447008404</v>
      </c>
      <c r="M10" s="14">
        <v>0.39229434760860526</v>
      </c>
      <c r="N10" s="14">
        <v>0.10759482354058333</v>
      </c>
      <c r="O10" s="14">
        <f t="shared" si="0"/>
        <v>0.9988999916928597</v>
      </c>
      <c r="P10" s="17"/>
      <c r="Q10" s="8">
        <v>9</v>
      </c>
      <c r="R10" s="1" t="s">
        <v>36</v>
      </c>
      <c r="S10" s="12">
        <v>5076</v>
      </c>
      <c r="T10" s="12">
        <v>1894.1111587882042</v>
      </c>
      <c r="U10" s="12">
        <v>43822</v>
      </c>
      <c r="V10" s="14">
        <f t="shared" si="1"/>
        <v>0.11583223038656383</v>
      </c>
      <c r="W10" s="14">
        <f t="shared" si="2"/>
        <v>0.37315034649097795</v>
      </c>
      <c r="X10" s="14">
        <f t="shared" si="3"/>
        <v>4.3222836903569081E-2</v>
      </c>
      <c r="Y10" s="12">
        <v>11788</v>
      </c>
      <c r="Z10" s="12">
        <v>4439.7778886258602</v>
      </c>
      <c r="AA10" s="12">
        <v>84337</v>
      </c>
      <c r="AB10" s="14">
        <f t="shared" si="4"/>
        <v>0.13977257905782753</v>
      </c>
      <c r="AC10" s="14">
        <f t="shared" si="5"/>
        <v>0.37663538247589584</v>
      </c>
      <c r="AD10" s="14">
        <f t="shared" si="6"/>
        <v>5.2643298773087259E-2</v>
      </c>
      <c r="AE10" s="14">
        <f t="shared" si="7"/>
        <v>0.82105107223382845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</row>
    <row r="11" spans="1:50">
      <c r="A11" s="8">
        <v>10401</v>
      </c>
      <c r="B11" s="9" t="s">
        <v>37</v>
      </c>
      <c r="C11" s="12">
        <v>345</v>
      </c>
      <c r="D11" s="12">
        <v>133.55555871129036</v>
      </c>
      <c r="E11" s="12">
        <v>3163</v>
      </c>
      <c r="F11" s="11">
        <v>0.10907366424280746</v>
      </c>
      <c r="G11" s="11">
        <v>0.38711756148200105</v>
      </c>
      <c r="H11" s="11">
        <v>4.2224330923582153E-2</v>
      </c>
      <c r="I11" s="12">
        <v>1226</v>
      </c>
      <c r="J11" s="12">
        <v>465.00001099705696</v>
      </c>
      <c r="K11" s="12">
        <v>5893</v>
      </c>
      <c r="L11" s="14">
        <v>0.20804344137111827</v>
      </c>
      <c r="M11" s="14">
        <v>0.37928222756693064</v>
      </c>
      <c r="N11" s="14">
        <v>7.8907179873927868E-2</v>
      </c>
      <c r="O11" s="14">
        <f t="shared" si="0"/>
        <v>0.53511392741503505</v>
      </c>
      <c r="P11" s="17"/>
      <c r="Q11" s="1">
        <v>10</v>
      </c>
      <c r="R11" s="9" t="s">
        <v>38</v>
      </c>
      <c r="S11" s="12">
        <v>2644</v>
      </c>
      <c r="T11" s="10">
        <v>991.77780246734619</v>
      </c>
      <c r="U11" s="10">
        <v>56762</v>
      </c>
      <c r="V11" s="11">
        <v>4.6580458757619535E-2</v>
      </c>
      <c r="W11" s="11">
        <v>0.37510506901185559</v>
      </c>
      <c r="X11" s="11">
        <v>1.7472566196880767E-2</v>
      </c>
      <c r="Y11" s="10">
        <v>5267</v>
      </c>
      <c r="Z11" s="10">
        <v>1968.3333841860294</v>
      </c>
      <c r="AA11" s="10">
        <v>98145</v>
      </c>
      <c r="AB11" s="26">
        <v>5.3665494930969483E-2</v>
      </c>
      <c r="AC11" s="26">
        <v>0.37371053430530271</v>
      </c>
      <c r="AD11" s="26">
        <v>2.0055360784411121E-2</v>
      </c>
      <c r="AE11" s="26">
        <v>0.87121674771675306</v>
      </c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</row>
    <row r="12" spans="1:50">
      <c r="A12" s="8">
        <v>10402</v>
      </c>
      <c r="B12" s="9" t="s">
        <v>39</v>
      </c>
      <c r="C12" s="12">
        <v>421</v>
      </c>
      <c r="D12" s="12">
        <v>168.00000405311584</v>
      </c>
      <c r="E12" s="12">
        <v>2749</v>
      </c>
      <c r="F12" s="11">
        <v>0.15314659876318662</v>
      </c>
      <c r="G12" s="11">
        <v>0.39904989086250797</v>
      </c>
      <c r="H12" s="11">
        <v>6.1113133522413918E-2</v>
      </c>
      <c r="I12" s="12">
        <v>991</v>
      </c>
      <c r="J12" s="12">
        <v>374.00000926852226</v>
      </c>
      <c r="K12" s="12">
        <v>5696</v>
      </c>
      <c r="L12" s="14">
        <v>0.1739817415730337</v>
      </c>
      <c r="M12" s="14">
        <v>0.37739657847479541</v>
      </c>
      <c r="N12" s="14">
        <v>6.566011398674898E-2</v>
      </c>
      <c r="O12" s="14">
        <f t="shared" si="0"/>
        <v>0.93074973239838266</v>
      </c>
      <c r="P12" s="17"/>
      <c r="Q12" s="1">
        <v>11</v>
      </c>
      <c r="R12" s="9" t="s">
        <v>40</v>
      </c>
      <c r="S12" s="12">
        <v>361093</v>
      </c>
      <c r="T12" s="10">
        <v>136068.22565126419</v>
      </c>
      <c r="U12" s="10">
        <v>4095713</v>
      </c>
      <c r="V12" s="11">
        <v>8.8163648185309862E-2</v>
      </c>
      <c r="W12" s="11">
        <v>0.37682321632173482</v>
      </c>
      <c r="X12" s="11">
        <v>3.3222109471846339E-2</v>
      </c>
      <c r="Y12" s="10">
        <v>615611</v>
      </c>
      <c r="Z12" s="10">
        <v>232510.00586163998</v>
      </c>
      <c r="AA12" s="10">
        <v>7032638</v>
      </c>
      <c r="AB12" s="26">
        <v>8.7536284392855143E-2</v>
      </c>
      <c r="AC12" s="26">
        <v>0.37768981688377884</v>
      </c>
      <c r="AD12" s="26">
        <v>3.3061563223023845E-2</v>
      </c>
      <c r="AE12" s="26">
        <v>1.0048559787611824</v>
      </c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</row>
    <row r="13" spans="1:50">
      <c r="A13" s="8">
        <v>10403</v>
      </c>
      <c r="B13" s="9" t="s">
        <v>41</v>
      </c>
      <c r="C13" s="12">
        <v>747</v>
      </c>
      <c r="D13" s="12">
        <v>301.66667395830154</v>
      </c>
      <c r="E13" s="12">
        <v>2464</v>
      </c>
      <c r="F13" s="11">
        <v>0.30316558441558439</v>
      </c>
      <c r="G13" s="11">
        <v>0.40383758227349603</v>
      </c>
      <c r="H13" s="11">
        <v>0.12242965663892107</v>
      </c>
      <c r="I13" s="12">
        <v>1763</v>
      </c>
      <c r="J13" s="12">
        <v>715.66668453812599</v>
      </c>
      <c r="K13" s="12">
        <v>4433</v>
      </c>
      <c r="L13" s="14">
        <v>0.39769907511842995</v>
      </c>
      <c r="M13" s="14">
        <v>0.40593686020313441</v>
      </c>
      <c r="N13" s="14">
        <v>0.16144071385926595</v>
      </c>
      <c r="O13" s="14">
        <f t="shared" si="0"/>
        <v>0.75835675965635085</v>
      </c>
      <c r="P13" s="17"/>
      <c r="S13" s="28"/>
      <c r="V13" s="18"/>
      <c r="W13" s="18"/>
      <c r="X13" s="18"/>
      <c r="Y13" s="6"/>
      <c r="Z13" s="6"/>
      <c r="AA13" s="6"/>
      <c r="AB13" s="18"/>
      <c r="AC13" s="18"/>
      <c r="AD13" s="18"/>
      <c r="AE13" s="18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</row>
    <row r="14" spans="1:50">
      <c r="A14" s="8">
        <v>10404</v>
      </c>
      <c r="B14" s="9" t="s">
        <v>42</v>
      </c>
      <c r="C14" s="12">
        <v>136</v>
      </c>
      <c r="D14" s="12">
        <v>48.222223490476608</v>
      </c>
      <c r="E14" s="12">
        <v>1535</v>
      </c>
      <c r="F14" s="11">
        <v>8.8599348534201955E-2</v>
      </c>
      <c r="G14" s="11">
        <v>0.35457517272409272</v>
      </c>
      <c r="H14" s="11">
        <v>3.1415129309756748E-2</v>
      </c>
      <c r="I14" s="12">
        <v>210</v>
      </c>
      <c r="J14" s="12">
        <v>80.44444665312767</v>
      </c>
      <c r="K14" s="12">
        <v>2221</v>
      </c>
      <c r="L14" s="14">
        <v>9.4552003601981086E-2</v>
      </c>
      <c r="M14" s="14">
        <v>0.38306879358632223</v>
      </c>
      <c r="N14" s="14">
        <v>3.6219921950980491E-2</v>
      </c>
      <c r="O14" s="14">
        <f t="shared" si="0"/>
        <v>0.86734392614853018</v>
      </c>
      <c r="P14" s="17"/>
      <c r="S14" s="28"/>
      <c r="V14" s="18"/>
      <c r="W14" s="18"/>
      <c r="X14" s="18"/>
      <c r="Y14" s="6"/>
      <c r="Z14" s="6"/>
      <c r="AA14" s="6"/>
      <c r="AB14" s="18"/>
      <c r="AC14" s="18"/>
      <c r="AD14" s="18"/>
      <c r="AE14" s="18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</row>
    <row r="15" spans="1:50">
      <c r="A15" s="8">
        <v>10405</v>
      </c>
      <c r="B15" s="9" t="s">
        <v>44</v>
      </c>
      <c r="C15" s="12">
        <v>395</v>
      </c>
      <c r="D15" s="12">
        <v>160.33333706855774</v>
      </c>
      <c r="E15" s="12">
        <v>1877</v>
      </c>
      <c r="F15" s="11">
        <v>0.21044219499200853</v>
      </c>
      <c r="G15" s="11">
        <v>0.40590718245204493</v>
      </c>
      <c r="H15" s="11">
        <v>8.5419998438230019E-2</v>
      </c>
      <c r="I15" s="12">
        <v>893</v>
      </c>
      <c r="J15" s="12">
        <v>345.33334168791771</v>
      </c>
      <c r="K15" s="12">
        <v>3762</v>
      </c>
      <c r="L15" s="14">
        <v>0.23737373737373738</v>
      </c>
      <c r="M15" s="14">
        <v>0.38671146885545093</v>
      </c>
      <c r="N15" s="14">
        <v>9.1795146647506029E-2</v>
      </c>
      <c r="O15" s="14">
        <f t="shared" si="0"/>
        <v>0.93055026935403651</v>
      </c>
      <c r="P15" s="17"/>
      <c r="S15" s="28"/>
      <c r="V15" s="18"/>
      <c r="W15" s="18"/>
      <c r="X15" s="18"/>
      <c r="Y15" s="6"/>
      <c r="Z15" s="6"/>
      <c r="AA15" s="6"/>
      <c r="AB15" s="18"/>
      <c r="AC15" s="18"/>
      <c r="AD15" s="18"/>
      <c r="AE15" s="18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</row>
    <row r="16" spans="1:50">
      <c r="A16" s="8">
        <v>10501</v>
      </c>
      <c r="B16" s="9" t="s">
        <v>46</v>
      </c>
      <c r="C16" s="12">
        <v>806</v>
      </c>
      <c r="D16" s="12">
        <v>309.77778542041779</v>
      </c>
      <c r="E16" s="12">
        <v>8904</v>
      </c>
      <c r="F16" s="11">
        <v>9.0521114106019762E-2</v>
      </c>
      <c r="G16" s="11">
        <v>0.38433968414443892</v>
      </c>
      <c r="H16" s="11">
        <v>3.4790856403910352E-2</v>
      </c>
      <c r="I16" s="12">
        <v>1886</v>
      </c>
      <c r="J16" s="12">
        <v>730.00001862645149</v>
      </c>
      <c r="K16" s="12">
        <v>15262</v>
      </c>
      <c r="L16" s="14">
        <v>0.12357489188835015</v>
      </c>
      <c r="M16" s="14">
        <v>0.38706257615400397</v>
      </c>
      <c r="N16" s="14">
        <v>4.7831216002257336E-2</v>
      </c>
      <c r="O16" s="14">
        <f t="shared" si="0"/>
        <v>0.72736717381946636</v>
      </c>
      <c r="P16" s="17"/>
      <c r="S16" s="28"/>
      <c r="V16" s="18"/>
      <c r="W16" s="18"/>
      <c r="X16" s="18"/>
      <c r="Y16" s="6"/>
      <c r="Z16" s="6"/>
      <c r="AA16" s="6"/>
      <c r="AB16" s="18"/>
      <c r="AC16" s="18"/>
      <c r="AD16" s="18"/>
      <c r="AE16" s="18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</row>
    <row r="17" spans="1:50">
      <c r="A17" s="8">
        <v>10502</v>
      </c>
      <c r="B17" s="9" t="s">
        <v>47</v>
      </c>
      <c r="C17" s="12">
        <v>402</v>
      </c>
      <c r="D17" s="12">
        <v>149.55555912852287</v>
      </c>
      <c r="E17" s="12">
        <v>2153</v>
      </c>
      <c r="F17" s="11">
        <v>0.18671620993961913</v>
      </c>
      <c r="G17" s="11">
        <v>0.3720287540510519</v>
      </c>
      <c r="H17" s="11">
        <v>6.9463798944971136E-2</v>
      </c>
      <c r="I17" s="12">
        <v>924</v>
      </c>
      <c r="J17" s="12">
        <v>349.88889726996422</v>
      </c>
      <c r="K17" s="12">
        <v>4910</v>
      </c>
      <c r="L17" s="14">
        <v>0.18818737270875763</v>
      </c>
      <c r="M17" s="14">
        <v>0.37866763773805651</v>
      </c>
      <c r="N17" s="14">
        <v>7.1260467875756461E-2</v>
      </c>
      <c r="O17" s="14">
        <f t="shared" si="0"/>
        <v>0.97478729814238885</v>
      </c>
      <c r="P17" s="17"/>
      <c r="S17" s="28"/>
      <c r="V17" s="18"/>
      <c r="W17" s="18"/>
      <c r="X17" s="18"/>
      <c r="Y17" s="6"/>
      <c r="Z17" s="6"/>
      <c r="AA17" s="6"/>
      <c r="AB17" s="18"/>
      <c r="AC17" s="18"/>
      <c r="AD17" s="18"/>
      <c r="AE17" s="18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</row>
    <row r="18" spans="1:50">
      <c r="A18" s="8">
        <v>10601</v>
      </c>
      <c r="B18" s="9" t="s">
        <v>48</v>
      </c>
      <c r="C18" s="12">
        <v>1042</v>
      </c>
      <c r="D18" s="12">
        <v>400.66667717695236</v>
      </c>
      <c r="E18" s="12">
        <v>4544</v>
      </c>
      <c r="F18" s="11">
        <v>0.22931338028169015</v>
      </c>
      <c r="G18" s="11">
        <v>0.38451696466118268</v>
      </c>
      <c r="H18" s="11">
        <v>8.8174884942110995E-2</v>
      </c>
      <c r="I18" s="12">
        <v>2052</v>
      </c>
      <c r="J18" s="12">
        <v>789.77779737114906</v>
      </c>
      <c r="K18" s="12">
        <v>8605</v>
      </c>
      <c r="L18" s="14">
        <v>0.23846600813480534</v>
      </c>
      <c r="M18" s="14">
        <v>0.38488196752979975</v>
      </c>
      <c r="N18" s="14">
        <v>9.1781266399901112E-2</v>
      </c>
      <c r="O18" s="14">
        <f t="shared" si="0"/>
        <v>0.96070678037850654</v>
      </c>
      <c r="P18" s="17"/>
      <c r="S18" s="28"/>
      <c r="V18" s="18"/>
      <c r="W18" s="18"/>
      <c r="X18" s="18"/>
      <c r="Y18" s="6"/>
      <c r="Z18" s="6"/>
      <c r="AA18" s="6"/>
      <c r="AB18" s="18"/>
      <c r="AC18" s="18"/>
      <c r="AD18" s="18"/>
      <c r="AE18" s="18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</row>
    <row r="19" spans="1:50">
      <c r="A19" s="8">
        <v>10602</v>
      </c>
      <c r="B19" s="9" t="s">
        <v>49</v>
      </c>
      <c r="C19" s="12">
        <v>513</v>
      </c>
      <c r="D19" s="12">
        <v>195.44444939494133</v>
      </c>
      <c r="E19" s="12">
        <v>2684</v>
      </c>
      <c r="F19" s="11">
        <v>0.19113263785394932</v>
      </c>
      <c r="G19" s="11">
        <v>0.38098333215388175</v>
      </c>
      <c r="H19" s="11">
        <v>7.2818349252958769E-2</v>
      </c>
      <c r="I19" s="12">
        <v>1056</v>
      </c>
      <c r="J19" s="12">
        <v>396.44445395469666</v>
      </c>
      <c r="K19" s="12">
        <v>5742</v>
      </c>
      <c r="L19" s="14">
        <v>0.18390804597701149</v>
      </c>
      <c r="M19" s="14">
        <v>0.37542088442679605</v>
      </c>
      <c r="N19" s="14">
        <v>6.9042921273893526E-2</v>
      </c>
      <c r="O19" s="14">
        <f t="shared" si="0"/>
        <v>1.0546823325173063</v>
      </c>
      <c r="P19" s="17"/>
      <c r="S19" s="28"/>
      <c r="V19" s="18"/>
      <c r="W19" s="18"/>
      <c r="X19" s="18"/>
      <c r="Y19" s="6"/>
      <c r="Z19" s="6"/>
      <c r="AA19" s="6"/>
      <c r="AB19" s="18"/>
      <c r="AC19" s="18"/>
      <c r="AD19" s="18"/>
      <c r="AE19" s="18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</row>
    <row r="20" spans="1:50">
      <c r="A20" s="8">
        <v>10701</v>
      </c>
      <c r="B20" s="9" t="s">
        <v>50</v>
      </c>
      <c r="C20" s="12">
        <v>553</v>
      </c>
      <c r="D20" s="12">
        <v>208.77778303623199</v>
      </c>
      <c r="E20" s="12">
        <v>4926</v>
      </c>
      <c r="F20" s="11">
        <v>0.11226146975233454</v>
      </c>
      <c r="G20" s="11">
        <v>0.37753667818486797</v>
      </c>
      <c r="H20" s="11">
        <v>4.238282237844742E-2</v>
      </c>
      <c r="I20" s="12">
        <v>1152</v>
      </c>
      <c r="J20" s="12">
        <v>432.22223198413849</v>
      </c>
      <c r="K20" s="12">
        <v>9380</v>
      </c>
      <c r="L20" s="14">
        <v>0.12281449893390192</v>
      </c>
      <c r="M20" s="14">
        <v>0.37519290970845354</v>
      </c>
      <c r="N20" s="14">
        <v>4.6079129209396427E-2</v>
      </c>
      <c r="O20" s="14">
        <f t="shared" si="0"/>
        <v>0.91978349212824839</v>
      </c>
      <c r="P20" s="17"/>
      <c r="S20" s="28"/>
      <c r="V20" s="18"/>
      <c r="W20" s="18"/>
      <c r="X20" s="18"/>
      <c r="Y20" s="6"/>
      <c r="Z20" s="6"/>
      <c r="AA20" s="6"/>
      <c r="AB20" s="18"/>
      <c r="AC20" s="18"/>
      <c r="AD20" s="18"/>
      <c r="AE20" s="18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</row>
    <row r="21" spans="1:50">
      <c r="A21" s="8">
        <v>10702</v>
      </c>
      <c r="B21" s="9" t="s">
        <v>51</v>
      </c>
      <c r="C21" s="12">
        <v>2240</v>
      </c>
      <c r="D21" s="12">
        <v>882.55557790398598</v>
      </c>
      <c r="E21" s="12">
        <v>7972</v>
      </c>
      <c r="F21" s="11">
        <v>0.28098344204716508</v>
      </c>
      <c r="G21" s="11">
        <v>0.39399802584999372</v>
      </c>
      <c r="H21" s="11">
        <v>0.11070692146311915</v>
      </c>
      <c r="I21" s="12">
        <v>6017</v>
      </c>
      <c r="J21" s="12">
        <v>2464.0000628530979</v>
      </c>
      <c r="K21" s="12">
        <v>18624</v>
      </c>
      <c r="L21" s="14">
        <v>0.32307774914089349</v>
      </c>
      <c r="M21" s="14">
        <v>0.40950640898339669</v>
      </c>
      <c r="N21" s="14">
        <v>0.13230240887312597</v>
      </c>
      <c r="O21" s="14">
        <f t="shared" si="0"/>
        <v>0.83677177464912045</v>
      </c>
      <c r="P21" s="17"/>
      <c r="S21" s="28"/>
      <c r="V21" s="18"/>
      <c r="W21" s="18"/>
      <c r="X21" s="18"/>
      <c r="Y21" s="6"/>
      <c r="Z21" s="6"/>
      <c r="AA21" s="6"/>
      <c r="AB21" s="18"/>
      <c r="AC21" s="18"/>
      <c r="AD21" s="18"/>
      <c r="AE21" s="18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</row>
    <row r="22" spans="1:50">
      <c r="A22" s="8">
        <v>10703</v>
      </c>
      <c r="B22" s="9" t="s">
        <v>52</v>
      </c>
      <c r="C22" s="12">
        <v>1985</v>
      </c>
      <c r="D22" s="12">
        <v>865.11113202571869</v>
      </c>
      <c r="E22" s="12">
        <v>4922</v>
      </c>
      <c r="F22" s="11">
        <v>0.40329134498171476</v>
      </c>
      <c r="G22" s="11">
        <v>0.43582424787189861</v>
      </c>
      <c r="H22" s="11">
        <v>0.17576414709990223</v>
      </c>
      <c r="I22" s="12">
        <v>5126</v>
      </c>
      <c r="J22" s="12">
        <v>2208.7778350114822</v>
      </c>
      <c r="K22" s="12">
        <v>11171</v>
      </c>
      <c r="L22" s="14">
        <v>0.45886670844150029</v>
      </c>
      <c r="M22" s="14">
        <v>0.43089696352155332</v>
      </c>
      <c r="N22" s="14">
        <v>0.1977242713285724</v>
      </c>
      <c r="O22" s="14">
        <f t="shared" si="0"/>
        <v>0.88893561685111755</v>
      </c>
      <c r="P22" s="17"/>
      <c r="S22" s="28"/>
      <c r="V22" s="18"/>
      <c r="W22" s="18"/>
      <c r="X22" s="18"/>
      <c r="Y22" s="6"/>
      <c r="Z22" s="6"/>
      <c r="AA22" s="6"/>
      <c r="AB22" s="18"/>
      <c r="AC22" s="18"/>
      <c r="AD22" s="18"/>
      <c r="AE22" s="18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</row>
    <row r="23" spans="1:50">
      <c r="A23" s="8">
        <v>10704</v>
      </c>
      <c r="B23" s="9" t="s">
        <v>53</v>
      </c>
      <c r="C23" s="12">
        <v>1298</v>
      </c>
      <c r="D23" s="12">
        <v>562.55557015538216</v>
      </c>
      <c r="E23" s="12">
        <v>4362</v>
      </c>
      <c r="F23" s="11">
        <v>0.2975699220541036</v>
      </c>
      <c r="G23" s="11">
        <v>0.43340182600568733</v>
      </c>
      <c r="H23" s="11">
        <v>0.12896734758261855</v>
      </c>
      <c r="I23" s="12">
        <v>3601</v>
      </c>
      <c r="J23" s="12">
        <v>1584.2222633957863</v>
      </c>
      <c r="K23" s="12">
        <v>9845</v>
      </c>
      <c r="L23" s="14">
        <v>0.36576942610462165</v>
      </c>
      <c r="M23" s="14">
        <v>0.43993953440593897</v>
      </c>
      <c r="N23" s="14">
        <v>0.16091643102039474</v>
      </c>
      <c r="O23" s="14">
        <f t="shared" si="0"/>
        <v>0.80145543102601546</v>
      </c>
      <c r="P23" s="17"/>
      <c r="S23" s="28"/>
      <c r="V23" s="18"/>
      <c r="W23" s="18"/>
      <c r="X23" s="18"/>
      <c r="Y23" s="6"/>
      <c r="Z23" s="6"/>
      <c r="AA23" s="6"/>
      <c r="AB23" s="18"/>
      <c r="AC23" s="18"/>
      <c r="AD23" s="18"/>
      <c r="AE23" s="18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</row>
    <row r="24" spans="1:50">
      <c r="A24" s="8">
        <v>10801</v>
      </c>
      <c r="B24" s="9" t="s">
        <v>54</v>
      </c>
      <c r="C24" s="12">
        <v>308</v>
      </c>
      <c r="D24" s="12">
        <v>122.00000306963921</v>
      </c>
      <c r="E24" s="12">
        <v>2622</v>
      </c>
      <c r="F24" s="11">
        <v>0.11746758199847444</v>
      </c>
      <c r="G24" s="11">
        <v>0.39610390607025714</v>
      </c>
      <c r="H24" s="11">
        <v>4.6529368066223951E-2</v>
      </c>
      <c r="I24" s="12">
        <v>978</v>
      </c>
      <c r="J24" s="12">
        <v>377.33334210515022</v>
      </c>
      <c r="K24" s="12">
        <v>6370</v>
      </c>
      <c r="L24" s="14">
        <v>0.15353218210361066</v>
      </c>
      <c r="M24" s="14">
        <v>0.3858214131954501</v>
      </c>
      <c r="N24" s="14">
        <v>5.9236003470196259E-2</v>
      </c>
      <c r="O24" s="14">
        <f t="shared" si="0"/>
        <v>0.78549134547259813</v>
      </c>
      <c r="P24" s="17"/>
      <c r="S24" s="28"/>
      <c r="V24" s="18"/>
      <c r="W24" s="18"/>
      <c r="X24" s="18"/>
      <c r="Y24" s="6"/>
      <c r="Z24" s="6"/>
      <c r="AA24" s="6"/>
      <c r="AB24" s="18"/>
      <c r="AC24" s="18"/>
      <c r="AD24" s="18"/>
      <c r="AE24" s="18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</row>
    <row r="25" spans="1:50">
      <c r="A25" s="8">
        <v>10901</v>
      </c>
      <c r="B25" s="9" t="s">
        <v>55</v>
      </c>
      <c r="C25" s="12">
        <v>268</v>
      </c>
      <c r="D25" s="12">
        <v>104.00000250339508</v>
      </c>
      <c r="E25" s="12">
        <v>1921</v>
      </c>
      <c r="F25" s="11">
        <v>0.13951067152524727</v>
      </c>
      <c r="G25" s="11">
        <v>0.38805971083356372</v>
      </c>
      <c r="H25" s="11">
        <v>5.4138470850283747E-2</v>
      </c>
      <c r="I25" s="12">
        <v>448</v>
      </c>
      <c r="J25" s="12">
        <v>170.3333375453949</v>
      </c>
      <c r="K25" s="12">
        <v>3373</v>
      </c>
      <c r="L25" s="14">
        <v>0.13281944856211089</v>
      </c>
      <c r="M25" s="14">
        <v>0.38020834273525644</v>
      </c>
      <c r="N25" s="14">
        <v>5.0499062420810821E-2</v>
      </c>
      <c r="O25" s="14">
        <f t="shared" si="0"/>
        <v>1.0720688316774196</v>
      </c>
      <c r="P25" s="17"/>
      <c r="S25" s="28"/>
      <c r="V25" s="18"/>
      <c r="W25" s="18"/>
      <c r="X25" s="18"/>
      <c r="Y25" s="6"/>
      <c r="Z25" s="6"/>
      <c r="AA25" s="6"/>
      <c r="AB25" s="18"/>
      <c r="AC25" s="18"/>
      <c r="AD25" s="18"/>
      <c r="AE25" s="18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</row>
    <row r="26" spans="1:50">
      <c r="A26" s="8">
        <v>10902</v>
      </c>
      <c r="B26" s="9" t="s">
        <v>56</v>
      </c>
      <c r="C26" s="12">
        <v>1296</v>
      </c>
      <c r="D26" s="12">
        <v>525.55556866526604</v>
      </c>
      <c r="E26" s="12">
        <v>4263</v>
      </c>
      <c r="F26" s="11">
        <v>0.30401125967628428</v>
      </c>
      <c r="G26" s="11">
        <v>0.40552127211826083</v>
      </c>
      <c r="H26" s="11">
        <v>0.12328303276220173</v>
      </c>
      <c r="I26" s="12">
        <v>3095</v>
      </c>
      <c r="J26" s="12">
        <v>1256.4444758296013</v>
      </c>
      <c r="K26" s="12">
        <v>10529</v>
      </c>
      <c r="L26" s="14">
        <v>0.29395004273910152</v>
      </c>
      <c r="M26" s="14">
        <v>0.40595944291748021</v>
      </c>
      <c r="N26" s="14">
        <v>0.11933179559593515</v>
      </c>
      <c r="O26" s="14">
        <f t="shared" si="0"/>
        <v>1.0331113526494289</v>
      </c>
      <c r="P26" s="17"/>
      <c r="S26" s="28"/>
      <c r="V26" s="18"/>
      <c r="W26" s="18"/>
      <c r="X26" s="18"/>
      <c r="Y26" s="6"/>
      <c r="Z26" s="6"/>
      <c r="AA26" s="6"/>
      <c r="AB26" s="18"/>
      <c r="AC26" s="18"/>
      <c r="AD26" s="18"/>
      <c r="AE26" s="18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</row>
    <row r="27" spans="1:50">
      <c r="A27" s="8">
        <v>10903</v>
      </c>
      <c r="B27" s="9" t="s">
        <v>57</v>
      </c>
      <c r="C27" s="12">
        <v>328</v>
      </c>
      <c r="D27" s="12">
        <v>130.33333677053452</v>
      </c>
      <c r="E27" s="12">
        <v>1810</v>
      </c>
      <c r="F27" s="11">
        <v>0.18121546961325966</v>
      </c>
      <c r="G27" s="11">
        <v>0.39735773405650765</v>
      </c>
      <c r="H27" s="11">
        <v>7.200736838151077E-2</v>
      </c>
      <c r="I27" s="12">
        <v>407</v>
      </c>
      <c r="J27" s="12">
        <v>158.88889321684837</v>
      </c>
      <c r="K27" s="12">
        <v>3169</v>
      </c>
      <c r="L27" s="14">
        <v>0.12843168191858631</v>
      </c>
      <c r="M27" s="14">
        <v>0.39039040102419748</v>
      </c>
      <c r="N27" s="14">
        <v>5.0138495808409081E-2</v>
      </c>
      <c r="O27" s="14">
        <f t="shared" si="0"/>
        <v>1.4361692990684796</v>
      </c>
      <c r="P27" s="17"/>
      <c r="S27" s="28"/>
      <c r="V27" s="18"/>
      <c r="W27" s="18"/>
      <c r="X27" s="18"/>
      <c r="Y27" s="6"/>
      <c r="Z27" s="6"/>
      <c r="AA27" s="6"/>
      <c r="AB27" s="18"/>
      <c r="AC27" s="18"/>
      <c r="AD27" s="18"/>
      <c r="AE27" s="18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</row>
    <row r="28" spans="1:50">
      <c r="A28" s="8">
        <v>11001</v>
      </c>
      <c r="B28" s="9" t="s">
        <v>58</v>
      </c>
      <c r="C28" s="12">
        <v>430</v>
      </c>
      <c r="D28" s="12">
        <v>171.00000414252281</v>
      </c>
      <c r="E28" s="12">
        <v>3052</v>
      </c>
      <c r="F28" s="11">
        <v>0.14089121887287026</v>
      </c>
      <c r="G28" s="11">
        <v>0.39767442823842514</v>
      </c>
      <c r="H28" s="11">
        <v>5.6028834909083496E-2</v>
      </c>
      <c r="I28" s="12">
        <v>1639</v>
      </c>
      <c r="J28" s="12">
        <v>675.77779465913773</v>
      </c>
      <c r="K28" s="12">
        <v>7582</v>
      </c>
      <c r="L28" s="14">
        <v>0.21616987602215773</v>
      </c>
      <c r="M28" s="14">
        <v>0.41231104006048669</v>
      </c>
      <c r="N28" s="14">
        <v>8.9129226412442322E-2</v>
      </c>
      <c r="O28" s="14">
        <f t="shared" si="0"/>
        <v>0.62862471900981232</v>
      </c>
      <c r="P28" s="17"/>
      <c r="S28" s="28"/>
      <c r="V28" s="18"/>
      <c r="W28" s="18"/>
      <c r="X28" s="18"/>
      <c r="Y28" s="6"/>
      <c r="Z28" s="6"/>
      <c r="AA28" s="6"/>
      <c r="AB28" s="18"/>
      <c r="AC28" s="18"/>
      <c r="AD28" s="18"/>
      <c r="AE28" s="18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</row>
    <row r="29" spans="1:50">
      <c r="A29" s="8">
        <v>11002</v>
      </c>
      <c r="B29" s="9" t="s">
        <v>59</v>
      </c>
      <c r="C29" s="12">
        <v>66</v>
      </c>
      <c r="D29" s="12">
        <v>25.666667461395264</v>
      </c>
      <c r="E29" s="12">
        <v>892</v>
      </c>
      <c r="F29" s="11">
        <v>7.3991031390134535E-2</v>
      </c>
      <c r="G29" s="11">
        <v>0.38888890093023126</v>
      </c>
      <c r="H29" s="11">
        <v>2.8774290876003659E-2</v>
      </c>
      <c r="I29" s="12">
        <v>134</v>
      </c>
      <c r="J29" s="12">
        <v>48.88889017701149</v>
      </c>
      <c r="K29" s="12">
        <v>1646</v>
      </c>
      <c r="L29" s="14">
        <v>8.1409477521263665E-2</v>
      </c>
      <c r="M29" s="14">
        <v>0.36484246400754844</v>
      </c>
      <c r="N29" s="14">
        <v>2.9701634372424963E-2</v>
      </c>
      <c r="O29" s="14">
        <f t="shared" si="0"/>
        <v>0.9687780313772143</v>
      </c>
      <c r="P29" s="17"/>
      <c r="S29" s="28"/>
      <c r="V29" s="18"/>
      <c r="W29" s="18"/>
      <c r="X29" s="18"/>
      <c r="Y29" s="6"/>
      <c r="Z29" s="6"/>
      <c r="AA29" s="6"/>
      <c r="AB29" s="18"/>
      <c r="AC29" s="18"/>
      <c r="AD29" s="18"/>
      <c r="AE29" s="18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</row>
    <row r="30" spans="1:50">
      <c r="A30" s="8">
        <v>11003</v>
      </c>
      <c r="B30" s="9" t="s">
        <v>60</v>
      </c>
      <c r="C30" s="12">
        <v>152</v>
      </c>
      <c r="D30" s="12">
        <v>55.22222375869751</v>
      </c>
      <c r="E30" s="12">
        <v>2273</v>
      </c>
      <c r="F30" s="11">
        <v>6.6871975362956443E-2</v>
      </c>
      <c r="G30" s="11">
        <v>0.36330410367564153</v>
      </c>
      <c r="H30" s="11">
        <v>2.4294863070258473E-2</v>
      </c>
      <c r="I30" s="12">
        <v>399</v>
      </c>
      <c r="J30" s="12">
        <v>149.33333709836006</v>
      </c>
      <c r="K30" s="12">
        <v>4265</v>
      </c>
      <c r="L30" s="14">
        <v>9.3552168815943734E-2</v>
      </c>
      <c r="M30" s="14">
        <v>0.37426901528411044</v>
      </c>
      <c r="N30" s="14">
        <v>3.5013678100436124E-2</v>
      </c>
      <c r="O30" s="14">
        <f t="shared" si="0"/>
        <v>0.69386777934523425</v>
      </c>
      <c r="P30" s="17"/>
      <c r="S30" s="28"/>
      <c r="V30" s="18"/>
      <c r="W30" s="18"/>
      <c r="X30" s="18"/>
      <c r="Y30" s="6"/>
      <c r="Z30" s="6"/>
      <c r="AA30" s="6"/>
      <c r="AB30" s="18"/>
      <c r="AC30" s="18"/>
      <c r="AD30" s="18"/>
      <c r="AE30" s="18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</row>
    <row r="31" spans="1:50">
      <c r="A31" s="8">
        <v>20101</v>
      </c>
      <c r="B31" s="9" t="s">
        <v>61</v>
      </c>
      <c r="C31" s="12">
        <v>2182</v>
      </c>
      <c r="D31" s="12">
        <v>791.44446450471878</v>
      </c>
      <c r="E31" s="12">
        <v>281549</v>
      </c>
      <c r="F31" s="11">
        <v>7.749983129046809E-3</v>
      </c>
      <c r="G31" s="11">
        <v>0.36271515330188764</v>
      </c>
      <c r="H31" s="11">
        <v>2.8110363187392562E-3</v>
      </c>
      <c r="I31" s="12">
        <v>3133</v>
      </c>
      <c r="J31" s="12">
        <v>1125.0000295042992</v>
      </c>
      <c r="K31" s="12">
        <v>448499</v>
      </c>
      <c r="L31" s="14">
        <v>6.9855228216785326E-3</v>
      </c>
      <c r="M31" s="14">
        <v>0.35908076268889216</v>
      </c>
      <c r="N31" s="14">
        <v>2.5083668625889895E-3</v>
      </c>
      <c r="O31" s="14">
        <f t="shared" si="0"/>
        <v>1.1206639509811851</v>
      </c>
      <c r="P31" s="17"/>
      <c r="S31" s="28"/>
      <c r="V31" s="18"/>
      <c r="W31" s="18"/>
      <c r="X31" s="18"/>
      <c r="Y31" s="6"/>
      <c r="Z31" s="6"/>
      <c r="AA31" s="6"/>
      <c r="AB31" s="18"/>
      <c r="AC31" s="18"/>
      <c r="AD31" s="18"/>
      <c r="AE31" s="18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</row>
    <row r="32" spans="1:50">
      <c r="A32" s="8">
        <v>20102</v>
      </c>
      <c r="B32" s="9" t="s">
        <v>62</v>
      </c>
      <c r="C32" s="12">
        <v>1165</v>
      </c>
      <c r="D32" s="12">
        <v>438.11112236976624</v>
      </c>
      <c r="E32" s="12">
        <v>6752</v>
      </c>
      <c r="F32" s="11">
        <v>0.17254146919431279</v>
      </c>
      <c r="G32" s="11">
        <v>0.37606104924443456</v>
      </c>
      <c r="H32" s="11">
        <v>6.488612594338955E-2</v>
      </c>
      <c r="I32" s="12">
        <v>2085</v>
      </c>
      <c r="J32" s="12">
        <v>768.55557480454445</v>
      </c>
      <c r="K32" s="12">
        <v>14881</v>
      </c>
      <c r="L32" s="14">
        <v>0.14011155164303474</v>
      </c>
      <c r="M32" s="14">
        <v>0.36861178647699971</v>
      </c>
      <c r="N32" s="14">
        <v>5.1646769357203443E-2</v>
      </c>
      <c r="O32" s="14">
        <f t="shared" si="0"/>
        <v>1.2563443319100762</v>
      </c>
      <c r="P32" s="17"/>
      <c r="S32" s="28"/>
      <c r="V32" s="18"/>
      <c r="W32" s="18"/>
      <c r="X32" s="18"/>
      <c r="Y32" s="6"/>
      <c r="Z32" s="6"/>
      <c r="AA32" s="6"/>
      <c r="AB32" s="18"/>
      <c r="AC32" s="18"/>
      <c r="AD32" s="18"/>
      <c r="AE32" s="18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</row>
    <row r="33" spans="1:50">
      <c r="A33" s="8">
        <v>20103</v>
      </c>
      <c r="B33" s="9" t="s">
        <v>63</v>
      </c>
      <c r="C33" s="12">
        <v>538</v>
      </c>
      <c r="D33" s="12">
        <v>201.00000482797623</v>
      </c>
      <c r="E33" s="12">
        <v>5470</v>
      </c>
      <c r="F33" s="11">
        <v>9.8354661791590497E-2</v>
      </c>
      <c r="G33" s="11">
        <v>0.37360595692932386</v>
      </c>
      <c r="H33" s="11">
        <v>3.6745887537107176E-2</v>
      </c>
      <c r="I33" s="12">
        <v>1146</v>
      </c>
      <c r="J33" s="12">
        <v>415.66667729616165</v>
      </c>
      <c r="K33" s="12">
        <v>14881</v>
      </c>
      <c r="L33" s="14">
        <v>7.7010953564948595E-2</v>
      </c>
      <c r="M33" s="14">
        <v>0.36271088769298576</v>
      </c>
      <c r="N33" s="14">
        <v>2.7932711329625812E-2</v>
      </c>
      <c r="O33" s="14">
        <f t="shared" si="0"/>
        <v>1.3155145271606337</v>
      </c>
      <c r="P33" s="17"/>
      <c r="S33" s="28"/>
      <c r="V33" s="18"/>
      <c r="W33" s="18"/>
      <c r="X33" s="18"/>
      <c r="Y33" s="6"/>
      <c r="Z33" s="6"/>
      <c r="AA33" s="6"/>
      <c r="AB33" s="18"/>
      <c r="AC33" s="18"/>
      <c r="AD33" s="18"/>
      <c r="AE33" s="18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</row>
    <row r="34" spans="1:50">
      <c r="A34" s="8">
        <v>20104</v>
      </c>
      <c r="B34" s="9" t="s">
        <v>64</v>
      </c>
      <c r="C34" s="12">
        <v>2270</v>
      </c>
      <c r="D34" s="12">
        <v>822.11113211512566</v>
      </c>
      <c r="E34" s="12">
        <v>16330</v>
      </c>
      <c r="F34" s="11">
        <v>0.13900796080832822</v>
      </c>
      <c r="G34" s="11">
        <v>0.36216349432384393</v>
      </c>
      <c r="H34" s="11">
        <v>5.0343608825176099E-2</v>
      </c>
      <c r="I34" s="12">
        <v>3077</v>
      </c>
      <c r="J34" s="12">
        <v>1098.8889173865318</v>
      </c>
      <c r="K34" s="12">
        <v>28344</v>
      </c>
      <c r="L34" s="14">
        <v>0.10855913068021451</v>
      </c>
      <c r="M34" s="14">
        <v>0.3571299699013753</v>
      </c>
      <c r="N34" s="14">
        <v>3.8769719072344479E-2</v>
      </c>
      <c r="O34" s="14">
        <f t="shared" si="0"/>
        <v>1.2985291105987817</v>
      </c>
      <c r="P34" s="17"/>
      <c r="S34" s="28"/>
      <c r="V34" s="18"/>
      <c r="W34" s="18"/>
      <c r="X34" s="18"/>
      <c r="Y34" s="6"/>
      <c r="Z34" s="6"/>
      <c r="AA34" s="6"/>
      <c r="AB34" s="18"/>
      <c r="AC34" s="18"/>
      <c r="AD34" s="18"/>
      <c r="AE34" s="18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</row>
    <row r="35" spans="1:50">
      <c r="A35" s="8">
        <v>20105</v>
      </c>
      <c r="B35" s="9" t="s">
        <v>65</v>
      </c>
      <c r="C35" s="12">
        <v>6287</v>
      </c>
      <c r="D35" s="12">
        <v>2253.5556134283543</v>
      </c>
      <c r="E35" s="12">
        <v>346730</v>
      </c>
      <c r="F35" s="11">
        <v>1.8132264297868659E-2</v>
      </c>
      <c r="G35" s="11">
        <v>0.35844689254467221</v>
      </c>
      <c r="H35" s="11">
        <v>6.4994537923697233E-3</v>
      </c>
      <c r="I35" s="12">
        <v>7443</v>
      </c>
      <c r="J35" s="12">
        <v>2645.8889575004578</v>
      </c>
      <c r="K35" s="12">
        <v>530442</v>
      </c>
      <c r="L35" s="14">
        <v>1.4031694322847739E-2</v>
      </c>
      <c r="M35" s="14">
        <v>0.35548689473336798</v>
      </c>
      <c r="N35" s="14">
        <v>4.9880834426769714E-3</v>
      </c>
      <c r="O35" s="14">
        <f t="shared" si="0"/>
        <v>1.3029962042659093</v>
      </c>
      <c r="P35" s="17"/>
      <c r="S35" s="28"/>
      <c r="V35" s="18"/>
      <c r="W35" s="18"/>
      <c r="X35" s="18"/>
      <c r="Y35" s="6"/>
      <c r="Z35" s="6"/>
      <c r="AA35" s="6"/>
      <c r="AB35" s="18"/>
      <c r="AC35" s="18"/>
      <c r="AD35" s="18"/>
      <c r="AE35" s="18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</row>
    <row r="36" spans="1:50">
      <c r="A36" s="8">
        <v>20201</v>
      </c>
      <c r="B36" s="9" t="s">
        <v>66</v>
      </c>
      <c r="C36" s="12">
        <v>1857</v>
      </c>
      <c r="D36" s="12">
        <v>692.33335062861443</v>
      </c>
      <c r="E36" s="12">
        <v>15223</v>
      </c>
      <c r="F36" s="11">
        <v>0.12198646784470867</v>
      </c>
      <c r="G36" s="11">
        <v>0.37282355984308801</v>
      </c>
      <c r="H36" s="11">
        <v>4.5479429194548671E-2</v>
      </c>
      <c r="I36" s="12">
        <v>2553</v>
      </c>
      <c r="J36" s="12">
        <v>930.0000239610672</v>
      </c>
      <c r="K36" s="12">
        <v>31491</v>
      </c>
      <c r="L36" s="14">
        <v>8.1070782128227117E-2</v>
      </c>
      <c r="M36" s="14">
        <v>0.36427733018451514</v>
      </c>
      <c r="N36" s="14">
        <v>2.9532248069641078E-2</v>
      </c>
      <c r="O36" s="14">
        <f t="shared" si="0"/>
        <v>1.5399921159845995</v>
      </c>
      <c r="P36" s="17"/>
      <c r="S36" s="28"/>
      <c r="V36" s="18"/>
      <c r="W36" s="18"/>
      <c r="X36" s="18"/>
      <c r="Y36" s="6"/>
      <c r="Z36" s="6"/>
      <c r="AA36" s="6"/>
      <c r="AB36" s="18"/>
      <c r="AC36" s="18"/>
      <c r="AD36" s="18"/>
      <c r="AE36" s="18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</row>
    <row r="37" spans="1:50">
      <c r="A37" s="8">
        <v>20202</v>
      </c>
      <c r="B37" s="9" t="s">
        <v>67</v>
      </c>
      <c r="C37" s="12">
        <v>1201</v>
      </c>
      <c r="D37" s="12">
        <v>450.33334454894066</v>
      </c>
      <c r="E37" s="12">
        <v>5457</v>
      </c>
      <c r="F37" s="11">
        <v>0.22008429540040314</v>
      </c>
      <c r="G37" s="11">
        <v>0.37496531602742772</v>
      </c>
      <c r="H37" s="11">
        <v>8.2523977377485916E-2</v>
      </c>
      <c r="I37" s="12">
        <v>1745</v>
      </c>
      <c r="J37" s="12">
        <v>634.33334955573082</v>
      </c>
      <c r="K37" s="12">
        <v>11396</v>
      </c>
      <c r="L37" s="14">
        <v>0.15312390312390312</v>
      </c>
      <c r="M37" s="14">
        <v>0.36351481349898612</v>
      </c>
      <c r="N37" s="14">
        <v>5.5662807086322458E-2</v>
      </c>
      <c r="O37" s="14">
        <f t="shared" si="0"/>
        <v>1.4825694516179695</v>
      </c>
      <c r="P37" s="17"/>
      <c r="S37" s="28"/>
      <c r="V37" s="18"/>
      <c r="W37" s="18"/>
      <c r="X37" s="18"/>
      <c r="Y37" s="6"/>
      <c r="Z37" s="6"/>
      <c r="AA37" s="6"/>
      <c r="AB37" s="18"/>
      <c r="AC37" s="18"/>
      <c r="AD37" s="18"/>
      <c r="AE37" s="18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</row>
    <row r="38" spans="1:50">
      <c r="A38" s="8">
        <v>20203</v>
      </c>
      <c r="B38" s="9" t="s">
        <v>68</v>
      </c>
      <c r="C38" s="12">
        <v>337</v>
      </c>
      <c r="D38" s="12">
        <v>125.55555868148804</v>
      </c>
      <c r="E38" s="12">
        <v>2624</v>
      </c>
      <c r="F38" s="11">
        <v>0.12842987804878048</v>
      </c>
      <c r="G38" s="11">
        <v>0.37256842338720486</v>
      </c>
      <c r="H38" s="11">
        <v>4.7848917180445136E-2</v>
      </c>
      <c r="I38" s="12">
        <v>336</v>
      </c>
      <c r="J38" s="12">
        <v>120.66666969656944</v>
      </c>
      <c r="K38" s="12">
        <v>4257</v>
      </c>
      <c r="L38" s="14">
        <v>7.8928823114869623E-2</v>
      </c>
      <c r="M38" s="14">
        <v>0.35912699314455193</v>
      </c>
      <c r="N38" s="14">
        <v>2.8345470917681335E-2</v>
      </c>
      <c r="O38" s="14">
        <f t="shared" si="0"/>
        <v>1.6880621711808621</v>
      </c>
      <c r="P38" s="17"/>
      <c r="S38" s="28"/>
      <c r="V38" s="18"/>
      <c r="W38" s="18"/>
      <c r="X38" s="18"/>
      <c r="Y38" s="6"/>
      <c r="Z38" s="6"/>
      <c r="AA38" s="6"/>
      <c r="AB38" s="18"/>
      <c r="AC38" s="18"/>
      <c r="AD38" s="18"/>
      <c r="AE38" s="18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</row>
    <row r="39" spans="1:50">
      <c r="A39" s="8">
        <v>20204</v>
      </c>
      <c r="B39" s="9" t="s">
        <v>69</v>
      </c>
      <c r="C39" s="12">
        <v>481</v>
      </c>
      <c r="D39" s="12">
        <v>176.22222664952278</v>
      </c>
      <c r="E39" s="12">
        <v>3465</v>
      </c>
      <c r="F39" s="11">
        <v>0.13881673881673881</v>
      </c>
      <c r="G39" s="11">
        <v>0.36636637557073343</v>
      </c>
      <c r="H39" s="11">
        <v>5.0857785468837742E-2</v>
      </c>
      <c r="I39" s="12">
        <v>385</v>
      </c>
      <c r="J39" s="12">
        <v>136.77778121829033</v>
      </c>
      <c r="K39" s="12">
        <v>5121</v>
      </c>
      <c r="L39" s="14">
        <v>7.5180628783440728E-2</v>
      </c>
      <c r="M39" s="14">
        <v>0.35526696420335152</v>
      </c>
      <c r="N39" s="14">
        <v>2.6709193754792096E-2</v>
      </c>
      <c r="O39" s="14">
        <f t="shared" si="0"/>
        <v>1.9041303131702718</v>
      </c>
      <c r="P39" s="17"/>
      <c r="S39" s="28"/>
      <c r="V39" s="18"/>
      <c r="W39" s="18"/>
      <c r="X39" s="18"/>
      <c r="Y39" s="6"/>
      <c r="Z39" s="6"/>
      <c r="AA39" s="6"/>
      <c r="AB39" s="18"/>
      <c r="AC39" s="18"/>
      <c r="AD39" s="18"/>
      <c r="AE39" s="18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</row>
    <row r="40" spans="1:50">
      <c r="A40" s="8">
        <v>20205</v>
      </c>
      <c r="B40" s="9" t="s">
        <v>70</v>
      </c>
      <c r="C40" s="12">
        <v>403</v>
      </c>
      <c r="D40" s="12">
        <v>152.33333700895309</v>
      </c>
      <c r="E40" s="12">
        <v>3344</v>
      </c>
      <c r="F40" s="11">
        <v>0.12051435406698564</v>
      </c>
      <c r="G40" s="11">
        <v>0.37799835486092581</v>
      </c>
      <c r="H40" s="11">
        <v>4.55542275744477E-2</v>
      </c>
      <c r="I40" s="12">
        <v>385</v>
      </c>
      <c r="J40" s="12">
        <v>139.22222584486008</v>
      </c>
      <c r="K40" s="12">
        <v>5885</v>
      </c>
      <c r="L40" s="14">
        <v>6.5420560747663545E-2</v>
      </c>
      <c r="M40" s="14">
        <v>0.36161617102561061</v>
      </c>
      <c r="N40" s="14">
        <v>2.3657132683918451E-2</v>
      </c>
      <c r="O40" s="14">
        <f t="shared" si="0"/>
        <v>1.9256022351945621</v>
      </c>
      <c r="P40" s="17"/>
      <c r="S40" s="28"/>
      <c r="V40" s="18"/>
      <c r="W40" s="18"/>
      <c r="X40" s="18"/>
      <c r="Y40" s="6"/>
      <c r="Z40" s="6"/>
      <c r="AA40" s="6"/>
      <c r="AB40" s="18"/>
      <c r="AC40" s="18"/>
      <c r="AD40" s="18"/>
      <c r="AE40" s="18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</row>
    <row r="41" spans="1:50">
      <c r="A41" s="8">
        <v>20206</v>
      </c>
      <c r="B41" s="9" t="s">
        <v>71</v>
      </c>
      <c r="C41" s="12">
        <v>169</v>
      </c>
      <c r="D41" s="12">
        <v>62.4444460272789</v>
      </c>
      <c r="E41" s="12">
        <v>1769</v>
      </c>
      <c r="F41" s="11">
        <v>9.5534200113058229E-2</v>
      </c>
      <c r="G41" s="11">
        <v>0.36949376347502305</v>
      </c>
      <c r="H41" s="11">
        <v>3.529929114034986E-2</v>
      </c>
      <c r="I41" s="12">
        <v>120</v>
      </c>
      <c r="J41" s="12">
        <v>42.44444552063942</v>
      </c>
      <c r="K41" s="12">
        <v>3254</v>
      </c>
      <c r="L41" s="14">
        <v>3.6877688998156119E-2</v>
      </c>
      <c r="M41" s="14">
        <v>0.35370371267199519</v>
      </c>
      <c r="N41" s="14">
        <v>1.304377551341101E-2</v>
      </c>
      <c r="O41" s="14">
        <f t="shared" si="0"/>
        <v>2.7062173144621164</v>
      </c>
      <c r="P41" s="17"/>
      <c r="S41" s="28"/>
      <c r="V41" s="18"/>
      <c r="W41" s="18"/>
      <c r="X41" s="18"/>
      <c r="Y41" s="6"/>
      <c r="Z41" s="6"/>
      <c r="AA41" s="6"/>
      <c r="AB41" s="18"/>
      <c r="AC41" s="18"/>
      <c r="AD41" s="18"/>
      <c r="AE41" s="18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</row>
    <row r="42" spans="1:50">
      <c r="A42" s="8">
        <v>20301</v>
      </c>
      <c r="B42" s="9" t="s">
        <v>72</v>
      </c>
      <c r="C42" s="12">
        <v>1452</v>
      </c>
      <c r="D42" s="12">
        <v>551.00001353025436</v>
      </c>
      <c r="E42" s="12">
        <v>5441</v>
      </c>
      <c r="F42" s="11">
        <v>0.26686270906083442</v>
      </c>
      <c r="G42" s="11">
        <v>0.37947659334039557</v>
      </c>
      <c r="H42" s="11">
        <v>0.10126815172399456</v>
      </c>
      <c r="I42" s="12">
        <v>1681</v>
      </c>
      <c r="J42" s="12">
        <v>623.7777932882309</v>
      </c>
      <c r="K42" s="12">
        <v>7770</v>
      </c>
      <c r="L42" s="14">
        <v>0.21634491634491634</v>
      </c>
      <c r="M42" s="14">
        <v>0.37107542729817422</v>
      </c>
      <c r="N42" s="14">
        <v>8.0280282276477585E-2</v>
      </c>
      <c r="O42" s="14">
        <f t="shared" si="0"/>
        <v>1.2614324321286858</v>
      </c>
      <c r="P42" s="17"/>
      <c r="S42" s="28"/>
      <c r="V42" s="18"/>
      <c r="W42" s="18"/>
      <c r="X42" s="18"/>
      <c r="Y42" s="6"/>
      <c r="Z42" s="6"/>
      <c r="AA42" s="6"/>
      <c r="AB42" s="18"/>
      <c r="AC42" s="18"/>
      <c r="AD42" s="18"/>
      <c r="AE42" s="18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</row>
    <row r="43" spans="1:50">
      <c r="A43" s="8">
        <v>20302</v>
      </c>
      <c r="B43" s="9" t="s">
        <v>73</v>
      </c>
      <c r="C43" s="12">
        <v>1053</v>
      </c>
      <c r="D43" s="12">
        <v>390.77778694033623</v>
      </c>
      <c r="E43" s="12">
        <v>6173</v>
      </c>
      <c r="F43" s="11">
        <v>0.17058156487931314</v>
      </c>
      <c r="G43" s="11">
        <v>0.3711090094400154</v>
      </c>
      <c r="H43" s="11">
        <v>6.3304355571089627E-2</v>
      </c>
      <c r="I43" s="12">
        <v>1229</v>
      </c>
      <c r="J43" s="12">
        <v>445.22223335504532</v>
      </c>
      <c r="K43" s="12">
        <v>9233</v>
      </c>
      <c r="L43" s="14">
        <v>0.13310949853785337</v>
      </c>
      <c r="M43" s="14">
        <v>0.36226381884055764</v>
      </c>
      <c r="N43" s="14">
        <v>4.8220755264274384E-2</v>
      </c>
      <c r="O43" s="14">
        <f t="shared" si="0"/>
        <v>1.3128030704651845</v>
      </c>
      <c r="P43" s="17"/>
      <c r="S43" s="28"/>
      <c r="V43" s="18"/>
      <c r="W43" s="18"/>
      <c r="X43" s="18"/>
      <c r="Y43" s="6"/>
      <c r="Z43" s="6"/>
      <c r="AA43" s="6"/>
      <c r="AB43" s="18"/>
      <c r="AC43" s="18"/>
      <c r="AD43" s="18"/>
      <c r="AE43" s="18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</row>
    <row r="44" spans="1:50">
      <c r="A44" s="8">
        <v>20303</v>
      </c>
      <c r="B44" s="9" t="s">
        <v>74</v>
      </c>
      <c r="C44" s="12">
        <v>1233</v>
      </c>
      <c r="D44" s="12">
        <v>464.88889995217323</v>
      </c>
      <c r="E44" s="12">
        <v>4521</v>
      </c>
      <c r="F44" s="11">
        <v>0.27272727272727271</v>
      </c>
      <c r="G44" s="11">
        <v>0.37703884829859952</v>
      </c>
      <c r="H44" s="11">
        <v>0.10282877680870896</v>
      </c>
      <c r="I44" s="12">
        <v>1937</v>
      </c>
      <c r="J44" s="12">
        <v>716.11112815141678</v>
      </c>
      <c r="K44" s="12">
        <v>7642</v>
      </c>
      <c r="L44" s="14">
        <v>0.25346767861816277</v>
      </c>
      <c r="M44" s="14">
        <v>0.36970115031048878</v>
      </c>
      <c r="N44" s="14">
        <v>9.3707292351664057E-2</v>
      </c>
      <c r="O44" s="14">
        <f t="shared" si="0"/>
        <v>1.0973401773558227</v>
      </c>
      <c r="P44" s="17"/>
      <c r="S44" s="28"/>
      <c r="V44" s="18"/>
      <c r="W44" s="18"/>
      <c r="X44" s="18"/>
      <c r="Y44" s="6"/>
      <c r="Z44" s="6"/>
      <c r="AA44" s="6"/>
      <c r="AB44" s="18"/>
      <c r="AC44" s="18"/>
      <c r="AD44" s="18"/>
      <c r="AE44" s="18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</row>
    <row r="45" spans="1:50">
      <c r="A45" s="8">
        <v>20304</v>
      </c>
      <c r="B45" s="9" t="s">
        <v>75</v>
      </c>
      <c r="C45" s="12">
        <v>293</v>
      </c>
      <c r="D45" s="12">
        <v>106.11111381649971</v>
      </c>
      <c r="E45" s="12">
        <v>2185</v>
      </c>
      <c r="F45" s="11">
        <v>0.13409610983981693</v>
      </c>
      <c r="G45" s="11">
        <v>0.36215397206996486</v>
      </c>
      <c r="H45" s="11">
        <v>4.856343881762E-2</v>
      </c>
      <c r="I45" s="12">
        <v>256</v>
      </c>
      <c r="J45" s="12">
        <v>90.777780175209045</v>
      </c>
      <c r="K45" s="12">
        <v>3033</v>
      </c>
      <c r="L45" s="14">
        <v>8.4404879657105178E-2</v>
      </c>
      <c r="M45" s="14">
        <v>0.35460070380941033</v>
      </c>
      <c r="N45" s="14">
        <v>2.9930029731358075E-2</v>
      </c>
      <c r="O45" s="14">
        <f t="shared" si="0"/>
        <v>1.6225656724536917</v>
      </c>
      <c r="P45" s="17"/>
      <c r="S45" s="28"/>
      <c r="V45" s="18"/>
      <c r="W45" s="18"/>
      <c r="X45" s="18"/>
      <c r="Y45" s="6"/>
      <c r="Z45" s="6"/>
      <c r="AA45" s="6"/>
      <c r="AB45" s="18"/>
      <c r="AC45" s="18"/>
      <c r="AD45" s="18"/>
      <c r="AE45" s="18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</row>
    <row r="46" spans="1:50">
      <c r="A46" s="8">
        <v>20305</v>
      </c>
      <c r="B46" s="9" t="s">
        <v>76</v>
      </c>
      <c r="C46" s="12">
        <v>510</v>
      </c>
      <c r="D46" s="12">
        <v>195.33333829045296</v>
      </c>
      <c r="E46" s="12">
        <v>1719</v>
      </c>
      <c r="F46" s="11">
        <v>0.29668411867364747</v>
      </c>
      <c r="G46" s="11">
        <v>0.38300654566755482</v>
      </c>
      <c r="H46" s="11">
        <v>0.11363195944761662</v>
      </c>
      <c r="I46" s="12">
        <v>876</v>
      </c>
      <c r="J46" s="12">
        <v>325.44445213675499</v>
      </c>
      <c r="K46" s="12">
        <v>2392</v>
      </c>
      <c r="L46" s="14">
        <v>0.36622073578595316</v>
      </c>
      <c r="M46" s="14">
        <v>0.37151193166296231</v>
      </c>
      <c r="N46" s="14">
        <v>0.13605537296687081</v>
      </c>
      <c r="O46" s="14">
        <f t="shared" si="0"/>
        <v>0.83518906287725769</v>
      </c>
      <c r="P46" s="17"/>
      <c r="S46" s="28"/>
      <c r="V46" s="18"/>
      <c r="W46" s="18"/>
      <c r="X46" s="18"/>
      <c r="Y46" s="6"/>
      <c r="Z46" s="6"/>
      <c r="AA46" s="6"/>
      <c r="AB46" s="18"/>
      <c r="AC46" s="18"/>
      <c r="AD46" s="18"/>
      <c r="AE46" s="18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</row>
    <row r="47" spans="1:50">
      <c r="A47" s="8">
        <v>20306</v>
      </c>
      <c r="B47" s="9" t="s">
        <v>77</v>
      </c>
      <c r="C47" s="12">
        <v>482</v>
      </c>
      <c r="D47" s="12">
        <v>179.77778244018555</v>
      </c>
      <c r="E47" s="12">
        <v>2368</v>
      </c>
      <c r="F47" s="11">
        <v>0.20354729729729729</v>
      </c>
      <c r="G47" s="11">
        <v>0.37298295112071689</v>
      </c>
      <c r="H47" s="11">
        <v>7.5919671638591868E-2</v>
      </c>
      <c r="I47" s="12">
        <v>669</v>
      </c>
      <c r="J47" s="12">
        <v>246.8888952434063</v>
      </c>
      <c r="K47" s="12">
        <v>3694</v>
      </c>
      <c r="L47" s="14">
        <v>0.18110449377368706</v>
      </c>
      <c r="M47" s="14">
        <v>0.36904169692586891</v>
      </c>
      <c r="N47" s="14">
        <v>6.6835109703141937E-2</v>
      </c>
      <c r="O47" s="14">
        <f t="shared" si="0"/>
        <v>1.1359249947490229</v>
      </c>
      <c r="P47" s="17"/>
      <c r="S47" s="28"/>
      <c r="V47" s="18"/>
      <c r="W47" s="18"/>
      <c r="X47" s="18"/>
      <c r="Y47" s="6"/>
      <c r="Z47" s="6"/>
      <c r="AA47" s="6"/>
      <c r="AB47" s="18"/>
      <c r="AC47" s="18"/>
      <c r="AD47" s="18"/>
      <c r="AE47" s="18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</row>
    <row r="48" spans="1:50">
      <c r="A48" s="8">
        <v>20307</v>
      </c>
      <c r="B48" s="9" t="s">
        <v>78</v>
      </c>
      <c r="C48" s="12">
        <v>358</v>
      </c>
      <c r="D48" s="12">
        <v>128.33333647251129</v>
      </c>
      <c r="E48" s="12">
        <v>1655</v>
      </c>
      <c r="F48" s="11">
        <v>0.2163141993957704</v>
      </c>
      <c r="G48" s="11">
        <v>0.35847300690645612</v>
      </c>
      <c r="H48" s="11">
        <v>7.754280149396453E-2</v>
      </c>
      <c r="I48" s="12">
        <v>435</v>
      </c>
      <c r="J48" s="12">
        <v>161.0000037252903</v>
      </c>
      <c r="K48" s="12">
        <v>2354</v>
      </c>
      <c r="L48" s="14">
        <v>0.18479184367034834</v>
      </c>
      <c r="M48" s="14">
        <v>0.37011495109262138</v>
      </c>
      <c r="N48" s="14">
        <v>6.8394224182366306E-2</v>
      </c>
      <c r="O48" s="14">
        <f t="shared" si="0"/>
        <v>1.1337624254235923</v>
      </c>
      <c r="P48" s="17"/>
      <c r="S48" s="28"/>
      <c r="V48" s="18"/>
      <c r="W48" s="18"/>
      <c r="X48" s="18"/>
      <c r="Y48" s="6"/>
      <c r="Z48" s="6"/>
      <c r="AA48" s="6"/>
      <c r="AB48" s="18"/>
      <c r="AC48" s="18"/>
      <c r="AD48" s="18"/>
      <c r="AE48" s="18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</row>
    <row r="49" spans="1:50">
      <c r="A49" s="8">
        <v>20308</v>
      </c>
      <c r="B49" s="9" t="s">
        <v>79</v>
      </c>
      <c r="C49" s="12">
        <v>1091</v>
      </c>
      <c r="D49" s="12">
        <v>410.4444542825222</v>
      </c>
      <c r="E49" s="12">
        <v>2898</v>
      </c>
      <c r="F49" s="11">
        <v>0.37646652864044167</v>
      </c>
      <c r="G49" s="11">
        <v>0.37620939897573069</v>
      </c>
      <c r="H49" s="11">
        <v>0.14163024647430025</v>
      </c>
      <c r="I49" s="12">
        <v>1790</v>
      </c>
      <c r="J49" s="12">
        <v>658.44446024298668</v>
      </c>
      <c r="K49" s="12">
        <v>5106</v>
      </c>
      <c r="L49" s="14">
        <v>0.35056795926361145</v>
      </c>
      <c r="M49" s="14">
        <v>0.36784606717485291</v>
      </c>
      <c r="N49" s="14">
        <v>0.1289550450926335</v>
      </c>
      <c r="O49" s="14">
        <f t="shared" si="0"/>
        <v>1.0982916284706943</v>
      </c>
      <c r="P49" s="17"/>
      <c r="S49" s="28"/>
      <c r="V49" s="18"/>
      <c r="W49" s="18"/>
      <c r="X49" s="18"/>
      <c r="Y49" s="6"/>
      <c r="Z49" s="6"/>
      <c r="AA49" s="6"/>
      <c r="AB49" s="18"/>
      <c r="AC49" s="18"/>
      <c r="AD49" s="18"/>
      <c r="AE49" s="18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</row>
    <row r="50" spans="1:50">
      <c r="A50" s="8">
        <v>20401</v>
      </c>
      <c r="B50" s="9" t="s">
        <v>80</v>
      </c>
      <c r="C50" s="12">
        <v>1532</v>
      </c>
      <c r="D50" s="12">
        <v>578.22223633527756</v>
      </c>
      <c r="E50" s="12">
        <v>5192</v>
      </c>
      <c r="F50" s="11">
        <v>0.2950693374422188</v>
      </c>
      <c r="G50" s="11">
        <v>0.37742965818229607</v>
      </c>
      <c r="H50" s="11">
        <v>0.11136791917089321</v>
      </c>
      <c r="I50" s="12">
        <v>1950</v>
      </c>
      <c r="J50" s="12">
        <v>714.33335056900978</v>
      </c>
      <c r="K50" s="12">
        <v>8760</v>
      </c>
      <c r="L50" s="14">
        <v>0.2226027397260274</v>
      </c>
      <c r="M50" s="14">
        <v>0.36632479516359479</v>
      </c>
      <c r="N50" s="14">
        <v>8.1544903032991986E-2</v>
      </c>
      <c r="O50" s="14">
        <f t="shared" si="0"/>
        <v>1.3657250794183327</v>
      </c>
      <c r="P50" s="17"/>
      <c r="S50" s="28"/>
      <c r="V50" s="18"/>
      <c r="W50" s="18"/>
      <c r="X50" s="18"/>
      <c r="Y50" s="6"/>
      <c r="Z50" s="6"/>
      <c r="AA50" s="6"/>
      <c r="AB50" s="18"/>
      <c r="AC50" s="18"/>
      <c r="AD50" s="18"/>
      <c r="AE50" s="18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</row>
    <row r="51" spans="1:50">
      <c r="A51" s="8">
        <v>20402</v>
      </c>
      <c r="B51" s="9" t="s">
        <v>81</v>
      </c>
      <c r="C51" s="12">
        <v>1469</v>
      </c>
      <c r="D51" s="12">
        <v>553.2222361266613</v>
      </c>
      <c r="E51" s="12">
        <v>6192</v>
      </c>
      <c r="F51" s="11">
        <v>0.23724160206718345</v>
      </c>
      <c r="G51" s="11">
        <v>0.37659784624006898</v>
      </c>
      <c r="H51" s="11">
        <v>8.9344676377044782E-2</v>
      </c>
      <c r="I51" s="12">
        <v>1686</v>
      </c>
      <c r="J51" s="12">
        <v>619.88890463113785</v>
      </c>
      <c r="K51" s="12">
        <v>11500</v>
      </c>
      <c r="L51" s="14">
        <v>0.14660869565217391</v>
      </c>
      <c r="M51" s="14">
        <v>0.36766838946093583</v>
      </c>
      <c r="N51" s="14">
        <v>5.3903383011403287E-2</v>
      </c>
      <c r="O51" s="14">
        <f t="shared" si="0"/>
        <v>1.6574966428015079</v>
      </c>
      <c r="P51" s="17"/>
      <c r="S51" s="28"/>
      <c r="V51" s="18"/>
      <c r="W51" s="18"/>
      <c r="X51" s="18"/>
      <c r="Y51" s="6"/>
      <c r="Z51" s="6"/>
      <c r="AA51" s="6"/>
      <c r="AB51" s="18"/>
      <c r="AC51" s="18"/>
      <c r="AD51" s="18"/>
      <c r="AE51" s="18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</row>
    <row r="52" spans="1:50">
      <c r="A52" s="8">
        <v>20403</v>
      </c>
      <c r="B52" s="9" t="s">
        <v>82</v>
      </c>
      <c r="C52" s="12">
        <v>1252</v>
      </c>
      <c r="D52" s="12">
        <v>463.88890093564987</v>
      </c>
      <c r="E52" s="12">
        <v>5736</v>
      </c>
      <c r="F52" s="11">
        <v>0.21827057182705717</v>
      </c>
      <c r="G52" s="11">
        <v>0.37051829148214849</v>
      </c>
      <c r="H52" s="11">
        <v>8.08732393541928E-2</v>
      </c>
      <c r="I52" s="12">
        <v>1803</v>
      </c>
      <c r="J52" s="12">
        <v>651.44446074962616</v>
      </c>
      <c r="K52" s="12">
        <v>11285</v>
      </c>
      <c r="L52" s="14">
        <v>0.15976960567124501</v>
      </c>
      <c r="M52" s="14">
        <v>0.36131140363262682</v>
      </c>
      <c r="N52" s="14">
        <v>5.7726580482908831E-2</v>
      </c>
      <c r="O52" s="14">
        <f t="shared" si="0"/>
        <v>1.4009705525193377</v>
      </c>
      <c r="P52" s="17"/>
      <c r="S52" s="28"/>
      <c r="V52" s="18"/>
      <c r="W52" s="18"/>
      <c r="X52" s="18"/>
      <c r="Y52" s="6"/>
      <c r="Z52" s="6"/>
      <c r="AA52" s="6"/>
      <c r="AB52" s="18"/>
      <c r="AC52" s="18"/>
      <c r="AD52" s="18"/>
      <c r="AE52" s="18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</row>
    <row r="53" spans="1:50">
      <c r="A53" s="8">
        <v>20404</v>
      </c>
      <c r="B53" s="9" t="s">
        <v>83</v>
      </c>
      <c r="C53" s="12">
        <v>634</v>
      </c>
      <c r="D53" s="12">
        <v>248.33333945274353</v>
      </c>
      <c r="E53" s="12">
        <v>1912</v>
      </c>
      <c r="F53" s="11">
        <v>0.33158995815899583</v>
      </c>
      <c r="G53" s="11">
        <v>0.39169296443650398</v>
      </c>
      <c r="H53" s="11">
        <v>0.1298814536886734</v>
      </c>
      <c r="I53" s="12">
        <v>893</v>
      </c>
      <c r="J53" s="12">
        <v>338.11111974716187</v>
      </c>
      <c r="K53" s="12">
        <v>3734</v>
      </c>
      <c r="L53" s="14">
        <v>0.23915372254954473</v>
      </c>
      <c r="M53" s="14">
        <v>0.37862387429693378</v>
      </c>
      <c r="N53" s="14">
        <v>9.0549308984242599E-2</v>
      </c>
      <c r="O53" s="14">
        <f t="shared" si="0"/>
        <v>1.4343726655194617</v>
      </c>
      <c r="P53" s="17"/>
      <c r="S53" s="28"/>
      <c r="V53" s="18"/>
      <c r="W53" s="18"/>
      <c r="X53" s="18"/>
      <c r="Y53" s="6"/>
      <c r="Z53" s="6"/>
      <c r="AA53" s="6"/>
      <c r="AB53" s="18"/>
      <c r="AC53" s="18"/>
      <c r="AD53" s="18"/>
      <c r="AE53" s="18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</row>
    <row r="54" spans="1:50">
      <c r="A54" s="8">
        <v>20405</v>
      </c>
      <c r="B54" s="9" t="s">
        <v>84</v>
      </c>
      <c r="C54" s="12">
        <v>839</v>
      </c>
      <c r="D54" s="12">
        <v>324.22223016619682</v>
      </c>
      <c r="E54" s="12">
        <v>3211</v>
      </c>
      <c r="F54" s="11">
        <v>0.26128931796947991</v>
      </c>
      <c r="G54" s="11">
        <v>0.38643889173563389</v>
      </c>
      <c r="H54" s="11">
        <v>0.10097235445848547</v>
      </c>
      <c r="I54" s="12">
        <v>1131</v>
      </c>
      <c r="J54" s="12">
        <v>415.88889896869659</v>
      </c>
      <c r="K54" s="12">
        <v>5592</v>
      </c>
      <c r="L54" s="14">
        <v>0.20225321888412018</v>
      </c>
      <c r="M54" s="14">
        <v>0.367717859388768</v>
      </c>
      <c r="N54" s="14">
        <v>7.4372120702556624E-2</v>
      </c>
      <c r="O54" s="14">
        <f t="shared" si="0"/>
        <v>1.3576640480955713</v>
      </c>
      <c r="P54" s="17"/>
      <c r="S54" s="28"/>
      <c r="V54" s="18"/>
      <c r="W54" s="18"/>
      <c r="X54" s="18"/>
      <c r="Y54" s="6"/>
      <c r="Z54" s="6"/>
      <c r="AA54" s="6"/>
      <c r="AB54" s="18"/>
      <c r="AC54" s="18"/>
      <c r="AD54" s="18"/>
      <c r="AE54" s="18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</row>
    <row r="55" spans="1:50">
      <c r="A55" s="8">
        <v>20501</v>
      </c>
      <c r="B55" s="9" t="s">
        <v>85</v>
      </c>
      <c r="C55" s="12">
        <v>1044</v>
      </c>
      <c r="D55" s="12">
        <v>397.44445395469666</v>
      </c>
      <c r="E55" s="12">
        <v>6317</v>
      </c>
      <c r="F55" s="11">
        <v>0.16526832357131549</v>
      </c>
      <c r="G55" s="11">
        <v>0.38069392141254471</v>
      </c>
      <c r="H55" s="11">
        <v>6.2916646185641384E-2</v>
      </c>
      <c r="I55" s="12">
        <v>1535</v>
      </c>
      <c r="J55" s="12">
        <v>570.33334803581238</v>
      </c>
      <c r="K55" s="12">
        <v>11413</v>
      </c>
      <c r="L55" s="14">
        <v>0.13449575046000176</v>
      </c>
      <c r="M55" s="14">
        <v>0.37155266973017093</v>
      </c>
      <c r="N55" s="14">
        <v>4.9972255150776516E-2</v>
      </c>
      <c r="O55" s="14">
        <f t="shared" si="0"/>
        <v>1.2590315565268966</v>
      </c>
      <c r="P55" s="17"/>
      <c r="S55" s="28"/>
      <c r="V55" s="18"/>
      <c r="W55" s="18"/>
      <c r="X55" s="18"/>
      <c r="Y55" s="6"/>
      <c r="Z55" s="6"/>
      <c r="AA55" s="6"/>
      <c r="AB55" s="18"/>
      <c r="AC55" s="18"/>
      <c r="AD55" s="18"/>
      <c r="AE55" s="18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</row>
    <row r="56" spans="1:50">
      <c r="A56" s="8">
        <v>20502</v>
      </c>
      <c r="B56" s="9" t="s">
        <v>86</v>
      </c>
      <c r="C56" s="12">
        <v>760</v>
      </c>
      <c r="D56" s="12">
        <v>290.111118465662</v>
      </c>
      <c r="E56" s="12">
        <v>3084</v>
      </c>
      <c r="F56" s="11">
        <v>0.24643320363164722</v>
      </c>
      <c r="G56" s="11">
        <v>0.38172515587587108</v>
      </c>
      <c r="H56" s="11">
        <v>9.4069753069280809E-2</v>
      </c>
      <c r="I56" s="12">
        <v>1174</v>
      </c>
      <c r="J56" s="12">
        <v>446.55556693673134</v>
      </c>
      <c r="K56" s="12">
        <v>5903</v>
      </c>
      <c r="L56" s="14">
        <v>0.19888192444519737</v>
      </c>
      <c r="M56" s="14">
        <v>0.38037101101936233</v>
      </c>
      <c r="N56" s="14">
        <v>7.5648918674696156E-2</v>
      </c>
      <c r="O56" s="14">
        <f t="shared" si="0"/>
        <v>1.2435042657225217</v>
      </c>
      <c r="P56" s="17"/>
      <c r="S56" s="28"/>
      <c r="V56" s="18"/>
      <c r="W56" s="18"/>
      <c r="X56" s="18"/>
      <c r="Y56" s="6"/>
      <c r="Z56" s="6"/>
      <c r="AA56" s="6"/>
      <c r="AB56" s="18"/>
      <c r="AC56" s="18"/>
      <c r="AD56" s="18"/>
      <c r="AE56" s="18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</row>
    <row r="57" spans="1:50">
      <c r="A57" s="8">
        <v>20503</v>
      </c>
      <c r="B57" s="9" t="s">
        <v>87</v>
      </c>
      <c r="C57" s="12">
        <v>427</v>
      </c>
      <c r="D57" s="12">
        <v>161.22222635149956</v>
      </c>
      <c r="E57" s="12">
        <v>2028</v>
      </c>
      <c r="F57" s="11">
        <v>0.21055226824457593</v>
      </c>
      <c r="G57" s="11">
        <v>0.37756961674824252</v>
      </c>
      <c r="H57" s="11">
        <v>7.9498139226577683E-2</v>
      </c>
      <c r="I57" s="12">
        <v>845</v>
      </c>
      <c r="J57" s="12">
        <v>321.8888972401619</v>
      </c>
      <c r="K57" s="12">
        <v>4412</v>
      </c>
      <c r="L57" s="14">
        <v>0.1915231187669991</v>
      </c>
      <c r="M57" s="14">
        <v>0.38093360620137501</v>
      </c>
      <c r="N57" s="14">
        <v>7.2957592302847207E-2</v>
      </c>
      <c r="O57" s="14">
        <f t="shared" si="0"/>
        <v>1.0896486125334379</v>
      </c>
      <c r="P57" s="17"/>
      <c r="S57" s="28"/>
      <c r="V57" s="18"/>
      <c r="W57" s="18"/>
      <c r="X57" s="18"/>
      <c r="Y57" s="6"/>
      <c r="Z57" s="6"/>
      <c r="AA57" s="6"/>
      <c r="AB57" s="18"/>
      <c r="AC57" s="18"/>
      <c r="AD57" s="18"/>
      <c r="AE57" s="18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</row>
    <row r="58" spans="1:50">
      <c r="A58" s="8">
        <v>20601</v>
      </c>
      <c r="B58" s="9" t="s">
        <v>88</v>
      </c>
      <c r="C58" s="12">
        <v>1810</v>
      </c>
      <c r="D58" s="12">
        <v>676.22223919630051</v>
      </c>
      <c r="E58" s="12">
        <v>11231</v>
      </c>
      <c r="F58" s="11">
        <v>0.16116107203276644</v>
      </c>
      <c r="G58" s="11">
        <v>0.37360344706977927</v>
      </c>
      <c r="H58" s="11">
        <v>6.0210332044902545E-2</v>
      </c>
      <c r="I58" s="12">
        <v>2567</v>
      </c>
      <c r="J58" s="12">
        <v>929.77780166268349</v>
      </c>
      <c r="K58" s="12">
        <v>18504</v>
      </c>
      <c r="L58" s="14">
        <v>0.1387267617812365</v>
      </c>
      <c r="M58" s="14">
        <v>0.36220405206960793</v>
      </c>
      <c r="N58" s="14">
        <v>5.0247395247659081E-2</v>
      </c>
      <c r="O58" s="14">
        <f t="shared" si="0"/>
        <v>1.1982776768455001</v>
      </c>
      <c r="P58" s="17"/>
      <c r="S58" s="28"/>
      <c r="V58" s="18"/>
      <c r="W58" s="18"/>
      <c r="X58" s="18"/>
      <c r="Y58" s="6"/>
      <c r="Z58" s="6"/>
      <c r="AA58" s="6"/>
      <c r="AB58" s="18"/>
      <c r="AC58" s="18"/>
      <c r="AD58" s="18"/>
      <c r="AE58" s="18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</row>
    <row r="59" spans="1:50">
      <c r="A59" s="8">
        <v>20602</v>
      </c>
      <c r="B59" s="9" t="s">
        <v>89</v>
      </c>
      <c r="C59" s="12">
        <v>714</v>
      </c>
      <c r="D59" s="12">
        <v>270.88889548182487</v>
      </c>
      <c r="E59" s="12">
        <v>5410</v>
      </c>
      <c r="F59" s="11">
        <v>0.13197781885397411</v>
      </c>
      <c r="G59" s="11">
        <v>0.3793962121594186</v>
      </c>
      <c r="H59" s="11">
        <v>5.007188456225968E-2</v>
      </c>
      <c r="I59" s="12">
        <v>1272</v>
      </c>
      <c r="J59" s="12">
        <v>474.33334466814995</v>
      </c>
      <c r="K59" s="12">
        <v>10626</v>
      </c>
      <c r="L59" s="14">
        <v>0.11970638057594579</v>
      </c>
      <c r="M59" s="14">
        <v>0.37290357285231912</v>
      </c>
      <c r="N59" s="14">
        <v>4.4638937009989638E-2</v>
      </c>
      <c r="O59" s="14">
        <f t="shared" si="0"/>
        <v>1.1217087125317122</v>
      </c>
      <c r="P59" s="17"/>
      <c r="S59" s="28"/>
      <c r="V59" s="18"/>
      <c r="W59" s="18"/>
      <c r="X59" s="18"/>
      <c r="Y59" s="6"/>
      <c r="Z59" s="6"/>
      <c r="AA59" s="6"/>
      <c r="AB59" s="18"/>
      <c r="AC59" s="18"/>
      <c r="AD59" s="18"/>
      <c r="AE59" s="18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</row>
    <row r="60" spans="1:50">
      <c r="A60" s="8">
        <v>20603</v>
      </c>
      <c r="B60" s="9" t="s">
        <v>90</v>
      </c>
      <c r="C60" s="12">
        <v>728</v>
      </c>
      <c r="D60" s="12">
        <v>273.55556258559227</v>
      </c>
      <c r="E60" s="12">
        <v>3668</v>
      </c>
      <c r="F60" s="11">
        <v>0.19847328244274809</v>
      </c>
      <c r="G60" s="11">
        <v>0.37576313541976958</v>
      </c>
      <c r="H60" s="11">
        <v>7.4578942907740531E-2</v>
      </c>
      <c r="I60" s="12">
        <v>1081</v>
      </c>
      <c r="J60" s="12">
        <v>406.44445466995239</v>
      </c>
      <c r="K60" s="12">
        <v>5821</v>
      </c>
      <c r="L60" s="14">
        <v>0.18570692320907062</v>
      </c>
      <c r="M60" s="14">
        <v>0.3759893197686886</v>
      </c>
      <c r="N60" s="14">
        <v>6.9823819733714557E-2</v>
      </c>
      <c r="O60" s="14">
        <f t="shared" si="0"/>
        <v>1.0681017336513596</v>
      </c>
      <c r="P60" s="17"/>
      <c r="S60" s="28"/>
      <c r="V60" s="18"/>
      <c r="W60" s="18"/>
      <c r="X60" s="18"/>
      <c r="Y60" s="6"/>
      <c r="Z60" s="6"/>
      <c r="AA60" s="6"/>
      <c r="AB60" s="18"/>
      <c r="AC60" s="18"/>
      <c r="AD60" s="18"/>
      <c r="AE60" s="18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</row>
    <row r="61" spans="1:50">
      <c r="A61" s="8">
        <v>20604</v>
      </c>
      <c r="B61" s="9" t="s">
        <v>91</v>
      </c>
      <c r="C61" s="12">
        <v>387</v>
      </c>
      <c r="D61" s="12">
        <v>143.66667026281357</v>
      </c>
      <c r="E61" s="12">
        <v>1594</v>
      </c>
      <c r="F61" s="11">
        <v>0.24278544542032623</v>
      </c>
      <c r="G61" s="11">
        <v>0.37123170610546141</v>
      </c>
      <c r="H61" s="11">
        <v>9.0129655120962091E-2</v>
      </c>
      <c r="I61" s="12">
        <v>594</v>
      </c>
      <c r="J61" s="12">
        <v>227.88889449834824</v>
      </c>
      <c r="K61" s="12">
        <v>2542</v>
      </c>
      <c r="L61" s="14">
        <v>0.23367427222659323</v>
      </c>
      <c r="M61" s="14">
        <v>0.3836513375393068</v>
      </c>
      <c r="N61" s="14">
        <v>8.964944708825659E-2</v>
      </c>
      <c r="O61" s="14">
        <f t="shared" si="0"/>
        <v>1.0053565085820635</v>
      </c>
      <c r="P61" s="17"/>
      <c r="S61" s="28"/>
      <c r="V61" s="18"/>
      <c r="W61" s="18"/>
      <c r="X61" s="18"/>
      <c r="Y61" s="6"/>
      <c r="Z61" s="6"/>
      <c r="AA61" s="6"/>
      <c r="AB61" s="18"/>
      <c r="AC61" s="18"/>
      <c r="AD61" s="18"/>
      <c r="AE61" s="18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</row>
    <row r="62" spans="1:50">
      <c r="A62" s="8">
        <v>20605</v>
      </c>
      <c r="B62" s="9" t="s">
        <v>92</v>
      </c>
      <c r="C62" s="12">
        <v>207</v>
      </c>
      <c r="D62" s="12">
        <v>77.222223848104477</v>
      </c>
      <c r="E62" s="12">
        <v>1204</v>
      </c>
      <c r="F62" s="11">
        <v>0.17192691029900331</v>
      </c>
      <c r="G62" s="11">
        <v>0.37305422148842743</v>
      </c>
      <c r="H62" s="11">
        <v>6.4138059674505379E-2</v>
      </c>
      <c r="I62" s="12">
        <v>399</v>
      </c>
      <c r="J62" s="12">
        <v>151.1111144721508</v>
      </c>
      <c r="K62" s="12">
        <v>2308</v>
      </c>
      <c r="L62" s="14">
        <v>0.17287694974003467</v>
      </c>
      <c r="M62" s="14">
        <v>0.3787245976745634</v>
      </c>
      <c r="N62" s="14">
        <v>6.5472753237500347E-2</v>
      </c>
      <c r="O62" s="14">
        <f t="shared" si="0"/>
        <v>0.97961451906332075</v>
      </c>
      <c r="P62" s="17"/>
      <c r="S62" s="28"/>
      <c r="V62" s="18"/>
      <c r="W62" s="18"/>
      <c r="X62" s="18"/>
      <c r="Y62" s="6"/>
      <c r="Z62" s="6"/>
      <c r="AA62" s="6"/>
      <c r="AB62" s="18"/>
      <c r="AC62" s="18"/>
      <c r="AD62" s="18"/>
      <c r="AE62" s="18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</row>
    <row r="63" spans="1:50">
      <c r="A63" s="8">
        <v>20606</v>
      </c>
      <c r="B63" s="9" t="s">
        <v>93</v>
      </c>
      <c r="C63" s="12">
        <v>198</v>
      </c>
      <c r="D63" s="12">
        <v>70.111112833023071</v>
      </c>
      <c r="E63" s="12">
        <v>2554</v>
      </c>
      <c r="F63" s="11">
        <v>7.752545027407988E-2</v>
      </c>
      <c r="G63" s="11">
        <v>0.35409652945971248</v>
      </c>
      <c r="H63" s="11">
        <v>2.7451492886853203E-2</v>
      </c>
      <c r="I63" s="12">
        <v>405</v>
      </c>
      <c r="J63" s="12">
        <v>144.5555591583252</v>
      </c>
      <c r="K63" s="12">
        <v>5015</v>
      </c>
      <c r="L63" s="14">
        <v>8.0757726819541381E-2</v>
      </c>
      <c r="M63" s="14">
        <v>0.35692730656376592</v>
      </c>
      <c r="N63" s="14">
        <v>2.8824637917911306E-2</v>
      </c>
      <c r="O63" s="14">
        <f t="shared" si="0"/>
        <v>0.95236210650872233</v>
      </c>
      <c r="P63" s="17"/>
      <c r="S63" s="28"/>
      <c r="V63" s="18"/>
      <c r="W63" s="18"/>
      <c r="X63" s="18"/>
      <c r="Y63" s="6"/>
      <c r="Z63" s="6"/>
      <c r="AA63" s="6"/>
      <c r="AB63" s="18"/>
      <c r="AC63" s="18"/>
      <c r="AD63" s="18"/>
      <c r="AE63" s="18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</row>
    <row r="64" spans="1:50">
      <c r="A64" s="8">
        <v>20607</v>
      </c>
      <c r="B64" s="9" t="s">
        <v>94</v>
      </c>
      <c r="C64" s="12">
        <v>442</v>
      </c>
      <c r="D64" s="12">
        <v>165.55556029081345</v>
      </c>
      <c r="E64" s="12">
        <v>6705</v>
      </c>
      <c r="F64" s="11">
        <v>6.5920954511558535E-2</v>
      </c>
      <c r="G64" s="11">
        <v>0.3745600911556865</v>
      </c>
      <c r="H64" s="11">
        <v>2.4691358730919228E-2</v>
      </c>
      <c r="I64" s="12">
        <v>748</v>
      </c>
      <c r="J64" s="12">
        <v>277.0000062584877</v>
      </c>
      <c r="K64" s="12">
        <v>13389</v>
      </c>
      <c r="L64" s="14">
        <v>5.5866756292478899E-2</v>
      </c>
      <c r="M64" s="14">
        <v>0.37032086398193542</v>
      </c>
      <c r="N64" s="14">
        <v>2.0688625458099012E-2</v>
      </c>
      <c r="O64" s="14">
        <f t="shared" si="0"/>
        <v>1.1934750706820525</v>
      </c>
      <c r="P64" s="17"/>
      <c r="S64" s="28"/>
      <c r="V64" s="18"/>
      <c r="W64" s="18"/>
      <c r="X64" s="18"/>
      <c r="Y64" s="6"/>
      <c r="Z64" s="6"/>
      <c r="AA64" s="6"/>
      <c r="AB64" s="18"/>
      <c r="AC64" s="18"/>
      <c r="AD64" s="18"/>
      <c r="AE64" s="18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</row>
    <row r="65" spans="1:50">
      <c r="A65" s="8">
        <v>20608</v>
      </c>
      <c r="B65" s="9" t="s">
        <v>95</v>
      </c>
      <c r="C65" s="12">
        <v>1060</v>
      </c>
      <c r="D65" s="12">
        <v>389.11112084984779</v>
      </c>
      <c r="E65" s="12">
        <v>4971</v>
      </c>
      <c r="F65" s="11">
        <v>0.2132367732850533</v>
      </c>
      <c r="G65" s="11">
        <v>0.36708596306589414</v>
      </c>
      <c r="H65" s="11">
        <v>7.8276226282407518E-2</v>
      </c>
      <c r="I65" s="12">
        <v>1777</v>
      </c>
      <c r="J65" s="12">
        <v>677.22223871946335</v>
      </c>
      <c r="K65" s="12">
        <v>7956</v>
      </c>
      <c r="L65" s="14">
        <v>0.22335344394167925</v>
      </c>
      <c r="M65" s="14">
        <v>0.38110424238574192</v>
      </c>
      <c r="N65" s="14">
        <v>8.512094503763995E-2</v>
      </c>
      <c r="O65" s="14">
        <f t="shared" si="0"/>
        <v>0.91958831340270319</v>
      </c>
      <c r="P65" s="17"/>
      <c r="S65" s="28"/>
      <c r="V65" s="18"/>
      <c r="W65" s="18"/>
      <c r="X65" s="18"/>
      <c r="Y65" s="6"/>
      <c r="Z65" s="6"/>
      <c r="AA65" s="6"/>
      <c r="AB65" s="18"/>
      <c r="AC65" s="18"/>
      <c r="AD65" s="18"/>
      <c r="AE65" s="18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</row>
    <row r="66" spans="1:50">
      <c r="A66" s="8">
        <v>20701</v>
      </c>
      <c r="B66" s="9" t="s">
        <v>96</v>
      </c>
      <c r="C66" s="12">
        <v>984</v>
      </c>
      <c r="D66" s="12">
        <v>385.44445365667343</v>
      </c>
      <c r="E66" s="12">
        <v>5060</v>
      </c>
      <c r="F66" s="11">
        <v>0.19446640316205532</v>
      </c>
      <c r="G66" s="11">
        <v>0.39171184314702584</v>
      </c>
      <c r="H66" s="11">
        <v>7.6174793212781311E-2</v>
      </c>
      <c r="I66" s="12">
        <v>2956</v>
      </c>
      <c r="J66" s="12">
        <v>1198.777809292078</v>
      </c>
      <c r="K66" s="12">
        <v>13397</v>
      </c>
      <c r="L66" s="14">
        <v>0.22064641337612897</v>
      </c>
      <c r="M66" s="14">
        <v>0.40554053088365294</v>
      </c>
      <c r="N66" s="14">
        <v>8.9481063618129283E-2</v>
      </c>
      <c r="O66" s="14">
        <f t="shared" si="0"/>
        <v>0.8512951247189684</v>
      </c>
      <c r="P66" s="17"/>
      <c r="S66" s="28"/>
      <c r="V66" s="18"/>
      <c r="W66" s="18"/>
      <c r="X66" s="18"/>
      <c r="Y66" s="6"/>
      <c r="Z66" s="6"/>
      <c r="AA66" s="6"/>
      <c r="AB66" s="18"/>
      <c r="AC66" s="18"/>
      <c r="AD66" s="18"/>
      <c r="AE66" s="18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</row>
    <row r="67" spans="1:50">
      <c r="A67" s="8">
        <v>20702</v>
      </c>
      <c r="B67" s="9" t="s">
        <v>97</v>
      </c>
      <c r="C67" s="12">
        <v>364</v>
      </c>
      <c r="D67" s="12">
        <v>137.77778112888336</v>
      </c>
      <c r="E67" s="12">
        <v>2332</v>
      </c>
      <c r="F67" s="11">
        <v>0.15608919382504288</v>
      </c>
      <c r="G67" s="11">
        <v>0.37851038771671253</v>
      </c>
      <c r="H67" s="11">
        <v>5.9081381273106075E-2</v>
      </c>
      <c r="I67" s="12">
        <v>844</v>
      </c>
      <c r="J67" s="12">
        <v>304.33334100246429</v>
      </c>
      <c r="K67" s="12">
        <v>6144</v>
      </c>
      <c r="L67" s="14">
        <v>0.13736979166666666</v>
      </c>
      <c r="M67" s="14">
        <v>0.36058452725410461</v>
      </c>
      <c r="N67" s="14">
        <v>4.9533421387119837E-2</v>
      </c>
      <c r="O67" s="14">
        <f t="shared" si="0"/>
        <v>1.1927579322931445</v>
      </c>
      <c r="P67" s="17"/>
      <c r="S67" s="28"/>
      <c r="V67" s="18"/>
      <c r="W67" s="18"/>
      <c r="X67" s="18"/>
      <c r="Y67" s="6"/>
      <c r="Z67" s="6"/>
      <c r="AA67" s="6"/>
      <c r="AB67" s="18"/>
      <c r="AC67" s="18"/>
      <c r="AD67" s="18"/>
      <c r="AE67" s="18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</row>
    <row r="68" spans="1:50">
      <c r="A68" s="8">
        <v>20801</v>
      </c>
      <c r="B68" s="9" t="s">
        <v>98</v>
      </c>
      <c r="C68" s="12">
        <v>3073</v>
      </c>
      <c r="D68" s="12">
        <v>1122.444472938776</v>
      </c>
      <c r="E68" s="12">
        <v>44368</v>
      </c>
      <c r="F68" s="11">
        <v>6.9261630003606203E-2</v>
      </c>
      <c r="G68" s="11">
        <v>0.3652601604096245</v>
      </c>
      <c r="H68" s="11">
        <v>2.5298514085349263E-2</v>
      </c>
      <c r="I68" s="12">
        <v>3572</v>
      </c>
      <c r="J68" s="12">
        <v>1282.0000323653221</v>
      </c>
      <c r="K68" s="12">
        <v>66570</v>
      </c>
      <c r="L68" s="14">
        <v>5.365780381553252E-2</v>
      </c>
      <c r="M68" s="14">
        <v>0.35890258464874641</v>
      </c>
      <c r="N68" s="14">
        <v>1.9257924475969988E-2</v>
      </c>
      <c r="O68" s="14">
        <f t="shared" si="0"/>
        <v>1.3136677380221693</v>
      </c>
      <c r="P68" s="17"/>
      <c r="S68" s="28"/>
      <c r="V68" s="18"/>
      <c r="W68" s="18"/>
      <c r="X68" s="18"/>
      <c r="Y68" s="6"/>
      <c r="Z68" s="6"/>
      <c r="AA68" s="6"/>
      <c r="AB68" s="18"/>
      <c r="AC68" s="18"/>
      <c r="AD68" s="18"/>
      <c r="AE68" s="18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</row>
    <row r="69" spans="1:50">
      <c r="A69" s="8">
        <v>20802</v>
      </c>
      <c r="B69" s="9" t="s">
        <v>99</v>
      </c>
      <c r="C69" s="12">
        <v>291</v>
      </c>
      <c r="D69" s="12">
        <v>104.77778041362762</v>
      </c>
      <c r="E69" s="12">
        <v>2965</v>
      </c>
      <c r="F69" s="11">
        <v>9.8145025295109614E-2</v>
      </c>
      <c r="G69" s="11">
        <v>0.36006110107775818</v>
      </c>
      <c r="H69" s="11">
        <v>3.53382058730616E-2</v>
      </c>
      <c r="I69" s="12">
        <v>345</v>
      </c>
      <c r="J69" s="12">
        <v>126.33333659172058</v>
      </c>
      <c r="K69" s="12">
        <v>5190</v>
      </c>
      <c r="L69" s="14">
        <v>6.6473988439306353E-2</v>
      </c>
      <c r="M69" s="14">
        <v>0.36618358432382775</v>
      </c>
      <c r="N69" s="14">
        <v>2.434168335100589E-2</v>
      </c>
      <c r="O69" s="14">
        <f t="shared" si="0"/>
        <v>1.451756863462826</v>
      </c>
      <c r="P69" s="17"/>
      <c r="S69" s="28"/>
      <c r="V69" s="18"/>
      <c r="W69" s="18"/>
      <c r="X69" s="18"/>
      <c r="Y69" s="6"/>
      <c r="Z69" s="6"/>
      <c r="AA69" s="6"/>
      <c r="AB69" s="18"/>
      <c r="AC69" s="18"/>
      <c r="AD69" s="18"/>
      <c r="AE69" s="18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</row>
    <row r="70" spans="1:50">
      <c r="A70" s="8">
        <v>20803</v>
      </c>
      <c r="B70" s="9" t="s">
        <v>100</v>
      </c>
      <c r="C70" s="12">
        <v>1147</v>
      </c>
      <c r="D70" s="12">
        <v>445.66667693853378</v>
      </c>
      <c r="E70" s="12">
        <v>5121</v>
      </c>
      <c r="F70" s="11">
        <v>0.22397969146651045</v>
      </c>
      <c r="G70" s="11">
        <v>0.3885498491181637</v>
      </c>
      <c r="H70" s="11">
        <v>8.7027275324845499E-2</v>
      </c>
      <c r="I70" s="12">
        <v>1512</v>
      </c>
      <c r="J70" s="12">
        <v>586.88890352845192</v>
      </c>
      <c r="K70" s="12">
        <v>8484</v>
      </c>
      <c r="L70" s="14">
        <v>0.17821782178217821</v>
      </c>
      <c r="M70" s="14">
        <v>0.38815403672516663</v>
      </c>
      <c r="N70" s="14">
        <v>6.9175966941118799E-2</v>
      </c>
      <c r="O70" s="14">
        <f t="shared" si="0"/>
        <v>1.2580565068056278</v>
      </c>
      <c r="P70" s="17"/>
      <c r="S70" s="28"/>
      <c r="V70" s="18"/>
      <c r="W70" s="18"/>
      <c r="X70" s="18"/>
      <c r="Y70" s="6"/>
      <c r="Z70" s="6"/>
      <c r="AA70" s="6"/>
      <c r="AB70" s="18"/>
      <c r="AC70" s="18"/>
      <c r="AD70" s="18"/>
      <c r="AE70" s="18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</row>
    <row r="71" spans="1:50">
      <c r="A71" s="8">
        <v>20804</v>
      </c>
      <c r="B71" s="9" t="s">
        <v>101</v>
      </c>
      <c r="C71" s="12">
        <v>126</v>
      </c>
      <c r="D71" s="12">
        <v>44.777778923511505</v>
      </c>
      <c r="E71" s="12">
        <v>2312</v>
      </c>
      <c r="F71" s="11">
        <v>5.4498269896193774E-2</v>
      </c>
      <c r="G71" s="11">
        <v>0.35537919780564686</v>
      </c>
      <c r="H71" s="11">
        <v>1.9367551437504977E-2</v>
      </c>
      <c r="I71" s="12">
        <v>168</v>
      </c>
      <c r="J71" s="12">
        <v>61.111112654209137</v>
      </c>
      <c r="K71" s="12">
        <v>5448</v>
      </c>
      <c r="L71" s="14">
        <v>3.0837004405286344E-2</v>
      </c>
      <c r="M71" s="14">
        <v>0.36375662294172106</v>
      </c>
      <c r="N71" s="14">
        <v>1.1217164584105935E-2</v>
      </c>
      <c r="O71" s="14">
        <f t="shared" si="0"/>
        <v>1.7265995601907866</v>
      </c>
      <c r="P71" s="17"/>
      <c r="S71" s="28"/>
      <c r="V71" s="18"/>
      <c r="W71" s="18"/>
      <c r="X71" s="18"/>
      <c r="Y71" s="6"/>
      <c r="Z71" s="6"/>
      <c r="AA71" s="6"/>
      <c r="AB71" s="18"/>
      <c r="AC71" s="18"/>
      <c r="AD71" s="18"/>
      <c r="AE71" s="18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</row>
    <row r="72" spans="1:50">
      <c r="A72" s="8">
        <v>20805</v>
      </c>
      <c r="B72" s="9" t="s">
        <v>102</v>
      </c>
      <c r="C72" s="12">
        <v>527</v>
      </c>
      <c r="D72" s="12">
        <v>194.00000503659248</v>
      </c>
      <c r="E72" s="12">
        <v>3393</v>
      </c>
      <c r="F72" s="11">
        <v>0.15531977600943117</v>
      </c>
      <c r="G72" s="11">
        <v>0.36812145168233867</v>
      </c>
      <c r="H72" s="11">
        <v>5.7176541419567482E-2</v>
      </c>
      <c r="I72" s="12">
        <v>684</v>
      </c>
      <c r="J72" s="12">
        <v>252.33333921432495</v>
      </c>
      <c r="K72" s="12">
        <v>4455</v>
      </c>
      <c r="L72" s="14">
        <v>0.15353535353535352</v>
      </c>
      <c r="M72" s="14">
        <v>0.36890839066421777</v>
      </c>
      <c r="N72" s="14">
        <v>5.6640480182788985E-2</v>
      </c>
      <c r="O72" s="14">
        <f t="shared" si="0"/>
        <v>1.0094642777576837</v>
      </c>
      <c r="P72" s="17"/>
      <c r="S72" s="28"/>
      <c r="V72" s="18"/>
      <c r="W72" s="18"/>
      <c r="X72" s="18"/>
      <c r="Y72" s="6"/>
      <c r="Z72" s="6"/>
      <c r="AA72" s="6"/>
      <c r="AB72" s="18"/>
      <c r="AC72" s="18"/>
      <c r="AD72" s="18"/>
      <c r="AE72" s="18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</row>
    <row r="73" spans="1:50">
      <c r="A73" s="8">
        <v>20806</v>
      </c>
      <c r="B73" s="9" t="s">
        <v>103</v>
      </c>
      <c r="C73" s="12">
        <v>854</v>
      </c>
      <c r="D73" s="12">
        <v>313.66667479276657</v>
      </c>
      <c r="E73" s="12">
        <v>5968</v>
      </c>
      <c r="F73" s="11">
        <v>0.14309651474530832</v>
      </c>
      <c r="G73" s="11">
        <v>0.36729118828192808</v>
      </c>
      <c r="H73" s="11">
        <v>5.2558088939806735E-2</v>
      </c>
      <c r="I73" s="12">
        <v>1235</v>
      </c>
      <c r="J73" s="12">
        <v>453.66667798161507</v>
      </c>
      <c r="K73" s="12">
        <v>10953</v>
      </c>
      <c r="L73" s="14">
        <v>0.11275449648498129</v>
      </c>
      <c r="M73" s="14">
        <v>0.36734143966122679</v>
      </c>
      <c r="N73" s="14">
        <v>4.1419399067069762E-2</v>
      </c>
      <c r="O73" s="14">
        <f t="shared" si="0"/>
        <v>1.2689244683318623</v>
      </c>
      <c r="P73" s="17"/>
      <c r="S73" s="28"/>
      <c r="V73" s="18"/>
      <c r="W73" s="18"/>
      <c r="X73" s="18"/>
      <c r="Y73" s="6"/>
      <c r="Z73" s="6"/>
      <c r="AA73" s="6"/>
      <c r="AB73" s="18"/>
      <c r="AC73" s="18"/>
      <c r="AD73" s="18"/>
      <c r="AE73" s="18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</row>
    <row r="74" spans="1:50">
      <c r="A74" s="8">
        <v>20807</v>
      </c>
      <c r="B74" s="9" t="s">
        <v>104</v>
      </c>
      <c r="C74" s="12">
        <v>411</v>
      </c>
      <c r="D74" s="12">
        <v>154.0000037252903</v>
      </c>
      <c r="E74" s="12">
        <v>2433</v>
      </c>
      <c r="F74" s="11">
        <v>0.16892725030826142</v>
      </c>
      <c r="G74" s="11">
        <v>0.37469587281092531</v>
      </c>
      <c r="H74" s="11">
        <v>6.3296343495803667E-2</v>
      </c>
      <c r="I74" s="12">
        <v>437</v>
      </c>
      <c r="J74" s="12">
        <v>154.55555936694145</v>
      </c>
      <c r="K74" s="12">
        <v>5016</v>
      </c>
      <c r="L74" s="14">
        <v>8.7121212121212127E-2</v>
      </c>
      <c r="M74" s="14">
        <v>0.35367404889460285</v>
      </c>
      <c r="N74" s="14">
        <v>3.0812511835514644E-2</v>
      </c>
      <c r="O74" s="14">
        <f t="shared" si="0"/>
        <v>2.054241596196257</v>
      </c>
      <c r="P74" s="17"/>
      <c r="S74" s="28"/>
      <c r="V74" s="18"/>
      <c r="W74" s="18"/>
      <c r="X74" s="18"/>
      <c r="Y74" s="6"/>
      <c r="Z74" s="6"/>
      <c r="AA74" s="6"/>
      <c r="AB74" s="18"/>
      <c r="AC74" s="18"/>
      <c r="AD74" s="18"/>
      <c r="AE74" s="18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</row>
    <row r="75" spans="1:50">
      <c r="A75" s="8">
        <v>20901</v>
      </c>
      <c r="B75" s="9" t="s">
        <v>105</v>
      </c>
      <c r="C75" s="12">
        <v>500</v>
      </c>
      <c r="D75" s="12">
        <v>182.66667130589485</v>
      </c>
      <c r="E75" s="12">
        <v>3581</v>
      </c>
      <c r="F75" s="11">
        <v>0.13962580284836637</v>
      </c>
      <c r="G75" s="11">
        <v>0.36533334261178968</v>
      </c>
      <c r="H75" s="11">
        <v>5.1009961269448428E-2</v>
      </c>
      <c r="I75" s="12">
        <v>699</v>
      </c>
      <c r="J75" s="12">
        <v>256.22222861647606</v>
      </c>
      <c r="K75" s="12">
        <v>7062</v>
      </c>
      <c r="L75" s="14">
        <v>9.8980458793542905E-2</v>
      </c>
      <c r="M75" s="14">
        <v>0.36655540574603157</v>
      </c>
      <c r="N75" s="14">
        <v>3.6281822233995481E-2</v>
      </c>
      <c r="O75" s="14">
        <f t="shared" si="0"/>
        <v>1.4059371367971953</v>
      </c>
      <c r="P75" s="17"/>
      <c r="S75" s="28"/>
      <c r="V75" s="18"/>
      <c r="W75" s="18"/>
      <c r="X75" s="18"/>
      <c r="Y75" s="6"/>
      <c r="Z75" s="6"/>
      <c r="AA75" s="6"/>
      <c r="AB75" s="18"/>
      <c r="AC75" s="18"/>
      <c r="AD75" s="18"/>
      <c r="AE75" s="18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</row>
    <row r="76" spans="1:50">
      <c r="A76" s="8">
        <v>20902</v>
      </c>
      <c r="B76" s="9" t="s">
        <v>106</v>
      </c>
      <c r="C76" s="12">
        <v>1027</v>
      </c>
      <c r="D76" s="12">
        <v>385.55556535720825</v>
      </c>
      <c r="E76" s="12">
        <v>6103</v>
      </c>
      <c r="F76" s="11">
        <v>0.16827789611666394</v>
      </c>
      <c r="G76" s="11">
        <v>0.37541924572269547</v>
      </c>
      <c r="H76" s="11">
        <v>6.3174760831920085E-2</v>
      </c>
      <c r="I76" s="12">
        <v>1308</v>
      </c>
      <c r="J76" s="12">
        <v>476.00001204013824</v>
      </c>
      <c r="K76" s="12">
        <v>10363</v>
      </c>
      <c r="L76" s="14">
        <v>0.12621827656084145</v>
      </c>
      <c r="M76" s="14">
        <v>0.36391438229368367</v>
      </c>
      <c r="N76" s="14">
        <v>4.5932646148811949E-2</v>
      </c>
      <c r="O76" s="14">
        <f t="shared" si="0"/>
        <v>1.3753782141626976</v>
      </c>
      <c r="P76" s="17"/>
      <c r="S76" s="28"/>
      <c r="V76" s="18"/>
      <c r="W76" s="18"/>
      <c r="X76" s="18"/>
      <c r="Y76" s="6"/>
      <c r="Z76" s="6"/>
      <c r="AA76" s="6"/>
      <c r="AB76" s="18"/>
      <c r="AC76" s="18"/>
      <c r="AD76" s="18"/>
      <c r="AE76" s="18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</row>
    <row r="77" spans="1:50">
      <c r="A77" s="8">
        <v>20903</v>
      </c>
      <c r="B77" s="9" t="s">
        <v>107</v>
      </c>
      <c r="C77" s="12">
        <v>1171</v>
      </c>
      <c r="D77" s="12">
        <v>450.33334472775459</v>
      </c>
      <c r="E77" s="12">
        <v>3929</v>
      </c>
      <c r="F77" s="11">
        <v>0.29804021379485873</v>
      </c>
      <c r="G77" s="11">
        <v>0.38457160096306969</v>
      </c>
      <c r="H77" s="11">
        <v>0.1146178021704644</v>
      </c>
      <c r="I77" s="12">
        <v>1793</v>
      </c>
      <c r="J77" s="12">
        <v>678.55557206273079</v>
      </c>
      <c r="K77" s="12">
        <v>8281</v>
      </c>
      <c r="L77" s="14">
        <v>0.21651974399227147</v>
      </c>
      <c r="M77" s="14">
        <v>0.37844705636515941</v>
      </c>
      <c r="N77" s="14">
        <v>8.1941259758813043E-2</v>
      </c>
      <c r="O77" s="14">
        <f t="shared" si="0"/>
        <v>1.398780083535839</v>
      </c>
      <c r="P77" s="17"/>
      <c r="S77" s="28"/>
      <c r="V77" s="18"/>
      <c r="W77" s="18"/>
      <c r="X77" s="18"/>
      <c r="Y77" s="6"/>
      <c r="Z77" s="6"/>
      <c r="AA77" s="6"/>
      <c r="AB77" s="18"/>
      <c r="AC77" s="18"/>
      <c r="AD77" s="18"/>
      <c r="AE77" s="18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</row>
    <row r="78" spans="1:50">
      <c r="A78" s="8">
        <v>20904</v>
      </c>
      <c r="B78" s="9" t="s">
        <v>108</v>
      </c>
      <c r="C78" s="12">
        <v>461</v>
      </c>
      <c r="D78" s="12">
        <v>177.55556008219719</v>
      </c>
      <c r="E78" s="12">
        <v>1979</v>
      </c>
      <c r="F78" s="11">
        <v>0.23294593228903487</v>
      </c>
      <c r="G78" s="11">
        <v>0.38515305874663164</v>
      </c>
      <c r="H78" s="11">
        <v>8.9719838343707531E-2</v>
      </c>
      <c r="I78" s="12">
        <v>708</v>
      </c>
      <c r="J78" s="12">
        <v>265.33334019780159</v>
      </c>
      <c r="K78" s="12">
        <v>3251</v>
      </c>
      <c r="L78" s="14">
        <v>0.21777914487849892</v>
      </c>
      <c r="M78" s="14">
        <v>0.3747646047991548</v>
      </c>
      <c r="N78" s="14">
        <v>8.1615915163888525E-2</v>
      </c>
      <c r="O78" s="14">
        <f t="shared" si="0"/>
        <v>1.0992934179999814</v>
      </c>
      <c r="P78" s="17"/>
      <c r="S78" s="28"/>
      <c r="V78" s="18"/>
      <c r="W78" s="18"/>
      <c r="X78" s="18"/>
      <c r="Y78" s="6"/>
      <c r="Z78" s="6"/>
      <c r="AA78" s="6"/>
      <c r="AB78" s="18"/>
      <c r="AC78" s="18"/>
      <c r="AD78" s="18"/>
      <c r="AE78" s="18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</row>
    <row r="79" spans="1:50">
      <c r="A79" s="8">
        <v>20905</v>
      </c>
      <c r="B79" s="9" t="s">
        <v>109</v>
      </c>
      <c r="C79" s="12">
        <v>825</v>
      </c>
      <c r="D79" s="12">
        <v>311.33334082365036</v>
      </c>
      <c r="E79" s="12">
        <v>4000</v>
      </c>
      <c r="F79" s="11">
        <v>0.20624999999999999</v>
      </c>
      <c r="G79" s="11">
        <v>0.37737374645290955</v>
      </c>
      <c r="H79" s="11">
        <v>7.7833335205912596E-2</v>
      </c>
      <c r="I79" s="12">
        <v>1411</v>
      </c>
      <c r="J79" s="12">
        <v>519.77779054641724</v>
      </c>
      <c r="K79" s="12">
        <v>9543</v>
      </c>
      <c r="L79" s="14">
        <v>0.14785706800796394</v>
      </c>
      <c r="M79" s="14">
        <v>0.36837547168420781</v>
      </c>
      <c r="N79" s="14">
        <v>5.4466917169277713E-2</v>
      </c>
      <c r="O79" s="14">
        <f t="shared" si="0"/>
        <v>1.4290020300582535</v>
      </c>
      <c r="P79" s="17"/>
      <c r="S79" s="28"/>
      <c r="V79" s="18"/>
      <c r="W79" s="18"/>
      <c r="X79" s="18"/>
      <c r="Y79" s="6"/>
      <c r="Z79" s="6"/>
      <c r="AA79" s="6"/>
      <c r="AB79" s="18"/>
      <c r="AC79" s="18"/>
      <c r="AD79" s="18"/>
      <c r="AE79" s="18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</row>
    <row r="80" spans="1:50">
      <c r="A80" s="8">
        <v>21001</v>
      </c>
      <c r="B80" s="9" t="s">
        <v>110</v>
      </c>
      <c r="C80" s="12">
        <v>1550</v>
      </c>
      <c r="D80" s="12">
        <v>591.66668063402176</v>
      </c>
      <c r="E80" s="12">
        <v>5170</v>
      </c>
      <c r="F80" s="11">
        <v>0.29980657640232106</v>
      </c>
      <c r="G80" s="11">
        <v>0.38172043911872372</v>
      </c>
      <c r="H80" s="11">
        <v>0.11444229799497518</v>
      </c>
      <c r="I80" s="12">
        <v>3468</v>
      </c>
      <c r="J80" s="12">
        <v>1298.3333649933338</v>
      </c>
      <c r="K80" s="12">
        <v>13453</v>
      </c>
      <c r="L80" s="14">
        <v>0.25778636735300675</v>
      </c>
      <c r="M80" s="14">
        <v>0.37437524942137651</v>
      </c>
      <c r="N80" s="14">
        <v>9.650883557521249E-2</v>
      </c>
      <c r="O80" s="14">
        <f t="shared" si="0"/>
        <v>1.1858219748780054</v>
      </c>
      <c r="P80" s="17"/>
      <c r="S80" s="28"/>
      <c r="V80" s="18"/>
      <c r="W80" s="18"/>
      <c r="X80" s="18"/>
      <c r="Y80" s="6"/>
      <c r="Z80" s="6"/>
      <c r="AA80" s="6"/>
      <c r="AB80" s="18"/>
      <c r="AC80" s="18"/>
      <c r="AD80" s="18"/>
      <c r="AE80" s="18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</row>
    <row r="81" spans="1:50">
      <c r="A81" s="8">
        <v>21002</v>
      </c>
      <c r="B81" s="9" t="s">
        <v>111</v>
      </c>
      <c r="C81" s="12">
        <v>552</v>
      </c>
      <c r="D81" s="12">
        <v>205.55556046962738</v>
      </c>
      <c r="E81" s="12">
        <v>3978</v>
      </c>
      <c r="F81" s="11">
        <v>0.13876319758672701</v>
      </c>
      <c r="G81" s="11">
        <v>0.37238326172033948</v>
      </c>
      <c r="H81" s="11">
        <v>5.167309212408934E-2</v>
      </c>
      <c r="I81" s="12">
        <v>882</v>
      </c>
      <c r="J81" s="12">
        <v>334.44445234537125</v>
      </c>
      <c r="K81" s="12">
        <v>6123</v>
      </c>
      <c r="L81" s="14">
        <v>0.14404703576678099</v>
      </c>
      <c r="M81" s="14">
        <v>0.37918872148001276</v>
      </c>
      <c r="N81" s="14">
        <v>5.462101132539135E-2</v>
      </c>
      <c r="O81" s="14">
        <f t="shared" si="0"/>
        <v>0.94602957488757389</v>
      </c>
      <c r="P81" s="17"/>
      <c r="S81" s="28"/>
      <c r="V81" s="18"/>
      <c r="W81" s="18"/>
      <c r="X81" s="18"/>
      <c r="Y81" s="6"/>
      <c r="Z81" s="6"/>
      <c r="AA81" s="6"/>
      <c r="AB81" s="18"/>
      <c r="AC81" s="18"/>
      <c r="AD81" s="18"/>
      <c r="AE81" s="18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</row>
    <row r="82" spans="1:50">
      <c r="A82" s="8">
        <v>21003</v>
      </c>
      <c r="B82" s="9" t="s">
        <v>112</v>
      </c>
      <c r="C82" s="12">
        <v>560</v>
      </c>
      <c r="D82" s="12">
        <v>209.00000497698784</v>
      </c>
      <c r="E82" s="12">
        <v>5591</v>
      </c>
      <c r="F82" s="11">
        <v>0.10016097299230907</v>
      </c>
      <c r="G82" s="11">
        <v>0.37321429460176397</v>
      </c>
      <c r="H82" s="11">
        <v>3.7381506881950959E-2</v>
      </c>
      <c r="I82" s="12">
        <v>941</v>
      </c>
      <c r="J82" s="12">
        <v>348.00000855326653</v>
      </c>
      <c r="K82" s="12">
        <v>9821</v>
      </c>
      <c r="L82" s="14">
        <v>9.581509011302311E-2</v>
      </c>
      <c r="M82" s="14">
        <v>0.3698193502160112</v>
      </c>
      <c r="N82" s="14">
        <v>3.5434274366486766E-2</v>
      </c>
      <c r="O82" s="14">
        <f t="shared" si="0"/>
        <v>1.0549533622538594</v>
      </c>
      <c r="P82" s="17"/>
      <c r="S82" s="28"/>
      <c r="V82" s="18"/>
      <c r="W82" s="18"/>
      <c r="X82" s="18"/>
      <c r="Y82" s="6"/>
      <c r="Z82" s="6"/>
      <c r="AA82" s="6"/>
      <c r="AB82" s="18"/>
      <c r="AC82" s="18"/>
      <c r="AD82" s="18"/>
      <c r="AE82" s="18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</row>
    <row r="83" spans="1:50">
      <c r="A83" s="8">
        <v>21004</v>
      </c>
      <c r="B83" s="9" t="s">
        <v>113</v>
      </c>
      <c r="C83" s="12">
        <v>1238</v>
      </c>
      <c r="D83" s="12">
        <v>458.77778962254524</v>
      </c>
      <c r="E83" s="12">
        <v>6319</v>
      </c>
      <c r="F83" s="11">
        <v>0.19591707548662762</v>
      </c>
      <c r="G83" s="11">
        <v>0.37057979775649857</v>
      </c>
      <c r="H83" s="11">
        <v>7.2602910210879126E-2</v>
      </c>
      <c r="I83" s="12">
        <v>2567</v>
      </c>
      <c r="J83" s="12">
        <v>944.66669023036957</v>
      </c>
      <c r="K83" s="12">
        <v>16738</v>
      </c>
      <c r="L83" s="14">
        <v>0.15336360377583941</v>
      </c>
      <c r="M83" s="14">
        <v>0.36800416448397721</v>
      </c>
      <c r="N83" s="14">
        <v>5.6438444869779517E-2</v>
      </c>
      <c r="O83" s="14">
        <f t="shared" si="0"/>
        <v>1.2864087658403043</v>
      </c>
      <c r="P83" s="17"/>
      <c r="S83" s="28"/>
      <c r="V83" s="18"/>
      <c r="W83" s="18"/>
      <c r="X83" s="18"/>
      <c r="Y83" s="6"/>
      <c r="Z83" s="6"/>
      <c r="AA83" s="6"/>
      <c r="AB83" s="18"/>
      <c r="AC83" s="18"/>
      <c r="AD83" s="18"/>
      <c r="AE83" s="18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</row>
    <row r="84" spans="1:50">
      <c r="A84" s="8">
        <v>21005</v>
      </c>
      <c r="B84" s="9" t="s">
        <v>114</v>
      </c>
      <c r="C84" s="12">
        <v>1241</v>
      </c>
      <c r="D84" s="12">
        <v>475.11112248897552</v>
      </c>
      <c r="E84" s="12">
        <v>2933</v>
      </c>
      <c r="F84" s="11">
        <v>0.42311626321172863</v>
      </c>
      <c r="G84" s="11">
        <v>0.38284538476146296</v>
      </c>
      <c r="H84" s="11">
        <v>0.16198810858812668</v>
      </c>
      <c r="I84" s="12">
        <v>2380</v>
      </c>
      <c r="J84" s="12">
        <v>894.77779930830002</v>
      </c>
      <c r="K84" s="12">
        <v>6583</v>
      </c>
      <c r="L84" s="14">
        <v>0.36153729302749504</v>
      </c>
      <c r="M84" s="14">
        <v>0.37595705853289918</v>
      </c>
      <c r="N84" s="14">
        <v>0.13592249723656388</v>
      </c>
      <c r="O84" s="14">
        <f t="shared" si="0"/>
        <v>1.1917681905608117</v>
      </c>
      <c r="P84" s="17"/>
      <c r="S84" s="28"/>
      <c r="V84" s="18"/>
      <c r="W84" s="18"/>
      <c r="X84" s="18"/>
      <c r="Y84" s="6"/>
      <c r="Z84" s="6"/>
      <c r="AA84" s="6"/>
      <c r="AB84" s="18"/>
      <c r="AC84" s="18"/>
      <c r="AD84" s="18"/>
      <c r="AE84" s="18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</row>
    <row r="85" spans="1:50">
      <c r="A85" s="8">
        <v>21006</v>
      </c>
      <c r="B85" s="9" t="s">
        <v>115</v>
      </c>
      <c r="C85" s="12">
        <v>391</v>
      </c>
      <c r="D85" s="12">
        <v>146.00000295042992</v>
      </c>
      <c r="E85" s="12">
        <v>2727</v>
      </c>
      <c r="F85" s="11">
        <v>0.14338100476714338</v>
      </c>
      <c r="G85" s="11">
        <v>0.37340154207271076</v>
      </c>
      <c r="H85" s="11">
        <v>5.353868828398603E-2</v>
      </c>
      <c r="I85" s="12">
        <v>778</v>
      </c>
      <c r="J85" s="12">
        <v>300.00000676512718</v>
      </c>
      <c r="K85" s="12">
        <v>5104</v>
      </c>
      <c r="L85" s="14">
        <v>0.1524294670846395</v>
      </c>
      <c r="M85" s="14">
        <v>0.38560412180607606</v>
      </c>
      <c r="N85" s="14">
        <v>5.8777430792540594E-2</v>
      </c>
      <c r="O85" s="14">
        <f t="shared" si="0"/>
        <v>0.91087152946434313</v>
      </c>
      <c r="P85" s="17"/>
      <c r="S85" s="28"/>
      <c r="V85" s="18"/>
      <c r="W85" s="18"/>
      <c r="X85" s="18"/>
      <c r="Y85" s="6"/>
      <c r="Z85" s="6"/>
      <c r="AA85" s="6"/>
      <c r="AB85" s="18"/>
      <c r="AC85" s="18"/>
      <c r="AD85" s="18"/>
      <c r="AE85" s="18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</row>
    <row r="86" spans="1:50">
      <c r="A86" s="8">
        <v>21101</v>
      </c>
      <c r="B86" s="9" t="s">
        <v>116</v>
      </c>
      <c r="C86" s="12">
        <v>499</v>
      </c>
      <c r="D86" s="12">
        <v>182.44444945454597</v>
      </c>
      <c r="E86" s="12">
        <v>7457</v>
      </c>
      <c r="F86" s="11">
        <v>6.6916990746949179E-2</v>
      </c>
      <c r="G86" s="11">
        <v>0.36562013918746689</v>
      </c>
      <c r="H86" s="11">
        <v>2.4466199470905992E-2</v>
      </c>
      <c r="I86" s="12">
        <v>472</v>
      </c>
      <c r="J86" s="12">
        <v>170.1111156642437</v>
      </c>
      <c r="K86" s="12">
        <v>10655</v>
      </c>
      <c r="L86" s="14">
        <v>4.4298451431252932E-2</v>
      </c>
      <c r="M86" s="14">
        <v>0.36040490606831294</v>
      </c>
      <c r="N86" s="14">
        <v>1.5965379227052434E-2</v>
      </c>
      <c r="O86" s="14">
        <f t="shared" si="0"/>
        <v>1.5324533869793333</v>
      </c>
      <c r="P86" s="17"/>
      <c r="S86" s="28"/>
      <c r="V86" s="18"/>
      <c r="W86" s="18"/>
      <c r="X86" s="18"/>
      <c r="Y86" s="6"/>
      <c r="Z86" s="6"/>
      <c r="AA86" s="6"/>
      <c r="AB86" s="18"/>
      <c r="AC86" s="18"/>
      <c r="AD86" s="18"/>
      <c r="AE86" s="18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</row>
    <row r="87" spans="1:50">
      <c r="A87" s="8">
        <v>21102</v>
      </c>
      <c r="B87" s="9" t="s">
        <v>117</v>
      </c>
      <c r="C87" s="12">
        <v>1052</v>
      </c>
      <c r="D87" s="12">
        <v>384.44445395469666</v>
      </c>
      <c r="E87" s="12">
        <v>8159</v>
      </c>
      <c r="F87" s="11">
        <v>0.1289373697757078</v>
      </c>
      <c r="G87" s="11">
        <v>0.3654414961546546</v>
      </c>
      <c r="H87" s="11">
        <v>4.7119065321080601E-2</v>
      </c>
      <c r="I87" s="12">
        <v>1623</v>
      </c>
      <c r="J87" s="12">
        <v>592.55556988716125</v>
      </c>
      <c r="K87" s="12">
        <v>13846</v>
      </c>
      <c r="L87" s="14">
        <v>0.11721796908854543</v>
      </c>
      <c r="M87" s="14">
        <v>0.36509893400318005</v>
      </c>
      <c r="N87" s="14">
        <v>4.2796155560245644E-2</v>
      </c>
      <c r="O87" s="14">
        <f t="shared" si="0"/>
        <v>1.1010116377100612</v>
      </c>
      <c r="P87" s="17"/>
      <c r="S87" s="28"/>
      <c r="V87" s="18"/>
      <c r="W87" s="18"/>
      <c r="X87" s="18"/>
      <c r="Y87" s="6"/>
      <c r="Z87" s="6"/>
      <c r="AA87" s="6"/>
      <c r="AB87" s="18"/>
      <c r="AC87" s="18"/>
      <c r="AD87" s="18"/>
      <c r="AE87" s="18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</row>
    <row r="88" spans="1:50">
      <c r="A88" s="8">
        <v>21103</v>
      </c>
      <c r="B88" s="9" t="s">
        <v>118</v>
      </c>
      <c r="C88" s="12">
        <v>163</v>
      </c>
      <c r="D88" s="12">
        <v>60.666668295860291</v>
      </c>
      <c r="E88" s="12">
        <v>2644</v>
      </c>
      <c r="F88" s="11">
        <v>6.1649016641452344E-2</v>
      </c>
      <c r="G88" s="11">
        <v>0.3721881490543576</v>
      </c>
      <c r="H88" s="11">
        <v>2.2945033394803437E-2</v>
      </c>
      <c r="I88" s="12">
        <v>258</v>
      </c>
      <c r="J88" s="12">
        <v>89.111113518476486</v>
      </c>
      <c r="K88" s="12">
        <v>4765</v>
      </c>
      <c r="L88" s="14">
        <v>5.414480587618048E-2</v>
      </c>
      <c r="M88" s="14">
        <v>0.34539191286231197</v>
      </c>
      <c r="N88" s="14">
        <v>1.8701178073132527E-2</v>
      </c>
      <c r="O88" s="14">
        <f t="shared" si="0"/>
        <v>1.2269298385949248</v>
      </c>
      <c r="P88" s="17"/>
      <c r="S88" s="28"/>
      <c r="V88" s="18"/>
      <c r="W88" s="18"/>
      <c r="X88" s="18"/>
      <c r="Y88" s="6"/>
      <c r="Z88" s="6"/>
      <c r="AA88" s="6"/>
      <c r="AB88" s="18"/>
      <c r="AC88" s="18"/>
      <c r="AD88" s="18"/>
      <c r="AE88" s="18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</row>
    <row r="89" spans="1:50">
      <c r="A89" s="8">
        <v>21104</v>
      </c>
      <c r="B89" s="9" t="s">
        <v>119</v>
      </c>
      <c r="C89" s="12">
        <v>2023</v>
      </c>
      <c r="D89" s="12">
        <v>755.00001835823059</v>
      </c>
      <c r="E89" s="12">
        <v>10947</v>
      </c>
      <c r="F89" s="11">
        <v>0.18479948844432265</v>
      </c>
      <c r="G89" s="11">
        <v>0.37320811584687624</v>
      </c>
      <c r="H89" s="11">
        <v>6.8968668891772236E-2</v>
      </c>
      <c r="I89" s="12">
        <v>3743</v>
      </c>
      <c r="J89" s="12">
        <v>1421.2222578823566</v>
      </c>
      <c r="K89" s="12">
        <v>15993</v>
      </c>
      <c r="L89" s="14">
        <v>0.23403989245294818</v>
      </c>
      <c r="M89" s="14">
        <v>0.37970137800757592</v>
      </c>
      <c r="N89" s="14">
        <v>8.8865269673129285E-2</v>
      </c>
      <c r="O89" s="14">
        <f t="shared" si="0"/>
        <v>0.77610374835363494</v>
      </c>
      <c r="P89" s="17"/>
      <c r="S89" s="28"/>
      <c r="V89" s="18"/>
      <c r="W89" s="18"/>
      <c r="X89" s="18"/>
      <c r="Y89" s="6"/>
      <c r="Z89" s="6"/>
      <c r="AA89" s="6"/>
      <c r="AB89" s="18"/>
      <c r="AC89" s="18"/>
      <c r="AD89" s="18"/>
      <c r="AE89" s="18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</row>
    <row r="90" spans="1:50">
      <c r="A90" s="8">
        <v>21105</v>
      </c>
      <c r="B90" s="9" t="s">
        <v>120</v>
      </c>
      <c r="C90" s="12">
        <v>3204</v>
      </c>
      <c r="D90" s="12">
        <v>1208.3333634436131</v>
      </c>
      <c r="E90" s="12">
        <v>17884</v>
      </c>
      <c r="F90" s="11">
        <v>0.17915455155446208</v>
      </c>
      <c r="G90" s="11">
        <v>0.37713276012597163</v>
      </c>
      <c r="H90" s="11">
        <v>6.7565050516864969E-2</v>
      </c>
      <c r="I90" s="12">
        <v>5763</v>
      </c>
      <c r="J90" s="12">
        <v>2178.8889395594597</v>
      </c>
      <c r="K90" s="12">
        <v>27234</v>
      </c>
      <c r="L90" s="14">
        <v>0.21161048689138576</v>
      </c>
      <c r="M90" s="14">
        <v>0.37808241186178376</v>
      </c>
      <c r="N90" s="14">
        <v>8.0006203259141498E-2</v>
      </c>
      <c r="O90" s="14">
        <f t="shared" si="0"/>
        <v>0.84449764848883757</v>
      </c>
      <c r="P90" s="17"/>
      <c r="S90" s="28"/>
      <c r="V90" s="18"/>
      <c r="W90" s="18"/>
      <c r="X90" s="18"/>
      <c r="Y90" s="6"/>
      <c r="Z90" s="6"/>
      <c r="AA90" s="6"/>
      <c r="AB90" s="18"/>
      <c r="AC90" s="18"/>
      <c r="AD90" s="18"/>
      <c r="AE90" s="18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</row>
    <row r="91" spans="1:50">
      <c r="A91" s="8">
        <v>21201</v>
      </c>
      <c r="B91" s="9" t="s">
        <v>121</v>
      </c>
      <c r="C91" s="12">
        <v>3587</v>
      </c>
      <c r="D91" s="12">
        <v>1331.0000335276127</v>
      </c>
      <c r="E91" s="12">
        <v>19519</v>
      </c>
      <c r="F91" s="11">
        <v>0.18376966033095957</v>
      </c>
      <c r="G91" s="11">
        <v>0.37106217829038546</v>
      </c>
      <c r="H91" s="11">
        <v>6.81899704660901E-2</v>
      </c>
      <c r="I91" s="12">
        <v>4027</v>
      </c>
      <c r="J91" s="12">
        <v>1478.7778133153915</v>
      </c>
      <c r="K91" s="12">
        <v>30002</v>
      </c>
      <c r="L91" s="14">
        <v>0.13422438504099726</v>
      </c>
      <c r="M91" s="14">
        <v>0.36721574703635251</v>
      </c>
      <c r="N91" s="14">
        <v>4.9289307823324829E-2</v>
      </c>
      <c r="O91" s="14">
        <f t="shared" si="0"/>
        <v>1.3834637465495314</v>
      </c>
      <c r="P91" s="17"/>
      <c r="S91" s="28"/>
      <c r="V91" s="18"/>
      <c r="W91" s="18"/>
      <c r="X91" s="18"/>
      <c r="Y91" s="6"/>
      <c r="Z91" s="6"/>
      <c r="AA91" s="6"/>
      <c r="AB91" s="18"/>
      <c r="AC91" s="18"/>
      <c r="AD91" s="18"/>
      <c r="AE91" s="18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</row>
    <row r="92" spans="1:50">
      <c r="A92" s="8">
        <v>21202</v>
      </c>
      <c r="B92" s="9" t="s">
        <v>122</v>
      </c>
      <c r="C92" s="12">
        <v>2122</v>
      </c>
      <c r="D92" s="12">
        <v>781.44446429610252</v>
      </c>
      <c r="E92" s="12">
        <v>13827</v>
      </c>
      <c r="F92" s="11">
        <v>0.15346785275186231</v>
      </c>
      <c r="G92" s="11">
        <v>0.36825846573803134</v>
      </c>
      <c r="H92" s="11">
        <v>5.6515835994510925E-2</v>
      </c>
      <c r="I92" s="12">
        <v>2866</v>
      </c>
      <c r="J92" s="12">
        <v>1046.7778042256832</v>
      </c>
      <c r="K92" s="12">
        <v>24665</v>
      </c>
      <c r="L92" s="14">
        <v>0.11619704034056355</v>
      </c>
      <c r="M92" s="14">
        <v>0.36523998751768433</v>
      </c>
      <c r="N92" s="14">
        <v>4.2439805563579291E-2</v>
      </c>
      <c r="O92" s="14">
        <f t="shared" si="0"/>
        <v>1.3316704740751995</v>
      </c>
      <c r="P92" s="17"/>
      <c r="S92" s="28"/>
      <c r="V92" s="18"/>
      <c r="W92" s="18"/>
      <c r="X92" s="18"/>
      <c r="Y92" s="6"/>
      <c r="Z92" s="6"/>
      <c r="AA92" s="6"/>
      <c r="AB92" s="18"/>
      <c r="AC92" s="18"/>
      <c r="AD92" s="18"/>
      <c r="AE92" s="18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</row>
    <row r="93" spans="1:50">
      <c r="A93" s="8">
        <v>21203</v>
      </c>
      <c r="B93" s="9" t="s">
        <v>123</v>
      </c>
      <c r="C93" s="12">
        <v>1293</v>
      </c>
      <c r="D93" s="12">
        <v>480.33334511518478</v>
      </c>
      <c r="E93" s="12">
        <v>7591</v>
      </c>
      <c r="F93" s="11">
        <v>0.17033328942168358</v>
      </c>
      <c r="G93" s="11">
        <v>0.37148750588954738</v>
      </c>
      <c r="H93" s="11">
        <v>6.3276688857223651E-2</v>
      </c>
      <c r="I93" s="12">
        <v>1348</v>
      </c>
      <c r="J93" s="12">
        <v>489.00001174211502</v>
      </c>
      <c r="K93" s="12">
        <v>12899</v>
      </c>
      <c r="L93" s="14">
        <v>0.1045042251337313</v>
      </c>
      <c r="M93" s="14">
        <v>0.36275965262768178</v>
      </c>
      <c r="N93" s="14">
        <v>3.7909916407637419E-2</v>
      </c>
      <c r="O93" s="14">
        <f t="shared" si="0"/>
        <v>1.6691329038244933</v>
      </c>
      <c r="P93" s="17"/>
      <c r="S93" s="28"/>
      <c r="V93" s="18"/>
      <c r="W93" s="18"/>
      <c r="X93" s="18"/>
      <c r="Y93" s="6"/>
      <c r="Z93" s="6"/>
      <c r="AA93" s="6"/>
      <c r="AB93" s="18"/>
      <c r="AC93" s="18"/>
      <c r="AD93" s="18"/>
      <c r="AE93" s="18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</row>
    <row r="94" spans="1:50">
      <c r="A94" s="8">
        <v>21204</v>
      </c>
      <c r="B94" s="9" t="s">
        <v>124</v>
      </c>
      <c r="C94" s="12">
        <v>420</v>
      </c>
      <c r="D94" s="12">
        <v>158.11111482977867</v>
      </c>
      <c r="E94" s="12">
        <v>2125</v>
      </c>
      <c r="F94" s="11">
        <v>0.1976470588235294</v>
      </c>
      <c r="G94" s="11">
        <v>0.37645503530899682</v>
      </c>
      <c r="H94" s="11">
        <v>7.4405230508131137E-2</v>
      </c>
      <c r="I94" s="12">
        <v>733</v>
      </c>
      <c r="J94" s="12">
        <v>262.6666733622551</v>
      </c>
      <c r="K94" s="12">
        <v>5689</v>
      </c>
      <c r="L94" s="14">
        <v>0.1288451397433644</v>
      </c>
      <c r="M94" s="14">
        <v>0.35834471127183504</v>
      </c>
      <c r="N94" s="14">
        <v>4.6170974400115153E-2</v>
      </c>
      <c r="O94" s="14">
        <f t="shared" si="0"/>
        <v>1.6115152750154125</v>
      </c>
      <c r="P94" s="17"/>
      <c r="S94" s="28"/>
      <c r="V94" s="18"/>
      <c r="W94" s="18"/>
      <c r="X94" s="18"/>
      <c r="Y94" s="6"/>
      <c r="Z94" s="6"/>
      <c r="AA94" s="6"/>
      <c r="AB94" s="18"/>
      <c r="AC94" s="18"/>
      <c r="AD94" s="18"/>
      <c r="AE94" s="18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</row>
    <row r="95" spans="1:50">
      <c r="A95" s="8">
        <v>21301</v>
      </c>
      <c r="B95" s="9" t="s">
        <v>125</v>
      </c>
      <c r="C95" s="12">
        <v>2351</v>
      </c>
      <c r="D95" s="12">
        <v>901.11113303899765</v>
      </c>
      <c r="E95" s="12">
        <v>11183</v>
      </c>
      <c r="F95" s="11">
        <v>0.21022981310918359</v>
      </c>
      <c r="G95" s="11">
        <v>0.38328844450829336</v>
      </c>
      <c r="H95" s="11">
        <v>8.0578658055888194E-2</v>
      </c>
      <c r="I95" s="12">
        <v>3662</v>
      </c>
      <c r="J95" s="12">
        <v>1376.7778112888336</v>
      </c>
      <c r="K95" s="12">
        <v>22559</v>
      </c>
      <c r="L95" s="14">
        <v>0.16232989050933108</v>
      </c>
      <c r="M95" s="14">
        <v>0.37596335644151657</v>
      </c>
      <c r="N95" s="14">
        <v>6.1030090486671996E-2</v>
      </c>
      <c r="O95" s="14">
        <f t="shared" si="0"/>
        <v>1.3203103159987171</v>
      </c>
      <c r="P95" s="17"/>
      <c r="S95" s="28"/>
      <c r="V95" s="18"/>
      <c r="W95" s="18"/>
      <c r="X95" s="18"/>
      <c r="Y95" s="6"/>
      <c r="Z95" s="6"/>
      <c r="AA95" s="6"/>
      <c r="AB95" s="18"/>
      <c r="AC95" s="18"/>
      <c r="AD95" s="18"/>
      <c r="AE95" s="18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</row>
    <row r="96" spans="1:50">
      <c r="A96" s="8">
        <v>21302</v>
      </c>
      <c r="B96" s="9" t="s">
        <v>126</v>
      </c>
      <c r="C96" s="12">
        <v>509</v>
      </c>
      <c r="D96" s="12">
        <v>186.55555984377861</v>
      </c>
      <c r="E96" s="12">
        <v>3110</v>
      </c>
      <c r="F96" s="11">
        <v>0.16366559485530546</v>
      </c>
      <c r="G96" s="11">
        <v>0.36651387002706998</v>
      </c>
      <c r="H96" s="11">
        <v>5.9985710560700518E-2</v>
      </c>
      <c r="I96" s="12">
        <v>901</v>
      </c>
      <c r="J96" s="12">
        <v>329.66667437553406</v>
      </c>
      <c r="K96" s="12">
        <v>5960</v>
      </c>
      <c r="L96" s="14">
        <v>0.1511744966442953</v>
      </c>
      <c r="M96" s="14">
        <v>0.36588976068316764</v>
      </c>
      <c r="N96" s="14">
        <v>5.5313200398579537E-2</v>
      </c>
      <c r="O96" s="14">
        <f t="shared" si="0"/>
        <v>1.0844736903388612</v>
      </c>
      <c r="P96" s="17"/>
      <c r="S96" s="28"/>
      <c r="V96" s="18"/>
      <c r="W96" s="18"/>
      <c r="X96" s="18"/>
      <c r="Y96" s="6"/>
      <c r="Z96" s="6"/>
      <c r="AA96" s="6"/>
      <c r="AB96" s="18"/>
      <c r="AC96" s="18"/>
      <c r="AD96" s="18"/>
      <c r="AE96" s="18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</row>
    <row r="97" spans="1:50">
      <c r="A97" s="8">
        <v>21303</v>
      </c>
      <c r="B97" s="9" t="s">
        <v>127</v>
      </c>
      <c r="C97" s="12">
        <v>1175</v>
      </c>
      <c r="D97" s="12">
        <v>436.33334416151047</v>
      </c>
      <c r="E97" s="12">
        <v>4056</v>
      </c>
      <c r="F97" s="11">
        <v>0.28969428007889547</v>
      </c>
      <c r="G97" s="11">
        <v>0.37134752694596634</v>
      </c>
      <c r="H97" s="11">
        <v>0.10757725447768995</v>
      </c>
      <c r="I97" s="12">
        <v>1607</v>
      </c>
      <c r="J97" s="12">
        <v>588.33334794640541</v>
      </c>
      <c r="K97" s="12">
        <v>7145</v>
      </c>
      <c r="L97" s="14">
        <v>0.22491252624212738</v>
      </c>
      <c r="M97" s="14">
        <v>0.36610662597785026</v>
      </c>
      <c r="N97" s="14">
        <v>8.2341966122659954E-2</v>
      </c>
      <c r="O97" s="14">
        <f t="shared" si="0"/>
        <v>1.3064693441669644</v>
      </c>
      <c r="P97" s="17"/>
      <c r="S97" s="28"/>
      <c r="V97" s="18"/>
      <c r="W97" s="18"/>
      <c r="X97" s="18"/>
      <c r="Y97" s="6"/>
      <c r="Z97" s="6"/>
      <c r="AA97" s="6"/>
      <c r="AB97" s="18"/>
      <c r="AC97" s="18"/>
      <c r="AD97" s="18"/>
      <c r="AE97" s="18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</row>
    <row r="98" spans="1:50">
      <c r="A98" s="8">
        <v>21304</v>
      </c>
      <c r="B98" s="9" t="s">
        <v>128</v>
      </c>
      <c r="C98" s="12">
        <v>678</v>
      </c>
      <c r="D98" s="12">
        <v>251.00000640749931</v>
      </c>
      <c r="E98" s="12">
        <v>4588</v>
      </c>
      <c r="F98" s="11">
        <v>0.14777680906713164</v>
      </c>
      <c r="G98" s="11">
        <v>0.3702064991261052</v>
      </c>
      <c r="H98" s="11">
        <v>5.4707935136769685E-2</v>
      </c>
      <c r="I98" s="12">
        <v>1146</v>
      </c>
      <c r="J98" s="12">
        <v>417.22223329544067</v>
      </c>
      <c r="K98" s="12">
        <v>10649</v>
      </c>
      <c r="L98" s="14">
        <v>0.1076157385670016</v>
      </c>
      <c r="M98" s="14">
        <v>0.36406826640090811</v>
      </c>
      <c r="N98" s="14">
        <v>3.9179475377541621E-2</v>
      </c>
      <c r="O98" s="14">
        <f t="shared" si="0"/>
        <v>1.3963416970133615</v>
      </c>
      <c r="P98" s="17"/>
      <c r="S98" s="28"/>
      <c r="V98" s="18"/>
      <c r="W98" s="18"/>
      <c r="X98" s="18"/>
      <c r="Y98" s="6"/>
      <c r="Z98" s="6"/>
      <c r="AA98" s="6"/>
      <c r="AB98" s="18"/>
      <c r="AC98" s="18"/>
      <c r="AD98" s="18"/>
      <c r="AE98" s="18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</row>
    <row r="99" spans="1:50">
      <c r="A99" s="8">
        <v>21305</v>
      </c>
      <c r="B99" s="9" t="s">
        <v>129</v>
      </c>
      <c r="C99" s="12">
        <v>1067</v>
      </c>
      <c r="D99" s="12">
        <v>393.44445440173149</v>
      </c>
      <c r="E99" s="12">
        <v>9216</v>
      </c>
      <c r="F99" s="11">
        <v>0.11577690972222222</v>
      </c>
      <c r="G99" s="11">
        <v>0.36873894508128535</v>
      </c>
      <c r="H99" s="11">
        <v>4.2691455555743434E-2</v>
      </c>
      <c r="I99" s="12">
        <v>1512</v>
      </c>
      <c r="J99" s="12">
        <v>544.11112475395203</v>
      </c>
      <c r="K99" s="12">
        <v>15223</v>
      </c>
      <c r="L99" s="14">
        <v>9.9323392235433225E-2</v>
      </c>
      <c r="M99" s="14">
        <v>0.35986185499600004</v>
      </c>
      <c r="N99" s="14">
        <v>3.574270017433831E-2</v>
      </c>
      <c r="O99" s="14">
        <f t="shared" si="0"/>
        <v>1.1944104767550277</v>
      </c>
      <c r="P99" s="17"/>
      <c r="S99" s="28"/>
      <c r="V99" s="18"/>
      <c r="W99" s="18"/>
      <c r="X99" s="18"/>
      <c r="Y99" s="6"/>
      <c r="Z99" s="6"/>
      <c r="AA99" s="6"/>
      <c r="AB99" s="18"/>
      <c r="AC99" s="18"/>
      <c r="AD99" s="18"/>
      <c r="AE99" s="18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</row>
    <row r="100" spans="1:50">
      <c r="A100" s="8">
        <v>21306</v>
      </c>
      <c r="B100" s="9" t="s">
        <v>130</v>
      </c>
      <c r="C100" s="12">
        <v>623</v>
      </c>
      <c r="D100" s="12">
        <v>232.000005453825</v>
      </c>
      <c r="E100" s="12">
        <v>3986</v>
      </c>
      <c r="F100" s="11">
        <v>0.15629703963873556</v>
      </c>
      <c r="G100" s="11">
        <v>0.3723916620446629</v>
      </c>
      <c r="H100" s="11">
        <v>5.8203714363729293E-2</v>
      </c>
      <c r="I100" s="12">
        <v>975</v>
      </c>
      <c r="J100" s="12">
        <v>356.44445312023163</v>
      </c>
      <c r="K100" s="12">
        <v>8459</v>
      </c>
      <c r="L100" s="14">
        <v>0.11526185128265752</v>
      </c>
      <c r="M100" s="14">
        <v>0.36558405448228887</v>
      </c>
      <c r="N100" s="14">
        <v>4.2137894919048541E-2</v>
      </c>
      <c r="O100" s="14">
        <f t="shared" si="0"/>
        <v>1.3812677276723229</v>
      </c>
      <c r="P100" s="17"/>
      <c r="S100" s="28"/>
      <c r="V100" s="18"/>
      <c r="W100" s="18"/>
      <c r="X100" s="18"/>
      <c r="Y100" s="6"/>
      <c r="Z100" s="6"/>
      <c r="AA100" s="6"/>
      <c r="AB100" s="18"/>
      <c r="AC100" s="18"/>
      <c r="AD100" s="18"/>
      <c r="AE100" s="18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</row>
    <row r="101" spans="1:50">
      <c r="A101" s="8">
        <v>21307</v>
      </c>
      <c r="B101" s="9" t="s">
        <v>131</v>
      </c>
      <c r="C101" s="12">
        <v>248</v>
      </c>
      <c r="D101" s="12">
        <v>92.222224622964859</v>
      </c>
      <c r="E101" s="12">
        <v>1898</v>
      </c>
      <c r="F101" s="11">
        <v>0.13066385669125394</v>
      </c>
      <c r="G101" s="11">
        <v>0.37186380896356797</v>
      </c>
      <c r="H101" s="11">
        <v>4.8589159443079476E-2</v>
      </c>
      <c r="I101" s="12">
        <v>325</v>
      </c>
      <c r="J101" s="12">
        <v>124.44444754719734</v>
      </c>
      <c r="K101" s="12">
        <v>3600</v>
      </c>
      <c r="L101" s="14">
        <v>9.0277777777777776E-2</v>
      </c>
      <c r="M101" s="14">
        <v>0.3829059924529149</v>
      </c>
      <c r="N101" s="14">
        <v>3.4567902096443705E-2</v>
      </c>
      <c r="O101" s="14">
        <f t="shared" si="0"/>
        <v>1.4056149345574043</v>
      </c>
      <c r="P101" s="17"/>
      <c r="S101" s="28"/>
      <c r="V101" s="18"/>
      <c r="W101" s="18"/>
      <c r="X101" s="18"/>
      <c r="Y101" s="6"/>
      <c r="Z101" s="6"/>
      <c r="AA101" s="6"/>
      <c r="AB101" s="18"/>
      <c r="AC101" s="18"/>
      <c r="AD101" s="18"/>
      <c r="AE101" s="18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</row>
    <row r="102" spans="1:50">
      <c r="A102" s="8">
        <v>21401</v>
      </c>
      <c r="B102" s="9" t="s">
        <v>132</v>
      </c>
      <c r="C102" s="12">
        <v>1084</v>
      </c>
      <c r="D102" s="12">
        <v>392.55556520819664</v>
      </c>
      <c r="E102" s="12">
        <v>10248</v>
      </c>
      <c r="F102" s="11">
        <v>0.10577673692427791</v>
      </c>
      <c r="G102" s="11">
        <v>0.36213613026586405</v>
      </c>
      <c r="H102" s="11">
        <v>3.8305578181908342E-2</v>
      </c>
      <c r="I102" s="12">
        <v>1874</v>
      </c>
      <c r="J102" s="12">
        <v>676.88890567421913</v>
      </c>
      <c r="K102" s="12">
        <v>16335</v>
      </c>
      <c r="L102" s="14">
        <v>0.11472298745026017</v>
      </c>
      <c r="M102" s="14">
        <v>0.36120005638965802</v>
      </c>
      <c r="N102" s="14">
        <v>4.1437949536224004E-2</v>
      </c>
      <c r="O102" s="14">
        <f t="shared" si="0"/>
        <v>0.92440814786027425</v>
      </c>
      <c r="P102" s="17"/>
      <c r="S102" s="28"/>
      <c r="V102" s="18"/>
      <c r="W102" s="18"/>
      <c r="X102" s="18"/>
      <c r="Y102" s="6"/>
      <c r="Z102" s="6"/>
      <c r="AA102" s="6"/>
      <c r="AB102" s="18"/>
      <c r="AC102" s="18"/>
      <c r="AD102" s="18"/>
      <c r="AE102" s="18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</row>
    <row r="103" spans="1:50">
      <c r="A103" s="8">
        <v>21402</v>
      </c>
      <c r="B103" s="9" t="s">
        <v>133</v>
      </c>
      <c r="C103" s="12">
        <v>445</v>
      </c>
      <c r="D103" s="12">
        <v>159.88889327645302</v>
      </c>
      <c r="E103" s="12">
        <v>7976</v>
      </c>
      <c r="F103" s="11">
        <v>5.5792377131394184E-2</v>
      </c>
      <c r="G103" s="11">
        <v>0.35930088376731018</v>
      </c>
      <c r="H103" s="11">
        <v>2.0046250410788995E-2</v>
      </c>
      <c r="I103" s="12">
        <v>826</v>
      </c>
      <c r="J103" s="12">
        <v>302.33334106206894</v>
      </c>
      <c r="K103" s="12">
        <v>14935</v>
      </c>
      <c r="L103" s="14">
        <v>5.5306327418814867E-2</v>
      </c>
      <c r="M103" s="14">
        <v>0.36602099402187521</v>
      </c>
      <c r="N103" s="14">
        <v>2.0243276937533909E-2</v>
      </c>
      <c r="O103" s="14">
        <f t="shared" si="0"/>
        <v>0.99026706361065486</v>
      </c>
      <c r="P103" s="17"/>
      <c r="S103" s="28"/>
      <c r="V103" s="18"/>
      <c r="W103" s="18"/>
      <c r="X103" s="18"/>
      <c r="Y103" s="6"/>
      <c r="Z103" s="6"/>
      <c r="AA103" s="6"/>
      <c r="AB103" s="18"/>
      <c r="AC103" s="18"/>
      <c r="AD103" s="18"/>
      <c r="AE103" s="18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</row>
    <row r="104" spans="1:50">
      <c r="A104" s="8">
        <v>21501</v>
      </c>
      <c r="B104" s="9" t="s">
        <v>134</v>
      </c>
      <c r="C104" s="12">
        <v>598</v>
      </c>
      <c r="D104" s="12">
        <v>222.44444966316223</v>
      </c>
      <c r="E104" s="12">
        <v>2699</v>
      </c>
      <c r="F104" s="11">
        <v>0.22156354205261208</v>
      </c>
      <c r="G104" s="11">
        <v>0.37198068505545523</v>
      </c>
      <c r="H104" s="11">
        <v>8.2417358156043799E-2</v>
      </c>
      <c r="I104" s="12">
        <v>2070</v>
      </c>
      <c r="J104" s="12">
        <v>848.44446495175362</v>
      </c>
      <c r="K104" s="12">
        <v>8616</v>
      </c>
      <c r="L104" s="14">
        <v>0.24025069637883009</v>
      </c>
      <c r="M104" s="14">
        <v>0.40987655311678917</v>
      </c>
      <c r="N104" s="14">
        <v>9.8473127315663142E-2</v>
      </c>
      <c r="O104" s="14">
        <f t="shared" si="0"/>
        <v>0.83695278501563841</v>
      </c>
      <c r="P104" s="17"/>
      <c r="S104" s="28"/>
      <c r="V104" s="18"/>
      <c r="W104" s="18"/>
      <c r="X104" s="18"/>
      <c r="Y104" s="6"/>
      <c r="Z104" s="6"/>
      <c r="AA104" s="6"/>
      <c r="AB104" s="18"/>
      <c r="AC104" s="18"/>
      <c r="AD104" s="18"/>
      <c r="AE104" s="18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</row>
    <row r="105" spans="1:50">
      <c r="A105" s="8">
        <v>21502</v>
      </c>
      <c r="B105" s="9" t="s">
        <v>135</v>
      </c>
      <c r="C105" s="12">
        <v>246</v>
      </c>
      <c r="D105" s="12">
        <v>89.555557698011398</v>
      </c>
      <c r="E105" s="12">
        <v>2782</v>
      </c>
      <c r="F105" s="11">
        <v>8.8425593098490296E-2</v>
      </c>
      <c r="G105" s="11">
        <v>0.36404698251224143</v>
      </c>
      <c r="H105" s="11">
        <v>3.2191070344360674E-2</v>
      </c>
      <c r="I105" s="12">
        <v>688</v>
      </c>
      <c r="J105" s="12">
        <v>286.22222849726677</v>
      </c>
      <c r="K105" s="12">
        <v>6859</v>
      </c>
      <c r="L105" s="14">
        <v>0.10030616707974924</v>
      </c>
      <c r="M105" s="14">
        <v>0.41602068095532962</v>
      </c>
      <c r="N105" s="14">
        <v>4.1729439932536347E-2</v>
      </c>
      <c r="O105" s="14">
        <f t="shared" si="0"/>
        <v>0.77142349373496799</v>
      </c>
      <c r="P105" s="17"/>
      <c r="S105" s="28"/>
      <c r="V105" s="18"/>
      <c r="W105" s="18"/>
      <c r="X105" s="18"/>
      <c r="Y105" s="6"/>
      <c r="Z105" s="6"/>
      <c r="AA105" s="6"/>
      <c r="AB105" s="18"/>
      <c r="AC105" s="18"/>
      <c r="AD105" s="18"/>
      <c r="AE105" s="18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</row>
    <row r="106" spans="1:50">
      <c r="A106" s="8">
        <v>21601</v>
      </c>
      <c r="B106" s="9" t="s">
        <v>136</v>
      </c>
      <c r="C106" s="12">
        <v>1119</v>
      </c>
      <c r="D106" s="12">
        <v>445.44445607066154</v>
      </c>
      <c r="E106" s="12">
        <v>4643</v>
      </c>
      <c r="F106" s="11">
        <v>0.24100796898556967</v>
      </c>
      <c r="G106" s="11">
        <v>0.39807368728387982</v>
      </c>
      <c r="H106" s="11">
        <v>9.5938930878884665E-2</v>
      </c>
      <c r="I106" s="12">
        <v>2187</v>
      </c>
      <c r="J106" s="12">
        <v>847.66668799519539</v>
      </c>
      <c r="K106" s="12">
        <v>10973</v>
      </c>
      <c r="L106" s="14">
        <v>0.19930739086849539</v>
      </c>
      <c r="M106" s="14">
        <v>0.38759336442395764</v>
      </c>
      <c r="N106" s="14">
        <v>7.72502221812809E-2</v>
      </c>
      <c r="O106" s="14">
        <f t="shared" si="0"/>
        <v>1.2419243358776044</v>
      </c>
      <c r="P106" s="17"/>
      <c r="S106" s="28"/>
      <c r="V106" s="18"/>
      <c r="W106" s="18"/>
      <c r="X106" s="18"/>
      <c r="Y106" s="6"/>
      <c r="Z106" s="6"/>
      <c r="AA106" s="6"/>
      <c r="AB106" s="18"/>
      <c r="AC106" s="18"/>
      <c r="AD106" s="18"/>
      <c r="AE106" s="18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</row>
    <row r="107" spans="1:50">
      <c r="A107" s="8">
        <v>21602</v>
      </c>
      <c r="B107" s="9" t="s">
        <v>137</v>
      </c>
      <c r="C107" s="12">
        <v>608</v>
      </c>
      <c r="D107" s="12">
        <v>260.0000065267086</v>
      </c>
      <c r="E107" s="12">
        <v>1695</v>
      </c>
      <c r="F107" s="11">
        <v>0.35870206489675516</v>
      </c>
      <c r="G107" s="11">
        <v>0.42763158968208653</v>
      </c>
      <c r="H107" s="11">
        <v>0.15339233423404638</v>
      </c>
      <c r="I107" s="12">
        <v>1306</v>
      </c>
      <c r="J107" s="12">
        <v>544.33334630727768</v>
      </c>
      <c r="K107" s="12">
        <v>4864</v>
      </c>
      <c r="L107" s="14">
        <v>0.26850328947368424</v>
      </c>
      <c r="M107" s="14">
        <v>0.41679429273145302</v>
      </c>
      <c r="N107" s="14">
        <v>0.11191063863225281</v>
      </c>
      <c r="O107" s="14">
        <f t="shared" si="0"/>
        <v>1.3706680268183054</v>
      </c>
      <c r="P107" s="17"/>
      <c r="S107" s="28"/>
      <c r="V107" s="18"/>
      <c r="W107" s="18"/>
      <c r="X107" s="18"/>
      <c r="Y107" s="6"/>
      <c r="Z107" s="6"/>
      <c r="AA107" s="6"/>
      <c r="AB107" s="18"/>
      <c r="AC107" s="18"/>
      <c r="AD107" s="18"/>
      <c r="AE107" s="18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</row>
    <row r="108" spans="1:50">
      <c r="A108" s="8">
        <v>21701</v>
      </c>
      <c r="B108" s="9" t="s">
        <v>138</v>
      </c>
      <c r="C108" s="12">
        <v>1061</v>
      </c>
      <c r="D108" s="12">
        <v>389.6666767001152</v>
      </c>
      <c r="E108" s="12">
        <v>6403</v>
      </c>
      <c r="F108" s="11">
        <v>0.16570357644853975</v>
      </c>
      <c r="G108" s="11">
        <v>0.3672635972668381</v>
      </c>
      <c r="H108" s="11">
        <v>6.085689156647122E-2</v>
      </c>
      <c r="I108" s="12">
        <v>1010</v>
      </c>
      <c r="J108" s="12">
        <v>372.22223168611526</v>
      </c>
      <c r="K108" s="12">
        <v>10811</v>
      </c>
      <c r="L108" s="14">
        <v>9.3423365091110905E-2</v>
      </c>
      <c r="M108" s="14">
        <v>0.36853686305555966</v>
      </c>
      <c r="N108" s="14">
        <v>3.4429953906772295E-2</v>
      </c>
      <c r="O108" s="14">
        <f t="shared" si="0"/>
        <v>1.7675565796938464</v>
      </c>
      <c r="P108" s="17"/>
      <c r="S108" s="28"/>
      <c r="V108" s="18"/>
      <c r="W108" s="18"/>
      <c r="X108" s="18"/>
      <c r="Y108" s="6"/>
      <c r="Z108" s="6"/>
      <c r="AA108" s="6"/>
      <c r="AB108" s="18"/>
      <c r="AC108" s="18"/>
      <c r="AD108" s="18"/>
      <c r="AE108" s="18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</row>
    <row r="109" spans="1:50">
      <c r="A109" s="8">
        <v>21702</v>
      </c>
      <c r="B109" s="9" t="s">
        <v>139</v>
      </c>
      <c r="C109" s="12">
        <v>470</v>
      </c>
      <c r="D109" s="12">
        <v>172.2222266793251</v>
      </c>
      <c r="E109" s="12">
        <v>3034</v>
      </c>
      <c r="F109" s="11">
        <v>0.15491100856954515</v>
      </c>
      <c r="G109" s="11">
        <v>0.36643026953047897</v>
      </c>
      <c r="H109" s="11">
        <v>5.6764082623376767E-2</v>
      </c>
      <c r="I109" s="12">
        <v>451</v>
      </c>
      <c r="J109" s="12">
        <v>159.0000039935112</v>
      </c>
      <c r="K109" s="12">
        <v>5773</v>
      </c>
      <c r="L109" s="14">
        <v>7.8122293434955831E-2</v>
      </c>
      <c r="M109" s="14">
        <v>0.35254989799004699</v>
      </c>
      <c r="N109" s="14">
        <v>2.7542006581242194E-2</v>
      </c>
      <c r="O109" s="14">
        <f t="shared" si="0"/>
        <v>2.061000256315261</v>
      </c>
      <c r="P109" s="17"/>
      <c r="S109" s="28"/>
      <c r="V109" s="18"/>
      <c r="W109" s="18"/>
      <c r="X109" s="18"/>
      <c r="Y109" s="6"/>
      <c r="Z109" s="6"/>
      <c r="AA109" s="6"/>
      <c r="AB109" s="18"/>
      <c r="AC109" s="18"/>
      <c r="AD109" s="18"/>
      <c r="AE109" s="18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</row>
    <row r="110" spans="1:50">
      <c r="A110" s="8">
        <v>21703</v>
      </c>
      <c r="B110" s="9" t="s">
        <v>140</v>
      </c>
      <c r="C110" s="12">
        <v>921</v>
      </c>
      <c r="D110" s="12">
        <v>351.66667518019676</v>
      </c>
      <c r="E110" s="12">
        <v>3059</v>
      </c>
      <c r="F110" s="11">
        <v>0.30107878391631254</v>
      </c>
      <c r="G110" s="11">
        <v>0.38183135198718432</v>
      </c>
      <c r="H110" s="11">
        <v>0.11496131911742294</v>
      </c>
      <c r="I110" s="12">
        <v>828</v>
      </c>
      <c r="J110" s="12">
        <v>308.88889715075493</v>
      </c>
      <c r="K110" s="12">
        <v>4268</v>
      </c>
      <c r="L110" s="14">
        <v>0.19400187441424555</v>
      </c>
      <c r="M110" s="14">
        <v>0.37305422361202284</v>
      </c>
      <c r="N110" s="14">
        <v>7.2373218638883532E-2</v>
      </c>
      <c r="O110" s="14">
        <f t="shared" si="0"/>
        <v>1.5884511049734957</v>
      </c>
      <c r="P110" s="17"/>
      <c r="S110" s="28"/>
      <c r="V110" s="18"/>
      <c r="W110" s="18"/>
      <c r="X110" s="18"/>
      <c r="Y110" s="6"/>
      <c r="Z110" s="6"/>
      <c r="AA110" s="6"/>
      <c r="AB110" s="18"/>
      <c r="AC110" s="18"/>
      <c r="AD110" s="18"/>
      <c r="AE110" s="18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</row>
    <row r="111" spans="1:50">
      <c r="A111" s="8">
        <v>21801</v>
      </c>
      <c r="B111" s="9" t="s">
        <v>141</v>
      </c>
      <c r="C111" s="12">
        <v>635</v>
      </c>
      <c r="D111" s="12">
        <v>235.11111697554588</v>
      </c>
      <c r="E111" s="12">
        <v>2795</v>
      </c>
      <c r="F111" s="11">
        <v>0.22719141323792486</v>
      </c>
      <c r="G111" s="11">
        <v>0.3702537275205447</v>
      </c>
      <c r="H111" s="11">
        <v>8.4118467612002104E-2</v>
      </c>
      <c r="I111" s="12">
        <v>1229</v>
      </c>
      <c r="J111" s="12">
        <v>450.77778854966164</v>
      </c>
      <c r="K111" s="12">
        <v>6408</v>
      </c>
      <c r="L111" s="14">
        <v>0.19179151061173533</v>
      </c>
      <c r="M111" s="14">
        <v>0.36678420549199481</v>
      </c>
      <c r="N111" s="14">
        <v>7.0346096839834837E-2</v>
      </c>
      <c r="O111" s="14">
        <f t="shared" si="0"/>
        <v>1.1957801696307959</v>
      </c>
      <c r="P111" s="17"/>
      <c r="S111" s="28"/>
      <c r="V111" s="18"/>
      <c r="W111" s="18"/>
      <c r="X111" s="18"/>
      <c r="Y111" s="6"/>
      <c r="Z111" s="6"/>
      <c r="AA111" s="6"/>
      <c r="AB111" s="18"/>
      <c r="AC111" s="18"/>
      <c r="AD111" s="18"/>
      <c r="AE111" s="18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</row>
    <row r="112" spans="1:50">
      <c r="A112" s="8">
        <v>21802</v>
      </c>
      <c r="B112" s="9" t="s">
        <v>142</v>
      </c>
      <c r="C112" s="12">
        <v>362</v>
      </c>
      <c r="D112" s="12">
        <v>131.55555871129036</v>
      </c>
      <c r="E112" s="12">
        <v>1904</v>
      </c>
      <c r="F112" s="11">
        <v>0.19012605042016806</v>
      </c>
      <c r="G112" s="11">
        <v>0.36341314561129934</v>
      </c>
      <c r="H112" s="11">
        <v>6.909430604584578E-2</v>
      </c>
      <c r="I112" s="12">
        <v>506</v>
      </c>
      <c r="J112" s="12">
        <v>178.66667124629021</v>
      </c>
      <c r="K112" s="12">
        <v>4736</v>
      </c>
      <c r="L112" s="14">
        <v>0.10684121621621621</v>
      </c>
      <c r="M112" s="14">
        <v>0.35309618823377509</v>
      </c>
      <c r="N112" s="14">
        <v>3.7725226192206543E-2</v>
      </c>
      <c r="O112" s="14">
        <f t="shared" si="0"/>
        <v>1.8315146924187193</v>
      </c>
      <c r="P112" s="17"/>
      <c r="S112" s="28"/>
      <c r="V112" s="18"/>
      <c r="W112" s="18"/>
      <c r="X112" s="18"/>
      <c r="Y112" s="6"/>
      <c r="Z112" s="6"/>
      <c r="AA112" s="6"/>
      <c r="AB112" s="18"/>
      <c r="AC112" s="18"/>
      <c r="AD112" s="18"/>
      <c r="AE112" s="18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</row>
    <row r="113" spans="1:50">
      <c r="A113" s="8">
        <v>21803</v>
      </c>
      <c r="B113" s="9" t="s">
        <v>143</v>
      </c>
      <c r="C113" s="12">
        <v>159</v>
      </c>
      <c r="D113" s="12">
        <v>58.333334922790527</v>
      </c>
      <c r="E113" s="12">
        <v>647</v>
      </c>
      <c r="F113" s="11">
        <v>0.24574961360123648</v>
      </c>
      <c r="G113" s="11">
        <v>0.36687632026912281</v>
      </c>
      <c r="H113" s="11">
        <v>9.0159713945580422E-2</v>
      </c>
      <c r="I113" s="12">
        <v>350</v>
      </c>
      <c r="J113" s="12">
        <v>124.22222554683685</v>
      </c>
      <c r="K113" s="12">
        <v>1401</v>
      </c>
      <c r="L113" s="14">
        <v>0.24982155603140613</v>
      </c>
      <c r="M113" s="14">
        <v>0.35492064441953386</v>
      </c>
      <c r="N113" s="14">
        <v>8.8666827656557354E-2</v>
      </c>
      <c r="O113" s="14">
        <f t="shared" si="0"/>
        <v>1.0168370328394474</v>
      </c>
      <c r="P113" s="17"/>
      <c r="S113" s="28"/>
      <c r="V113" s="18"/>
      <c r="W113" s="18"/>
      <c r="X113" s="18"/>
      <c r="Y113" s="6"/>
      <c r="Z113" s="6"/>
      <c r="AA113" s="6"/>
      <c r="AB113" s="18"/>
      <c r="AC113" s="18"/>
      <c r="AD113" s="18"/>
      <c r="AE113" s="18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</row>
    <row r="114" spans="1:50">
      <c r="A114" s="8">
        <v>21901</v>
      </c>
      <c r="B114" s="9" t="s">
        <v>144</v>
      </c>
      <c r="C114" s="12">
        <v>480</v>
      </c>
      <c r="D114" s="12">
        <v>174.22222644090652</v>
      </c>
      <c r="E114" s="12">
        <v>2916</v>
      </c>
      <c r="F114" s="11">
        <v>0.16460905349794239</v>
      </c>
      <c r="G114" s="11">
        <v>0.36296297175188857</v>
      </c>
      <c r="H114" s="11">
        <v>5.9746991234878775E-2</v>
      </c>
      <c r="I114" s="12">
        <v>599</v>
      </c>
      <c r="J114" s="12">
        <v>221.88889449834824</v>
      </c>
      <c r="K114" s="12">
        <v>3849</v>
      </c>
      <c r="L114" s="14">
        <v>0.15562483762016108</v>
      </c>
      <c r="M114" s="14">
        <v>0.37043221118255132</v>
      </c>
      <c r="N114" s="14">
        <v>5.7648452714561767E-2</v>
      </c>
      <c r="O114" s="14">
        <f t="shared" si="0"/>
        <v>1.0364023390308086</v>
      </c>
      <c r="P114" s="17"/>
      <c r="S114" s="28"/>
      <c r="V114" s="18"/>
      <c r="W114" s="18"/>
      <c r="X114" s="18"/>
      <c r="Y114" s="6"/>
      <c r="Z114" s="6"/>
      <c r="AA114" s="6"/>
      <c r="AB114" s="18"/>
      <c r="AC114" s="18"/>
      <c r="AD114" s="18"/>
      <c r="AE114" s="18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</row>
    <row r="115" spans="1:50">
      <c r="A115" s="8">
        <v>21902</v>
      </c>
      <c r="B115" s="9" t="s">
        <v>145</v>
      </c>
      <c r="C115" s="12">
        <v>299</v>
      </c>
      <c r="D115" s="12">
        <v>115.66666939854622</v>
      </c>
      <c r="E115" s="12">
        <v>1662</v>
      </c>
      <c r="F115" s="11">
        <v>0.17990373044524668</v>
      </c>
      <c r="G115" s="11">
        <v>0.386845048155673</v>
      </c>
      <c r="H115" s="11">
        <v>6.9594867267476671E-2</v>
      </c>
      <c r="I115" s="12">
        <v>610</v>
      </c>
      <c r="J115" s="12">
        <v>225.11111631989479</v>
      </c>
      <c r="K115" s="12">
        <v>3671</v>
      </c>
      <c r="L115" s="14">
        <v>0.1661672568782348</v>
      </c>
      <c r="M115" s="14">
        <v>0.36903461691786033</v>
      </c>
      <c r="N115" s="14">
        <v>6.1321469986351074E-2</v>
      </c>
      <c r="O115" s="14">
        <f t="shared" si="0"/>
        <v>1.1349184434581736</v>
      </c>
      <c r="P115" s="17"/>
      <c r="S115" s="28"/>
      <c r="V115" s="18"/>
      <c r="W115" s="18"/>
      <c r="X115" s="18"/>
      <c r="Y115" s="6"/>
      <c r="Z115" s="6"/>
      <c r="AA115" s="6"/>
      <c r="AB115" s="18"/>
      <c r="AC115" s="18"/>
      <c r="AD115" s="18"/>
      <c r="AE115" s="18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</row>
    <row r="116" spans="1:50">
      <c r="A116" s="8">
        <v>22001</v>
      </c>
      <c r="B116" s="9" t="s">
        <v>146</v>
      </c>
      <c r="C116" s="12">
        <v>2670</v>
      </c>
      <c r="D116" s="12">
        <v>1003.4444684684277</v>
      </c>
      <c r="E116" s="12">
        <v>23263</v>
      </c>
      <c r="F116" s="11">
        <v>0.11477453466878734</v>
      </c>
      <c r="G116" s="11">
        <v>0.3758218983027819</v>
      </c>
      <c r="H116" s="11">
        <v>4.3134783496042113E-2</v>
      </c>
      <c r="I116" s="12">
        <v>4223</v>
      </c>
      <c r="J116" s="12">
        <v>1576.3333737552166</v>
      </c>
      <c r="K116" s="12">
        <v>34626</v>
      </c>
      <c r="L116" s="14">
        <v>0.12196037659562178</v>
      </c>
      <c r="M116" s="14">
        <v>0.37327335395576999</v>
      </c>
      <c r="N116" s="14">
        <v>4.5524558821556538E-2</v>
      </c>
      <c r="O116" s="14">
        <f t="shared" si="0"/>
        <v>0.94750579934488388</v>
      </c>
      <c r="P116" s="17"/>
      <c r="S116" s="28"/>
      <c r="V116" s="18"/>
      <c r="W116" s="18"/>
      <c r="X116" s="18"/>
      <c r="Y116" s="6"/>
      <c r="Z116" s="6"/>
      <c r="AA116" s="6"/>
      <c r="AB116" s="18"/>
      <c r="AC116" s="18"/>
      <c r="AD116" s="18"/>
      <c r="AE116" s="18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</row>
    <row r="117" spans="1:50">
      <c r="A117" s="8">
        <v>22002</v>
      </c>
      <c r="B117" s="9" t="s">
        <v>147</v>
      </c>
      <c r="C117" s="12">
        <v>893</v>
      </c>
      <c r="D117" s="12">
        <v>340.66667544841766</v>
      </c>
      <c r="E117" s="12">
        <v>4018</v>
      </c>
      <c r="F117" s="11">
        <v>0.2222498755599801</v>
      </c>
      <c r="G117" s="11">
        <v>0.38148563880001979</v>
      </c>
      <c r="H117" s="11">
        <v>8.4785135751223914E-2</v>
      </c>
      <c r="I117" s="12">
        <v>1591</v>
      </c>
      <c r="J117" s="12">
        <v>593.0000147819519</v>
      </c>
      <c r="K117" s="12">
        <v>6385</v>
      </c>
      <c r="L117" s="14">
        <v>0.24917776037588096</v>
      </c>
      <c r="M117" s="14">
        <v>0.3727215680590521</v>
      </c>
      <c r="N117" s="14">
        <v>9.2873925572741087E-2</v>
      </c>
      <c r="O117" s="14">
        <f t="shared" si="0"/>
        <v>0.91290569692586276</v>
      </c>
      <c r="P117" s="17"/>
      <c r="S117" s="28"/>
      <c r="V117" s="18"/>
      <c r="W117" s="18"/>
      <c r="X117" s="18"/>
      <c r="Y117" s="6"/>
      <c r="Z117" s="6"/>
      <c r="AA117" s="6"/>
      <c r="AB117" s="18"/>
      <c r="AC117" s="18"/>
      <c r="AD117" s="18"/>
      <c r="AE117" s="18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</row>
    <row r="118" spans="1:50">
      <c r="A118" s="8">
        <v>30101</v>
      </c>
      <c r="B118" s="9" t="s">
        <v>23</v>
      </c>
      <c r="C118" s="12">
        <v>19291</v>
      </c>
      <c r="D118" s="12">
        <v>6886.7779561579227</v>
      </c>
      <c r="E118" s="12">
        <v>258793</v>
      </c>
      <c r="F118" s="11">
        <v>7.4542201682425729E-2</v>
      </c>
      <c r="G118" s="11">
        <v>0.35699434742407976</v>
      </c>
      <c r="H118" s="11">
        <v>2.6611144645171714E-2</v>
      </c>
      <c r="I118" s="12">
        <v>19832</v>
      </c>
      <c r="J118" s="12">
        <v>7044.6668510138988</v>
      </c>
      <c r="K118" s="12">
        <v>393209</v>
      </c>
      <c r="L118" s="14">
        <v>5.0436281977269085E-2</v>
      </c>
      <c r="M118" s="14">
        <v>0.35521716675140674</v>
      </c>
      <c r="N118" s="14">
        <v>1.7915833185440565E-2</v>
      </c>
      <c r="O118" s="14">
        <f t="shared" si="0"/>
        <v>1.4853422874464728</v>
      </c>
      <c r="P118" s="17"/>
      <c r="S118" s="28"/>
      <c r="V118" s="18"/>
      <c r="W118" s="18"/>
      <c r="X118" s="18"/>
      <c r="Y118" s="6"/>
      <c r="Z118" s="6"/>
      <c r="AA118" s="6"/>
      <c r="AB118" s="18"/>
      <c r="AC118" s="18"/>
      <c r="AD118" s="18"/>
      <c r="AE118" s="18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</row>
    <row r="119" spans="1:50">
      <c r="A119" s="8">
        <v>30201</v>
      </c>
      <c r="B119" s="9" t="s">
        <v>148</v>
      </c>
      <c r="C119" s="12">
        <v>1391</v>
      </c>
      <c r="D119" s="12">
        <v>557.22223576903343</v>
      </c>
      <c r="E119" s="12">
        <v>7595</v>
      </c>
      <c r="F119" s="11">
        <v>0.18314680710994075</v>
      </c>
      <c r="G119" s="11">
        <v>0.40059111126458191</v>
      </c>
      <c r="H119" s="11">
        <v>7.3366982984731197E-2</v>
      </c>
      <c r="I119" s="12">
        <v>3094</v>
      </c>
      <c r="J119" s="12">
        <v>1198.2222526371479</v>
      </c>
      <c r="K119" s="12">
        <v>15296</v>
      </c>
      <c r="L119" s="14">
        <v>0.20227510460251047</v>
      </c>
      <c r="M119" s="14">
        <v>0.38727286769138586</v>
      </c>
      <c r="N119" s="14">
        <v>7.833565982198927E-2</v>
      </c>
      <c r="O119" s="14">
        <f t="shared" si="0"/>
        <v>0.93657196673202292</v>
      </c>
      <c r="P119" s="17"/>
      <c r="S119" s="28"/>
      <c r="V119" s="18"/>
      <c r="W119" s="18"/>
      <c r="X119" s="18"/>
      <c r="Y119" s="6"/>
      <c r="Z119" s="6"/>
      <c r="AA119" s="6"/>
      <c r="AB119" s="18"/>
      <c r="AC119" s="18"/>
      <c r="AD119" s="18"/>
      <c r="AE119" s="18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</row>
    <row r="120" spans="1:50">
      <c r="A120" s="8">
        <v>30202</v>
      </c>
      <c r="B120" s="9" t="s">
        <v>149</v>
      </c>
      <c r="C120" s="12">
        <v>261</v>
      </c>
      <c r="D120" s="12">
        <v>97.666668802499771</v>
      </c>
      <c r="E120" s="12">
        <v>2089</v>
      </c>
      <c r="F120" s="11">
        <v>0.12494016275730015</v>
      </c>
      <c r="G120" s="11">
        <v>0.37420179617816002</v>
      </c>
      <c r="H120" s="11">
        <v>4.675283331857337E-2</v>
      </c>
      <c r="I120" s="12">
        <v>708</v>
      </c>
      <c r="J120" s="12">
        <v>266.11111786961555</v>
      </c>
      <c r="K120" s="12">
        <v>4325</v>
      </c>
      <c r="L120" s="14">
        <v>0.16369942196531792</v>
      </c>
      <c r="M120" s="14">
        <v>0.37586316083279031</v>
      </c>
      <c r="N120" s="14">
        <v>6.1528582166385098E-2</v>
      </c>
      <c r="O120" s="14">
        <f t="shared" si="0"/>
        <v>0.75985552847853266</v>
      </c>
      <c r="P120" s="17"/>
      <c r="S120" s="28"/>
      <c r="V120" s="18"/>
      <c r="W120" s="18"/>
      <c r="X120" s="18"/>
      <c r="Y120" s="6"/>
      <c r="Z120" s="6"/>
      <c r="AA120" s="6"/>
      <c r="AB120" s="18"/>
      <c r="AC120" s="18"/>
      <c r="AD120" s="18"/>
      <c r="AE120" s="18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</row>
    <row r="121" spans="1:50">
      <c r="A121" s="8">
        <v>30203</v>
      </c>
      <c r="B121" s="9" t="s">
        <v>150</v>
      </c>
      <c r="C121" s="12">
        <v>214</v>
      </c>
      <c r="D121" s="12">
        <v>81.444446384906769</v>
      </c>
      <c r="E121" s="12">
        <v>1903</v>
      </c>
      <c r="F121" s="11">
        <v>0.11245401996847083</v>
      </c>
      <c r="G121" s="11">
        <v>0.38058152516311572</v>
      </c>
      <c r="H121" s="11">
        <v>4.2797922430324098E-2</v>
      </c>
      <c r="I121" s="12">
        <v>424</v>
      </c>
      <c r="J121" s="12">
        <v>159.88889271020889</v>
      </c>
      <c r="K121" s="12">
        <v>4775</v>
      </c>
      <c r="L121" s="14">
        <v>8.8795811518324608E-2</v>
      </c>
      <c r="M121" s="14">
        <v>0.3770964450712474</v>
      </c>
      <c r="N121" s="14">
        <v>3.3484584860776732E-2</v>
      </c>
      <c r="O121" s="14">
        <f t="shared" si="0"/>
        <v>1.2781380628808945</v>
      </c>
      <c r="P121" s="17"/>
      <c r="S121" s="28"/>
      <c r="V121" s="18"/>
      <c r="W121" s="18"/>
      <c r="X121" s="18"/>
      <c r="Y121" s="6"/>
      <c r="Z121" s="6"/>
      <c r="AA121" s="6"/>
      <c r="AB121" s="18"/>
      <c r="AC121" s="18"/>
      <c r="AD121" s="18"/>
      <c r="AE121" s="18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</row>
    <row r="122" spans="1:50">
      <c r="A122" s="8">
        <v>30301</v>
      </c>
      <c r="B122" s="9" t="s">
        <v>151</v>
      </c>
      <c r="C122" s="12">
        <v>1710</v>
      </c>
      <c r="D122" s="12">
        <v>671.66668379306793</v>
      </c>
      <c r="E122" s="12">
        <v>5537</v>
      </c>
      <c r="F122" s="11">
        <v>0.30883149720065017</v>
      </c>
      <c r="G122" s="11">
        <v>0.39278753438191105</v>
      </c>
      <c r="H122" s="11">
        <v>0.12130516232491745</v>
      </c>
      <c r="I122" s="12">
        <v>4047</v>
      </c>
      <c r="J122" s="12">
        <v>1579.0000415146351</v>
      </c>
      <c r="K122" s="12">
        <v>16135</v>
      </c>
      <c r="L122" s="14">
        <v>0.25082119615742177</v>
      </c>
      <c r="M122" s="14">
        <v>0.39016556499002597</v>
      </c>
      <c r="N122" s="14">
        <v>9.7861793710234596E-2</v>
      </c>
      <c r="O122" s="14">
        <f t="shared" si="0"/>
        <v>1.2395558851506223</v>
      </c>
      <c r="P122" s="17"/>
      <c r="S122" s="28"/>
      <c r="V122" s="18"/>
      <c r="W122" s="18"/>
      <c r="X122" s="18"/>
      <c r="Y122" s="6"/>
      <c r="Z122" s="6"/>
      <c r="AA122" s="6"/>
      <c r="AB122" s="18"/>
      <c r="AC122" s="18"/>
      <c r="AD122" s="18"/>
      <c r="AE122" s="18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</row>
    <row r="123" spans="1:50">
      <c r="A123" s="8">
        <v>30302</v>
      </c>
      <c r="B123" s="9" t="s">
        <v>152</v>
      </c>
      <c r="C123" s="12">
        <v>1260</v>
      </c>
      <c r="D123" s="12">
        <v>477.00001195073128</v>
      </c>
      <c r="E123" s="12">
        <v>4295</v>
      </c>
      <c r="F123" s="11">
        <v>0.29336437718277064</v>
      </c>
      <c r="G123" s="11">
        <v>0.37857143805613591</v>
      </c>
      <c r="H123" s="11">
        <v>0.11105937414452415</v>
      </c>
      <c r="I123" s="12">
        <v>2715</v>
      </c>
      <c r="J123" s="12">
        <v>1037.7778039872646</v>
      </c>
      <c r="K123" s="12">
        <v>10366</v>
      </c>
      <c r="L123" s="14">
        <v>0.26191394945012542</v>
      </c>
      <c r="M123" s="14">
        <v>0.38223860183692987</v>
      </c>
      <c r="N123" s="14">
        <v>0.10011362183940427</v>
      </c>
      <c r="O123" s="14">
        <f t="shared" si="0"/>
        <v>1.1093332965485789</v>
      </c>
      <c r="P123" s="17"/>
      <c r="S123" s="28"/>
      <c r="V123" s="18"/>
      <c r="W123" s="18"/>
      <c r="X123" s="18"/>
      <c r="Y123" s="6"/>
      <c r="Z123" s="6"/>
      <c r="AA123" s="6"/>
      <c r="AB123" s="18"/>
      <c r="AC123" s="18"/>
      <c r="AD123" s="18"/>
      <c r="AE123" s="18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</row>
    <row r="124" spans="1:50">
      <c r="A124" s="8">
        <v>30303</v>
      </c>
      <c r="B124" s="9" t="s">
        <v>153</v>
      </c>
      <c r="C124" s="12">
        <v>2158</v>
      </c>
      <c r="D124" s="12">
        <v>854.00002065300941</v>
      </c>
      <c r="E124" s="12">
        <v>5432</v>
      </c>
      <c r="F124" s="11">
        <v>0.39727540500736375</v>
      </c>
      <c r="G124" s="11">
        <v>0.39573680289759472</v>
      </c>
      <c r="H124" s="11">
        <v>0.15721649864746123</v>
      </c>
      <c r="I124" s="12">
        <v>4954</v>
      </c>
      <c r="J124" s="12">
        <v>1919.3333764970303</v>
      </c>
      <c r="K124" s="12">
        <v>14076</v>
      </c>
      <c r="L124" s="14">
        <v>0.35194657573174198</v>
      </c>
      <c r="M124" s="14">
        <v>0.38743104087546026</v>
      </c>
      <c r="N124" s="14">
        <v>0.13635502816830281</v>
      </c>
      <c r="O124" s="14">
        <f t="shared" si="0"/>
        <v>1.1529937748493524</v>
      </c>
      <c r="P124" s="17"/>
      <c r="S124" s="28"/>
      <c r="V124" s="18"/>
      <c r="W124" s="18"/>
      <c r="X124" s="18"/>
      <c r="Y124" s="6"/>
      <c r="Z124" s="6"/>
      <c r="AA124" s="6"/>
      <c r="AB124" s="18"/>
      <c r="AC124" s="18"/>
      <c r="AD124" s="18"/>
      <c r="AE124" s="18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</row>
    <row r="125" spans="1:50">
      <c r="A125" s="8">
        <v>30401</v>
      </c>
      <c r="B125" s="9" t="s">
        <v>154</v>
      </c>
      <c r="C125" s="12">
        <v>799</v>
      </c>
      <c r="D125" s="12">
        <v>316.44445240497589</v>
      </c>
      <c r="E125" s="12">
        <v>4239</v>
      </c>
      <c r="F125" s="11">
        <v>0.18848785090823308</v>
      </c>
      <c r="G125" s="11">
        <v>0.39605062879221015</v>
      </c>
      <c r="H125" s="11">
        <v>7.4650731871898066E-2</v>
      </c>
      <c r="I125" s="12">
        <v>986</v>
      </c>
      <c r="J125" s="12">
        <v>371.77778726816177</v>
      </c>
      <c r="K125" s="12">
        <v>6510</v>
      </c>
      <c r="L125" s="14">
        <v>0.15145929339477726</v>
      </c>
      <c r="M125" s="14">
        <v>0.3770565793794744</v>
      </c>
      <c r="N125" s="14">
        <v>5.7108723082666936E-2</v>
      </c>
      <c r="O125" s="14">
        <f t="shared" si="0"/>
        <v>1.3071686397862274</v>
      </c>
      <c r="P125" s="17"/>
      <c r="S125" s="28"/>
      <c r="V125" s="18"/>
      <c r="W125" s="18"/>
      <c r="X125" s="18"/>
      <c r="Y125" s="6"/>
      <c r="Z125" s="6"/>
      <c r="AA125" s="6"/>
      <c r="AB125" s="18"/>
      <c r="AC125" s="18"/>
      <c r="AD125" s="18"/>
      <c r="AE125" s="18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</row>
    <row r="126" spans="1:50">
      <c r="A126" s="8">
        <v>30402</v>
      </c>
      <c r="B126" s="9" t="s">
        <v>155</v>
      </c>
      <c r="C126" s="12">
        <v>839</v>
      </c>
      <c r="D126" s="12">
        <v>318.0000074505806</v>
      </c>
      <c r="E126" s="12">
        <v>2994</v>
      </c>
      <c r="F126" s="11">
        <v>0.28022712090848362</v>
      </c>
      <c r="G126" s="11">
        <v>0.37902265488746195</v>
      </c>
      <c r="H126" s="11">
        <v>0.10621242733820326</v>
      </c>
      <c r="I126" s="12">
        <v>1134</v>
      </c>
      <c r="J126" s="12">
        <v>424.22223326563835</v>
      </c>
      <c r="K126" s="12">
        <v>4302</v>
      </c>
      <c r="L126" s="14">
        <v>0.26359832635983266</v>
      </c>
      <c r="M126" s="14">
        <v>0.37409368012842886</v>
      </c>
      <c r="N126" s="14">
        <v>9.8610467983644437E-2</v>
      </c>
      <c r="O126" s="14">
        <f t="shared" si="0"/>
        <v>1.0770907948212931</v>
      </c>
      <c r="P126" s="17"/>
      <c r="S126" s="28"/>
      <c r="V126" s="18"/>
      <c r="W126" s="18"/>
      <c r="X126" s="18"/>
      <c r="Y126" s="6"/>
      <c r="Z126" s="6"/>
      <c r="AA126" s="6"/>
      <c r="AB126" s="18"/>
      <c r="AC126" s="18"/>
      <c r="AD126" s="18"/>
      <c r="AE126" s="18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</row>
    <row r="127" spans="1:50">
      <c r="A127" s="8">
        <v>30403</v>
      </c>
      <c r="B127" s="9" t="s">
        <v>156</v>
      </c>
      <c r="C127" s="12">
        <v>4385</v>
      </c>
      <c r="D127" s="12">
        <v>1625.2222636938095</v>
      </c>
      <c r="E127" s="12">
        <v>12741</v>
      </c>
      <c r="F127" s="11">
        <v>0.34416450828035478</v>
      </c>
      <c r="G127" s="11">
        <v>0.37063221520953465</v>
      </c>
      <c r="H127" s="11">
        <v>0.12755845410044811</v>
      </c>
      <c r="I127" s="12">
        <v>4981</v>
      </c>
      <c r="J127" s="12">
        <v>1801.6667132675648</v>
      </c>
      <c r="K127" s="12">
        <v>16445</v>
      </c>
      <c r="L127" s="14">
        <v>0.30288841593189419</v>
      </c>
      <c r="M127" s="14">
        <v>0.36170783241669641</v>
      </c>
      <c r="N127" s="14">
        <v>0.10955711239085222</v>
      </c>
      <c r="O127" s="14">
        <f t="shared" si="0"/>
        <v>1.1643101147589114</v>
      </c>
      <c r="P127" s="17"/>
      <c r="S127" s="28"/>
      <c r="V127" s="18"/>
      <c r="W127" s="18"/>
      <c r="X127" s="18"/>
      <c r="Y127" s="6"/>
      <c r="Z127" s="6"/>
      <c r="AA127" s="6"/>
      <c r="AB127" s="18"/>
      <c r="AC127" s="18"/>
      <c r="AD127" s="18"/>
      <c r="AE127" s="18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</row>
    <row r="128" spans="1:50">
      <c r="A128" s="8">
        <v>30404</v>
      </c>
      <c r="B128" s="9" t="s">
        <v>157</v>
      </c>
      <c r="C128" s="12">
        <v>710</v>
      </c>
      <c r="D128" s="12">
        <v>273.77778446674347</v>
      </c>
      <c r="E128" s="12">
        <v>1883</v>
      </c>
      <c r="F128" s="11">
        <v>0.37705788635156667</v>
      </c>
      <c r="G128" s="11">
        <v>0.38560251333344153</v>
      </c>
      <c r="H128" s="11">
        <v>0.14539446864935926</v>
      </c>
      <c r="I128" s="12">
        <v>934</v>
      </c>
      <c r="J128" s="12">
        <v>357.66667568683624</v>
      </c>
      <c r="K128" s="12">
        <v>3092</v>
      </c>
      <c r="L128" s="14">
        <v>0.30206985769728334</v>
      </c>
      <c r="M128" s="14">
        <v>0.38294076625999596</v>
      </c>
      <c r="N128" s="14">
        <v>0.11567486277064562</v>
      </c>
      <c r="O128" s="14">
        <f t="shared" si="0"/>
        <v>1.2569236320395747</v>
      </c>
      <c r="P128" s="17"/>
      <c r="S128" s="28"/>
      <c r="V128" s="18"/>
      <c r="W128" s="18"/>
      <c r="X128" s="18"/>
      <c r="Y128" s="6"/>
      <c r="Z128" s="6"/>
      <c r="AA128" s="6"/>
      <c r="AB128" s="18"/>
      <c r="AC128" s="18"/>
      <c r="AD128" s="18"/>
      <c r="AE128" s="18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</row>
    <row r="129" spans="1:50">
      <c r="A129" s="8">
        <v>30501</v>
      </c>
      <c r="B129" s="9" t="s">
        <v>158</v>
      </c>
      <c r="C129" s="12">
        <v>385</v>
      </c>
      <c r="D129" s="12">
        <v>148.00000381469727</v>
      </c>
      <c r="E129" s="12">
        <v>4387</v>
      </c>
      <c r="F129" s="11">
        <v>8.7759288807841354E-2</v>
      </c>
      <c r="G129" s="11">
        <v>0.384415594323889</v>
      </c>
      <c r="H129" s="11">
        <v>3.3736039164508153E-2</v>
      </c>
      <c r="I129" s="12">
        <v>381</v>
      </c>
      <c r="J129" s="12">
        <v>141.11111477017403</v>
      </c>
      <c r="K129" s="12">
        <v>6657</v>
      </c>
      <c r="L129" s="14">
        <v>5.7232987832356919E-2</v>
      </c>
      <c r="M129" s="14">
        <v>0.37037037997421002</v>
      </c>
      <c r="N129" s="14">
        <v>2.1197403450529371E-2</v>
      </c>
      <c r="O129" s="14">
        <f t="shared" si="0"/>
        <v>1.5915175291748127</v>
      </c>
      <c r="P129" s="17"/>
      <c r="S129" s="28"/>
      <c r="V129" s="18"/>
      <c r="W129" s="18"/>
      <c r="X129" s="18"/>
      <c r="Y129" s="6"/>
      <c r="Z129" s="6"/>
      <c r="AA129" s="6"/>
      <c r="AB129" s="18"/>
      <c r="AC129" s="18"/>
      <c r="AD129" s="18"/>
      <c r="AE129" s="18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</row>
    <row r="130" spans="1:50">
      <c r="A130" s="8">
        <v>30502</v>
      </c>
      <c r="B130" s="9" t="s">
        <v>159</v>
      </c>
      <c r="C130" s="12">
        <v>731</v>
      </c>
      <c r="D130" s="12">
        <v>280.11111742258072</v>
      </c>
      <c r="E130" s="12">
        <v>3270</v>
      </c>
      <c r="F130" s="11">
        <v>0.22354740061162079</v>
      </c>
      <c r="G130" s="11">
        <v>0.38318894312254542</v>
      </c>
      <c r="H130" s="11">
        <v>8.566089217815924E-2</v>
      </c>
      <c r="I130" s="12">
        <v>721</v>
      </c>
      <c r="J130" s="12">
        <v>264.22222852706909</v>
      </c>
      <c r="K130" s="12">
        <v>4955</v>
      </c>
      <c r="L130" s="14">
        <v>0.14550958627648838</v>
      </c>
      <c r="M130" s="14">
        <v>0.36646633637596265</v>
      </c>
      <c r="N130" s="14">
        <v>5.332436499032675E-2</v>
      </c>
      <c r="O130" s="14">
        <f t="shared" si="0"/>
        <v>1.6064118568256456</v>
      </c>
      <c r="P130" s="17"/>
      <c r="S130" s="28"/>
      <c r="V130" s="18"/>
      <c r="W130" s="18"/>
      <c r="X130" s="18"/>
      <c r="Y130" s="6"/>
      <c r="Z130" s="6"/>
      <c r="AA130" s="6"/>
      <c r="AB130" s="18"/>
      <c r="AC130" s="18"/>
      <c r="AD130" s="18"/>
      <c r="AE130" s="18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</row>
    <row r="131" spans="1:50">
      <c r="A131" s="8">
        <v>30601</v>
      </c>
      <c r="B131" s="9" t="s">
        <v>160</v>
      </c>
      <c r="C131" s="12">
        <v>1424</v>
      </c>
      <c r="D131" s="12">
        <v>571.00001347064972</v>
      </c>
      <c r="E131" s="12">
        <v>3274</v>
      </c>
      <c r="F131" s="11">
        <v>0.43494196701282833</v>
      </c>
      <c r="G131" s="11">
        <v>0.40098315552714164</v>
      </c>
      <c r="H131" s="11">
        <v>0.17440440240398586</v>
      </c>
      <c r="I131" s="12">
        <v>2732</v>
      </c>
      <c r="J131" s="12">
        <v>1073.6666948497295</v>
      </c>
      <c r="K131" s="12">
        <v>7303</v>
      </c>
      <c r="L131" s="14">
        <v>0.3740928385594961</v>
      </c>
      <c r="M131" s="14">
        <v>0.39299659401527437</v>
      </c>
      <c r="N131" s="14">
        <v>0.14701721139938786</v>
      </c>
      <c r="O131" s="14">
        <f t="shared" si="0"/>
        <v>1.1862856106704254</v>
      </c>
      <c r="P131" s="17"/>
      <c r="S131" s="28"/>
      <c r="V131" s="18"/>
      <c r="W131" s="18"/>
      <c r="X131" s="18"/>
      <c r="Y131" s="6"/>
      <c r="Z131" s="6"/>
      <c r="AA131" s="6"/>
      <c r="AB131" s="18"/>
      <c r="AC131" s="18"/>
      <c r="AD131" s="18"/>
      <c r="AE131" s="18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</row>
    <row r="132" spans="1:50">
      <c r="A132" s="8">
        <v>30602</v>
      </c>
      <c r="B132" s="9" t="s">
        <v>161</v>
      </c>
      <c r="C132" s="12">
        <v>870</v>
      </c>
      <c r="D132" s="12">
        <v>321.33334147930145</v>
      </c>
      <c r="E132" s="12">
        <v>3281</v>
      </c>
      <c r="F132" s="11">
        <v>0.26516306004266993</v>
      </c>
      <c r="G132" s="11">
        <v>0.36934866836701319</v>
      </c>
      <c r="H132" s="11">
        <v>9.7937623126882506E-2</v>
      </c>
      <c r="I132" s="12">
        <v>1525</v>
      </c>
      <c r="J132" s="12">
        <v>571.11112555861473</v>
      </c>
      <c r="K132" s="12">
        <v>7408</v>
      </c>
      <c r="L132" s="14">
        <v>0.2058585313174946</v>
      </c>
      <c r="M132" s="14">
        <v>0.37449909872696047</v>
      </c>
      <c r="N132" s="14">
        <v>7.7093834443657486E-2</v>
      </c>
      <c r="O132" s="14">
        <f t="shared" si="0"/>
        <v>1.2703690746950496</v>
      </c>
      <c r="P132" s="17"/>
      <c r="S132" s="28"/>
      <c r="V132" s="18"/>
      <c r="W132" s="18"/>
      <c r="X132" s="18"/>
      <c r="Y132" s="6"/>
      <c r="Z132" s="6"/>
      <c r="AA132" s="6"/>
      <c r="AB132" s="18"/>
      <c r="AC132" s="18"/>
      <c r="AD132" s="18"/>
      <c r="AE132" s="18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</row>
    <row r="133" spans="1:50">
      <c r="A133" s="8">
        <v>30701</v>
      </c>
      <c r="B133" s="9" t="s">
        <v>162</v>
      </c>
      <c r="C133" s="12">
        <v>1103</v>
      </c>
      <c r="D133" s="12">
        <v>420.55556613206863</v>
      </c>
      <c r="E133" s="12">
        <v>7670</v>
      </c>
      <c r="F133" s="11">
        <v>0.1438070404172099</v>
      </c>
      <c r="G133" s="11">
        <v>0.38128337817957264</v>
      </c>
      <c r="H133" s="11">
        <v>5.4831234176280129E-2</v>
      </c>
      <c r="I133" s="12">
        <v>1294</v>
      </c>
      <c r="J133" s="12">
        <v>485.11112323403358</v>
      </c>
      <c r="K133" s="12">
        <v>11590</v>
      </c>
      <c r="L133" s="14">
        <v>0.11164797238999137</v>
      </c>
      <c r="M133" s="14">
        <v>0.37489267637869672</v>
      </c>
      <c r="N133" s="14">
        <v>4.1856007181538701E-2</v>
      </c>
      <c r="O133" s="14">
        <f t="shared" si="0"/>
        <v>1.3099967691248</v>
      </c>
      <c r="P133" s="17"/>
      <c r="S133" s="28"/>
      <c r="V133" s="18"/>
      <c r="W133" s="18"/>
      <c r="X133" s="18"/>
      <c r="Y133" s="6"/>
      <c r="Z133" s="6"/>
      <c r="AA133" s="6"/>
      <c r="AB133" s="18"/>
      <c r="AC133" s="18"/>
      <c r="AD133" s="18"/>
      <c r="AE133" s="18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</row>
    <row r="134" spans="1:50">
      <c r="A134" s="8">
        <v>30702</v>
      </c>
      <c r="B134" s="9" t="s">
        <v>163</v>
      </c>
      <c r="C134" s="12">
        <v>265</v>
      </c>
      <c r="D134" s="12">
        <v>97.777780205011368</v>
      </c>
      <c r="E134" s="12">
        <v>3015</v>
      </c>
      <c r="F134" s="11">
        <v>8.7893864013267001E-2</v>
      </c>
      <c r="G134" s="11">
        <v>0.36897275549060893</v>
      </c>
      <c r="H134" s="11">
        <v>3.2430441195691995E-2</v>
      </c>
      <c r="I134" s="12">
        <v>302</v>
      </c>
      <c r="J134" s="12">
        <v>109.44444692134857</v>
      </c>
      <c r="K134" s="12">
        <v>4717</v>
      </c>
      <c r="L134" s="14">
        <v>6.4023743905024383E-2</v>
      </c>
      <c r="M134" s="14">
        <v>0.3623988308653926</v>
      </c>
      <c r="N134" s="14">
        <v>2.3202129938806142E-2</v>
      </c>
      <c r="O134" s="14">
        <f t="shared" si="0"/>
        <v>1.3977355217484266</v>
      </c>
      <c r="P134" s="17"/>
      <c r="S134" s="28"/>
      <c r="V134" s="18"/>
      <c r="W134" s="18"/>
      <c r="X134" s="18"/>
      <c r="Y134" s="6"/>
      <c r="Z134" s="6"/>
      <c r="AA134" s="6"/>
      <c r="AB134" s="18"/>
      <c r="AC134" s="18"/>
      <c r="AD134" s="18"/>
      <c r="AE134" s="18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</row>
    <row r="135" spans="1:50">
      <c r="A135" s="8">
        <v>30703</v>
      </c>
      <c r="B135" s="9" t="s">
        <v>164</v>
      </c>
      <c r="C135" s="12">
        <v>226</v>
      </c>
      <c r="D135" s="12">
        <v>84.333335250616074</v>
      </c>
      <c r="E135" s="12">
        <v>1310</v>
      </c>
      <c r="F135" s="11">
        <v>0.17251908396946564</v>
      </c>
      <c r="G135" s="11">
        <v>0.37315635066644282</v>
      </c>
      <c r="H135" s="11">
        <v>6.4376591794363419E-2</v>
      </c>
      <c r="I135" s="12">
        <v>334</v>
      </c>
      <c r="J135" s="12">
        <v>125.00000301003456</v>
      </c>
      <c r="K135" s="12">
        <v>2624</v>
      </c>
      <c r="L135" s="14">
        <v>0.12728658536585366</v>
      </c>
      <c r="M135" s="14">
        <v>0.37425150601806756</v>
      </c>
      <c r="N135" s="14">
        <v>4.7637196269068052E-2</v>
      </c>
      <c r="O135" s="14">
        <f t="shared" si="0"/>
        <v>1.3513933824053506</v>
      </c>
      <c r="P135" s="17"/>
      <c r="S135" s="28"/>
      <c r="V135" s="18"/>
      <c r="W135" s="18"/>
      <c r="X135" s="18"/>
      <c r="Y135" s="6"/>
      <c r="Z135" s="6"/>
      <c r="AA135" s="6"/>
      <c r="AB135" s="18"/>
      <c r="AC135" s="18"/>
      <c r="AD135" s="18"/>
      <c r="AE135" s="18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</row>
    <row r="136" spans="1:50">
      <c r="A136" s="8">
        <v>30801</v>
      </c>
      <c r="B136" s="9" t="s">
        <v>165</v>
      </c>
      <c r="C136" s="12">
        <v>187</v>
      </c>
      <c r="D136" s="12">
        <v>65.000001728534698</v>
      </c>
      <c r="E136" s="12">
        <v>7325</v>
      </c>
      <c r="F136" s="11">
        <v>2.552901023890785E-2</v>
      </c>
      <c r="G136" s="11">
        <v>0.34759359213120161</v>
      </c>
      <c r="H136" s="11">
        <v>8.8737203724962056E-3</v>
      </c>
      <c r="I136" s="12">
        <v>256</v>
      </c>
      <c r="J136" s="12">
        <v>91.111113369464874</v>
      </c>
      <c r="K136" s="12">
        <v>13751</v>
      </c>
      <c r="L136" s="14">
        <v>1.8616827867064215E-2</v>
      </c>
      <c r="M136" s="14">
        <v>0.35590278659947217</v>
      </c>
      <c r="N136" s="14">
        <v>6.6257809155308616E-3</v>
      </c>
      <c r="O136" s="14">
        <f t="shared" si="0"/>
        <v>1.3392716248278242</v>
      </c>
      <c r="P136" s="17"/>
      <c r="S136" s="28"/>
      <c r="V136" s="18"/>
      <c r="W136" s="18"/>
      <c r="X136" s="18"/>
      <c r="Y136" s="6"/>
      <c r="Z136" s="6"/>
      <c r="AA136" s="6"/>
      <c r="AB136" s="18"/>
      <c r="AC136" s="18"/>
      <c r="AD136" s="18"/>
      <c r="AE136" s="18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</row>
    <row r="137" spans="1:50">
      <c r="A137" s="8">
        <v>30802</v>
      </c>
      <c r="B137" s="9" t="s">
        <v>166</v>
      </c>
      <c r="C137" s="12">
        <v>331</v>
      </c>
      <c r="D137" s="12">
        <v>124.88889220356941</v>
      </c>
      <c r="E137" s="12">
        <v>2800</v>
      </c>
      <c r="F137" s="11">
        <v>0.11821428571428572</v>
      </c>
      <c r="G137" s="11">
        <v>0.37730783143072327</v>
      </c>
      <c r="H137" s="11">
        <v>4.4603175786989073E-2</v>
      </c>
      <c r="I137" s="12">
        <v>304</v>
      </c>
      <c r="J137" s="12">
        <v>110.0000028014183</v>
      </c>
      <c r="K137" s="12">
        <v>4568</v>
      </c>
      <c r="L137" s="14">
        <v>6.6549912434325745E-2</v>
      </c>
      <c r="M137" s="14">
        <v>0.36184211447834969</v>
      </c>
      <c r="N137" s="14">
        <v>2.4080561033585444E-2</v>
      </c>
      <c r="O137" s="14">
        <f t="shared" si="0"/>
        <v>1.8522481982367642</v>
      </c>
      <c r="P137" s="17"/>
      <c r="S137" s="28"/>
      <c r="V137" s="18"/>
      <c r="W137" s="18"/>
      <c r="X137" s="18"/>
      <c r="Y137" s="6"/>
      <c r="Z137" s="6"/>
      <c r="AA137" s="6"/>
      <c r="AB137" s="18"/>
      <c r="AC137" s="18"/>
      <c r="AD137" s="18"/>
      <c r="AE137" s="18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</row>
    <row r="138" spans="1:50">
      <c r="A138" s="8">
        <v>30803</v>
      </c>
      <c r="B138" s="9" t="s">
        <v>167</v>
      </c>
      <c r="C138" s="12">
        <v>545</v>
      </c>
      <c r="D138" s="12">
        <v>193.77778306603432</v>
      </c>
      <c r="E138" s="12">
        <v>3120</v>
      </c>
      <c r="F138" s="11">
        <v>0.17467948717948717</v>
      </c>
      <c r="G138" s="11">
        <v>0.35555556525877857</v>
      </c>
      <c r="H138" s="11">
        <v>6.2108263803216122E-2</v>
      </c>
      <c r="I138" s="12">
        <v>779</v>
      </c>
      <c r="J138" s="12">
        <v>282.33334028720856</v>
      </c>
      <c r="K138" s="12">
        <v>4459</v>
      </c>
      <c r="L138" s="14">
        <v>0.17470284817223591</v>
      </c>
      <c r="M138" s="14">
        <v>0.36243047533659634</v>
      </c>
      <c r="N138" s="14">
        <v>6.3317636305720681E-2</v>
      </c>
      <c r="O138" s="14">
        <f t="shared" si="0"/>
        <v>0.9808999107821198</v>
      </c>
      <c r="P138" s="17"/>
      <c r="S138" s="28"/>
      <c r="V138" s="18"/>
      <c r="W138" s="18"/>
      <c r="X138" s="18"/>
      <c r="Y138" s="6"/>
      <c r="Z138" s="6"/>
      <c r="AA138" s="6"/>
      <c r="AB138" s="18"/>
      <c r="AC138" s="18"/>
      <c r="AD138" s="18"/>
      <c r="AE138" s="18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</row>
    <row r="139" spans="1:50">
      <c r="A139" s="8">
        <v>30901</v>
      </c>
      <c r="B139" s="9" t="s">
        <v>168</v>
      </c>
      <c r="C139" s="12">
        <v>2976</v>
      </c>
      <c r="D139" s="12">
        <v>1068.2222497463226</v>
      </c>
      <c r="E139" s="12">
        <v>62837</v>
      </c>
      <c r="F139" s="11">
        <v>4.7360631475086332E-2</v>
      </c>
      <c r="G139" s="11">
        <v>0.35894564843626431</v>
      </c>
      <c r="H139" s="11">
        <v>1.6999892575175812E-2</v>
      </c>
      <c r="I139" s="12">
        <v>3615</v>
      </c>
      <c r="J139" s="12">
        <v>1279.5555900931358</v>
      </c>
      <c r="K139" s="12">
        <v>101521</v>
      </c>
      <c r="L139" s="14">
        <v>3.5608396292392708E-2</v>
      </c>
      <c r="M139" s="14">
        <v>0.35395728633281764</v>
      </c>
      <c r="N139" s="14">
        <v>1.2603851322318888E-2</v>
      </c>
      <c r="O139" s="14">
        <f t="shared" si="0"/>
        <v>1.3487855529581199</v>
      </c>
      <c r="P139" s="17"/>
      <c r="S139" s="28"/>
      <c r="V139" s="18"/>
      <c r="W139" s="18"/>
      <c r="X139" s="18"/>
      <c r="Y139" s="6"/>
      <c r="Z139" s="6"/>
      <c r="AA139" s="6"/>
      <c r="AB139" s="18"/>
      <c r="AC139" s="18"/>
      <c r="AD139" s="18"/>
      <c r="AE139" s="18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</row>
    <row r="140" spans="1:50">
      <c r="A140" s="8">
        <v>30902</v>
      </c>
      <c r="B140" s="9" t="s">
        <v>169</v>
      </c>
      <c r="C140" s="12">
        <v>2189</v>
      </c>
      <c r="D140" s="12">
        <v>804.44446495175362</v>
      </c>
      <c r="E140" s="12">
        <v>23031</v>
      </c>
      <c r="F140" s="11">
        <v>9.5045807824236897E-2</v>
      </c>
      <c r="G140" s="11">
        <v>0.36749404520409029</v>
      </c>
      <c r="H140" s="11">
        <v>3.4928768397019395E-2</v>
      </c>
      <c r="I140" s="12">
        <v>2351</v>
      </c>
      <c r="J140" s="12">
        <v>857.44446656107903</v>
      </c>
      <c r="K140" s="12">
        <v>32565</v>
      </c>
      <c r="L140" s="14">
        <v>7.2194073391678187E-2</v>
      </c>
      <c r="M140" s="14">
        <v>0.36471478798854912</v>
      </c>
      <c r="N140" s="14">
        <v>2.6330246171075666E-2</v>
      </c>
      <c r="O140" s="14">
        <f t="shared" si="0"/>
        <v>1.326564444938209</v>
      </c>
      <c r="P140" s="17"/>
      <c r="S140" s="28"/>
      <c r="V140" s="18"/>
      <c r="W140" s="18"/>
      <c r="X140" s="18"/>
      <c r="Y140" s="6"/>
      <c r="Z140" s="6"/>
      <c r="AA140" s="6"/>
      <c r="AB140" s="18"/>
      <c r="AC140" s="18"/>
      <c r="AD140" s="18"/>
      <c r="AE140" s="18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</row>
    <row r="141" spans="1:50">
      <c r="A141" s="8">
        <v>30903</v>
      </c>
      <c r="B141" s="9" t="s">
        <v>170</v>
      </c>
      <c r="C141" s="12">
        <v>1063</v>
      </c>
      <c r="D141" s="12">
        <v>384.55556538701057</v>
      </c>
      <c r="E141" s="12">
        <v>21959</v>
      </c>
      <c r="F141" s="11">
        <v>4.8408397468008561E-2</v>
      </c>
      <c r="G141" s="11">
        <v>0.36176440770179735</v>
      </c>
      <c r="H141" s="11">
        <v>1.7512435237807305E-2</v>
      </c>
      <c r="I141" s="12">
        <v>1462</v>
      </c>
      <c r="J141" s="12">
        <v>523.55556860566139</v>
      </c>
      <c r="K141" s="12">
        <v>39031</v>
      </c>
      <c r="L141" s="14">
        <v>3.7457405651917706E-2</v>
      </c>
      <c r="M141" s="14">
        <v>0.35810914405311994</v>
      </c>
      <c r="N141" s="14">
        <v>1.3413839476458748E-2</v>
      </c>
      <c r="O141" s="14">
        <f t="shared" si="0"/>
        <v>1.3055497844999251</v>
      </c>
      <c r="P141" s="17"/>
      <c r="S141" s="28"/>
      <c r="V141" s="18"/>
      <c r="W141" s="18"/>
      <c r="X141" s="18"/>
      <c r="Y141" s="6"/>
      <c r="Z141" s="6"/>
      <c r="AA141" s="6"/>
      <c r="AB141" s="18"/>
      <c r="AC141" s="18"/>
      <c r="AD141" s="18"/>
      <c r="AE141" s="18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</row>
    <row r="142" spans="1:50">
      <c r="A142" s="8">
        <v>30904</v>
      </c>
      <c r="B142" s="9" t="s">
        <v>171</v>
      </c>
      <c r="C142" s="12">
        <v>1534</v>
      </c>
      <c r="D142" s="12">
        <v>556.66668078303337</v>
      </c>
      <c r="E142" s="12">
        <v>21176</v>
      </c>
      <c r="F142" s="11">
        <v>7.2440498677748391E-2</v>
      </c>
      <c r="G142" s="11">
        <v>0.36288571107107781</v>
      </c>
      <c r="H142" s="11">
        <v>2.6287621873018197E-2</v>
      </c>
      <c r="I142" s="12">
        <v>1727</v>
      </c>
      <c r="J142" s="12">
        <v>613.22223874926567</v>
      </c>
      <c r="K142" s="12">
        <v>34026</v>
      </c>
      <c r="L142" s="14">
        <v>5.0755304766942927E-2</v>
      </c>
      <c r="M142" s="14">
        <v>0.35507946656008432</v>
      </c>
      <c r="N142" s="14">
        <v>1.8022166541740599E-2</v>
      </c>
      <c r="O142" s="14">
        <f t="shared" si="0"/>
        <v>1.4586271751586706</v>
      </c>
      <c r="P142" s="17"/>
      <c r="S142" s="28"/>
      <c r="V142" s="18"/>
      <c r="W142" s="18"/>
      <c r="X142" s="18"/>
      <c r="Y142" s="6"/>
      <c r="Z142" s="6"/>
      <c r="AA142" s="6"/>
      <c r="AB142" s="18"/>
      <c r="AC142" s="18"/>
      <c r="AD142" s="18"/>
      <c r="AE142" s="18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</row>
    <row r="143" spans="1:50">
      <c r="A143" s="8">
        <v>30905</v>
      </c>
      <c r="B143" s="9" t="s">
        <v>172</v>
      </c>
      <c r="C143" s="12">
        <v>446</v>
      </c>
      <c r="D143" s="12">
        <v>155.22222626209259</v>
      </c>
      <c r="E143" s="12">
        <v>23707</v>
      </c>
      <c r="F143" s="11">
        <v>1.881300881596153E-2</v>
      </c>
      <c r="G143" s="11">
        <v>0.34803189744863811</v>
      </c>
      <c r="H143" s="11">
        <v>6.5475271549370476E-3</v>
      </c>
      <c r="I143" s="12">
        <v>568</v>
      </c>
      <c r="J143" s="12">
        <v>201.1111162006855</v>
      </c>
      <c r="K143" s="12">
        <v>42134</v>
      </c>
      <c r="L143" s="14">
        <v>1.3480799354440595E-2</v>
      </c>
      <c r="M143" s="14">
        <v>0.35406886655050263</v>
      </c>
      <c r="N143" s="14">
        <v>4.7731313476215287E-3</v>
      </c>
      <c r="O143" s="14">
        <f t="shared" si="0"/>
        <v>1.3717466958456335</v>
      </c>
      <c r="P143" s="17"/>
      <c r="S143" s="28"/>
      <c r="V143" s="18"/>
      <c r="W143" s="18"/>
      <c r="X143" s="18"/>
      <c r="Y143" s="6"/>
      <c r="Z143" s="6"/>
      <c r="AA143" s="6"/>
      <c r="AB143" s="18"/>
      <c r="AC143" s="18"/>
      <c r="AD143" s="18"/>
      <c r="AE143" s="18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</row>
    <row r="144" spans="1:50">
      <c r="A144" s="8">
        <v>31001</v>
      </c>
      <c r="B144" s="9" t="s">
        <v>173</v>
      </c>
      <c r="C144" s="12">
        <v>5515</v>
      </c>
      <c r="D144" s="12">
        <v>1996.2222727239132</v>
      </c>
      <c r="E144" s="12">
        <v>85345</v>
      </c>
      <c r="F144" s="11">
        <v>6.462007147460308E-2</v>
      </c>
      <c r="G144" s="11">
        <v>0.36196233412944934</v>
      </c>
      <c r="H144" s="11">
        <v>2.3390031902559179E-2</v>
      </c>
      <c r="I144" s="12">
        <v>6255</v>
      </c>
      <c r="J144" s="12">
        <v>2235.6667250096798</v>
      </c>
      <c r="K144" s="12">
        <v>129929</v>
      </c>
      <c r="L144" s="14">
        <v>4.8141677377644715E-2</v>
      </c>
      <c r="M144" s="14">
        <v>0.35742073941002073</v>
      </c>
      <c r="N144" s="14">
        <v>1.7206833924756443E-2</v>
      </c>
      <c r="O144" s="14">
        <f t="shared" si="0"/>
        <v>1.3593454789440735</v>
      </c>
      <c r="P144" s="17"/>
      <c r="S144" s="28"/>
      <c r="V144" s="18"/>
      <c r="W144" s="18"/>
      <c r="X144" s="18"/>
      <c r="Y144" s="6"/>
      <c r="Z144" s="6"/>
      <c r="AA144" s="6"/>
      <c r="AB144" s="18"/>
      <c r="AC144" s="18"/>
      <c r="AD144" s="18"/>
      <c r="AE144" s="18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</row>
    <row r="145" spans="1:50">
      <c r="A145" s="8">
        <v>31002</v>
      </c>
      <c r="B145" s="9" t="s">
        <v>174</v>
      </c>
      <c r="C145" s="12">
        <v>1048</v>
      </c>
      <c r="D145" s="12">
        <v>392.33334308862686</v>
      </c>
      <c r="E145" s="12">
        <v>8770</v>
      </c>
      <c r="F145" s="11">
        <v>0.11949828962371722</v>
      </c>
      <c r="G145" s="11">
        <v>0.37436387699296458</v>
      </c>
      <c r="H145" s="11">
        <v>4.4735842997562933E-2</v>
      </c>
      <c r="I145" s="12">
        <v>1798</v>
      </c>
      <c r="J145" s="12">
        <v>654.55557161569595</v>
      </c>
      <c r="K145" s="12">
        <v>12647</v>
      </c>
      <c r="L145" s="14">
        <v>0.14216810310745631</v>
      </c>
      <c r="M145" s="14">
        <v>0.36404648032018683</v>
      </c>
      <c r="N145" s="14">
        <v>5.1755797550066887E-2</v>
      </c>
      <c r="O145" s="14">
        <f t="shared" si="0"/>
        <v>0.86436389960539051</v>
      </c>
      <c r="P145" s="17"/>
      <c r="S145" s="28"/>
      <c r="V145" s="18"/>
      <c r="W145" s="18"/>
      <c r="X145" s="18"/>
      <c r="Y145" s="6"/>
      <c r="Z145" s="6"/>
      <c r="AA145" s="6"/>
      <c r="AB145" s="18"/>
      <c r="AC145" s="18"/>
      <c r="AD145" s="18"/>
      <c r="AE145" s="18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</row>
    <row r="146" spans="1:50">
      <c r="A146" s="8">
        <v>31003</v>
      </c>
      <c r="B146" s="9" t="s">
        <v>175</v>
      </c>
      <c r="C146" s="12">
        <v>6368</v>
      </c>
      <c r="D146" s="12">
        <v>2385.4445032477379</v>
      </c>
      <c r="E146" s="12">
        <v>37939</v>
      </c>
      <c r="F146" s="11">
        <v>0.16784838820211392</v>
      </c>
      <c r="G146" s="11">
        <v>0.37459869711804927</v>
      </c>
      <c r="H146" s="11">
        <v>6.2875787533876432E-2</v>
      </c>
      <c r="I146" s="12">
        <v>10566</v>
      </c>
      <c r="J146" s="12">
        <v>3901.3334290385246</v>
      </c>
      <c r="K146" s="12">
        <v>53839</v>
      </c>
      <c r="L146" s="14">
        <v>0.1962517877375137</v>
      </c>
      <c r="M146" s="14">
        <v>0.36923466108636427</v>
      </c>
      <c r="N146" s="14">
        <v>7.2462962332853972E-2</v>
      </c>
      <c r="O146" s="14">
        <f t="shared" si="0"/>
        <v>0.86769551657383992</v>
      </c>
      <c r="P146" s="17"/>
      <c r="S146" s="28"/>
      <c r="V146" s="18"/>
      <c r="W146" s="18"/>
      <c r="X146" s="18"/>
      <c r="Y146" s="6"/>
      <c r="Z146" s="6"/>
      <c r="AA146" s="6"/>
      <c r="AB146" s="18"/>
      <c r="AC146" s="18"/>
      <c r="AD146" s="18"/>
      <c r="AE146" s="18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</row>
    <row r="147" spans="1:50">
      <c r="A147" s="8">
        <v>31101</v>
      </c>
      <c r="B147" s="9" t="s">
        <v>176</v>
      </c>
      <c r="C147" s="12">
        <v>3227</v>
      </c>
      <c r="D147" s="12">
        <v>1286.0000314414501</v>
      </c>
      <c r="E147" s="12">
        <v>7292</v>
      </c>
      <c r="F147" s="11">
        <v>0.4425397696105321</v>
      </c>
      <c r="G147" s="11">
        <v>0.39851256009961267</v>
      </c>
      <c r="H147" s="11">
        <v>0.17635765653338592</v>
      </c>
      <c r="I147" s="12">
        <v>6090</v>
      </c>
      <c r="J147" s="12">
        <v>2355.7778373658657</v>
      </c>
      <c r="K147" s="12">
        <v>17248</v>
      </c>
      <c r="L147" s="14">
        <v>0.35308441558441561</v>
      </c>
      <c r="M147" s="14">
        <v>0.38682723109455924</v>
      </c>
      <c r="N147" s="14">
        <v>0.13658266682316014</v>
      </c>
      <c r="O147" s="14">
        <f t="shared" si="0"/>
        <v>1.2912155007320532</v>
      </c>
      <c r="P147" s="17"/>
      <c r="S147" s="28"/>
      <c r="V147" s="18"/>
      <c r="W147" s="18"/>
      <c r="X147" s="18"/>
      <c r="Y147" s="6"/>
      <c r="Z147" s="6"/>
      <c r="AA147" s="6"/>
      <c r="AB147" s="18"/>
      <c r="AC147" s="18"/>
      <c r="AD147" s="18"/>
      <c r="AE147" s="18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</row>
    <row r="148" spans="1:50">
      <c r="A148" s="8">
        <v>31201</v>
      </c>
      <c r="B148" s="9" t="s">
        <v>177</v>
      </c>
      <c r="C148" s="12">
        <v>1298</v>
      </c>
      <c r="D148" s="12">
        <v>489.11112371087074</v>
      </c>
      <c r="E148" s="12">
        <v>4486</v>
      </c>
      <c r="F148" s="11">
        <v>0.28934462773071778</v>
      </c>
      <c r="G148" s="11">
        <v>0.37681904754304374</v>
      </c>
      <c r="H148" s="11">
        <v>0.10903056703318564</v>
      </c>
      <c r="I148" s="12">
        <v>2670</v>
      </c>
      <c r="J148" s="12">
        <v>1019.1111359000206</v>
      </c>
      <c r="K148" s="12">
        <v>9997</v>
      </c>
      <c r="L148" s="14">
        <v>0.26708012403721115</v>
      </c>
      <c r="M148" s="14">
        <v>0.38168956400749837</v>
      </c>
      <c r="N148" s="14">
        <v>0.10194169609883171</v>
      </c>
      <c r="O148" s="14">
        <f t="shared" si="0"/>
        <v>1.0695384833256192</v>
      </c>
      <c r="P148" s="17"/>
      <c r="S148" s="28"/>
      <c r="V148" s="18"/>
      <c r="W148" s="18"/>
      <c r="X148" s="18"/>
      <c r="Y148" s="6"/>
      <c r="Z148" s="6"/>
      <c r="AA148" s="6"/>
      <c r="AB148" s="18"/>
      <c r="AC148" s="18"/>
      <c r="AD148" s="18"/>
      <c r="AE148" s="18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</row>
    <row r="149" spans="1:50">
      <c r="A149" s="8">
        <v>31202</v>
      </c>
      <c r="B149" s="9" t="s">
        <v>178</v>
      </c>
      <c r="C149" s="12">
        <v>945</v>
      </c>
      <c r="D149" s="12">
        <v>368.11111977696419</v>
      </c>
      <c r="E149" s="12">
        <v>3680</v>
      </c>
      <c r="F149" s="11">
        <v>0.25679347826086957</v>
      </c>
      <c r="G149" s="11">
        <v>0.38953557648355996</v>
      </c>
      <c r="H149" s="11">
        <v>0.10003019559156635</v>
      </c>
      <c r="I149" s="12">
        <v>2501</v>
      </c>
      <c r="J149" s="12">
        <v>963.88891246914864</v>
      </c>
      <c r="K149" s="12">
        <v>7953</v>
      </c>
      <c r="L149" s="14">
        <v>0.31447252609078336</v>
      </c>
      <c r="M149" s="14">
        <v>0.3854014044258891</v>
      </c>
      <c r="N149" s="14">
        <v>0.12119815320874495</v>
      </c>
      <c r="O149" s="14">
        <f t="shared" si="0"/>
        <v>0.82534422302029564</v>
      </c>
      <c r="P149" s="17"/>
      <c r="S149" s="28"/>
      <c r="V149" s="18"/>
      <c r="W149" s="18"/>
      <c r="X149" s="18"/>
      <c r="Y149" s="6"/>
      <c r="Z149" s="6"/>
      <c r="AA149" s="6"/>
      <c r="AB149" s="18"/>
      <c r="AC149" s="18"/>
      <c r="AD149" s="18"/>
      <c r="AE149" s="18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</row>
    <row r="150" spans="1:50">
      <c r="A150" s="8">
        <v>31203</v>
      </c>
      <c r="B150" s="9" t="s">
        <v>179</v>
      </c>
      <c r="C150" s="12">
        <v>687</v>
      </c>
      <c r="D150" s="12">
        <v>261.22222879528999</v>
      </c>
      <c r="E150" s="12">
        <v>3870</v>
      </c>
      <c r="F150" s="11">
        <v>0.17751937984496124</v>
      </c>
      <c r="G150" s="11">
        <v>0.38023614089561864</v>
      </c>
      <c r="H150" s="11">
        <v>6.7499283926431522E-2</v>
      </c>
      <c r="I150" s="12">
        <v>1073</v>
      </c>
      <c r="J150" s="12">
        <v>403.00001016259193</v>
      </c>
      <c r="K150" s="12">
        <v>8194</v>
      </c>
      <c r="L150" s="14">
        <v>0.13094947522577496</v>
      </c>
      <c r="M150" s="14">
        <v>0.37558248850194959</v>
      </c>
      <c r="N150" s="14">
        <v>4.918232977332096E-2</v>
      </c>
      <c r="O150" s="14">
        <f t="shared" si="0"/>
        <v>1.3724295745551816</v>
      </c>
      <c r="P150" s="17"/>
      <c r="S150" s="28"/>
      <c r="V150" s="18"/>
      <c r="W150" s="18"/>
      <c r="X150" s="18"/>
      <c r="Y150" s="6"/>
      <c r="Z150" s="6"/>
      <c r="AA150" s="6"/>
      <c r="AB150" s="18"/>
      <c r="AC150" s="18"/>
      <c r="AD150" s="18"/>
      <c r="AE150" s="18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</row>
    <row r="151" spans="1:50">
      <c r="A151" s="8">
        <v>31204</v>
      </c>
      <c r="B151" s="9" t="s">
        <v>180</v>
      </c>
      <c r="C151" s="12">
        <v>1452</v>
      </c>
      <c r="D151" s="12">
        <v>542.11112466454506</v>
      </c>
      <c r="E151" s="12">
        <v>10437</v>
      </c>
      <c r="F151" s="11">
        <v>0.13912043690715722</v>
      </c>
      <c r="G151" s="11">
        <v>0.37335476905271697</v>
      </c>
      <c r="H151" s="11">
        <v>5.1941278591984767E-2</v>
      </c>
      <c r="I151" s="12">
        <v>2456</v>
      </c>
      <c r="J151" s="12">
        <v>898.44446727633476</v>
      </c>
      <c r="K151" s="12">
        <v>15744</v>
      </c>
      <c r="L151" s="14">
        <v>0.1559959349593496</v>
      </c>
      <c r="M151" s="14">
        <v>0.36581615117114608</v>
      </c>
      <c r="N151" s="14">
        <v>5.7065832525173707E-2</v>
      </c>
      <c r="O151" s="14">
        <f t="shared" si="0"/>
        <v>0.91019926098636483</v>
      </c>
      <c r="P151" s="17"/>
      <c r="S151" s="28"/>
      <c r="V151" s="18"/>
      <c r="W151" s="18"/>
      <c r="X151" s="18"/>
      <c r="Y151" s="6"/>
      <c r="Z151" s="6"/>
      <c r="AA151" s="6"/>
      <c r="AB151" s="18"/>
      <c r="AC151" s="18"/>
      <c r="AD151" s="18"/>
      <c r="AE151" s="18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</row>
    <row r="152" spans="1:50">
      <c r="A152" s="8">
        <v>31205</v>
      </c>
      <c r="B152" s="9" t="s">
        <v>181</v>
      </c>
      <c r="C152" s="12">
        <v>3622</v>
      </c>
      <c r="D152" s="12">
        <v>1343.5555883049965</v>
      </c>
      <c r="E152" s="12">
        <v>26873</v>
      </c>
      <c r="F152" s="11">
        <v>0.13478212332080527</v>
      </c>
      <c r="G152" s="11">
        <v>0.37094301168001009</v>
      </c>
      <c r="H152" s="11">
        <v>4.9996486745246031E-2</v>
      </c>
      <c r="I152" s="12">
        <v>5590</v>
      </c>
      <c r="J152" s="12">
        <v>2038.6667175889015</v>
      </c>
      <c r="K152" s="12">
        <v>36362</v>
      </c>
      <c r="L152" s="14">
        <v>0.15373191793630714</v>
      </c>
      <c r="M152" s="14">
        <v>0.36469887613397167</v>
      </c>
      <c r="N152" s="14">
        <v>5.6065857697291173E-2</v>
      </c>
      <c r="O152" s="14">
        <f t="shared" si="0"/>
        <v>0.89174568621040851</v>
      </c>
      <c r="P152" s="17"/>
      <c r="S152" s="28"/>
      <c r="V152" s="18"/>
      <c r="W152" s="18"/>
      <c r="X152" s="18"/>
      <c r="Y152" s="6"/>
      <c r="Z152" s="6"/>
      <c r="AA152" s="6"/>
      <c r="AB152" s="18"/>
      <c r="AC152" s="18"/>
      <c r="AD152" s="18"/>
      <c r="AE152" s="18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</row>
    <row r="153" spans="1:50">
      <c r="A153" s="8">
        <v>31206</v>
      </c>
      <c r="B153" s="9" t="s">
        <v>182</v>
      </c>
      <c r="C153" s="12">
        <v>2778</v>
      </c>
      <c r="D153" s="12">
        <v>1031.5555815696716</v>
      </c>
      <c r="E153" s="12">
        <v>20363</v>
      </c>
      <c r="F153" s="11">
        <v>0.13642390610420863</v>
      </c>
      <c r="G153" s="11">
        <v>0.37133030294084651</v>
      </c>
      <c r="H153" s="11">
        <v>5.0658330382049387E-2</v>
      </c>
      <c r="I153" s="12">
        <v>3994</v>
      </c>
      <c r="J153" s="12">
        <v>1459.3333698511124</v>
      </c>
      <c r="K153" s="12">
        <v>23661</v>
      </c>
      <c r="L153" s="14">
        <v>0.1688009805164617</v>
      </c>
      <c r="M153" s="14">
        <v>0.36538141458465506</v>
      </c>
      <c r="N153" s="14">
        <v>6.1676741044381575E-2</v>
      </c>
      <c r="O153" s="14">
        <f t="shared" si="0"/>
        <v>0.82135225571656711</v>
      </c>
      <c r="P153" s="17"/>
      <c r="S153" s="28"/>
      <c r="V153" s="18"/>
      <c r="W153" s="18"/>
      <c r="X153" s="18"/>
      <c r="Y153" s="6"/>
      <c r="Z153" s="6"/>
      <c r="AA153" s="6"/>
      <c r="AB153" s="18"/>
      <c r="AC153" s="18"/>
      <c r="AD153" s="18"/>
      <c r="AE153" s="18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</row>
    <row r="154" spans="1:50">
      <c r="A154" s="8">
        <v>31301</v>
      </c>
      <c r="B154" s="9" t="s">
        <v>183</v>
      </c>
      <c r="C154" s="12">
        <v>1278</v>
      </c>
      <c r="D154" s="12">
        <v>494.77778968214989</v>
      </c>
      <c r="E154" s="12">
        <v>6614</v>
      </c>
      <c r="F154" s="11">
        <v>0.19322648926519503</v>
      </c>
      <c r="G154" s="11">
        <v>0.38715007017382619</v>
      </c>
      <c r="H154" s="11">
        <v>7.4807648878462335E-2</v>
      </c>
      <c r="I154" s="12">
        <v>2238</v>
      </c>
      <c r="J154" s="12">
        <v>837.22224274277687</v>
      </c>
      <c r="K154" s="12">
        <v>12949</v>
      </c>
      <c r="L154" s="14">
        <v>0.1728318789095683</v>
      </c>
      <c r="M154" s="14">
        <v>0.37409394224431497</v>
      </c>
      <c r="N154" s="14">
        <v>6.4655358926772488E-2</v>
      </c>
      <c r="O154" s="14">
        <f t="shared" si="0"/>
        <v>1.157021631620484</v>
      </c>
      <c r="P154" s="17"/>
      <c r="S154" s="28"/>
      <c r="V154" s="18"/>
      <c r="W154" s="18"/>
      <c r="X154" s="18"/>
      <c r="Y154" s="6"/>
      <c r="Z154" s="6"/>
      <c r="AA154" s="6"/>
      <c r="AB154" s="18"/>
      <c r="AC154" s="18"/>
      <c r="AD154" s="18"/>
      <c r="AE154" s="18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</row>
    <row r="155" spans="1:50">
      <c r="A155" s="8">
        <v>31302</v>
      </c>
      <c r="B155" s="9" t="s">
        <v>184</v>
      </c>
      <c r="C155" s="12">
        <v>1132</v>
      </c>
      <c r="D155" s="12">
        <v>477.11112356185913</v>
      </c>
      <c r="E155" s="12">
        <v>2222</v>
      </c>
      <c r="F155" s="11">
        <v>0.5094509450945095</v>
      </c>
      <c r="G155" s="11">
        <v>0.42147625756347978</v>
      </c>
      <c r="H155" s="11">
        <v>0.21472147775061168</v>
      </c>
      <c r="I155" s="12">
        <v>1395</v>
      </c>
      <c r="J155" s="12">
        <v>561.3333483338356</v>
      </c>
      <c r="K155" s="12">
        <v>2980</v>
      </c>
      <c r="L155" s="14">
        <v>0.46812080536912754</v>
      </c>
      <c r="M155" s="14">
        <v>0.40238949701350224</v>
      </c>
      <c r="N155" s="14">
        <v>0.18836689541403881</v>
      </c>
      <c r="O155" s="14">
        <f t="shared" si="0"/>
        <v>1.1399109024897625</v>
      </c>
      <c r="P155" s="17"/>
      <c r="S155" s="28"/>
      <c r="V155" s="18"/>
      <c r="W155" s="18"/>
      <c r="X155" s="18"/>
      <c r="Y155" s="6"/>
      <c r="Z155" s="6"/>
      <c r="AA155" s="6"/>
      <c r="AB155" s="18"/>
      <c r="AC155" s="18"/>
      <c r="AD155" s="18"/>
      <c r="AE155" s="18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</row>
    <row r="156" spans="1:50">
      <c r="A156" s="8">
        <v>31303</v>
      </c>
      <c r="B156" s="9" t="s">
        <v>185</v>
      </c>
      <c r="C156" s="12">
        <v>468</v>
      </c>
      <c r="D156" s="12">
        <v>180.44444864988327</v>
      </c>
      <c r="E156" s="12">
        <v>1175</v>
      </c>
      <c r="F156" s="11">
        <v>0.39829787234042552</v>
      </c>
      <c r="G156" s="11">
        <v>0.38556506121769929</v>
      </c>
      <c r="H156" s="11">
        <v>0.15356974353181554</v>
      </c>
      <c r="I156" s="12">
        <v>886</v>
      </c>
      <c r="J156" s="12">
        <v>347.33334198594093</v>
      </c>
      <c r="K156" s="12">
        <v>2306</v>
      </c>
      <c r="L156" s="14">
        <v>0.38421509106678231</v>
      </c>
      <c r="M156" s="14">
        <v>0.39202408802024935</v>
      </c>
      <c r="N156" s="14">
        <v>0.15062157067907239</v>
      </c>
      <c r="O156" s="14">
        <f t="shared" si="0"/>
        <v>1.0195733774349278</v>
      </c>
      <c r="P156" s="17"/>
      <c r="S156" s="28"/>
      <c r="V156" s="18"/>
      <c r="W156" s="18"/>
      <c r="X156" s="18"/>
      <c r="Y156" s="6"/>
      <c r="Z156" s="6"/>
      <c r="AA156" s="6"/>
      <c r="AB156" s="18"/>
      <c r="AC156" s="18"/>
      <c r="AD156" s="18"/>
      <c r="AE156" s="18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</row>
    <row r="157" spans="1:50">
      <c r="A157" s="8">
        <v>31304</v>
      </c>
      <c r="B157" s="9" t="s">
        <v>186</v>
      </c>
      <c r="C157" s="12">
        <v>1620</v>
      </c>
      <c r="D157" s="12">
        <v>726.44446450471878</v>
      </c>
      <c r="E157" s="12">
        <v>2506</v>
      </c>
      <c r="F157" s="11">
        <v>0.64644852354349558</v>
      </c>
      <c r="G157" s="11">
        <v>0.44842250895353009</v>
      </c>
      <c r="H157" s="11">
        <v>0.28988206883667944</v>
      </c>
      <c r="I157" s="12">
        <v>3691</v>
      </c>
      <c r="J157" s="12">
        <v>1649.5555988550186</v>
      </c>
      <c r="K157" s="12">
        <v>5521</v>
      </c>
      <c r="L157" s="14">
        <v>0.66853830827748595</v>
      </c>
      <c r="M157" s="14">
        <v>0.44691292301680263</v>
      </c>
      <c r="N157" s="14">
        <v>0.29877840950099954</v>
      </c>
      <c r="O157" s="14">
        <f t="shared" si="0"/>
        <v>0.97022428535188265</v>
      </c>
      <c r="P157" s="17"/>
      <c r="S157" s="28"/>
      <c r="V157" s="18"/>
      <c r="W157" s="18"/>
      <c r="X157" s="18"/>
      <c r="Y157" s="6"/>
      <c r="Z157" s="6"/>
      <c r="AA157" s="6"/>
      <c r="AB157" s="18"/>
      <c r="AC157" s="18"/>
      <c r="AD157" s="18"/>
      <c r="AE157" s="18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</row>
    <row r="158" spans="1:50">
      <c r="A158" s="8">
        <v>31401</v>
      </c>
      <c r="B158" s="9" t="s">
        <v>187</v>
      </c>
      <c r="C158" s="12">
        <v>936</v>
      </c>
      <c r="D158" s="12">
        <v>337.11111956834793</v>
      </c>
      <c r="E158" s="12">
        <v>13264</v>
      </c>
      <c r="F158" s="11">
        <v>7.0566948130277446E-2</v>
      </c>
      <c r="G158" s="11">
        <v>0.36016145253028625</v>
      </c>
      <c r="H158" s="11">
        <v>2.5415494539230091E-2</v>
      </c>
      <c r="I158" s="12">
        <v>884</v>
      </c>
      <c r="J158" s="12">
        <v>317.22223079204559</v>
      </c>
      <c r="K158" s="12">
        <v>21284</v>
      </c>
      <c r="L158" s="14">
        <v>4.1533546325878593E-2</v>
      </c>
      <c r="M158" s="14">
        <v>0.35884867736656739</v>
      </c>
      <c r="N158" s="14">
        <v>1.4904258165384588E-2</v>
      </c>
      <c r="O158" s="14">
        <f t="shared" si="0"/>
        <v>1.7052505570695253</v>
      </c>
      <c r="P158" s="17"/>
      <c r="S158" s="28"/>
      <c r="V158" s="18"/>
      <c r="W158" s="18"/>
      <c r="X158" s="18"/>
      <c r="Y158" s="6"/>
      <c r="Z158" s="6"/>
      <c r="AA158" s="6"/>
      <c r="AB158" s="18"/>
      <c r="AC158" s="18"/>
      <c r="AD158" s="18"/>
      <c r="AE158" s="18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</row>
    <row r="159" spans="1:50">
      <c r="A159" s="8">
        <v>31402</v>
      </c>
      <c r="B159" s="9" t="s">
        <v>188</v>
      </c>
      <c r="C159" s="12">
        <v>306</v>
      </c>
      <c r="D159" s="12">
        <v>110.77778053283691</v>
      </c>
      <c r="E159" s="12">
        <v>3273</v>
      </c>
      <c r="F159" s="11">
        <v>9.3492208982584785E-2</v>
      </c>
      <c r="G159" s="11">
        <v>0.362018890630186</v>
      </c>
      <c r="H159" s="11">
        <v>3.3845945778440856E-2</v>
      </c>
      <c r="I159" s="12">
        <v>340</v>
      </c>
      <c r="J159" s="12">
        <v>122.22222566604614</v>
      </c>
      <c r="K159" s="12">
        <v>5302</v>
      </c>
      <c r="L159" s="14">
        <v>6.412674462466994E-2</v>
      </c>
      <c r="M159" s="14">
        <v>0.35947713431190043</v>
      </c>
      <c r="N159" s="14">
        <v>2.3052098390427416E-2</v>
      </c>
      <c r="O159" s="14">
        <f t="shared" si="0"/>
        <v>1.4682370864986278</v>
      </c>
      <c r="P159" s="17"/>
      <c r="S159" s="28"/>
      <c r="V159" s="18"/>
      <c r="W159" s="18"/>
      <c r="X159" s="18"/>
      <c r="Y159" s="6"/>
      <c r="Z159" s="6"/>
      <c r="AA159" s="6"/>
      <c r="AB159" s="18"/>
      <c r="AC159" s="18"/>
      <c r="AD159" s="18"/>
      <c r="AE159" s="18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</row>
    <row r="160" spans="1:50">
      <c r="A160" s="8">
        <v>31403</v>
      </c>
      <c r="B160" s="9" t="s">
        <v>189</v>
      </c>
      <c r="C160" s="12">
        <v>258</v>
      </c>
      <c r="D160" s="12">
        <v>94.888891309499741</v>
      </c>
      <c r="E160" s="12">
        <v>4459</v>
      </c>
      <c r="F160" s="11">
        <v>5.7860506840098677E-2</v>
      </c>
      <c r="G160" s="11">
        <v>0.36778640042441763</v>
      </c>
      <c r="H160" s="11">
        <v>2.1280307537452286E-2</v>
      </c>
      <c r="I160" s="12">
        <v>379</v>
      </c>
      <c r="J160" s="12">
        <v>134.8888923227787</v>
      </c>
      <c r="K160" s="12">
        <v>8572</v>
      </c>
      <c r="L160" s="14">
        <v>4.4213719085394308E-2</v>
      </c>
      <c r="M160" s="14">
        <v>0.35590736760627628</v>
      </c>
      <c r="N160" s="14">
        <v>1.5735988371766065E-2</v>
      </c>
      <c r="O160" s="14">
        <f t="shared" si="0"/>
        <v>1.3523337101363133</v>
      </c>
      <c r="P160" s="17"/>
      <c r="S160" s="28"/>
      <c r="V160" s="18"/>
      <c r="W160" s="18"/>
      <c r="X160" s="18"/>
      <c r="Y160" s="6"/>
      <c r="Z160" s="6"/>
      <c r="AA160" s="6"/>
      <c r="AB160" s="18"/>
      <c r="AC160" s="18"/>
      <c r="AD160" s="18"/>
      <c r="AE160" s="18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</row>
    <row r="161" spans="1:50">
      <c r="A161" s="8">
        <v>31404</v>
      </c>
      <c r="B161" s="9" t="s">
        <v>190</v>
      </c>
      <c r="C161" s="12">
        <v>39</v>
      </c>
      <c r="D161" s="12">
        <v>15.333333641290665</v>
      </c>
      <c r="E161" s="12">
        <v>519</v>
      </c>
      <c r="F161" s="11">
        <v>7.5144508670520235E-2</v>
      </c>
      <c r="G161" s="11">
        <v>0.39316240105873501</v>
      </c>
      <c r="H161" s="11">
        <v>2.9543995455280667E-2</v>
      </c>
      <c r="I161" s="12">
        <v>32</v>
      </c>
      <c r="J161" s="12">
        <v>11.555555820465088</v>
      </c>
      <c r="K161" s="12">
        <v>763</v>
      </c>
      <c r="L161" s="14">
        <v>4.1939711664482307E-2</v>
      </c>
      <c r="M161" s="14">
        <v>0.361111119389534</v>
      </c>
      <c r="N161" s="14">
        <v>1.5144896226035503E-2</v>
      </c>
      <c r="O161" s="14">
        <f t="shared" si="0"/>
        <v>1.9507558859658449</v>
      </c>
      <c r="P161" s="17"/>
      <c r="S161" s="28"/>
      <c r="V161" s="18"/>
      <c r="W161" s="18"/>
      <c r="X161" s="18"/>
      <c r="Y161" s="6"/>
      <c r="Z161" s="6"/>
      <c r="AA161" s="6"/>
      <c r="AB161" s="18"/>
      <c r="AC161" s="18"/>
      <c r="AD161" s="18"/>
      <c r="AE161" s="18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</row>
    <row r="162" spans="1:50">
      <c r="A162" s="8">
        <v>31405</v>
      </c>
      <c r="B162" s="9" t="s">
        <v>191</v>
      </c>
      <c r="C162" s="12">
        <v>250</v>
      </c>
      <c r="D162" s="12">
        <v>105.00000229477882</v>
      </c>
      <c r="E162" s="12">
        <v>1396</v>
      </c>
      <c r="F162" s="11">
        <v>0.17908309455587393</v>
      </c>
      <c r="G162" s="11">
        <v>0.42000000917911529</v>
      </c>
      <c r="H162" s="11">
        <v>7.5214901357291419E-2</v>
      </c>
      <c r="I162" s="12">
        <v>359</v>
      </c>
      <c r="J162" s="12">
        <v>134.33333665132523</v>
      </c>
      <c r="K162" s="12">
        <v>2417</v>
      </c>
      <c r="L162" s="14">
        <v>0.14853123707074886</v>
      </c>
      <c r="M162" s="14">
        <v>0.37418756727388641</v>
      </c>
      <c r="N162" s="14">
        <v>5.5578542263684409E-2</v>
      </c>
      <c r="O162" s="14">
        <f t="shared" si="0"/>
        <v>1.3533082785878969</v>
      </c>
      <c r="P162" s="17"/>
      <c r="S162" s="28"/>
      <c r="V162" s="18"/>
      <c r="W162" s="18"/>
      <c r="X162" s="18"/>
      <c r="Y162" s="6"/>
      <c r="Z162" s="6"/>
      <c r="AA162" s="6"/>
      <c r="AB162" s="18"/>
      <c r="AC162" s="18"/>
      <c r="AD162" s="18"/>
      <c r="AE162" s="18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</row>
    <row r="163" spans="1:50">
      <c r="A163" s="8">
        <v>31501</v>
      </c>
      <c r="B163" s="9" t="s">
        <v>192</v>
      </c>
      <c r="C163" s="12">
        <v>676</v>
      </c>
      <c r="D163" s="12">
        <v>258.7777841091156</v>
      </c>
      <c r="E163" s="12">
        <v>1957</v>
      </c>
      <c r="F163" s="11">
        <v>0.34542667347981604</v>
      </c>
      <c r="G163" s="11">
        <v>0.38280737294247869</v>
      </c>
      <c r="H163" s="11">
        <v>0.13223187741906775</v>
      </c>
      <c r="I163" s="12">
        <v>1644</v>
      </c>
      <c r="J163" s="12">
        <v>610.22223711013794</v>
      </c>
      <c r="K163" s="12">
        <v>6308</v>
      </c>
      <c r="L163" s="14">
        <v>0.26062143310082436</v>
      </c>
      <c r="M163" s="14">
        <v>0.37118140943439049</v>
      </c>
      <c r="N163" s="14">
        <v>9.673783086717469E-2</v>
      </c>
      <c r="O163" s="14">
        <f t="shared" si="0"/>
        <v>1.36690967984002</v>
      </c>
      <c r="P163" s="17"/>
      <c r="S163" s="28"/>
      <c r="V163" s="18"/>
      <c r="W163" s="18"/>
      <c r="X163" s="18"/>
      <c r="Y163" s="6"/>
      <c r="Z163" s="6"/>
      <c r="AA163" s="6"/>
      <c r="AB163" s="18"/>
      <c r="AC163" s="18"/>
      <c r="AD163" s="18"/>
      <c r="AE163" s="18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</row>
    <row r="164" spans="1:50">
      <c r="A164" s="8">
        <v>31601</v>
      </c>
      <c r="B164" s="9" t="s">
        <v>193</v>
      </c>
      <c r="C164" s="12">
        <v>797</v>
      </c>
      <c r="D164" s="12">
        <v>300.66667392849922</v>
      </c>
      <c r="E164" s="12">
        <v>5667</v>
      </c>
      <c r="F164" s="11">
        <v>0.14063878595376741</v>
      </c>
      <c r="G164" s="11">
        <v>0.37724802249498018</v>
      </c>
      <c r="H164" s="11">
        <v>5.3055703887153555E-2</v>
      </c>
      <c r="I164" s="12">
        <v>1406</v>
      </c>
      <c r="J164" s="12">
        <v>536.22223523259163</v>
      </c>
      <c r="K164" s="12">
        <v>12752</v>
      </c>
      <c r="L164" s="14">
        <v>0.11025721455457968</v>
      </c>
      <c r="M164" s="14">
        <v>0.38138139063484466</v>
      </c>
      <c r="N164" s="14">
        <v>4.2050049814350031E-2</v>
      </c>
      <c r="O164" s="14">
        <f t="shared" si="0"/>
        <v>1.2617274919148307</v>
      </c>
      <c r="P164" s="17"/>
      <c r="S164" s="28"/>
      <c r="V164" s="18"/>
      <c r="W164" s="18"/>
      <c r="X164" s="18"/>
      <c r="Y164" s="6"/>
      <c r="Z164" s="6"/>
      <c r="AA164" s="6"/>
      <c r="AB164" s="18"/>
      <c r="AC164" s="18"/>
      <c r="AD164" s="18"/>
      <c r="AE164" s="18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</row>
    <row r="165" spans="1:50">
      <c r="A165" s="8">
        <v>31602</v>
      </c>
      <c r="B165" s="9" t="s">
        <v>194</v>
      </c>
      <c r="C165" s="12">
        <v>1061</v>
      </c>
      <c r="D165" s="12">
        <v>392.33334255218506</v>
      </c>
      <c r="E165" s="12">
        <v>11002</v>
      </c>
      <c r="F165" s="11">
        <v>9.6437011452463195E-2</v>
      </c>
      <c r="G165" s="11">
        <v>0.36977694868254951</v>
      </c>
      <c r="H165" s="11">
        <v>3.5660183834955922E-2</v>
      </c>
      <c r="I165" s="12">
        <v>1749</v>
      </c>
      <c r="J165" s="12">
        <v>641.33334931731224</v>
      </c>
      <c r="K165" s="12">
        <v>15398</v>
      </c>
      <c r="L165" s="14">
        <v>0.11358618002337965</v>
      </c>
      <c r="M165" s="14">
        <v>0.36668573431521567</v>
      </c>
      <c r="N165" s="14">
        <v>4.1650431829933249E-2</v>
      </c>
      <c r="O165" s="14">
        <f t="shared" si="0"/>
        <v>0.85617800988386705</v>
      </c>
      <c r="P165" s="17"/>
      <c r="S165" s="28"/>
      <c r="V165" s="18"/>
      <c r="W165" s="18"/>
      <c r="X165" s="18"/>
      <c r="Y165" s="6"/>
      <c r="Z165" s="6"/>
      <c r="AA165" s="6"/>
      <c r="AB165" s="18"/>
      <c r="AC165" s="18"/>
      <c r="AD165" s="18"/>
      <c r="AE165" s="18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</row>
    <row r="166" spans="1:50">
      <c r="A166" s="8">
        <v>40101</v>
      </c>
      <c r="B166" s="9" t="s">
        <v>26</v>
      </c>
      <c r="C166" s="12">
        <v>3416</v>
      </c>
      <c r="D166" s="12">
        <v>1248.8889207839966</v>
      </c>
      <c r="E166" s="12">
        <v>121616</v>
      </c>
      <c r="F166" s="11">
        <v>2.8088409419813182E-2</v>
      </c>
      <c r="G166" s="11">
        <v>0.36559980116627533</v>
      </c>
      <c r="H166" s="11">
        <v>1.0269116898960635E-2</v>
      </c>
      <c r="I166" s="12">
        <v>2537</v>
      </c>
      <c r="J166" s="12">
        <v>909.77780109643936</v>
      </c>
      <c r="K166" s="12">
        <v>169384</v>
      </c>
      <c r="L166" s="14">
        <v>1.4977801917536485E-2</v>
      </c>
      <c r="M166" s="14">
        <v>0.35860378442902618</v>
      </c>
      <c r="N166" s="14">
        <v>5.371096450056909E-3</v>
      </c>
      <c r="O166" s="14">
        <f t="shared" si="0"/>
        <v>1.9119218942441127</v>
      </c>
      <c r="P166" s="17"/>
      <c r="S166" s="28"/>
      <c r="V166" s="18"/>
      <c r="W166" s="18"/>
      <c r="X166" s="18"/>
      <c r="Y166" s="6"/>
      <c r="Z166" s="6"/>
      <c r="AA166" s="6"/>
      <c r="AB166" s="18"/>
      <c r="AC166" s="18"/>
      <c r="AD166" s="18"/>
      <c r="AE166" s="18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</row>
    <row r="167" spans="1:50">
      <c r="A167" s="8">
        <v>40102</v>
      </c>
      <c r="B167" s="9" t="s">
        <v>195</v>
      </c>
      <c r="C167" s="12">
        <v>1165</v>
      </c>
      <c r="D167" s="12">
        <v>420.88889959454536</v>
      </c>
      <c r="E167" s="12">
        <v>8050</v>
      </c>
      <c r="F167" s="11">
        <v>0.14472049689440994</v>
      </c>
      <c r="G167" s="11">
        <v>0.36127802540304321</v>
      </c>
      <c r="H167" s="11">
        <v>5.2284335353359669E-2</v>
      </c>
      <c r="I167" s="12">
        <v>1910</v>
      </c>
      <c r="J167" s="12">
        <v>688.33335030078888</v>
      </c>
      <c r="K167" s="12">
        <v>14236</v>
      </c>
      <c r="L167" s="14">
        <v>0.13416690081483562</v>
      </c>
      <c r="M167" s="14">
        <v>0.36038395303706222</v>
      </c>
      <c r="N167" s="14">
        <v>4.8351598082381902E-2</v>
      </c>
      <c r="O167" s="14">
        <f t="shared" si="0"/>
        <v>1.0813362417572452</v>
      </c>
      <c r="P167" s="17"/>
      <c r="S167" s="28"/>
      <c r="V167" s="18"/>
      <c r="W167" s="18"/>
      <c r="X167" s="18"/>
      <c r="Y167" s="6"/>
      <c r="Z167" s="6"/>
      <c r="AA167" s="6"/>
      <c r="AB167" s="18"/>
      <c r="AC167" s="18"/>
      <c r="AD167" s="18"/>
      <c r="AE167" s="18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</row>
    <row r="168" spans="1:50">
      <c r="A168" s="8">
        <v>40103</v>
      </c>
      <c r="B168" s="9" t="s">
        <v>196</v>
      </c>
      <c r="C168" s="12">
        <v>2315</v>
      </c>
      <c r="D168" s="12">
        <v>881.77779924869537</v>
      </c>
      <c r="E168" s="12">
        <v>4163</v>
      </c>
      <c r="F168" s="11">
        <v>0.55608935863559927</v>
      </c>
      <c r="G168" s="11">
        <v>0.3808975374724386</v>
      </c>
      <c r="H168" s="11">
        <v>0.21181306731892752</v>
      </c>
      <c r="I168" s="12">
        <v>3110</v>
      </c>
      <c r="J168" s="12">
        <v>1138.6666941940784</v>
      </c>
      <c r="K168" s="12">
        <v>5784</v>
      </c>
      <c r="L168" s="14">
        <v>0.53769017980636236</v>
      </c>
      <c r="M168" s="14">
        <v>0.36613076983732423</v>
      </c>
      <c r="N168" s="14">
        <v>0.19686491946647275</v>
      </c>
      <c r="O168" s="14">
        <f t="shared" si="0"/>
        <v>1.0759309880753058</v>
      </c>
      <c r="P168" s="17"/>
      <c r="S168" s="28"/>
      <c r="V168" s="18"/>
      <c r="W168" s="18"/>
      <c r="X168" s="18"/>
      <c r="Y168" s="6"/>
      <c r="Z168" s="6"/>
      <c r="AA168" s="6"/>
      <c r="AB168" s="18"/>
      <c r="AC168" s="18"/>
      <c r="AD168" s="18"/>
      <c r="AE168" s="18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</row>
    <row r="169" spans="1:50">
      <c r="A169" s="8">
        <v>40104</v>
      </c>
      <c r="B169" s="9" t="s">
        <v>197</v>
      </c>
      <c r="C169" s="12">
        <v>632</v>
      </c>
      <c r="D169" s="12">
        <v>231.5555614233017</v>
      </c>
      <c r="E169" s="12">
        <v>3938</v>
      </c>
      <c r="F169" s="11">
        <v>0.16048755713560184</v>
      </c>
      <c r="G169" s="11">
        <v>0.36638538199889509</v>
      </c>
      <c r="H169" s="11">
        <v>5.8800294927196982E-2</v>
      </c>
      <c r="I169" s="12">
        <v>1254</v>
      </c>
      <c r="J169" s="12">
        <v>463.77778899669647</v>
      </c>
      <c r="K169" s="12">
        <v>11735</v>
      </c>
      <c r="L169" s="14">
        <v>0.10685982104814656</v>
      </c>
      <c r="M169" s="14">
        <v>0.369838747206297</v>
      </c>
      <c r="N169" s="14">
        <v>3.9520902343135614E-2</v>
      </c>
      <c r="O169" s="14">
        <f t="shared" si="0"/>
        <v>1.4878277428149362</v>
      </c>
      <c r="P169" s="17"/>
      <c r="S169" s="28"/>
      <c r="V169" s="18"/>
      <c r="W169" s="18"/>
      <c r="X169" s="18"/>
      <c r="Y169" s="6"/>
      <c r="Z169" s="6"/>
      <c r="AA169" s="6"/>
      <c r="AB169" s="18"/>
      <c r="AC169" s="18"/>
      <c r="AD169" s="18"/>
      <c r="AE169" s="18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</row>
    <row r="170" spans="1:50">
      <c r="A170" s="8">
        <v>40201</v>
      </c>
      <c r="B170" s="9" t="s">
        <v>198</v>
      </c>
      <c r="C170" s="12">
        <v>1708</v>
      </c>
      <c r="D170" s="12">
        <v>651.22223800420761</v>
      </c>
      <c r="E170" s="12">
        <v>11623</v>
      </c>
      <c r="F170" s="11">
        <v>0.1469500129054461</v>
      </c>
      <c r="G170" s="11">
        <v>0.38127765691112858</v>
      </c>
      <c r="H170" s="11">
        <v>5.6028756603648595E-2</v>
      </c>
      <c r="I170" s="12">
        <v>4503</v>
      </c>
      <c r="J170" s="12">
        <v>1645.2222636938095</v>
      </c>
      <c r="K170" s="12">
        <v>23262</v>
      </c>
      <c r="L170" s="14">
        <v>0.19357750838277019</v>
      </c>
      <c r="M170" s="14">
        <v>0.36536137323868745</v>
      </c>
      <c r="N170" s="14">
        <v>7.0725744290852446E-2</v>
      </c>
      <c r="O170" s="14">
        <f t="shared" si="0"/>
        <v>0.79219748290291603</v>
      </c>
      <c r="P170" s="17"/>
      <c r="S170" s="28"/>
      <c r="V170" s="18"/>
      <c r="W170" s="18"/>
      <c r="X170" s="18"/>
      <c r="Y170" s="6"/>
      <c r="Z170" s="6"/>
      <c r="AA170" s="6"/>
      <c r="AB170" s="18"/>
      <c r="AC170" s="18"/>
      <c r="AD170" s="18"/>
      <c r="AE170" s="18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</row>
    <row r="171" spans="1:50">
      <c r="A171" s="8">
        <v>40202</v>
      </c>
      <c r="B171" s="9" t="s">
        <v>199</v>
      </c>
      <c r="C171" s="12">
        <v>325</v>
      </c>
      <c r="D171" s="12">
        <v>118.111113935709</v>
      </c>
      <c r="E171" s="12">
        <v>1767</v>
      </c>
      <c r="F171" s="11">
        <v>0.1839275608375778</v>
      </c>
      <c r="G171" s="11">
        <v>0.36341881210987387</v>
      </c>
      <c r="H171" s="11">
        <v>6.684273567385908E-2</v>
      </c>
      <c r="I171" s="12">
        <v>804</v>
      </c>
      <c r="J171" s="12">
        <v>284.6666738986969</v>
      </c>
      <c r="K171" s="12">
        <v>3374</v>
      </c>
      <c r="L171" s="14">
        <v>0.23829282750444578</v>
      </c>
      <c r="M171" s="14">
        <v>0.35406302723718519</v>
      </c>
      <c r="N171" s="14">
        <v>8.4370679875132457E-2</v>
      </c>
      <c r="O171" s="14">
        <f t="shared" si="0"/>
        <v>0.79225076499069924</v>
      </c>
      <c r="P171" s="17"/>
      <c r="S171" s="28"/>
      <c r="V171" s="18"/>
      <c r="W171" s="18"/>
      <c r="X171" s="18"/>
      <c r="Y171" s="6"/>
      <c r="Z171" s="6"/>
      <c r="AA171" s="6"/>
      <c r="AB171" s="18"/>
      <c r="AC171" s="18"/>
      <c r="AD171" s="18"/>
      <c r="AE171" s="18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</row>
    <row r="172" spans="1:50">
      <c r="A172" s="8">
        <v>40301</v>
      </c>
      <c r="B172" s="9" t="s">
        <v>200</v>
      </c>
      <c r="C172" s="12">
        <v>1565</v>
      </c>
      <c r="D172" s="12">
        <v>594.88890305161476</v>
      </c>
      <c r="E172" s="12">
        <v>4477</v>
      </c>
      <c r="F172" s="11">
        <v>0.34956444047353136</v>
      </c>
      <c r="G172" s="11">
        <v>0.38012070482531296</v>
      </c>
      <c r="H172" s="11">
        <v>0.13287668149466489</v>
      </c>
      <c r="I172" s="12">
        <v>3753</v>
      </c>
      <c r="J172" s="12">
        <v>1393.2222565114498</v>
      </c>
      <c r="K172" s="12">
        <v>11407</v>
      </c>
      <c r="L172" s="14">
        <v>0.32900850355045147</v>
      </c>
      <c r="M172" s="14">
        <v>0.37122895190819338</v>
      </c>
      <c r="N172" s="14">
        <v>0.12213748194191722</v>
      </c>
      <c r="O172" s="14">
        <f t="shared" si="0"/>
        <v>1.0879271406451192</v>
      </c>
      <c r="P172" s="17"/>
      <c r="S172" s="28"/>
      <c r="V172" s="18"/>
      <c r="W172" s="18"/>
      <c r="X172" s="18"/>
      <c r="Y172" s="6"/>
      <c r="Z172" s="6"/>
      <c r="AA172" s="6"/>
      <c r="AB172" s="18"/>
      <c r="AC172" s="18"/>
      <c r="AD172" s="18"/>
      <c r="AE172" s="18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</row>
    <row r="173" spans="1:50">
      <c r="A173" s="8">
        <v>40302</v>
      </c>
      <c r="B173" s="9" t="s">
        <v>201</v>
      </c>
      <c r="C173" s="12">
        <v>198</v>
      </c>
      <c r="D173" s="12">
        <v>70.555557250976563</v>
      </c>
      <c r="E173" s="12">
        <v>733</v>
      </c>
      <c r="F173" s="11">
        <v>0.27012278308321963</v>
      </c>
      <c r="G173" s="11">
        <v>0.35634119823725535</v>
      </c>
      <c r="H173" s="11">
        <v>9.6255876195056697E-2</v>
      </c>
      <c r="I173" s="12">
        <v>475</v>
      </c>
      <c r="J173" s="12">
        <v>171.11111563444138</v>
      </c>
      <c r="K173" s="12">
        <v>1764</v>
      </c>
      <c r="L173" s="14">
        <v>0.26927437641723356</v>
      </c>
      <c r="M173" s="14">
        <v>0.36023392765145551</v>
      </c>
      <c r="N173" s="14">
        <v>9.7001766232676506E-2</v>
      </c>
      <c r="O173" s="14">
        <f t="shared" si="0"/>
        <v>0.99231055199726304</v>
      </c>
      <c r="P173" s="17"/>
      <c r="S173" s="28"/>
      <c r="V173" s="18"/>
      <c r="W173" s="18"/>
      <c r="X173" s="18"/>
      <c r="Y173" s="6"/>
      <c r="Z173" s="6"/>
      <c r="AA173" s="6"/>
      <c r="AB173" s="18"/>
      <c r="AC173" s="18"/>
      <c r="AD173" s="18"/>
      <c r="AE173" s="18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</row>
    <row r="174" spans="1:50">
      <c r="A174" s="8">
        <v>40401</v>
      </c>
      <c r="B174" s="9" t="s">
        <v>202</v>
      </c>
      <c r="C174" s="12">
        <v>336</v>
      </c>
      <c r="D174" s="12">
        <v>124.66666996479034</v>
      </c>
      <c r="E174" s="12">
        <v>2087</v>
      </c>
      <c r="F174" s="11">
        <v>0.16099664590321036</v>
      </c>
      <c r="G174" s="11">
        <v>0.37103175584759029</v>
      </c>
      <c r="H174" s="11">
        <v>5.9734868215040898E-2</v>
      </c>
      <c r="I174" s="12">
        <v>882</v>
      </c>
      <c r="J174" s="12">
        <v>329.00000727176666</v>
      </c>
      <c r="K174" s="12">
        <v>4280</v>
      </c>
      <c r="L174" s="14">
        <v>0.20607476635514019</v>
      </c>
      <c r="M174" s="14">
        <v>0.37301588126050644</v>
      </c>
      <c r="N174" s="14">
        <v>7.6869160577515583E-2</v>
      </c>
      <c r="O174" s="14">
        <f t="shared" si="0"/>
        <v>0.77709796446656521</v>
      </c>
      <c r="P174" s="17"/>
      <c r="S174" s="28"/>
      <c r="V174" s="18"/>
      <c r="W174" s="18"/>
      <c r="X174" s="18"/>
      <c r="Y174" s="6"/>
      <c r="Z174" s="6"/>
      <c r="AA174" s="6"/>
      <c r="AB174" s="18"/>
      <c r="AC174" s="18"/>
      <c r="AD174" s="18"/>
      <c r="AE174" s="18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</row>
    <row r="175" spans="1:50">
      <c r="A175" s="8">
        <v>40402</v>
      </c>
      <c r="B175" s="9" t="s">
        <v>203</v>
      </c>
      <c r="C175" s="12">
        <v>505</v>
      </c>
      <c r="D175" s="12">
        <v>188.11111563444138</v>
      </c>
      <c r="E175" s="12">
        <v>1710</v>
      </c>
      <c r="F175" s="11">
        <v>0.2953216374269006</v>
      </c>
      <c r="G175" s="11">
        <v>0.37249725868206213</v>
      </c>
      <c r="H175" s="11">
        <v>0.11000650037101835</v>
      </c>
      <c r="I175" s="12">
        <v>1326</v>
      </c>
      <c r="J175" s="12">
        <v>498.11112296581268</v>
      </c>
      <c r="K175" s="12">
        <v>3864</v>
      </c>
      <c r="L175" s="14">
        <v>0.34316770186335405</v>
      </c>
      <c r="M175" s="14">
        <v>0.37564941400136703</v>
      </c>
      <c r="N175" s="14">
        <v>0.12891074610916478</v>
      </c>
      <c r="O175" s="14">
        <f t="shared" si="0"/>
        <v>0.85335399639888943</v>
      </c>
      <c r="P175" s="17"/>
      <c r="S175" s="28"/>
      <c r="V175" s="18"/>
      <c r="W175" s="18"/>
      <c r="X175" s="18"/>
      <c r="Y175" s="6"/>
      <c r="Z175" s="6"/>
      <c r="AA175" s="6"/>
      <c r="AB175" s="18"/>
      <c r="AC175" s="18"/>
      <c r="AD175" s="18"/>
      <c r="AE175" s="18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</row>
    <row r="176" spans="1:50">
      <c r="A176" s="8">
        <v>40501</v>
      </c>
      <c r="B176" s="9" t="s">
        <v>204</v>
      </c>
      <c r="C176" s="12">
        <v>33</v>
      </c>
      <c r="D176" s="12">
        <v>11.111111432313919</v>
      </c>
      <c r="E176" s="12">
        <v>1067</v>
      </c>
      <c r="F176" s="11">
        <v>3.0927835051546393E-2</v>
      </c>
      <c r="G176" s="11">
        <v>0.33670034643375513</v>
      </c>
      <c r="H176" s="11">
        <v>1.0413412776301706E-2</v>
      </c>
      <c r="I176" s="12">
        <v>59</v>
      </c>
      <c r="J176" s="12">
        <v>20.777778297662735</v>
      </c>
      <c r="K176" s="12">
        <v>2720</v>
      </c>
      <c r="L176" s="14">
        <v>2.1691176470588235E-2</v>
      </c>
      <c r="M176" s="14">
        <v>0.35216573385869043</v>
      </c>
      <c r="N176" s="14">
        <v>7.638889080023064E-3</v>
      </c>
      <c r="O176" s="14">
        <f t="shared" si="0"/>
        <v>1.363210365697608</v>
      </c>
      <c r="P176" s="17"/>
      <c r="S176" s="28"/>
      <c r="V176" s="18"/>
      <c r="W176" s="18"/>
      <c r="X176" s="18"/>
      <c r="Y176" s="6"/>
      <c r="Z176" s="6"/>
      <c r="AA176" s="6"/>
      <c r="AB176" s="18"/>
      <c r="AC176" s="18"/>
      <c r="AD176" s="18"/>
      <c r="AE176" s="18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</row>
    <row r="177" spans="1:50">
      <c r="A177" s="8">
        <v>40502</v>
      </c>
      <c r="B177" s="9" t="s">
        <v>205</v>
      </c>
      <c r="C177" s="12">
        <v>188</v>
      </c>
      <c r="D177" s="12">
        <v>70.888890564441681</v>
      </c>
      <c r="E177" s="12">
        <v>1089</v>
      </c>
      <c r="F177" s="11">
        <v>0.17263544536271808</v>
      </c>
      <c r="G177" s="11">
        <v>0.37706856683213658</v>
      </c>
      <c r="H177" s="11">
        <v>6.5095399967347728E-2</v>
      </c>
      <c r="I177" s="12">
        <v>566</v>
      </c>
      <c r="J177" s="12">
        <v>207.33333846926689</v>
      </c>
      <c r="K177" s="12">
        <v>3064</v>
      </c>
      <c r="L177" s="14">
        <v>0.18472584856396868</v>
      </c>
      <c r="M177" s="14">
        <v>0.36631331885029489</v>
      </c>
      <c r="N177" s="14">
        <v>6.7667538664904339E-2</v>
      </c>
      <c r="O177" s="14">
        <f t="shared" si="0"/>
        <v>0.96198858790632136</v>
      </c>
      <c r="P177" s="17"/>
      <c r="S177" s="28"/>
      <c r="V177" s="18"/>
      <c r="W177" s="18"/>
      <c r="X177" s="18"/>
      <c r="Y177" s="6"/>
      <c r="Z177" s="6"/>
      <c r="AA177" s="6"/>
      <c r="AB177" s="18"/>
      <c r="AC177" s="18"/>
      <c r="AD177" s="18"/>
      <c r="AE177" s="18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</row>
    <row r="178" spans="1:50">
      <c r="A178" s="8">
        <v>40503</v>
      </c>
      <c r="B178" s="9" t="s">
        <v>206</v>
      </c>
      <c r="C178" s="12">
        <v>48</v>
      </c>
      <c r="D178" s="12">
        <v>17.111111611127853</v>
      </c>
      <c r="E178" s="12">
        <v>529</v>
      </c>
      <c r="F178" s="11">
        <v>9.0737240075614373E-2</v>
      </c>
      <c r="G178" s="11">
        <v>0.35648149189849693</v>
      </c>
      <c r="H178" s="11">
        <v>3.2346146712907094E-2</v>
      </c>
      <c r="I178" s="12">
        <v>84</v>
      </c>
      <c r="J178" s="12">
        <v>34.111111849546432</v>
      </c>
      <c r="K178" s="12">
        <v>964</v>
      </c>
      <c r="L178" s="14">
        <v>8.7136929460580909E-2</v>
      </c>
      <c r="M178" s="14">
        <v>0.40608466487555278</v>
      </c>
      <c r="N178" s="14">
        <v>3.5384970798284683E-2</v>
      </c>
      <c r="O178" s="14">
        <f t="shared" si="0"/>
        <v>0.9141210514853696</v>
      </c>
      <c r="P178" s="17"/>
      <c r="S178" s="28"/>
      <c r="V178" s="18"/>
      <c r="W178" s="18"/>
      <c r="X178" s="18"/>
      <c r="Y178" s="6"/>
      <c r="Z178" s="6"/>
      <c r="AA178" s="6"/>
      <c r="AB178" s="18"/>
      <c r="AC178" s="18"/>
      <c r="AD178" s="18"/>
      <c r="AE178" s="18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</row>
    <row r="179" spans="1:50">
      <c r="A179" s="8">
        <v>40504</v>
      </c>
      <c r="B179" s="9" t="s">
        <v>207</v>
      </c>
      <c r="C179" s="12">
        <v>0</v>
      </c>
      <c r="D179" s="12">
        <v>0</v>
      </c>
      <c r="E179" s="12">
        <v>237</v>
      </c>
      <c r="F179" s="11">
        <v>0</v>
      </c>
      <c r="G179" s="11">
        <v>0</v>
      </c>
      <c r="H179" s="11">
        <v>1E-10</v>
      </c>
      <c r="I179" s="12">
        <v>28</v>
      </c>
      <c r="J179" s="12">
        <v>9.3333336114883423</v>
      </c>
      <c r="K179" s="12">
        <v>637</v>
      </c>
      <c r="L179" s="14">
        <v>4.3956043956043959E-2</v>
      </c>
      <c r="M179" s="14">
        <v>0.3333333432674408</v>
      </c>
      <c r="N179" s="14">
        <v>1.4652015088678718E-2</v>
      </c>
      <c r="O179" s="14">
        <f t="shared" si="0"/>
        <v>6.8249997965991551E-9</v>
      </c>
      <c r="P179" s="17"/>
      <c r="S179" s="6"/>
      <c r="V179" s="18"/>
      <c r="W179" s="18"/>
      <c r="X179" s="18"/>
      <c r="Y179" s="6"/>
      <c r="Z179" s="6"/>
      <c r="AA179" s="6"/>
      <c r="AB179" s="18"/>
      <c r="AC179" s="18"/>
      <c r="AD179" s="18"/>
      <c r="AE179" s="18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</row>
    <row r="180" spans="1:50">
      <c r="A180" s="8">
        <v>40505</v>
      </c>
      <c r="B180" s="9" t="s">
        <v>208</v>
      </c>
      <c r="C180" s="12">
        <v>96</v>
      </c>
      <c r="D180" s="12">
        <v>36.555556654930115</v>
      </c>
      <c r="E180" s="12">
        <v>966</v>
      </c>
      <c r="F180" s="11">
        <v>9.9378881987577633E-2</v>
      </c>
      <c r="G180" s="11">
        <v>0.38078704848885536</v>
      </c>
      <c r="H180" s="11">
        <v>3.7842191154171957E-2</v>
      </c>
      <c r="I180" s="12">
        <v>253</v>
      </c>
      <c r="J180" s="12">
        <v>93.111113399267197</v>
      </c>
      <c r="K180" s="12">
        <v>2890</v>
      </c>
      <c r="L180" s="14">
        <v>8.7543252595155704E-2</v>
      </c>
      <c r="M180" s="14">
        <v>0.36802811620263715</v>
      </c>
      <c r="N180" s="14">
        <v>3.2218378338846783E-2</v>
      </c>
      <c r="O180" s="14">
        <f t="shared" si="0"/>
        <v>1.1745529447875518</v>
      </c>
      <c r="P180" s="17"/>
      <c r="S180" s="28"/>
      <c r="V180" s="18"/>
      <c r="W180" s="18"/>
      <c r="X180" s="18"/>
      <c r="Y180" s="6"/>
      <c r="Z180" s="6"/>
      <c r="AA180" s="6"/>
      <c r="AB180" s="18"/>
      <c r="AC180" s="18"/>
      <c r="AD180" s="18"/>
      <c r="AE180" s="18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</row>
    <row r="181" spans="1:50">
      <c r="A181" s="8">
        <v>40601</v>
      </c>
      <c r="B181" s="9" t="s">
        <v>209</v>
      </c>
      <c r="C181" s="12">
        <v>433</v>
      </c>
      <c r="D181" s="12">
        <v>160.11111542582512</v>
      </c>
      <c r="E181" s="12">
        <v>2650</v>
      </c>
      <c r="F181" s="11">
        <v>0.16339622641509435</v>
      </c>
      <c r="G181" s="11">
        <v>0.36977162915894946</v>
      </c>
      <c r="H181" s="11">
        <v>6.0419288839934013E-2</v>
      </c>
      <c r="I181" s="12">
        <v>586</v>
      </c>
      <c r="J181" s="12">
        <v>208.44444972276688</v>
      </c>
      <c r="K181" s="12">
        <v>6470</v>
      </c>
      <c r="L181" s="14">
        <v>9.0571870170015459E-2</v>
      </c>
      <c r="M181" s="14">
        <v>0.3557072520866329</v>
      </c>
      <c r="N181" s="14">
        <v>3.2217071054523476E-2</v>
      </c>
      <c r="O181" s="14">
        <f t="shared" si="0"/>
        <v>1.8753811834006173</v>
      </c>
      <c r="P181" s="17"/>
      <c r="S181" s="28"/>
      <c r="V181" s="18"/>
      <c r="W181" s="18"/>
      <c r="X181" s="18"/>
      <c r="Y181" s="6"/>
      <c r="Z181" s="6"/>
      <c r="AA181" s="6"/>
      <c r="AB181" s="18"/>
      <c r="AC181" s="18"/>
      <c r="AD181" s="18"/>
      <c r="AE181" s="18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</row>
    <row r="182" spans="1:50">
      <c r="A182" s="8">
        <v>40602</v>
      </c>
      <c r="B182" s="9" t="s">
        <v>210</v>
      </c>
      <c r="C182" s="12">
        <v>216</v>
      </c>
      <c r="D182" s="12">
        <v>79.666668713092804</v>
      </c>
      <c r="E182" s="12">
        <v>1437</v>
      </c>
      <c r="F182" s="11">
        <v>0.15031315240083507</v>
      </c>
      <c r="G182" s="11">
        <v>0.36882716996802223</v>
      </c>
      <c r="H182" s="11">
        <v>5.5439574608972024E-2</v>
      </c>
      <c r="I182" s="12">
        <v>317</v>
      </c>
      <c r="J182" s="12">
        <v>117.4444472193718</v>
      </c>
      <c r="K182" s="12">
        <v>2734</v>
      </c>
      <c r="L182" s="14">
        <v>0.11594732991953183</v>
      </c>
      <c r="M182" s="14">
        <v>0.3704872152030656</v>
      </c>
      <c r="N182" s="14">
        <v>4.2957003372118434E-2</v>
      </c>
      <c r="O182" s="14">
        <f t="shared" si="0"/>
        <v>1.2905829144719974</v>
      </c>
      <c r="P182" s="17"/>
      <c r="S182" s="28"/>
      <c r="V182" s="18"/>
      <c r="W182" s="18"/>
      <c r="X182" s="18"/>
      <c r="Y182" s="6"/>
      <c r="Z182" s="6"/>
      <c r="AA182" s="6"/>
      <c r="AB182" s="18"/>
      <c r="AC182" s="18"/>
      <c r="AD182" s="18"/>
      <c r="AE182" s="18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</row>
    <row r="183" spans="1:50">
      <c r="A183" s="8">
        <v>40603</v>
      </c>
      <c r="B183" s="9" t="s">
        <v>211</v>
      </c>
      <c r="C183" s="12">
        <v>102</v>
      </c>
      <c r="D183" s="12">
        <v>36.33333420753479</v>
      </c>
      <c r="E183" s="12">
        <v>1162</v>
      </c>
      <c r="F183" s="11">
        <v>8.7779690189328741E-2</v>
      </c>
      <c r="G183" s="11">
        <v>0.3562091588973999</v>
      </c>
      <c r="H183" s="11">
        <v>3.1267929610615135E-2</v>
      </c>
      <c r="I183" s="12">
        <v>170</v>
      </c>
      <c r="J183" s="12">
        <v>59.666668176651001</v>
      </c>
      <c r="K183" s="12">
        <v>2401</v>
      </c>
      <c r="L183" s="14">
        <v>7.0803831736776346E-2</v>
      </c>
      <c r="M183" s="14">
        <v>0.35098040103912354</v>
      </c>
      <c r="N183" s="14">
        <v>2.4850757258080385E-2</v>
      </c>
      <c r="O183" s="14">
        <f t="shared" si="0"/>
        <v>1.258228442936006</v>
      </c>
      <c r="P183" s="17"/>
      <c r="S183" s="28"/>
      <c r="V183" s="18"/>
      <c r="W183" s="18"/>
      <c r="X183" s="18"/>
      <c r="Y183" s="6"/>
      <c r="Z183" s="6"/>
      <c r="AA183" s="6"/>
      <c r="AB183" s="18"/>
      <c r="AC183" s="18"/>
      <c r="AD183" s="18"/>
      <c r="AE183" s="18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</row>
    <row r="184" spans="1:50">
      <c r="A184" s="8">
        <v>40701</v>
      </c>
      <c r="B184" s="9" t="s">
        <v>212</v>
      </c>
      <c r="C184" s="12">
        <v>234</v>
      </c>
      <c r="D184" s="12">
        <v>83.222224235534668</v>
      </c>
      <c r="E184" s="12">
        <v>5772</v>
      </c>
      <c r="F184" s="11">
        <v>4.0540540540540543E-2</v>
      </c>
      <c r="G184" s="11">
        <v>0.35565053092108834</v>
      </c>
      <c r="H184" s="11">
        <v>1.441826476707115E-2</v>
      </c>
      <c r="I184" s="12">
        <v>399</v>
      </c>
      <c r="J184" s="12">
        <v>143.55555900931358</v>
      </c>
      <c r="K184" s="12">
        <v>13640</v>
      </c>
      <c r="L184" s="14">
        <v>2.9252199413489735E-2</v>
      </c>
      <c r="M184" s="14">
        <v>0.35978836844439493</v>
      </c>
      <c r="N184" s="14">
        <v>1.0524601100389558E-2</v>
      </c>
      <c r="O184" s="14">
        <f t="shared" si="0"/>
        <v>1.3699583128654131</v>
      </c>
      <c r="P184" s="17"/>
      <c r="S184" s="28"/>
      <c r="V184" s="18"/>
      <c r="W184" s="18"/>
      <c r="X184" s="18"/>
      <c r="Y184" s="6"/>
      <c r="Z184" s="6"/>
      <c r="AA184" s="6"/>
      <c r="AB184" s="18"/>
      <c r="AC184" s="18"/>
      <c r="AD184" s="18"/>
      <c r="AE184" s="18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</row>
    <row r="185" spans="1:50">
      <c r="A185" s="8">
        <v>40702</v>
      </c>
      <c r="B185" s="9" t="s">
        <v>213</v>
      </c>
      <c r="C185" s="12">
        <v>147</v>
      </c>
      <c r="D185" s="12">
        <v>54.111112415790558</v>
      </c>
      <c r="E185" s="12">
        <v>2131</v>
      </c>
      <c r="F185" s="11">
        <v>6.8981698732989205E-2</v>
      </c>
      <c r="G185" s="11">
        <v>0.36810280554959562</v>
      </c>
      <c r="H185" s="11">
        <v>2.5392356835190311E-2</v>
      </c>
      <c r="I185" s="12">
        <v>193</v>
      </c>
      <c r="J185" s="12">
        <v>69.222223937511444</v>
      </c>
      <c r="K185" s="12">
        <v>3946</v>
      </c>
      <c r="L185" s="14">
        <v>4.8910288900152053E-2</v>
      </c>
      <c r="M185" s="14">
        <v>0.35866437273321994</v>
      </c>
      <c r="N185" s="14">
        <v>1.7542378088573608E-2</v>
      </c>
      <c r="O185" s="14">
        <f t="shared" si="0"/>
        <v>1.4474865783294149</v>
      </c>
      <c r="P185" s="17"/>
      <c r="S185" s="28"/>
      <c r="V185" s="18"/>
      <c r="W185" s="18"/>
      <c r="X185" s="18"/>
      <c r="Y185" s="6"/>
      <c r="Z185" s="6"/>
      <c r="AA185" s="6"/>
      <c r="AB185" s="18"/>
      <c r="AC185" s="18"/>
      <c r="AD185" s="18"/>
      <c r="AE185" s="18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</row>
    <row r="186" spans="1:50">
      <c r="A186" s="8">
        <v>40801</v>
      </c>
      <c r="B186" s="9" t="s">
        <v>214</v>
      </c>
      <c r="C186" s="12">
        <v>630</v>
      </c>
      <c r="D186" s="12">
        <v>229.44444999098778</v>
      </c>
      <c r="E186" s="12">
        <v>4708</v>
      </c>
      <c r="F186" s="11">
        <v>0.13381478334749364</v>
      </c>
      <c r="G186" s="11">
        <v>0.36419753966823459</v>
      </c>
      <c r="H186" s="11">
        <v>4.8735014866395032E-2</v>
      </c>
      <c r="I186" s="12">
        <v>1733</v>
      </c>
      <c r="J186" s="12">
        <v>630.44446051120758</v>
      </c>
      <c r="K186" s="12">
        <v>11125</v>
      </c>
      <c r="L186" s="14">
        <v>0.15577528089887641</v>
      </c>
      <c r="M186" s="14">
        <v>0.3637879172020817</v>
      </c>
      <c r="N186" s="14">
        <v>5.6669164989771467E-2</v>
      </c>
      <c r="O186" s="14">
        <f t="shared" si="0"/>
        <v>0.8599917587490743</v>
      </c>
      <c r="P186" s="17"/>
      <c r="S186" s="28"/>
      <c r="V186" s="18"/>
      <c r="W186" s="18"/>
      <c r="X186" s="18"/>
      <c r="Y186" s="6"/>
      <c r="Z186" s="6"/>
      <c r="AA186" s="6"/>
      <c r="AB186" s="18"/>
      <c r="AC186" s="18"/>
      <c r="AD186" s="18"/>
      <c r="AE186" s="18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</row>
    <row r="187" spans="1:50">
      <c r="A187" s="8">
        <v>40802</v>
      </c>
      <c r="B187" s="9" t="s">
        <v>215</v>
      </c>
      <c r="C187" s="12">
        <v>151</v>
      </c>
      <c r="D187" s="12">
        <v>55.777779221534729</v>
      </c>
      <c r="E187" s="12">
        <v>861</v>
      </c>
      <c r="F187" s="11">
        <v>0.17537746806039489</v>
      </c>
      <c r="G187" s="11">
        <v>0.36938926636777969</v>
      </c>
      <c r="H187" s="11">
        <v>6.4782554264267989E-2</v>
      </c>
      <c r="I187" s="12">
        <v>472</v>
      </c>
      <c r="J187" s="12">
        <v>170.11111530661583</v>
      </c>
      <c r="K187" s="12">
        <v>2326</v>
      </c>
      <c r="L187" s="14">
        <v>0.20292347377472056</v>
      </c>
      <c r="M187" s="14">
        <v>0.36040490531062674</v>
      </c>
      <c r="N187" s="14">
        <v>7.3134615351081608E-2</v>
      </c>
      <c r="O187" s="14">
        <f t="shared" si="0"/>
        <v>0.88579879655181504</v>
      </c>
      <c r="P187" s="17"/>
      <c r="S187" s="28"/>
      <c r="V187" s="18"/>
      <c r="W187" s="18"/>
      <c r="X187" s="18"/>
      <c r="Y187" s="6"/>
      <c r="Z187" s="6"/>
      <c r="AA187" s="6"/>
      <c r="AB187" s="18"/>
      <c r="AC187" s="18"/>
      <c r="AD187" s="18"/>
      <c r="AE187" s="18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</row>
    <row r="188" spans="1:50">
      <c r="A188" s="8">
        <v>40901</v>
      </c>
      <c r="B188" s="9" t="s">
        <v>216</v>
      </c>
      <c r="C188" s="12">
        <v>310</v>
      </c>
      <c r="D188" s="12">
        <v>114.33333617448807</v>
      </c>
      <c r="E188" s="12">
        <v>3666</v>
      </c>
      <c r="F188" s="11">
        <v>8.4560829241680305E-2</v>
      </c>
      <c r="G188" s="11">
        <v>0.36881721346609053</v>
      </c>
      <c r="H188" s="11">
        <v>3.1187489409298434E-2</v>
      </c>
      <c r="I188" s="12">
        <v>1071</v>
      </c>
      <c r="J188" s="12">
        <v>392.44445404410362</v>
      </c>
      <c r="K188" s="12">
        <v>11007</v>
      </c>
      <c r="L188" s="14">
        <v>9.7301717089125106E-2</v>
      </c>
      <c r="M188" s="14">
        <v>0.3664280616658297</v>
      </c>
      <c r="N188" s="14">
        <v>3.5654079589725052E-2</v>
      </c>
      <c r="O188" s="14">
        <f t="shared" si="0"/>
        <v>0.8747242887258877</v>
      </c>
      <c r="P188" s="17"/>
      <c r="S188" s="28"/>
      <c r="V188" s="18"/>
      <c r="W188" s="18"/>
      <c r="X188" s="18"/>
      <c r="Y188" s="6"/>
      <c r="Z188" s="6"/>
      <c r="AA188" s="6"/>
      <c r="AB188" s="18"/>
      <c r="AC188" s="18"/>
      <c r="AD188" s="18"/>
      <c r="AE188" s="18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</row>
    <row r="189" spans="1:50">
      <c r="A189" s="8">
        <v>40902</v>
      </c>
      <c r="B189" s="9" t="s">
        <v>217</v>
      </c>
      <c r="C189" s="12">
        <v>7</v>
      </c>
      <c r="D189" s="12">
        <v>2.7777778208255768</v>
      </c>
      <c r="E189" s="12">
        <v>233</v>
      </c>
      <c r="F189" s="11">
        <v>3.0042918454935622E-2</v>
      </c>
      <c r="G189" s="11">
        <v>0.3968254029750824</v>
      </c>
      <c r="H189" s="11">
        <v>1.1921793222427368E-2</v>
      </c>
      <c r="I189" s="12">
        <v>141</v>
      </c>
      <c r="J189" s="12">
        <v>54.888889819383621</v>
      </c>
      <c r="K189" s="12">
        <v>1142</v>
      </c>
      <c r="L189" s="14">
        <v>0.1234676007005254</v>
      </c>
      <c r="M189" s="14">
        <v>0.38928290652045122</v>
      </c>
      <c r="N189" s="14">
        <v>4.8063826461807027E-2</v>
      </c>
      <c r="O189" s="14">
        <f t="shared" si="0"/>
        <v>0.24804086773866801</v>
      </c>
      <c r="P189" s="17"/>
      <c r="S189" s="28"/>
      <c r="V189" s="18"/>
      <c r="W189" s="18"/>
      <c r="X189" s="18"/>
      <c r="Y189" s="6"/>
      <c r="Z189" s="6"/>
      <c r="AA189" s="6"/>
      <c r="AB189" s="18"/>
      <c r="AC189" s="18"/>
      <c r="AD189" s="18"/>
      <c r="AE189" s="18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</row>
    <row r="190" spans="1:50">
      <c r="A190" s="8">
        <v>40903</v>
      </c>
      <c r="B190" s="9" t="s">
        <v>218</v>
      </c>
      <c r="C190" s="12">
        <v>377</v>
      </c>
      <c r="D190" s="12">
        <v>149.11111465096474</v>
      </c>
      <c r="E190" s="12">
        <v>983</v>
      </c>
      <c r="F190" s="11">
        <v>0.38351983723296035</v>
      </c>
      <c r="G190" s="11">
        <v>0.39552019801316907</v>
      </c>
      <c r="H190" s="11">
        <v>0.15168984196435883</v>
      </c>
      <c r="I190" s="12">
        <v>504</v>
      </c>
      <c r="J190" s="12">
        <v>187.55556014180183</v>
      </c>
      <c r="K190" s="12">
        <v>1357</v>
      </c>
      <c r="L190" s="14">
        <v>0.37140751658069271</v>
      </c>
      <c r="M190" s="14">
        <v>0.37213404790040044</v>
      </c>
      <c r="N190" s="14">
        <v>0.13821338256580828</v>
      </c>
      <c r="O190" s="14">
        <f t="shared" si="0"/>
        <v>1.0975047361432886</v>
      </c>
      <c r="P190" s="17"/>
      <c r="S190" s="28"/>
      <c r="V190" s="18"/>
      <c r="W190" s="18"/>
      <c r="X190" s="18"/>
      <c r="Y190" s="6"/>
      <c r="Z190" s="6"/>
      <c r="AA190" s="6"/>
      <c r="AB190" s="18"/>
      <c r="AC190" s="18"/>
      <c r="AD190" s="18"/>
      <c r="AE190" s="18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</row>
    <row r="191" spans="1:50">
      <c r="A191" s="8">
        <v>41001</v>
      </c>
      <c r="B191" s="9" t="s">
        <v>219</v>
      </c>
      <c r="C191" s="12">
        <v>1708</v>
      </c>
      <c r="D191" s="12">
        <v>619.6666818857193</v>
      </c>
      <c r="E191" s="12">
        <v>4986</v>
      </c>
      <c r="F191" s="11">
        <v>0.3425591656638588</v>
      </c>
      <c r="G191" s="11">
        <v>0.36280250695885202</v>
      </c>
      <c r="H191" s="11">
        <v>0.12428132408458067</v>
      </c>
      <c r="I191" s="12">
        <v>2175</v>
      </c>
      <c r="J191" s="12">
        <v>783.77779743075371</v>
      </c>
      <c r="K191" s="12">
        <v>7140</v>
      </c>
      <c r="L191" s="14">
        <v>0.30462184873949577</v>
      </c>
      <c r="M191" s="14">
        <v>0.36035760801413963</v>
      </c>
      <c r="N191" s="14">
        <v>0.10977280076060975</v>
      </c>
      <c r="O191" s="14">
        <f t="shared" si="0"/>
        <v>1.1321686540148577</v>
      </c>
      <c r="P191" s="17"/>
      <c r="S191" s="28"/>
      <c r="V191" s="18"/>
      <c r="W191" s="18"/>
      <c r="X191" s="18"/>
      <c r="Y191" s="6"/>
      <c r="Z191" s="6"/>
      <c r="AA191" s="6"/>
      <c r="AB191" s="18"/>
      <c r="AC191" s="18"/>
      <c r="AD191" s="18"/>
      <c r="AE191" s="18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</row>
    <row r="192" spans="1:50">
      <c r="A192" s="8">
        <v>41101</v>
      </c>
      <c r="B192" s="9" t="s">
        <v>220</v>
      </c>
      <c r="C192" s="12">
        <v>231</v>
      </c>
      <c r="D192" s="12">
        <v>84.000001966953278</v>
      </c>
      <c r="E192" s="12">
        <v>1661</v>
      </c>
      <c r="F192" s="11">
        <v>0.13907284768211919</v>
      </c>
      <c r="G192" s="11">
        <v>0.36363637215131289</v>
      </c>
      <c r="H192" s="11">
        <v>5.0571945795877947E-2</v>
      </c>
      <c r="I192" s="12">
        <v>406</v>
      </c>
      <c r="J192" s="12">
        <v>147.11111521720886</v>
      </c>
      <c r="K192" s="12">
        <v>3663</v>
      </c>
      <c r="L192" s="14">
        <v>0.11083811083811083</v>
      </c>
      <c r="M192" s="14">
        <v>0.36234264831824842</v>
      </c>
      <c r="N192" s="14">
        <v>4.0161374615672631E-2</v>
      </c>
      <c r="O192" s="14">
        <f t="shared" si="0"/>
        <v>1.2592184973704232</v>
      </c>
      <c r="P192" s="17"/>
      <c r="S192" s="28"/>
      <c r="V192" s="18"/>
      <c r="W192" s="18"/>
      <c r="X192" s="18"/>
      <c r="Y192" s="6"/>
      <c r="Z192" s="6"/>
      <c r="AA192" s="6"/>
      <c r="AB192" s="18"/>
      <c r="AC192" s="18"/>
      <c r="AD192" s="18"/>
      <c r="AE192" s="18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</row>
    <row r="193" spans="1:50">
      <c r="A193" s="8">
        <v>41201</v>
      </c>
      <c r="B193" s="9" t="s">
        <v>221</v>
      </c>
      <c r="C193" s="12">
        <v>485</v>
      </c>
      <c r="D193" s="12">
        <v>182.44444867968559</v>
      </c>
      <c r="E193" s="12">
        <v>1814</v>
      </c>
      <c r="F193" s="11">
        <v>0.26736493936052924</v>
      </c>
      <c r="G193" s="11">
        <v>0.37617412098904246</v>
      </c>
      <c r="H193" s="11">
        <v>0.10057577104723572</v>
      </c>
      <c r="I193" s="12">
        <v>1463</v>
      </c>
      <c r="J193" s="12">
        <v>543.4444577395916</v>
      </c>
      <c r="K193" s="12">
        <v>4481</v>
      </c>
      <c r="L193" s="14">
        <v>0.32648962285204197</v>
      </c>
      <c r="M193" s="14">
        <v>0.37145895949391089</v>
      </c>
      <c r="N193" s="14">
        <v>0.1212774955901789</v>
      </c>
      <c r="O193" s="14">
        <f t="shared" si="0"/>
        <v>0.8293028360933633</v>
      </c>
      <c r="P193" s="17"/>
      <c r="S193" s="28"/>
      <c r="V193" s="18"/>
      <c r="W193" s="18"/>
      <c r="X193" s="18"/>
      <c r="Y193" s="6"/>
      <c r="Z193" s="6"/>
      <c r="AA193" s="6"/>
      <c r="AB193" s="18"/>
      <c r="AC193" s="18"/>
      <c r="AD193" s="18"/>
      <c r="AE193" s="18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</row>
    <row r="194" spans="1:50">
      <c r="A194" s="8">
        <v>41202</v>
      </c>
      <c r="B194" s="9" t="s">
        <v>222</v>
      </c>
      <c r="C194" s="12">
        <v>269</v>
      </c>
      <c r="D194" s="12">
        <v>96.333335936069489</v>
      </c>
      <c r="E194" s="12">
        <v>1085</v>
      </c>
      <c r="F194" s="11">
        <v>0.24792626728110598</v>
      </c>
      <c r="G194" s="11">
        <v>0.35811649046865979</v>
      </c>
      <c r="H194" s="11">
        <v>8.8786484733704582E-2</v>
      </c>
      <c r="I194" s="12">
        <v>397</v>
      </c>
      <c r="J194" s="12">
        <v>143.55555906891823</v>
      </c>
      <c r="K194" s="12">
        <v>1961</v>
      </c>
      <c r="L194" s="14">
        <v>0.20244773074961755</v>
      </c>
      <c r="M194" s="14">
        <v>0.36160090445571341</v>
      </c>
      <c r="N194" s="14">
        <v>7.3205282544068453E-2</v>
      </c>
      <c r="O194" s="14">
        <f t="shared" si="0"/>
        <v>1.2128425934324683</v>
      </c>
      <c r="P194" s="17"/>
      <c r="S194" s="28"/>
      <c r="V194" s="18"/>
      <c r="W194" s="18"/>
      <c r="X194" s="18"/>
      <c r="Y194" s="6"/>
      <c r="Z194" s="6"/>
      <c r="AA194" s="6"/>
      <c r="AB194" s="18"/>
      <c r="AC194" s="18"/>
      <c r="AD194" s="18"/>
      <c r="AE194" s="18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</row>
    <row r="195" spans="1:50">
      <c r="A195" s="8">
        <v>41301</v>
      </c>
      <c r="B195" s="9" t="s">
        <v>223</v>
      </c>
      <c r="C195" s="12">
        <v>841</v>
      </c>
      <c r="D195" s="12">
        <v>319.33334118127823</v>
      </c>
      <c r="E195" s="12">
        <v>2314</v>
      </c>
      <c r="F195" s="11">
        <v>0.36343993085566118</v>
      </c>
      <c r="G195" s="11">
        <v>0.37970670770663284</v>
      </c>
      <c r="H195" s="11">
        <v>0.13800057959432938</v>
      </c>
      <c r="I195" s="12">
        <v>1605</v>
      </c>
      <c r="J195" s="12">
        <v>590.22223722934723</v>
      </c>
      <c r="K195" s="12">
        <v>4301</v>
      </c>
      <c r="L195" s="14">
        <v>0.37316903045803301</v>
      </c>
      <c r="M195" s="14">
        <v>0.36773971166937525</v>
      </c>
      <c r="N195" s="14">
        <v>0.13722907166457737</v>
      </c>
      <c r="O195" s="14">
        <f t="shared" si="0"/>
        <v>1.0056220443699988</v>
      </c>
      <c r="P195" s="17"/>
      <c r="S195" s="28"/>
      <c r="V195" s="18"/>
      <c r="W195" s="18"/>
      <c r="X195" s="18"/>
      <c r="Y195" s="6"/>
      <c r="Z195" s="6"/>
      <c r="AA195" s="6"/>
      <c r="AB195" s="18"/>
      <c r="AC195" s="18"/>
      <c r="AD195" s="18"/>
      <c r="AE195" s="18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</row>
    <row r="196" spans="1:50">
      <c r="A196" s="8">
        <v>41401</v>
      </c>
      <c r="B196" s="9" t="s">
        <v>224</v>
      </c>
      <c r="C196" s="12">
        <v>603</v>
      </c>
      <c r="D196" s="12">
        <v>230.66667211055756</v>
      </c>
      <c r="E196" s="12">
        <v>3441</v>
      </c>
      <c r="F196" s="11">
        <v>0.17523975588491716</v>
      </c>
      <c r="G196" s="11">
        <v>0.38253179454487157</v>
      </c>
      <c r="H196" s="11">
        <v>6.7034778294262576E-2</v>
      </c>
      <c r="I196" s="12">
        <v>1925</v>
      </c>
      <c r="J196" s="12">
        <v>721.22223994135857</v>
      </c>
      <c r="K196" s="12">
        <v>10014</v>
      </c>
      <c r="L196" s="14">
        <v>0.19223087677251846</v>
      </c>
      <c r="M196" s="14">
        <v>0.37466090386564083</v>
      </c>
      <c r="N196" s="14">
        <v>7.2021394042476386E-2</v>
      </c>
      <c r="O196" s="14">
        <f t="shared" si="0"/>
        <v>0.93076202127838803</v>
      </c>
      <c r="P196" s="17"/>
      <c r="S196" s="28"/>
      <c r="V196" s="18"/>
      <c r="W196" s="18"/>
      <c r="X196" s="18"/>
      <c r="Y196" s="6"/>
      <c r="Z196" s="6"/>
      <c r="AA196" s="6"/>
      <c r="AB196" s="18"/>
      <c r="AC196" s="18"/>
      <c r="AD196" s="18"/>
      <c r="AE196" s="18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</row>
    <row r="197" spans="1:50">
      <c r="A197" s="8">
        <v>41501</v>
      </c>
      <c r="B197" s="9" t="s">
        <v>225</v>
      </c>
      <c r="C197" s="12">
        <v>170</v>
      </c>
      <c r="D197" s="12">
        <v>67.333335101604462</v>
      </c>
      <c r="E197" s="12">
        <v>407</v>
      </c>
      <c r="F197" s="11">
        <v>0.4176904176904177</v>
      </c>
      <c r="G197" s="11">
        <v>0.39607844177414392</v>
      </c>
      <c r="H197" s="11">
        <v>0.16543816978281195</v>
      </c>
      <c r="I197" s="12">
        <v>227</v>
      </c>
      <c r="J197" s="12">
        <v>90.777780145406723</v>
      </c>
      <c r="K197" s="12">
        <v>852</v>
      </c>
      <c r="L197" s="14">
        <v>0.26643192488262912</v>
      </c>
      <c r="M197" s="14">
        <v>0.39990211517800317</v>
      </c>
      <c r="N197" s="14">
        <v>0.10654669031151023</v>
      </c>
      <c r="O197" s="14">
        <f t="shared" si="0"/>
        <v>1.5527293180024726</v>
      </c>
      <c r="P197" s="17"/>
      <c r="S197" s="28"/>
      <c r="V197" s="18"/>
      <c r="W197" s="18"/>
      <c r="X197" s="18"/>
      <c r="Y197" s="6"/>
      <c r="Z197" s="6"/>
      <c r="AA197" s="6"/>
      <c r="AB197" s="18"/>
      <c r="AC197" s="18"/>
      <c r="AD197" s="18"/>
      <c r="AE197" s="18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</row>
    <row r="198" spans="1:50">
      <c r="A198" s="8">
        <v>41502</v>
      </c>
      <c r="B198" s="9" t="s">
        <v>226</v>
      </c>
      <c r="C198" s="12">
        <v>36</v>
      </c>
      <c r="D198" s="12">
        <v>14.111111342906952</v>
      </c>
      <c r="E198" s="12">
        <v>275</v>
      </c>
      <c r="F198" s="11">
        <v>0.13090909090909092</v>
      </c>
      <c r="G198" s="11">
        <v>0.39197531508074868</v>
      </c>
      <c r="H198" s="11">
        <v>5.1313132156025287E-2</v>
      </c>
      <c r="I198" s="12">
        <v>109</v>
      </c>
      <c r="J198" s="12">
        <v>39.000000923871994</v>
      </c>
      <c r="K198" s="12">
        <v>802</v>
      </c>
      <c r="L198" s="14">
        <v>0.13591022443890274</v>
      </c>
      <c r="M198" s="14">
        <v>0.35779817361350452</v>
      </c>
      <c r="N198" s="14">
        <v>4.8628430079640891E-2</v>
      </c>
      <c r="O198" s="14">
        <f t="shared" si="0"/>
        <v>1.0552084875449925</v>
      </c>
      <c r="P198" s="17"/>
      <c r="S198" s="28"/>
      <c r="V198" s="18"/>
      <c r="W198" s="18"/>
      <c r="X198" s="18"/>
      <c r="Y198" s="6"/>
      <c r="Z198" s="6"/>
      <c r="AA198" s="6"/>
      <c r="AB198" s="18"/>
      <c r="AC198" s="18"/>
      <c r="AD198" s="18"/>
      <c r="AE198" s="18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</row>
    <row r="199" spans="1:50">
      <c r="A199" s="8">
        <v>41503</v>
      </c>
      <c r="B199" s="9" t="s">
        <v>227</v>
      </c>
      <c r="C199" s="12">
        <v>38</v>
      </c>
      <c r="D199" s="12">
        <v>13.555555880069733</v>
      </c>
      <c r="E199" s="12">
        <v>290</v>
      </c>
      <c r="F199" s="11">
        <v>0.1310344827586207</v>
      </c>
      <c r="G199" s="11">
        <v>0.35672515473867716</v>
      </c>
      <c r="H199" s="11">
        <v>4.6743296138171492E-2</v>
      </c>
      <c r="I199" s="12">
        <v>171</v>
      </c>
      <c r="J199" s="12">
        <v>63.333334803581238</v>
      </c>
      <c r="K199" s="12">
        <v>829</v>
      </c>
      <c r="L199" s="14">
        <v>0.20627261761158022</v>
      </c>
      <c r="M199" s="14">
        <v>0.37037037896831132</v>
      </c>
      <c r="N199" s="14">
        <v>7.639726755558654E-2</v>
      </c>
      <c r="O199" s="14">
        <f t="shared" si="0"/>
        <v>0.61184513051021283</v>
      </c>
      <c r="P199" s="17"/>
      <c r="S199" s="28"/>
      <c r="V199" s="18"/>
      <c r="W199" s="18"/>
      <c r="X199" s="18"/>
      <c r="Y199" s="6"/>
      <c r="Z199" s="6"/>
      <c r="AA199" s="6"/>
      <c r="AB199" s="18"/>
      <c r="AC199" s="18"/>
      <c r="AD199" s="18"/>
      <c r="AE199" s="18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</row>
    <row r="200" spans="1:50">
      <c r="A200" s="8">
        <v>41601</v>
      </c>
      <c r="B200" s="9" t="s">
        <v>228</v>
      </c>
      <c r="C200" s="12">
        <v>553</v>
      </c>
      <c r="D200" s="12">
        <v>204.00000494718552</v>
      </c>
      <c r="E200" s="12">
        <v>1970</v>
      </c>
      <c r="F200" s="11">
        <v>0.28071065989847716</v>
      </c>
      <c r="G200" s="11">
        <v>0.3688969348050371</v>
      </c>
      <c r="H200" s="11">
        <v>0.10355330200364747</v>
      </c>
      <c r="I200" s="12">
        <v>1330</v>
      </c>
      <c r="J200" s="12">
        <v>482.66667890548706</v>
      </c>
      <c r="K200" s="12">
        <v>4007</v>
      </c>
      <c r="L200" s="14">
        <v>0.33191914150237084</v>
      </c>
      <c r="M200" s="14">
        <v>0.36290727737254669</v>
      </c>
      <c r="N200" s="14">
        <v>0.12045587195045847</v>
      </c>
      <c r="O200" s="14">
        <f t="shared" si="0"/>
        <v>0.85967832308114667</v>
      </c>
      <c r="P200" s="17"/>
      <c r="S200" s="28"/>
      <c r="V200" s="18"/>
      <c r="W200" s="18"/>
      <c r="X200" s="18"/>
      <c r="Y200" s="6"/>
      <c r="Z200" s="6"/>
      <c r="AA200" s="6"/>
      <c r="AB200" s="18"/>
      <c r="AC200" s="18"/>
      <c r="AD200" s="18"/>
      <c r="AE200" s="18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</row>
    <row r="201" spans="1:50">
      <c r="A201" s="8">
        <v>50101</v>
      </c>
      <c r="B201" s="9" t="s">
        <v>28</v>
      </c>
      <c r="C201" s="12">
        <v>3663</v>
      </c>
      <c r="D201" s="12">
        <v>1353.7778117060661</v>
      </c>
      <c r="E201" s="12">
        <v>89297</v>
      </c>
      <c r="F201" s="11">
        <v>4.1020415019541533E-2</v>
      </c>
      <c r="G201" s="11">
        <v>0.36958171217746821</v>
      </c>
      <c r="H201" s="11">
        <v>1.5160395217152492E-2</v>
      </c>
      <c r="I201" s="12">
        <v>3651</v>
      </c>
      <c r="J201" s="12">
        <v>1316.2222566306591</v>
      </c>
      <c r="K201" s="12">
        <v>124576</v>
      </c>
      <c r="L201" s="14">
        <v>2.9307410737220652E-2</v>
      </c>
      <c r="M201" s="14">
        <v>0.36051006755153631</v>
      </c>
      <c r="N201" s="14">
        <v>1.0565616624636037E-2</v>
      </c>
      <c r="O201" s="14">
        <f t="shared" si="0"/>
        <v>1.4348803061624182</v>
      </c>
      <c r="P201" s="17"/>
      <c r="S201" s="28"/>
      <c r="V201" s="18"/>
      <c r="W201" s="18"/>
      <c r="X201" s="18"/>
      <c r="Y201" s="6"/>
      <c r="Z201" s="6"/>
      <c r="AA201" s="6"/>
      <c r="AB201" s="18"/>
      <c r="AC201" s="18"/>
      <c r="AD201" s="18"/>
      <c r="AE201" s="18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</row>
    <row r="202" spans="1:50">
      <c r="A202" s="8">
        <v>50102</v>
      </c>
      <c r="B202" s="9" t="s">
        <v>229</v>
      </c>
      <c r="C202" s="12">
        <v>2491</v>
      </c>
      <c r="D202" s="12">
        <v>967.44446903467178</v>
      </c>
      <c r="E202" s="12">
        <v>6385</v>
      </c>
      <c r="F202" s="11">
        <v>0.39013312451057164</v>
      </c>
      <c r="G202" s="11">
        <v>0.38837594100147405</v>
      </c>
      <c r="H202" s="11">
        <v>0.15151831934763849</v>
      </c>
      <c r="I202" s="12">
        <v>7495</v>
      </c>
      <c r="J202" s="12">
        <v>2906.0000722110271</v>
      </c>
      <c r="K202" s="12">
        <v>22442</v>
      </c>
      <c r="L202" s="14">
        <v>0.33397201675429999</v>
      </c>
      <c r="M202" s="14">
        <v>0.38772515973462668</v>
      </c>
      <c r="N202" s="14">
        <v>0.12948935354295638</v>
      </c>
      <c r="O202" s="14">
        <f t="shared" si="0"/>
        <v>1.1701218301114948</v>
      </c>
      <c r="P202" s="17"/>
      <c r="S202" s="28"/>
      <c r="V202" s="18"/>
      <c r="W202" s="18"/>
      <c r="X202" s="18"/>
      <c r="Y202" s="6"/>
      <c r="Z202" s="6"/>
      <c r="AA202" s="6"/>
      <c r="AB202" s="18"/>
      <c r="AC202" s="18"/>
      <c r="AD202" s="18"/>
      <c r="AE202" s="18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</row>
    <row r="203" spans="1:50">
      <c r="A203" s="8">
        <v>50103</v>
      </c>
      <c r="B203" s="9" t="s">
        <v>230</v>
      </c>
      <c r="C203" s="12">
        <v>418</v>
      </c>
      <c r="D203" s="12">
        <v>152.88889229297638</v>
      </c>
      <c r="E203" s="12">
        <v>3515</v>
      </c>
      <c r="F203" s="11">
        <v>0.11891891891891893</v>
      </c>
      <c r="G203" s="11">
        <v>0.36576290022243152</v>
      </c>
      <c r="H203" s="11">
        <v>4.3496128675099964E-2</v>
      </c>
      <c r="I203" s="12">
        <v>631</v>
      </c>
      <c r="J203" s="12">
        <v>223.33333936333656</v>
      </c>
      <c r="K203" s="12">
        <v>8634</v>
      </c>
      <c r="L203" s="14">
        <v>7.3083159601575173E-2</v>
      </c>
      <c r="M203" s="14">
        <v>0.35393556159007378</v>
      </c>
      <c r="N203" s="14">
        <v>2.5866729136360501E-2</v>
      </c>
      <c r="O203" s="14">
        <f t="shared" si="0"/>
        <v>1.6815473052585554</v>
      </c>
      <c r="P203" s="17"/>
      <c r="S203" s="28"/>
      <c r="V203" s="18"/>
      <c r="W203" s="18"/>
      <c r="X203" s="18"/>
      <c r="Y203" s="6"/>
      <c r="Z203" s="6"/>
      <c r="AA203" s="6"/>
      <c r="AB203" s="18"/>
      <c r="AC203" s="18"/>
      <c r="AD203" s="18"/>
      <c r="AE203" s="18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</row>
    <row r="204" spans="1:50">
      <c r="A204" s="8">
        <v>50104</v>
      </c>
      <c r="B204" s="9" t="s">
        <v>231</v>
      </c>
      <c r="C204" s="12">
        <v>263</v>
      </c>
      <c r="D204" s="12">
        <v>102.66666868329048</v>
      </c>
      <c r="E204" s="12">
        <v>708</v>
      </c>
      <c r="F204" s="11">
        <v>0.37146892655367231</v>
      </c>
      <c r="G204" s="11">
        <v>0.39036756153342389</v>
      </c>
      <c r="H204" s="11">
        <v>0.14500941904419559</v>
      </c>
      <c r="I204" s="12">
        <v>877</v>
      </c>
      <c r="J204" s="12">
        <v>326.00000831484795</v>
      </c>
      <c r="K204" s="12">
        <v>2409</v>
      </c>
      <c r="L204" s="14">
        <v>0.36405147364051471</v>
      </c>
      <c r="M204" s="14">
        <v>0.37172178827234659</v>
      </c>
      <c r="N204" s="14">
        <v>0.13532586480483516</v>
      </c>
      <c r="O204" s="14">
        <f t="shared" si="0"/>
        <v>1.0715573054221814</v>
      </c>
      <c r="P204" s="17"/>
      <c r="S204" s="28"/>
      <c r="V204" s="18"/>
      <c r="W204" s="18"/>
      <c r="X204" s="18"/>
      <c r="Y204" s="6"/>
      <c r="Z204" s="6"/>
      <c r="AA204" s="6"/>
      <c r="AB204" s="18"/>
      <c r="AC204" s="18"/>
      <c r="AD204" s="18"/>
      <c r="AE204" s="18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</row>
    <row r="205" spans="1:50">
      <c r="A205" s="8">
        <v>50201</v>
      </c>
      <c r="B205" s="9" t="s">
        <v>232</v>
      </c>
      <c r="C205" s="12">
        <v>1111</v>
      </c>
      <c r="D205" s="12">
        <v>419.33334425091743</v>
      </c>
      <c r="E205" s="12">
        <v>7858</v>
      </c>
      <c r="F205" s="11">
        <v>0.14138457622804784</v>
      </c>
      <c r="G205" s="11">
        <v>0.37743775360118581</v>
      </c>
      <c r="H205" s="11">
        <v>5.3363876845369994E-2</v>
      </c>
      <c r="I205" s="12">
        <v>2503</v>
      </c>
      <c r="J205" s="12">
        <v>920.66668871045113</v>
      </c>
      <c r="K205" s="12">
        <v>14230</v>
      </c>
      <c r="L205" s="14">
        <v>0.17589599437807449</v>
      </c>
      <c r="M205" s="14">
        <v>0.36782528514201002</v>
      </c>
      <c r="N205" s="14">
        <v>6.4698994287452641E-2</v>
      </c>
      <c r="O205" s="14">
        <f t="shared" si="0"/>
        <v>0.82480226212293817</v>
      </c>
      <c r="P205" s="17"/>
      <c r="S205" s="28"/>
      <c r="V205" s="18"/>
      <c r="W205" s="18"/>
      <c r="X205" s="18"/>
      <c r="Y205" s="6"/>
      <c r="Z205" s="6"/>
      <c r="AA205" s="6"/>
      <c r="AB205" s="18"/>
      <c r="AC205" s="18"/>
      <c r="AD205" s="18"/>
      <c r="AE205" s="18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</row>
    <row r="206" spans="1:50">
      <c r="A206" s="8">
        <v>50202</v>
      </c>
      <c r="B206" s="9" t="s">
        <v>233</v>
      </c>
      <c r="C206" s="12">
        <v>728</v>
      </c>
      <c r="D206" s="12">
        <v>270.44445145130157</v>
      </c>
      <c r="E206" s="12">
        <v>4561</v>
      </c>
      <c r="F206" s="11">
        <v>0.15961411971058978</v>
      </c>
      <c r="G206" s="11">
        <v>0.37148963111442523</v>
      </c>
      <c r="H206" s="11">
        <v>5.9294990451940706E-2</v>
      </c>
      <c r="I206" s="12">
        <v>1461</v>
      </c>
      <c r="J206" s="12">
        <v>543.00001347064972</v>
      </c>
      <c r="K206" s="12">
        <v>11061</v>
      </c>
      <c r="L206" s="14">
        <v>0.13208570653647952</v>
      </c>
      <c r="M206" s="14">
        <v>0.37166325357334001</v>
      </c>
      <c r="N206" s="14">
        <v>4.9091403441881364E-2</v>
      </c>
      <c r="O206" s="14">
        <f t="shared" si="0"/>
        <v>1.2078487534408999</v>
      </c>
      <c r="P206" s="17"/>
      <c r="S206" s="28"/>
      <c r="V206" s="18"/>
      <c r="W206" s="18"/>
      <c r="X206" s="18"/>
      <c r="Y206" s="6"/>
      <c r="Z206" s="6"/>
      <c r="AA206" s="6"/>
      <c r="AB206" s="18"/>
      <c r="AC206" s="18"/>
      <c r="AD206" s="18"/>
      <c r="AE206" s="18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</row>
    <row r="207" spans="1:50">
      <c r="A207" s="8">
        <v>50203</v>
      </c>
      <c r="B207" s="9" t="s">
        <v>234</v>
      </c>
      <c r="C207" s="12">
        <v>1274</v>
      </c>
      <c r="D207" s="12">
        <v>476.0000119805336</v>
      </c>
      <c r="E207" s="12">
        <v>18666</v>
      </c>
      <c r="F207" s="11">
        <v>6.825243758705668E-2</v>
      </c>
      <c r="G207" s="11">
        <v>0.37362638303024615</v>
      </c>
      <c r="H207" s="11">
        <v>2.5500911388649607E-2</v>
      </c>
      <c r="I207" s="12">
        <v>1563</v>
      </c>
      <c r="J207" s="12">
        <v>579.44445914030075</v>
      </c>
      <c r="K207" s="12">
        <v>22367</v>
      </c>
      <c r="L207" s="14">
        <v>6.9879733536012872E-2</v>
      </c>
      <c r="M207" s="14">
        <v>0.37072582158688466</v>
      </c>
      <c r="N207" s="14">
        <v>2.590622162741095E-2</v>
      </c>
      <c r="O207" s="14">
        <f t="shared" si="0"/>
        <v>0.98435471430027099</v>
      </c>
      <c r="P207" s="17"/>
      <c r="S207" s="28"/>
      <c r="V207" s="18"/>
      <c r="W207" s="18"/>
      <c r="X207" s="18"/>
      <c r="Y207" s="6"/>
      <c r="Z207" s="6"/>
      <c r="AA207" s="6"/>
      <c r="AB207" s="18"/>
      <c r="AC207" s="18"/>
      <c r="AD207" s="18"/>
      <c r="AE207" s="18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</row>
    <row r="208" spans="1:50">
      <c r="A208" s="8">
        <v>50204</v>
      </c>
      <c r="B208" s="9" t="s">
        <v>235</v>
      </c>
      <c r="C208" s="12">
        <v>623</v>
      </c>
      <c r="D208" s="12">
        <v>247.00000658631325</v>
      </c>
      <c r="E208" s="12">
        <v>2065</v>
      </c>
      <c r="F208" s="11">
        <v>0.30169491525423731</v>
      </c>
      <c r="G208" s="11">
        <v>0.39646871041141774</v>
      </c>
      <c r="H208" s="11">
        <v>0.11961259398852943</v>
      </c>
      <c r="I208" s="12">
        <v>1487</v>
      </c>
      <c r="J208" s="12">
        <v>556.44445872306824</v>
      </c>
      <c r="K208" s="12">
        <v>6125</v>
      </c>
      <c r="L208" s="14">
        <v>0.24277551020408164</v>
      </c>
      <c r="M208" s="14">
        <v>0.3742060919455738</v>
      </c>
      <c r="N208" s="14">
        <v>9.084807489356217E-2</v>
      </c>
      <c r="O208" s="14">
        <f t="shared" si="0"/>
        <v>1.3166222193334074</v>
      </c>
      <c r="P208" s="17"/>
      <c r="S208" s="28"/>
      <c r="V208" s="18"/>
      <c r="W208" s="18"/>
      <c r="X208" s="18"/>
      <c r="Y208" s="6"/>
      <c r="Z208" s="6"/>
      <c r="AA208" s="6"/>
      <c r="AB208" s="18"/>
      <c r="AC208" s="18"/>
      <c r="AD208" s="18"/>
      <c r="AE208" s="18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</row>
    <row r="209" spans="1:50">
      <c r="A209" s="8">
        <v>50301</v>
      </c>
      <c r="B209" s="9" t="s">
        <v>236</v>
      </c>
      <c r="C209" s="12">
        <v>2361</v>
      </c>
      <c r="D209" s="12">
        <v>903.77780014276505</v>
      </c>
      <c r="E209" s="12">
        <v>10264</v>
      </c>
      <c r="F209" s="11">
        <v>0.23002727981293841</v>
      </c>
      <c r="G209" s="11">
        <v>0.38279449391900255</v>
      </c>
      <c r="H209" s="11">
        <v>8.8053176163558552E-2</v>
      </c>
      <c r="I209" s="12">
        <v>4240</v>
      </c>
      <c r="J209" s="12">
        <v>1600.0000404417515</v>
      </c>
      <c r="K209" s="12">
        <v>21469</v>
      </c>
      <c r="L209" s="14">
        <v>0.19749406120452745</v>
      </c>
      <c r="M209" s="14">
        <v>0.37735850010418664</v>
      </c>
      <c r="N209" s="14">
        <v>7.4526062715624911E-2</v>
      </c>
      <c r="O209" s="14">
        <f t="shared" si="0"/>
        <v>1.1815084945457288</v>
      </c>
      <c r="P209" s="17"/>
      <c r="S209" s="28"/>
      <c r="V209" s="18"/>
      <c r="W209" s="18"/>
      <c r="X209" s="18"/>
      <c r="Y209" s="6"/>
      <c r="Z209" s="6"/>
      <c r="AA209" s="6"/>
      <c r="AB209" s="18"/>
      <c r="AC209" s="18"/>
      <c r="AD209" s="18"/>
      <c r="AE209" s="18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</row>
    <row r="210" spans="1:50">
      <c r="A210" s="8">
        <v>50302</v>
      </c>
      <c r="B210" s="9" t="s">
        <v>237</v>
      </c>
      <c r="C210" s="12">
        <v>725</v>
      </c>
      <c r="D210" s="12">
        <v>275.77778467535973</v>
      </c>
      <c r="E210" s="12">
        <v>3190</v>
      </c>
      <c r="F210" s="11">
        <v>0.22727272727272727</v>
      </c>
      <c r="G210" s="11">
        <v>0.38038315127635824</v>
      </c>
      <c r="H210" s="11">
        <v>8.6450716199172328E-2</v>
      </c>
      <c r="I210" s="12">
        <v>1069</v>
      </c>
      <c r="J210" s="12">
        <v>401.55556464195251</v>
      </c>
      <c r="K210" s="12">
        <v>6004</v>
      </c>
      <c r="L210" s="14">
        <v>0.17804796802131911</v>
      </c>
      <c r="M210" s="14">
        <v>0.37563663670902947</v>
      </c>
      <c r="N210" s="14">
        <v>6.688133988040515E-2</v>
      </c>
      <c r="O210" s="14">
        <f t="shared" si="0"/>
        <v>1.2925984490406508</v>
      </c>
      <c r="P210" s="17"/>
      <c r="S210" s="28"/>
      <c r="V210" s="18"/>
      <c r="W210" s="18"/>
      <c r="X210" s="18"/>
      <c r="Y210" s="6"/>
      <c r="Z210" s="6"/>
      <c r="AA210" s="6"/>
      <c r="AB210" s="18"/>
      <c r="AC210" s="18"/>
      <c r="AD210" s="18"/>
      <c r="AE210" s="18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</row>
    <row r="211" spans="1:50">
      <c r="A211" s="8">
        <v>50303</v>
      </c>
      <c r="B211" s="9" t="s">
        <v>238</v>
      </c>
      <c r="C211" s="12">
        <v>2067</v>
      </c>
      <c r="D211" s="12">
        <v>820.3333540558815</v>
      </c>
      <c r="E211" s="12">
        <v>4381</v>
      </c>
      <c r="F211" s="11">
        <v>0.47181008902077154</v>
      </c>
      <c r="G211" s="11">
        <v>0.39687148236859288</v>
      </c>
      <c r="H211" s="11">
        <v>0.18724796942613137</v>
      </c>
      <c r="I211" s="12">
        <v>4216</v>
      </c>
      <c r="J211" s="12">
        <v>1628.666708111763</v>
      </c>
      <c r="K211" s="12">
        <v>9912</v>
      </c>
      <c r="L211" s="14">
        <v>0.42534301856335754</v>
      </c>
      <c r="M211" s="14">
        <v>0.3863061451877996</v>
      </c>
      <c r="N211" s="14">
        <v>0.16431262188375334</v>
      </c>
      <c r="O211" s="14">
        <f t="shared" si="0"/>
        <v>1.1395836015482983</v>
      </c>
      <c r="P211" s="17"/>
      <c r="S211" s="28"/>
      <c r="V211" s="18"/>
      <c r="W211" s="18"/>
      <c r="X211" s="18"/>
      <c r="Y211" s="6"/>
      <c r="Z211" s="6"/>
      <c r="AA211" s="6"/>
      <c r="AB211" s="18"/>
      <c r="AC211" s="18"/>
      <c r="AD211" s="18"/>
      <c r="AE211" s="18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</row>
    <row r="212" spans="1:50">
      <c r="A212" s="8">
        <v>50401</v>
      </c>
      <c r="B212" s="9" t="s">
        <v>239</v>
      </c>
      <c r="C212" s="12">
        <v>1994</v>
      </c>
      <c r="D212" s="12">
        <v>809.2222426533699</v>
      </c>
      <c r="E212" s="12">
        <v>4784</v>
      </c>
      <c r="F212" s="11">
        <v>0.41680602006688966</v>
      </c>
      <c r="G212" s="11">
        <v>0.40582860714812935</v>
      </c>
      <c r="H212" s="11">
        <v>0.16915180657470108</v>
      </c>
      <c r="I212" s="12">
        <v>3407</v>
      </c>
      <c r="J212" s="12">
        <v>1356.1111444830894</v>
      </c>
      <c r="K212" s="12">
        <v>11177</v>
      </c>
      <c r="L212" s="14">
        <v>0.30482240314932452</v>
      </c>
      <c r="M212" s="14">
        <v>0.39803673157707353</v>
      </c>
      <c r="N212" s="14">
        <v>0.12133051306102617</v>
      </c>
      <c r="O212" s="14">
        <f t="shared" si="0"/>
        <v>1.3941407013553302</v>
      </c>
      <c r="P212" s="17"/>
      <c r="S212" s="28"/>
      <c r="V212" s="18"/>
      <c r="W212" s="18"/>
      <c r="X212" s="18"/>
      <c r="Y212" s="6"/>
      <c r="Z212" s="6"/>
      <c r="AA212" s="6"/>
      <c r="AB212" s="18"/>
      <c r="AC212" s="18"/>
      <c r="AD212" s="18"/>
      <c r="AE212" s="18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</row>
    <row r="213" spans="1:50">
      <c r="A213" s="8">
        <v>50402</v>
      </c>
      <c r="B213" s="9" t="s">
        <v>240</v>
      </c>
      <c r="C213" s="12">
        <v>2180</v>
      </c>
      <c r="D213" s="12">
        <v>890.22224476933479</v>
      </c>
      <c r="E213" s="12">
        <v>5754</v>
      </c>
      <c r="F213" s="11">
        <v>0.37886687521724016</v>
      </c>
      <c r="G213" s="11">
        <v>0.40835882787584166</v>
      </c>
      <c r="H213" s="11">
        <v>0.15471363308469496</v>
      </c>
      <c r="I213" s="12">
        <v>3869</v>
      </c>
      <c r="J213" s="12">
        <v>1535.2222613990307</v>
      </c>
      <c r="K213" s="12">
        <v>11056</v>
      </c>
      <c r="L213" s="14">
        <v>0.34994573082489144</v>
      </c>
      <c r="M213" s="14">
        <v>0.39680079126364193</v>
      </c>
      <c r="N213" s="14">
        <v>0.13885874289065037</v>
      </c>
      <c r="O213" s="14">
        <f t="shared" si="0"/>
        <v>1.1141799923000177</v>
      </c>
      <c r="P213" s="17"/>
      <c r="S213" s="28"/>
      <c r="V213" s="18"/>
      <c r="W213" s="18"/>
      <c r="X213" s="18"/>
      <c r="Y213" s="6"/>
      <c r="Z213" s="6"/>
      <c r="AA213" s="6"/>
      <c r="AB213" s="18"/>
      <c r="AC213" s="18"/>
      <c r="AD213" s="18"/>
      <c r="AE213" s="18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</row>
    <row r="214" spans="1:50">
      <c r="A214" s="8">
        <v>50403</v>
      </c>
      <c r="B214" s="9" t="s">
        <v>241</v>
      </c>
      <c r="C214" s="12">
        <v>3592</v>
      </c>
      <c r="D214" s="12">
        <v>1374.6667008697987</v>
      </c>
      <c r="E214" s="12">
        <v>10994</v>
      </c>
      <c r="F214" s="11">
        <v>0.32672366745497544</v>
      </c>
      <c r="G214" s="11">
        <v>0.38270231093257201</v>
      </c>
      <c r="H214" s="11">
        <v>0.12503790257138428</v>
      </c>
      <c r="I214" s="12">
        <v>5812</v>
      </c>
      <c r="J214" s="12">
        <v>2211.8889456689358</v>
      </c>
      <c r="K214" s="12">
        <v>21479</v>
      </c>
      <c r="L214" s="14">
        <v>0.27058987848596305</v>
      </c>
      <c r="M214" s="14">
        <v>0.38057277110614862</v>
      </c>
      <c r="N214" s="14">
        <v>0.10297913988867899</v>
      </c>
      <c r="O214" s="14">
        <f t="shared" si="0"/>
        <v>1.2142061266636226</v>
      </c>
      <c r="P214" s="17"/>
      <c r="S214" s="28"/>
      <c r="V214" s="18"/>
      <c r="W214" s="18"/>
      <c r="X214" s="18"/>
      <c r="Y214" s="6"/>
      <c r="Z214" s="6"/>
      <c r="AA214" s="6"/>
      <c r="AB214" s="18"/>
      <c r="AC214" s="18"/>
      <c r="AD214" s="18"/>
      <c r="AE214" s="18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</row>
    <row r="215" spans="1:50">
      <c r="A215" s="8">
        <v>50404</v>
      </c>
      <c r="B215" s="9" t="s">
        <v>242</v>
      </c>
      <c r="C215" s="12">
        <v>1754</v>
      </c>
      <c r="D215" s="12">
        <v>699.88890665769577</v>
      </c>
      <c r="E215" s="12">
        <v>4205</v>
      </c>
      <c r="F215" s="11">
        <v>0.41712247324613555</v>
      </c>
      <c r="G215" s="11">
        <v>0.39902446217656545</v>
      </c>
      <c r="H215" s="11">
        <v>0.16644207054879806</v>
      </c>
      <c r="I215" s="12">
        <v>3873</v>
      </c>
      <c r="J215" s="12">
        <v>1482.6667042076588</v>
      </c>
      <c r="K215" s="12">
        <v>10235</v>
      </c>
      <c r="L215" s="14">
        <v>0.37840742550073275</v>
      </c>
      <c r="M215" s="14">
        <v>0.38282125076366091</v>
      </c>
      <c r="N215" s="14">
        <v>0.14486240392844735</v>
      </c>
      <c r="O215" s="14">
        <f t="shared" si="0"/>
        <v>1.1489666472124105</v>
      </c>
      <c r="P215" s="17"/>
      <c r="S215" s="28"/>
      <c r="V215" s="18"/>
      <c r="W215" s="18"/>
      <c r="X215" s="18"/>
      <c r="Y215" s="6"/>
      <c r="Z215" s="6"/>
      <c r="AA215" s="6"/>
      <c r="AB215" s="18"/>
      <c r="AC215" s="18"/>
      <c r="AD215" s="18"/>
      <c r="AE215" s="18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</row>
    <row r="216" spans="1:50">
      <c r="A216" s="8">
        <v>50405</v>
      </c>
      <c r="B216" s="9" t="s">
        <v>243</v>
      </c>
      <c r="C216" s="12">
        <v>2040</v>
      </c>
      <c r="D216" s="12">
        <v>796.00002005696297</v>
      </c>
      <c r="E216" s="12">
        <v>5731</v>
      </c>
      <c r="F216" s="11">
        <v>0.35595882045018323</v>
      </c>
      <c r="G216" s="11">
        <v>0.39019608826321717</v>
      </c>
      <c r="H216" s="11">
        <v>0.13889373932245036</v>
      </c>
      <c r="I216" s="12">
        <v>4686</v>
      </c>
      <c r="J216" s="12">
        <v>1784.0000436007977</v>
      </c>
      <c r="K216" s="12">
        <v>15231</v>
      </c>
      <c r="L216" s="14">
        <v>0.30766200512113451</v>
      </c>
      <c r="M216" s="14">
        <v>0.38070850268903067</v>
      </c>
      <c r="N216" s="14">
        <v>0.117129541303972</v>
      </c>
      <c r="O216" s="14">
        <f t="shared" si="0"/>
        <v>1.1858130560077613</v>
      </c>
      <c r="P216" s="17"/>
      <c r="S216" s="28"/>
      <c r="V216" s="18"/>
      <c r="W216" s="18"/>
      <c r="X216" s="18"/>
      <c r="Y216" s="6"/>
      <c r="Z216" s="6"/>
      <c r="AA216" s="6"/>
      <c r="AB216" s="18"/>
      <c r="AC216" s="18"/>
      <c r="AD216" s="18"/>
      <c r="AE216" s="18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</row>
    <row r="217" spans="1:50">
      <c r="A217" s="8">
        <v>50501</v>
      </c>
      <c r="B217" s="9" t="s">
        <v>244</v>
      </c>
      <c r="C217" s="12">
        <v>4807</v>
      </c>
      <c r="D217" s="12">
        <v>2052.2222753167152</v>
      </c>
      <c r="E217" s="12">
        <v>9140</v>
      </c>
      <c r="F217" s="11">
        <v>0.52592997811816189</v>
      </c>
      <c r="G217" s="11">
        <v>0.42692371028015713</v>
      </c>
      <c r="H217" s="11">
        <v>0.22453197760576751</v>
      </c>
      <c r="I217" s="12">
        <v>9555</v>
      </c>
      <c r="J217" s="12">
        <v>3962.2223236858845</v>
      </c>
      <c r="K217" s="12">
        <v>19122</v>
      </c>
      <c r="L217" s="14">
        <v>0.49968622529024159</v>
      </c>
      <c r="M217" s="14">
        <v>0.41467528243703655</v>
      </c>
      <c r="N217" s="14">
        <v>0.2072075266021276</v>
      </c>
      <c r="O217" s="14">
        <f t="shared" si="0"/>
        <v>1.0836091781400667</v>
      </c>
      <c r="P217" s="17"/>
      <c r="S217" s="28"/>
      <c r="V217" s="18"/>
      <c r="W217" s="18"/>
      <c r="X217" s="18"/>
      <c r="Y217" s="6"/>
      <c r="Z217" s="6"/>
      <c r="AA217" s="6"/>
      <c r="AB217" s="18"/>
      <c r="AC217" s="18"/>
      <c r="AD217" s="18"/>
      <c r="AE217" s="18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</row>
    <row r="218" spans="1:50">
      <c r="A218" s="8">
        <v>50502</v>
      </c>
      <c r="B218" s="9" t="s">
        <v>245</v>
      </c>
      <c r="C218" s="12">
        <v>1629</v>
      </c>
      <c r="D218" s="12">
        <v>669.22223854064941</v>
      </c>
      <c r="E218" s="12">
        <v>3899</v>
      </c>
      <c r="F218" s="11">
        <v>0.41779943575275713</v>
      </c>
      <c r="G218" s="11">
        <v>0.41081782599180444</v>
      </c>
      <c r="H218" s="11">
        <v>0.17163945589655025</v>
      </c>
      <c r="I218" s="12">
        <v>2754</v>
      </c>
      <c r="J218" s="12">
        <v>1110.4444719851017</v>
      </c>
      <c r="K218" s="12">
        <v>6713</v>
      </c>
      <c r="L218" s="14">
        <v>0.41024877104126323</v>
      </c>
      <c r="M218" s="14">
        <v>0.40321150035769854</v>
      </c>
      <c r="N218" s="14">
        <v>0.16541702249144968</v>
      </c>
      <c r="O218" s="14">
        <f t="shared" si="0"/>
        <v>1.0376166449581825</v>
      </c>
      <c r="P218" s="17"/>
      <c r="S218" s="28"/>
      <c r="V218" s="18"/>
      <c r="W218" s="18"/>
      <c r="X218" s="18"/>
      <c r="Y218" s="6"/>
      <c r="Z218" s="6"/>
      <c r="AA218" s="6"/>
      <c r="AB218" s="18"/>
      <c r="AC218" s="18"/>
      <c r="AD218" s="18"/>
      <c r="AE218" s="18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</row>
    <row r="219" spans="1:50">
      <c r="A219" s="8">
        <v>50601</v>
      </c>
      <c r="B219" s="9" t="s">
        <v>246</v>
      </c>
      <c r="C219" s="12">
        <v>2545</v>
      </c>
      <c r="D219" s="12">
        <v>986.0000247657299</v>
      </c>
      <c r="E219" s="12">
        <v>10994</v>
      </c>
      <c r="F219" s="11">
        <v>0.23148990358377297</v>
      </c>
      <c r="G219" s="11">
        <v>0.38742633586079761</v>
      </c>
      <c r="H219" s="11">
        <v>8.9685285134230477E-2</v>
      </c>
      <c r="I219" s="12">
        <v>3087</v>
      </c>
      <c r="J219" s="12">
        <v>1160.5555853843689</v>
      </c>
      <c r="K219" s="12">
        <v>18106</v>
      </c>
      <c r="L219" s="14">
        <v>0.17049596818734122</v>
      </c>
      <c r="M219" s="14">
        <v>0.37594933119027174</v>
      </c>
      <c r="N219" s="14">
        <v>6.4097845210668775E-2</v>
      </c>
      <c r="O219" s="14">
        <f t="shared" si="0"/>
        <v>1.3991934493189921</v>
      </c>
      <c r="P219" s="17"/>
      <c r="S219" s="28"/>
      <c r="V219" s="18"/>
      <c r="W219" s="18"/>
      <c r="X219" s="18"/>
      <c r="Y219" s="6"/>
      <c r="Z219" s="6"/>
      <c r="AA219" s="6"/>
      <c r="AB219" s="18"/>
      <c r="AC219" s="18"/>
      <c r="AD219" s="18"/>
      <c r="AE219" s="18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</row>
    <row r="220" spans="1:50">
      <c r="A220" s="8">
        <v>50602</v>
      </c>
      <c r="B220" s="9" t="s">
        <v>247</v>
      </c>
      <c r="C220" s="12">
        <v>707</v>
      </c>
      <c r="D220" s="12">
        <v>266.4444508254528</v>
      </c>
      <c r="E220" s="12">
        <v>3467</v>
      </c>
      <c r="F220" s="11">
        <v>0.20392269974040958</v>
      </c>
      <c r="G220" s="11">
        <v>0.37686626707984838</v>
      </c>
      <c r="H220" s="11">
        <v>7.6851586624012924E-2</v>
      </c>
      <c r="I220" s="12">
        <v>866</v>
      </c>
      <c r="J220" s="12">
        <v>319.1111187338829</v>
      </c>
      <c r="K220" s="12">
        <v>6612</v>
      </c>
      <c r="L220" s="14">
        <v>0.1309739866908651</v>
      </c>
      <c r="M220" s="14">
        <v>0.3684885897619895</v>
      </c>
      <c r="N220" s="14">
        <v>4.8262419651222466E-2</v>
      </c>
      <c r="O220" s="14">
        <f t="shared" si="0"/>
        <v>1.5923691182372435</v>
      </c>
      <c r="P220" s="17"/>
      <c r="S220" s="28"/>
      <c r="V220" s="18"/>
      <c r="W220" s="18"/>
      <c r="X220" s="18"/>
      <c r="Y220" s="6"/>
      <c r="Z220" s="6"/>
      <c r="AA220" s="6"/>
      <c r="AB220" s="18"/>
      <c r="AC220" s="18"/>
      <c r="AD220" s="18"/>
      <c r="AE220" s="18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</row>
    <row r="221" spans="1:50">
      <c r="A221" s="8">
        <v>50701</v>
      </c>
      <c r="B221" s="9" t="s">
        <v>248</v>
      </c>
      <c r="C221" s="12">
        <v>1563</v>
      </c>
      <c r="D221" s="12">
        <v>599.33334863185883</v>
      </c>
      <c r="E221" s="12">
        <v>5056</v>
      </c>
      <c r="F221" s="11">
        <v>0.30913765822784811</v>
      </c>
      <c r="G221" s="11">
        <v>0.38345063891993525</v>
      </c>
      <c r="H221" s="11">
        <v>0.11853903256168094</v>
      </c>
      <c r="I221" s="12">
        <v>2842</v>
      </c>
      <c r="J221" s="12">
        <v>1058.4444721341133</v>
      </c>
      <c r="K221" s="12">
        <v>12102</v>
      </c>
      <c r="L221" s="14">
        <v>0.23483721698892746</v>
      </c>
      <c r="M221" s="14">
        <v>0.37242944128575417</v>
      </c>
      <c r="N221" s="14">
        <v>8.7460293516287674E-2</v>
      </c>
      <c r="O221" s="14">
        <f t="shared" si="0"/>
        <v>1.3553468413595651</v>
      </c>
      <c r="P221" s="17"/>
      <c r="S221" s="28"/>
      <c r="V221" s="18"/>
      <c r="W221" s="18"/>
      <c r="X221" s="18"/>
      <c r="Y221" s="6"/>
      <c r="Z221" s="6"/>
      <c r="AA221" s="6"/>
      <c r="AB221" s="18"/>
      <c r="AC221" s="18"/>
      <c r="AD221" s="18"/>
      <c r="AE221" s="18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</row>
    <row r="222" spans="1:50">
      <c r="A222" s="8">
        <v>50702</v>
      </c>
      <c r="B222" s="9" t="s">
        <v>249</v>
      </c>
      <c r="C222" s="12">
        <v>559</v>
      </c>
      <c r="D222" s="12">
        <v>212.44444978237152</v>
      </c>
      <c r="E222" s="12">
        <v>1988</v>
      </c>
      <c r="F222" s="11">
        <v>0.28118712273641849</v>
      </c>
      <c r="G222" s="11">
        <v>0.38004373843000272</v>
      </c>
      <c r="H222" s="11">
        <v>0.10686340532312449</v>
      </c>
      <c r="I222" s="12">
        <v>1472</v>
      </c>
      <c r="J222" s="12">
        <v>539.33334669470787</v>
      </c>
      <c r="K222" s="12">
        <v>6445</v>
      </c>
      <c r="L222" s="14">
        <v>0.22839410395655546</v>
      </c>
      <c r="M222" s="14">
        <v>0.36639493661325262</v>
      </c>
      <c r="N222" s="14">
        <v>8.3682443242002774E-2</v>
      </c>
      <c r="O222" s="14">
        <f t="shared" si="0"/>
        <v>1.2770110573144271</v>
      </c>
      <c r="P222" s="17"/>
      <c r="S222" s="28"/>
      <c r="V222" s="18"/>
      <c r="W222" s="18"/>
      <c r="X222" s="18"/>
      <c r="Y222" s="6"/>
      <c r="Z222" s="6"/>
      <c r="AA222" s="6"/>
      <c r="AB222" s="18"/>
      <c r="AC222" s="18"/>
      <c r="AD222" s="18"/>
      <c r="AE222" s="18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</row>
    <row r="223" spans="1:50">
      <c r="A223" s="8">
        <v>50801</v>
      </c>
      <c r="B223" s="9" t="s">
        <v>250</v>
      </c>
      <c r="C223" s="12">
        <v>1306</v>
      </c>
      <c r="D223" s="12">
        <v>491.66667887568474</v>
      </c>
      <c r="E223" s="12">
        <v>17582</v>
      </c>
      <c r="F223" s="11">
        <v>7.4280514162211347E-2</v>
      </c>
      <c r="G223" s="11">
        <v>0.37646759485121345</v>
      </c>
      <c r="H223" s="11">
        <v>2.7964206510959204E-2</v>
      </c>
      <c r="I223" s="12">
        <v>1489</v>
      </c>
      <c r="J223" s="12">
        <v>544.11112475395203</v>
      </c>
      <c r="K223" s="12">
        <v>26851</v>
      </c>
      <c r="L223" s="14">
        <v>5.5454173028937473E-2</v>
      </c>
      <c r="M223" s="14">
        <v>0.36542050017055205</v>
      </c>
      <c r="N223" s="14">
        <v>2.0264091644778669E-2</v>
      </c>
      <c r="O223" s="14">
        <f t="shared" si="0"/>
        <v>1.3799881584213314</v>
      </c>
      <c r="P223" s="17"/>
      <c r="S223" s="28"/>
      <c r="V223" s="18"/>
      <c r="W223" s="18"/>
      <c r="X223" s="18"/>
      <c r="Y223" s="6"/>
      <c r="Z223" s="6"/>
      <c r="AA223" s="6"/>
      <c r="AB223" s="18"/>
      <c r="AC223" s="18"/>
      <c r="AD223" s="18"/>
      <c r="AE223" s="18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</row>
    <row r="224" spans="1:50">
      <c r="A224" s="8">
        <v>50802</v>
      </c>
      <c r="B224" s="9" t="s">
        <v>251</v>
      </c>
      <c r="C224" s="12">
        <v>191</v>
      </c>
      <c r="D224" s="12">
        <v>72.000001847743988</v>
      </c>
      <c r="E224" s="12">
        <v>2790</v>
      </c>
      <c r="F224" s="11">
        <v>6.8458781362007171E-2</v>
      </c>
      <c r="G224" s="11">
        <v>0.3769633604593926</v>
      </c>
      <c r="H224" s="11">
        <v>2.5806452275177059E-2</v>
      </c>
      <c r="I224" s="12">
        <v>260</v>
      </c>
      <c r="J224" s="12">
        <v>97.666669189929962</v>
      </c>
      <c r="K224" s="12">
        <v>6685</v>
      </c>
      <c r="L224" s="14">
        <v>3.889304412864622E-2</v>
      </c>
      <c r="M224" s="14">
        <v>0.37564103534588444</v>
      </c>
      <c r="N224" s="14">
        <v>1.4609823364237839E-2</v>
      </c>
      <c r="O224" s="14">
        <f t="shared" si="0"/>
        <v>1.7663767474661267</v>
      </c>
      <c r="P224" s="17"/>
      <c r="S224" s="28"/>
      <c r="V224" s="18"/>
      <c r="W224" s="18"/>
      <c r="X224" s="18"/>
      <c r="Y224" s="6"/>
      <c r="Z224" s="6"/>
      <c r="AA224" s="6"/>
      <c r="AB224" s="18"/>
      <c r="AC224" s="18"/>
      <c r="AD224" s="18"/>
      <c r="AE224" s="18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</row>
    <row r="225" spans="1:50">
      <c r="A225" s="8">
        <v>50901</v>
      </c>
      <c r="B225" s="9" t="s">
        <v>252</v>
      </c>
      <c r="C225" s="12">
        <v>240</v>
      </c>
      <c r="D225" s="12">
        <v>89.777779996395111</v>
      </c>
      <c r="E225" s="12">
        <v>4168</v>
      </c>
      <c r="F225" s="11">
        <v>5.7581573896353169E-2</v>
      </c>
      <c r="G225" s="11">
        <v>0.37407408331831299</v>
      </c>
      <c r="H225" s="11">
        <v>2.1539774471304011E-2</v>
      </c>
      <c r="I225" s="12">
        <v>524</v>
      </c>
      <c r="J225" s="12">
        <v>195.22222685813904</v>
      </c>
      <c r="K225" s="12">
        <v>6792</v>
      </c>
      <c r="L225" s="14">
        <v>7.7149587750294457E-2</v>
      </c>
      <c r="M225" s="14">
        <v>0.37256150163766993</v>
      </c>
      <c r="N225" s="14">
        <v>2.8742966262976889E-2</v>
      </c>
      <c r="O225" s="14">
        <f t="shared" si="0"/>
        <v>0.74939288708865326</v>
      </c>
      <c r="P225" s="17"/>
      <c r="S225" s="28"/>
      <c r="V225" s="18"/>
      <c r="W225" s="18"/>
      <c r="X225" s="18"/>
      <c r="Y225" s="6"/>
      <c r="Z225" s="6"/>
      <c r="AA225" s="6"/>
      <c r="AB225" s="18"/>
      <c r="AC225" s="18"/>
      <c r="AD225" s="18"/>
      <c r="AE225" s="18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</row>
    <row r="226" spans="1:50">
      <c r="A226" s="8">
        <v>50902</v>
      </c>
      <c r="B226" s="9" t="s">
        <v>253</v>
      </c>
      <c r="C226" s="12">
        <v>55</v>
      </c>
      <c r="D226" s="12">
        <v>20.000000447034836</v>
      </c>
      <c r="E226" s="12">
        <v>695</v>
      </c>
      <c r="F226" s="11">
        <v>7.9136690647482008E-2</v>
      </c>
      <c r="G226" s="11">
        <v>0.36363637176426972</v>
      </c>
      <c r="H226" s="11">
        <v>2.8776979060481774E-2</v>
      </c>
      <c r="I226" s="12">
        <v>82</v>
      </c>
      <c r="J226" s="12">
        <v>30.444445073604584</v>
      </c>
      <c r="K226" s="12">
        <v>818</v>
      </c>
      <c r="L226" s="14">
        <v>0.10024449877750612</v>
      </c>
      <c r="M226" s="14">
        <v>0.37127372040981199</v>
      </c>
      <c r="N226" s="14">
        <v>3.7218148011741545E-2</v>
      </c>
      <c r="O226" s="14">
        <f t="shared" si="0"/>
        <v>0.77319750169737733</v>
      </c>
      <c r="P226" s="17"/>
      <c r="S226" s="28"/>
      <c r="V226" s="18"/>
      <c r="W226" s="18"/>
      <c r="X226" s="18"/>
      <c r="Y226" s="6"/>
      <c r="Z226" s="6"/>
      <c r="AA226" s="6"/>
      <c r="AB226" s="18"/>
      <c r="AC226" s="18"/>
      <c r="AD226" s="18"/>
      <c r="AE226" s="18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</row>
    <row r="227" spans="1:50">
      <c r="A227" s="8">
        <v>51001</v>
      </c>
      <c r="B227" s="9" t="s">
        <v>254</v>
      </c>
      <c r="C227" s="12">
        <v>180</v>
      </c>
      <c r="D227" s="12">
        <v>66.444446176290512</v>
      </c>
      <c r="E227" s="12">
        <v>1056</v>
      </c>
      <c r="F227" s="11">
        <v>0.17045454545454544</v>
      </c>
      <c r="G227" s="11">
        <v>0.36913581209050284</v>
      </c>
      <c r="H227" s="11">
        <v>6.2920877060881161E-2</v>
      </c>
      <c r="I227" s="12">
        <v>395</v>
      </c>
      <c r="J227" s="12">
        <v>152.66667047142982</v>
      </c>
      <c r="K227" s="12">
        <v>1832</v>
      </c>
      <c r="L227" s="14">
        <v>0.21561135371179038</v>
      </c>
      <c r="M227" s="14">
        <v>0.38649789992767042</v>
      </c>
      <c r="N227" s="14">
        <v>8.3333335410169115E-2</v>
      </c>
      <c r="O227" s="14">
        <f t="shared" si="0"/>
        <v>0.75505050591318301</v>
      </c>
      <c r="P227" s="17"/>
      <c r="S227" s="28"/>
      <c r="V227" s="18"/>
      <c r="W227" s="18"/>
      <c r="X227" s="18"/>
      <c r="Y227" s="6"/>
      <c r="Z227" s="6"/>
      <c r="AA227" s="6"/>
      <c r="AB227" s="18"/>
      <c r="AC227" s="18"/>
      <c r="AD227" s="18"/>
      <c r="AE227" s="18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</row>
    <row r="228" spans="1:50">
      <c r="A228" s="8">
        <v>51002</v>
      </c>
      <c r="B228" s="9" t="s">
        <v>255</v>
      </c>
      <c r="C228" s="12">
        <v>133</v>
      </c>
      <c r="D228" s="12">
        <v>55.000001162290573</v>
      </c>
      <c r="E228" s="12">
        <v>400</v>
      </c>
      <c r="F228" s="11">
        <v>0.33250000000000002</v>
      </c>
      <c r="G228" s="11">
        <v>0.41353384332549303</v>
      </c>
      <c r="H228" s="11">
        <v>0.13750000290572645</v>
      </c>
      <c r="I228" s="12">
        <v>214</v>
      </c>
      <c r="J228" s="12">
        <v>80.777780145406723</v>
      </c>
      <c r="K228" s="12">
        <v>565</v>
      </c>
      <c r="L228" s="14">
        <v>0.37876106194690268</v>
      </c>
      <c r="M228" s="14">
        <v>0.37746626236171366</v>
      </c>
      <c r="N228" s="14">
        <v>0.14296952238125085</v>
      </c>
      <c r="O228" s="14">
        <f t="shared" si="0"/>
        <v>0.96174345843487496</v>
      </c>
      <c r="P228" s="17"/>
      <c r="S228" s="28"/>
      <c r="V228" s="18"/>
      <c r="W228" s="18"/>
      <c r="X228" s="18"/>
      <c r="Y228" s="6"/>
      <c r="Z228" s="6"/>
      <c r="AA228" s="6"/>
      <c r="AB228" s="18"/>
      <c r="AC228" s="18"/>
      <c r="AD228" s="18"/>
      <c r="AE228" s="18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</row>
    <row r="229" spans="1:50">
      <c r="A229" s="8">
        <v>51003</v>
      </c>
      <c r="B229" s="9" t="s">
        <v>256</v>
      </c>
      <c r="C229" s="12">
        <v>217</v>
      </c>
      <c r="D229" s="12">
        <v>82.888890981674194</v>
      </c>
      <c r="E229" s="12">
        <v>848</v>
      </c>
      <c r="F229" s="11">
        <v>0.25589622641509435</v>
      </c>
      <c r="G229" s="11">
        <v>0.38197645613674747</v>
      </c>
      <c r="H229" s="11">
        <v>9.7746333704804483E-2</v>
      </c>
      <c r="I229" s="12">
        <v>315</v>
      </c>
      <c r="J229" s="12">
        <v>123.88889175653458</v>
      </c>
      <c r="K229" s="12">
        <v>1028</v>
      </c>
      <c r="L229" s="14">
        <v>0.30642023346303504</v>
      </c>
      <c r="M229" s="14">
        <v>0.39329806906836373</v>
      </c>
      <c r="N229" s="14">
        <v>0.1205144861444889</v>
      </c>
      <c r="O229" s="14">
        <f t="shared" si="0"/>
        <v>0.81107538879278873</v>
      </c>
      <c r="P229" s="17"/>
      <c r="S229" s="28"/>
      <c r="V229" s="18"/>
      <c r="W229" s="18"/>
      <c r="X229" s="18"/>
      <c r="Y229" s="6"/>
      <c r="Z229" s="6"/>
      <c r="AA229" s="6"/>
      <c r="AB229" s="18"/>
      <c r="AC229" s="18"/>
      <c r="AD229" s="18"/>
      <c r="AE229" s="18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</row>
    <row r="230" spans="1:50">
      <c r="A230" s="8">
        <v>51101</v>
      </c>
      <c r="B230" s="9" t="s">
        <v>257</v>
      </c>
      <c r="C230" s="12">
        <v>1103</v>
      </c>
      <c r="D230" s="12">
        <v>411.777787566185</v>
      </c>
      <c r="E230" s="12">
        <v>5930</v>
      </c>
      <c r="F230" s="11">
        <v>0.18600337268128161</v>
      </c>
      <c r="G230" s="11">
        <v>0.37332528337822757</v>
      </c>
      <c r="H230" s="11">
        <v>6.9439761815545537E-2</v>
      </c>
      <c r="I230" s="12">
        <v>1291</v>
      </c>
      <c r="J230" s="12">
        <v>473.33334496617317</v>
      </c>
      <c r="K230" s="12">
        <v>10312</v>
      </c>
      <c r="L230" s="14">
        <v>0.12519394879751747</v>
      </c>
      <c r="M230" s="14">
        <v>0.36664085589943701</v>
      </c>
      <c r="N230" s="14">
        <v>4.5901216540552098E-2</v>
      </c>
      <c r="O230" s="14">
        <f t="shared" si="0"/>
        <v>1.5128087455851627</v>
      </c>
      <c r="P230" s="17"/>
      <c r="S230" s="28"/>
      <c r="V230" s="18"/>
      <c r="W230" s="18"/>
      <c r="X230" s="18"/>
      <c r="Y230" s="6"/>
      <c r="Z230" s="6"/>
      <c r="AA230" s="6"/>
      <c r="AB230" s="18"/>
      <c r="AC230" s="18"/>
      <c r="AD230" s="18"/>
      <c r="AE230" s="18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</row>
    <row r="231" spans="1:50">
      <c r="A231" s="8">
        <v>51102</v>
      </c>
      <c r="B231" s="9" t="s">
        <v>258</v>
      </c>
      <c r="C231" s="12">
        <v>934</v>
      </c>
      <c r="D231" s="12">
        <v>356.77778714895248</v>
      </c>
      <c r="E231" s="12">
        <v>5059</v>
      </c>
      <c r="F231" s="11">
        <v>0.18462146669302235</v>
      </c>
      <c r="G231" s="11">
        <v>0.38198906546997052</v>
      </c>
      <c r="H231" s="11">
        <v>7.0523381527762899E-2</v>
      </c>
      <c r="I231" s="12">
        <v>1074</v>
      </c>
      <c r="J231" s="12">
        <v>394.33334282040596</v>
      </c>
      <c r="K231" s="12">
        <v>7618</v>
      </c>
      <c r="L231" s="14">
        <v>0.14098188500918876</v>
      </c>
      <c r="M231" s="14">
        <v>0.3671632614715139</v>
      </c>
      <c r="N231" s="14">
        <v>5.1763368708375682E-2</v>
      </c>
      <c r="O231" s="14">
        <f t="shared" si="0"/>
        <v>1.3624187004728638</v>
      </c>
      <c r="P231" s="17"/>
      <c r="S231" s="28"/>
      <c r="V231" s="18"/>
      <c r="W231" s="18"/>
      <c r="X231" s="18"/>
      <c r="Y231" s="6"/>
      <c r="Z231" s="6"/>
      <c r="AA231" s="6"/>
      <c r="AB231" s="18"/>
      <c r="AC231" s="18"/>
      <c r="AD231" s="18"/>
      <c r="AE231" s="18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</row>
    <row r="232" spans="1:50">
      <c r="A232" s="8">
        <v>51103</v>
      </c>
      <c r="B232" s="9" t="s">
        <v>259</v>
      </c>
      <c r="C232" s="12">
        <v>1772</v>
      </c>
      <c r="D232" s="12">
        <v>704.11112856864929</v>
      </c>
      <c r="E232" s="12">
        <v>3720</v>
      </c>
      <c r="F232" s="11">
        <v>0.47634408602150535</v>
      </c>
      <c r="G232" s="11">
        <v>0.39735391002745446</v>
      </c>
      <c r="H232" s="11">
        <v>0.18927718509909927</v>
      </c>
      <c r="I232" s="12">
        <v>4708</v>
      </c>
      <c r="J232" s="12">
        <v>1908.4444916546345</v>
      </c>
      <c r="K232" s="12">
        <v>10598</v>
      </c>
      <c r="L232" s="14">
        <v>0.44423476127571238</v>
      </c>
      <c r="M232" s="14">
        <v>0.40536204155790878</v>
      </c>
      <c r="N232" s="14">
        <v>0.180075909761713</v>
      </c>
      <c r="O232" s="14">
        <f t="shared" si="0"/>
        <v>1.0510966477945991</v>
      </c>
      <c r="P232" s="17"/>
      <c r="S232" s="28"/>
      <c r="V232" s="18"/>
      <c r="W232" s="18"/>
      <c r="X232" s="18"/>
      <c r="Y232" s="6"/>
      <c r="Z232" s="6"/>
      <c r="AA232" s="6"/>
      <c r="AB232" s="18"/>
      <c r="AC232" s="18"/>
      <c r="AD232" s="18"/>
      <c r="AE232" s="18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</row>
    <row r="233" spans="1:50">
      <c r="A233" s="8">
        <v>51201</v>
      </c>
      <c r="B233" s="9" t="s">
        <v>260</v>
      </c>
      <c r="C233" s="12">
        <v>1064</v>
      </c>
      <c r="D233" s="12">
        <v>385.88889852166176</v>
      </c>
      <c r="E233" s="12">
        <v>14387</v>
      </c>
      <c r="F233" s="11">
        <v>7.3955654410231456E-2</v>
      </c>
      <c r="G233" s="11">
        <v>0.36267753620456933</v>
      </c>
      <c r="H233" s="11">
        <v>2.6822054529899338E-2</v>
      </c>
      <c r="I233" s="12">
        <v>1735</v>
      </c>
      <c r="J233" s="12">
        <v>617.55557170510292</v>
      </c>
      <c r="K233" s="12">
        <v>19436</v>
      </c>
      <c r="L233" s="14">
        <v>8.9267338958633466E-2</v>
      </c>
      <c r="M233" s="14">
        <v>0.35593981078103915</v>
      </c>
      <c r="N233" s="14">
        <v>3.177379973786288E-2</v>
      </c>
      <c r="O233" s="14">
        <f t="shared" si="0"/>
        <v>0.84415634111072801</v>
      </c>
      <c r="P233" s="17"/>
      <c r="S233" s="28"/>
      <c r="V233" s="18"/>
      <c r="W233" s="18"/>
      <c r="X233" s="18"/>
      <c r="Y233" s="6"/>
      <c r="Z233" s="6"/>
      <c r="AA233" s="6"/>
      <c r="AB233" s="18"/>
      <c r="AC233" s="18"/>
      <c r="AD233" s="18"/>
      <c r="AE233" s="18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</row>
    <row r="234" spans="1:50">
      <c r="A234" s="8">
        <v>51202</v>
      </c>
      <c r="B234" s="9" t="s">
        <v>261</v>
      </c>
      <c r="C234" s="12">
        <v>648</v>
      </c>
      <c r="D234" s="12">
        <v>233.88889473676682</v>
      </c>
      <c r="E234" s="12">
        <v>2886</v>
      </c>
      <c r="F234" s="11">
        <v>0.22453222453222454</v>
      </c>
      <c r="G234" s="11">
        <v>0.36093965237155373</v>
      </c>
      <c r="H234" s="11">
        <v>8.104258306887277E-2</v>
      </c>
      <c r="I234" s="12">
        <v>1034</v>
      </c>
      <c r="J234" s="12">
        <v>379.11112028360367</v>
      </c>
      <c r="K234" s="12">
        <v>4900</v>
      </c>
      <c r="L234" s="14">
        <v>0.21102040816326531</v>
      </c>
      <c r="M234" s="14">
        <v>0.36664518402669599</v>
      </c>
      <c r="N234" s="14">
        <v>7.736961638440891E-2</v>
      </c>
      <c r="O234" s="14">
        <f t="shared" si="0"/>
        <v>1.047472985599603</v>
      </c>
      <c r="P234" s="17"/>
      <c r="S234" s="28"/>
      <c r="V234" s="18"/>
      <c r="W234" s="18"/>
      <c r="X234" s="18"/>
      <c r="Y234" s="6"/>
      <c r="Z234" s="6"/>
      <c r="AA234" s="6"/>
      <c r="AB234" s="18"/>
      <c r="AC234" s="18"/>
      <c r="AD234" s="18"/>
      <c r="AE234" s="18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</row>
    <row r="235" spans="1:50">
      <c r="A235" s="8">
        <v>51203</v>
      </c>
      <c r="B235" s="9" t="s">
        <v>262</v>
      </c>
      <c r="C235" s="12">
        <v>387</v>
      </c>
      <c r="D235" s="12">
        <v>146.66667014360428</v>
      </c>
      <c r="E235" s="12">
        <v>3637</v>
      </c>
      <c r="F235" s="11">
        <v>0.10640637888369535</v>
      </c>
      <c r="G235" s="11">
        <v>0.37898364378192317</v>
      </c>
      <c r="H235" s="11">
        <v>4.0326277190982751E-2</v>
      </c>
      <c r="I235" s="12">
        <v>568</v>
      </c>
      <c r="J235" s="12">
        <v>206.33333840966225</v>
      </c>
      <c r="K235" s="12">
        <v>10816</v>
      </c>
      <c r="L235" s="14">
        <v>5.2514792899408282E-2</v>
      </c>
      <c r="M235" s="14">
        <v>0.36326291973532088</v>
      </c>
      <c r="N235" s="14">
        <v>1.9076676997934749E-2</v>
      </c>
      <c r="O235" s="14">
        <f t="shared" si="0"/>
        <v>2.1139047012930234</v>
      </c>
      <c r="P235" s="17"/>
      <c r="S235" s="28"/>
      <c r="V235" s="18"/>
      <c r="W235" s="18"/>
      <c r="X235" s="18"/>
      <c r="Y235" s="6"/>
      <c r="Z235" s="6"/>
      <c r="AA235" s="6"/>
      <c r="AB235" s="18"/>
      <c r="AC235" s="18"/>
      <c r="AD235" s="18"/>
      <c r="AE235" s="18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</row>
    <row r="236" spans="1:50">
      <c r="A236" s="8">
        <v>51204</v>
      </c>
      <c r="B236" s="9" t="s">
        <v>263</v>
      </c>
      <c r="C236" s="12">
        <v>647</v>
      </c>
      <c r="D236" s="12">
        <v>245.7777838408947</v>
      </c>
      <c r="E236" s="12">
        <v>2517</v>
      </c>
      <c r="F236" s="11">
        <v>0.25705204608661103</v>
      </c>
      <c r="G236" s="11">
        <v>0.37987292711112008</v>
      </c>
      <c r="H236" s="11">
        <v>9.7647113166823479E-2</v>
      </c>
      <c r="I236" s="12">
        <v>740</v>
      </c>
      <c r="J236" s="12">
        <v>272.88889533281326</v>
      </c>
      <c r="K236" s="12">
        <v>3285</v>
      </c>
      <c r="L236" s="14">
        <v>0.22526636225266361</v>
      </c>
      <c r="M236" s="14">
        <v>0.36876877747677467</v>
      </c>
      <c r="N236" s="14">
        <v>8.3071201014555021E-2</v>
      </c>
      <c r="O236" s="14">
        <f t="shared" si="0"/>
        <v>1.1754628797254851</v>
      </c>
      <c r="P236" s="17"/>
      <c r="S236" s="28"/>
      <c r="V236" s="18"/>
      <c r="W236" s="18"/>
      <c r="X236" s="18"/>
      <c r="Y236" s="6"/>
      <c r="Z236" s="6"/>
      <c r="AA236" s="6"/>
      <c r="AB236" s="18"/>
      <c r="AC236" s="18"/>
      <c r="AD236" s="18"/>
      <c r="AE236" s="18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</row>
    <row r="237" spans="1:50">
      <c r="A237" s="8">
        <v>51301</v>
      </c>
      <c r="B237" s="9" t="s">
        <v>264</v>
      </c>
      <c r="C237" s="12">
        <v>352</v>
      </c>
      <c r="D237" s="12">
        <v>136.22222563624382</v>
      </c>
      <c r="E237" s="12">
        <v>1116</v>
      </c>
      <c r="F237" s="11">
        <v>0.31541218637992829</v>
      </c>
      <c r="G237" s="11">
        <v>0.3869949591938745</v>
      </c>
      <c r="H237" s="11">
        <v>0.12206292619735108</v>
      </c>
      <c r="I237" s="12">
        <v>642</v>
      </c>
      <c r="J237" s="12">
        <v>241.8888948559761</v>
      </c>
      <c r="K237" s="12">
        <v>2542</v>
      </c>
      <c r="L237" s="14">
        <v>0.25255704169944926</v>
      </c>
      <c r="M237" s="14">
        <v>0.37677397952644254</v>
      </c>
      <c r="N237" s="14">
        <v>9.5156921658527183E-2</v>
      </c>
      <c r="O237" s="14">
        <f t="shared" si="0"/>
        <v>1.2827540453166058</v>
      </c>
      <c r="P237" s="17"/>
      <c r="S237" s="28"/>
      <c r="V237" s="18"/>
      <c r="W237" s="18"/>
      <c r="X237" s="18"/>
      <c r="Y237" s="6"/>
      <c r="Z237" s="6"/>
      <c r="AA237" s="6"/>
      <c r="AB237" s="18"/>
      <c r="AC237" s="18"/>
      <c r="AD237" s="18"/>
      <c r="AE237" s="18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</row>
    <row r="238" spans="1:50">
      <c r="A238" s="8">
        <v>51302</v>
      </c>
      <c r="B238" s="9" t="s">
        <v>265</v>
      </c>
      <c r="C238" s="12">
        <v>446</v>
      </c>
      <c r="D238" s="12">
        <v>171.88889303803444</v>
      </c>
      <c r="E238" s="12">
        <v>1517</v>
      </c>
      <c r="F238" s="11">
        <v>0.29400131839156229</v>
      </c>
      <c r="G238" s="11">
        <v>0.3854011054664449</v>
      </c>
      <c r="H238" s="11">
        <v>0.11330843311670034</v>
      </c>
      <c r="I238" s="12">
        <v>658</v>
      </c>
      <c r="J238" s="12">
        <v>251.77778378129005</v>
      </c>
      <c r="K238" s="12">
        <v>2905</v>
      </c>
      <c r="L238" s="14">
        <v>0.22650602409638554</v>
      </c>
      <c r="M238" s="14">
        <v>0.38264100878615509</v>
      </c>
      <c r="N238" s="14">
        <v>8.6670493556382122E-2</v>
      </c>
      <c r="O238" s="14">
        <f t="shared" si="0"/>
        <v>1.3073472697255304</v>
      </c>
      <c r="P238" s="17"/>
      <c r="S238" s="28"/>
      <c r="V238" s="18"/>
      <c r="W238" s="18"/>
      <c r="X238" s="18"/>
      <c r="Y238" s="6"/>
      <c r="Z238" s="6"/>
      <c r="AA238" s="6"/>
      <c r="AB238" s="18"/>
      <c r="AC238" s="18"/>
      <c r="AD238" s="18"/>
      <c r="AE238" s="18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</row>
    <row r="239" spans="1:50">
      <c r="A239" s="8">
        <v>51401</v>
      </c>
      <c r="B239" s="9" t="s">
        <v>266</v>
      </c>
      <c r="C239" s="12">
        <v>73</v>
      </c>
      <c r="D239" s="12">
        <v>25.555556207895279</v>
      </c>
      <c r="E239" s="12">
        <v>1399</v>
      </c>
      <c r="F239" s="11">
        <v>5.2180128663330952E-2</v>
      </c>
      <c r="G239" s="11">
        <v>0.3500761124369216</v>
      </c>
      <c r="H239" s="11">
        <v>1.8267016588917283E-2</v>
      </c>
      <c r="I239" s="12">
        <v>119</v>
      </c>
      <c r="J239" s="12">
        <v>41.66666778922081</v>
      </c>
      <c r="K239" s="12">
        <v>2647</v>
      </c>
      <c r="L239" s="14">
        <v>4.4956554590102005E-2</v>
      </c>
      <c r="M239" s="14">
        <v>0.35014006545563708</v>
      </c>
      <c r="N239" s="14">
        <v>1.5741090966838237E-2</v>
      </c>
      <c r="O239" s="14">
        <f t="shared" si="0"/>
        <v>1.1604669985962481</v>
      </c>
      <c r="P239" s="17"/>
      <c r="S239" s="28"/>
      <c r="V239" s="18"/>
      <c r="W239" s="18"/>
      <c r="X239" s="18"/>
      <c r="Y239" s="6"/>
      <c r="Z239" s="6"/>
      <c r="AA239" s="6"/>
      <c r="AB239" s="18"/>
      <c r="AC239" s="18"/>
      <c r="AD239" s="18"/>
      <c r="AE239" s="18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</row>
    <row r="240" spans="1:50">
      <c r="A240" s="8">
        <v>51402</v>
      </c>
      <c r="B240" s="9" t="s">
        <v>267</v>
      </c>
      <c r="C240" s="12">
        <v>95</v>
      </c>
      <c r="D240" s="12">
        <v>35.111111879348755</v>
      </c>
      <c r="E240" s="12">
        <v>575</v>
      </c>
      <c r="F240" s="11">
        <v>0.16521739130434782</v>
      </c>
      <c r="G240" s="11">
        <v>0.36959065136156583</v>
      </c>
      <c r="H240" s="11">
        <v>6.1062803268432608E-2</v>
      </c>
      <c r="I240" s="12">
        <v>155</v>
      </c>
      <c r="J240" s="12">
        <v>58.777778953313828</v>
      </c>
      <c r="K240" s="12">
        <v>966</v>
      </c>
      <c r="L240" s="14">
        <v>0.16045548654244307</v>
      </c>
      <c r="M240" s="14">
        <v>0.37921147711815373</v>
      </c>
      <c r="N240" s="14">
        <v>6.0846562063471873E-2</v>
      </c>
      <c r="O240" s="14">
        <f t="shared" si="0"/>
        <v>1.0035538771234958</v>
      </c>
      <c r="P240" s="17"/>
      <c r="S240" s="28"/>
      <c r="V240" s="18"/>
      <c r="W240" s="18"/>
      <c r="X240" s="18"/>
      <c r="Y240" s="6"/>
      <c r="Z240" s="6"/>
      <c r="AA240" s="6"/>
      <c r="AB240" s="18"/>
      <c r="AC240" s="18"/>
      <c r="AD240" s="18"/>
      <c r="AE240" s="18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</row>
    <row r="241" spans="1:50">
      <c r="A241" s="8">
        <v>51501</v>
      </c>
      <c r="B241" s="9" t="s">
        <v>268</v>
      </c>
      <c r="C241" s="12">
        <v>1236</v>
      </c>
      <c r="D241" s="12">
        <v>472.11112263798714</v>
      </c>
      <c r="E241" s="12">
        <v>19168</v>
      </c>
      <c r="F241" s="11">
        <v>6.4482470784641074E-2</v>
      </c>
      <c r="G241" s="11">
        <v>0.38196692770063684</v>
      </c>
      <c r="H241" s="11">
        <v>2.4630171256155426E-2</v>
      </c>
      <c r="I241" s="12">
        <v>1460</v>
      </c>
      <c r="J241" s="12">
        <v>544.33334675431252</v>
      </c>
      <c r="K241" s="12">
        <v>28997</v>
      </c>
      <c r="L241" s="14">
        <v>5.0350036210642483E-2</v>
      </c>
      <c r="M241" s="14">
        <v>0.372831059420762</v>
      </c>
      <c r="N241" s="14">
        <v>1.8772057342287565E-2</v>
      </c>
      <c r="O241" s="14">
        <f t="shared" si="0"/>
        <v>1.3120656306898959</v>
      </c>
      <c r="P241" s="17"/>
      <c r="S241" s="28"/>
      <c r="V241" s="18"/>
      <c r="W241" s="18"/>
      <c r="X241" s="18"/>
      <c r="Y241" s="6"/>
      <c r="Z241" s="6"/>
      <c r="AA241" s="6"/>
      <c r="AB241" s="18"/>
      <c r="AC241" s="18"/>
      <c r="AD241" s="18"/>
      <c r="AE241" s="18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</row>
    <row r="242" spans="1:50">
      <c r="A242" s="8">
        <v>51601</v>
      </c>
      <c r="B242" s="9" t="s">
        <v>269</v>
      </c>
      <c r="C242" s="12">
        <v>56</v>
      </c>
      <c r="D242" s="12">
        <v>20.333333790302277</v>
      </c>
      <c r="E242" s="12">
        <v>753</v>
      </c>
      <c r="F242" s="11">
        <v>7.4369189907038516E-2</v>
      </c>
      <c r="G242" s="11">
        <v>0.3630952462553978</v>
      </c>
      <c r="H242" s="11">
        <v>2.7003099323110593E-2</v>
      </c>
      <c r="I242" s="12">
        <v>83</v>
      </c>
      <c r="J242" s="12">
        <v>29.666667520999908</v>
      </c>
      <c r="K242" s="12">
        <v>1296</v>
      </c>
      <c r="L242" s="14">
        <v>6.4043209876543217E-2</v>
      </c>
      <c r="M242" s="14">
        <v>0.3574297291686736</v>
      </c>
      <c r="N242" s="14">
        <v>2.2890947161265364E-2</v>
      </c>
      <c r="O242" s="14">
        <f t="shared" si="0"/>
        <v>1.1796409791554434</v>
      </c>
      <c r="P242" s="17"/>
      <c r="S242" s="28"/>
      <c r="V242" s="18"/>
      <c r="W242" s="18"/>
      <c r="X242" s="18"/>
      <c r="Y242" s="6"/>
      <c r="Z242" s="6"/>
      <c r="AA242" s="6"/>
      <c r="AB242" s="18"/>
      <c r="AC242" s="18"/>
      <c r="AD242" s="18"/>
      <c r="AE242" s="18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</row>
    <row r="243" spans="1:50">
      <c r="A243" s="8">
        <v>60101</v>
      </c>
      <c r="B243" s="9" t="s">
        <v>30</v>
      </c>
      <c r="C243" s="12">
        <v>3009</v>
      </c>
      <c r="D243" s="12">
        <v>1094.8889161646366</v>
      </c>
      <c r="E243" s="12">
        <v>91237</v>
      </c>
      <c r="F243" s="11">
        <v>3.2980040992141343E-2</v>
      </c>
      <c r="G243" s="11">
        <v>0.36387135798093606</v>
      </c>
      <c r="H243" s="11">
        <v>1.2000492302077408E-2</v>
      </c>
      <c r="I243" s="12">
        <v>3551</v>
      </c>
      <c r="J243" s="12">
        <v>1290.7778110206127</v>
      </c>
      <c r="K243" s="12">
        <v>142498</v>
      </c>
      <c r="L243" s="14">
        <v>2.491964799505958E-2</v>
      </c>
      <c r="M243" s="14">
        <v>0.36349698986781548</v>
      </c>
      <c r="N243" s="14">
        <v>9.0582170347696996E-3</v>
      </c>
      <c r="O243" s="14">
        <f t="shared" si="0"/>
        <v>1.3248183672364959</v>
      </c>
      <c r="P243" s="17"/>
      <c r="S243" s="28"/>
      <c r="V243" s="18"/>
      <c r="W243" s="18"/>
      <c r="X243" s="18"/>
      <c r="Y243" s="6"/>
      <c r="Z243" s="6"/>
      <c r="AA243" s="6"/>
      <c r="AB243" s="18"/>
      <c r="AC243" s="18"/>
      <c r="AD243" s="18"/>
      <c r="AE243" s="18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</row>
    <row r="244" spans="1:50">
      <c r="A244" s="8">
        <v>60201</v>
      </c>
      <c r="B244" s="9" t="s">
        <v>270</v>
      </c>
      <c r="C244" s="12">
        <v>659</v>
      </c>
      <c r="D244" s="12">
        <v>249.00000631809235</v>
      </c>
      <c r="E244" s="12">
        <v>5792</v>
      </c>
      <c r="F244" s="11">
        <v>0.11377762430939227</v>
      </c>
      <c r="G244" s="11">
        <v>0.37784522961774258</v>
      </c>
      <c r="H244" s="11">
        <v>4.2990332582543575E-2</v>
      </c>
      <c r="I244" s="12">
        <v>1157</v>
      </c>
      <c r="J244" s="12">
        <v>441.44445553421974</v>
      </c>
      <c r="K244" s="12">
        <v>11807</v>
      </c>
      <c r="L244" s="14">
        <v>9.79927161853138E-2</v>
      </c>
      <c r="M244" s="14">
        <v>0.38154231247555725</v>
      </c>
      <c r="N244" s="14">
        <v>3.7388367539105592E-2</v>
      </c>
      <c r="O244" s="14">
        <f t="shared" si="0"/>
        <v>1.1498317635178568</v>
      </c>
      <c r="P244" s="17"/>
      <c r="S244" s="28"/>
      <c r="V244" s="18"/>
      <c r="W244" s="18"/>
      <c r="X244" s="18"/>
      <c r="Y244" s="6"/>
      <c r="Z244" s="6"/>
      <c r="AA244" s="6"/>
      <c r="AB244" s="18"/>
      <c r="AC244" s="18"/>
      <c r="AD244" s="18"/>
      <c r="AE244" s="18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</row>
    <row r="245" spans="1:50">
      <c r="A245" s="8">
        <v>60202</v>
      </c>
      <c r="B245" s="9" t="s">
        <v>271</v>
      </c>
      <c r="C245" s="12">
        <v>352</v>
      </c>
      <c r="D245" s="12">
        <v>125.66667011380196</v>
      </c>
      <c r="E245" s="12">
        <v>12898</v>
      </c>
      <c r="F245" s="11">
        <v>2.7291052876414947E-2</v>
      </c>
      <c r="G245" s="11">
        <v>0.35700758555057371</v>
      </c>
      <c r="H245" s="11">
        <v>9.7431128945419405E-3</v>
      </c>
      <c r="I245" s="12">
        <v>725</v>
      </c>
      <c r="J245" s="12">
        <v>266.444451212883</v>
      </c>
      <c r="K245" s="12">
        <v>23323</v>
      </c>
      <c r="L245" s="14">
        <v>3.1085194872014749E-2</v>
      </c>
      <c r="M245" s="14">
        <v>0.36750958787983862</v>
      </c>
      <c r="N245" s="14">
        <v>1.1424107156578612E-2</v>
      </c>
      <c r="O245" s="14">
        <f t="shared" si="0"/>
        <v>0.8528555239374952</v>
      </c>
      <c r="P245" s="17"/>
      <c r="S245" s="28"/>
      <c r="V245" s="18"/>
      <c r="W245" s="18"/>
      <c r="X245" s="18"/>
      <c r="Y245" s="6"/>
      <c r="Z245" s="6"/>
      <c r="AA245" s="6"/>
      <c r="AB245" s="18"/>
      <c r="AC245" s="18"/>
      <c r="AD245" s="18"/>
      <c r="AE245" s="18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</row>
    <row r="246" spans="1:50">
      <c r="A246" s="8">
        <v>60301</v>
      </c>
      <c r="B246" s="9" t="s">
        <v>272</v>
      </c>
      <c r="C246" s="12">
        <v>1350</v>
      </c>
      <c r="D246" s="12">
        <v>507.55556762218475</v>
      </c>
      <c r="E246" s="12">
        <v>34696</v>
      </c>
      <c r="F246" s="11">
        <v>3.8909384367074015E-2</v>
      </c>
      <c r="G246" s="11">
        <v>0.37596708712754429</v>
      </c>
      <c r="H246" s="11">
        <v>1.4628647902414827E-2</v>
      </c>
      <c r="I246" s="12">
        <v>3134</v>
      </c>
      <c r="J246" s="12">
        <v>1173.6666969060898</v>
      </c>
      <c r="K246" s="12">
        <v>60346</v>
      </c>
      <c r="L246" s="14">
        <v>5.1933848142378947E-2</v>
      </c>
      <c r="M246" s="14">
        <v>0.37449479799173252</v>
      </c>
      <c r="N246" s="14">
        <v>1.9448955969013516E-2</v>
      </c>
      <c r="O246" s="14">
        <f t="shared" si="0"/>
        <v>0.75215594737946323</v>
      </c>
      <c r="P246" s="17"/>
      <c r="S246" s="28"/>
      <c r="V246" s="18"/>
      <c r="W246" s="18"/>
      <c r="X246" s="18"/>
      <c r="Y246" s="6"/>
      <c r="Z246" s="6"/>
      <c r="AA246" s="6"/>
      <c r="AB246" s="18"/>
      <c r="AC246" s="18"/>
      <c r="AD246" s="18"/>
      <c r="AE246" s="18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</row>
    <row r="247" spans="1:50">
      <c r="A247" s="8">
        <v>60302</v>
      </c>
      <c r="B247" s="9" t="s">
        <v>273</v>
      </c>
      <c r="C247" s="12">
        <v>255</v>
      </c>
      <c r="D247" s="12">
        <v>90.77778023481369</v>
      </c>
      <c r="E247" s="12">
        <v>4806</v>
      </c>
      <c r="F247" s="11">
        <v>5.305867665418227E-2</v>
      </c>
      <c r="G247" s="11">
        <v>0.35599129503848503</v>
      </c>
      <c r="H247" s="11">
        <v>1.8888427015150578E-2</v>
      </c>
      <c r="I247" s="12">
        <v>496</v>
      </c>
      <c r="J247" s="12">
        <v>185.3333383500576</v>
      </c>
      <c r="K247" s="12">
        <v>10445</v>
      </c>
      <c r="L247" s="14">
        <v>4.748683580660603E-2</v>
      </c>
      <c r="M247" s="14">
        <v>0.37365592409285808</v>
      </c>
      <c r="N247" s="14">
        <v>1.7743737515563199E-2</v>
      </c>
      <c r="O247" s="14">
        <f t="shared" si="0"/>
        <v>1.064512310249369</v>
      </c>
      <c r="P247" s="17"/>
      <c r="S247" s="28"/>
      <c r="V247" s="18"/>
      <c r="W247" s="18"/>
      <c r="X247" s="18"/>
      <c r="Y247" s="6"/>
      <c r="Z247" s="6"/>
      <c r="AA247" s="6"/>
      <c r="AB247" s="18"/>
      <c r="AC247" s="18"/>
      <c r="AD247" s="18"/>
      <c r="AE247" s="18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</row>
    <row r="248" spans="1:50">
      <c r="A248" s="8">
        <v>60303</v>
      </c>
      <c r="B248" s="9" t="s">
        <v>274</v>
      </c>
      <c r="C248" s="12">
        <v>1039</v>
      </c>
      <c r="D248" s="12">
        <v>393.44445461034775</v>
      </c>
      <c r="E248" s="12">
        <v>17260</v>
      </c>
      <c r="F248" s="11">
        <v>6.0196987253765932E-2</v>
      </c>
      <c r="G248" s="11">
        <v>0.37867608720918938</v>
      </c>
      <c r="H248" s="11">
        <v>2.2795159595037529E-2</v>
      </c>
      <c r="I248" s="12">
        <v>1637</v>
      </c>
      <c r="J248" s="12">
        <v>609.33334892988205</v>
      </c>
      <c r="K248" s="12">
        <v>27354</v>
      </c>
      <c r="L248" s="14">
        <v>5.9844995247495793E-2</v>
      </c>
      <c r="M248" s="14">
        <v>0.37222562549168114</v>
      </c>
      <c r="N248" s="14">
        <v>2.2275840788545807E-2</v>
      </c>
      <c r="O248" s="14">
        <f t="shared" si="0"/>
        <v>1.0233130956277419</v>
      </c>
      <c r="P248" s="17"/>
      <c r="S248" s="28"/>
      <c r="V248" s="18"/>
      <c r="W248" s="18"/>
      <c r="X248" s="18"/>
      <c r="Y248" s="6"/>
      <c r="Z248" s="6"/>
      <c r="AA248" s="6"/>
      <c r="AB248" s="18"/>
      <c r="AC248" s="18"/>
      <c r="AD248" s="18"/>
      <c r="AE248" s="18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</row>
    <row r="249" spans="1:50">
      <c r="A249" s="8">
        <v>60401</v>
      </c>
      <c r="B249" s="9" t="s">
        <v>275</v>
      </c>
      <c r="C249" s="12">
        <v>552</v>
      </c>
      <c r="D249" s="12">
        <v>205.00000515580177</v>
      </c>
      <c r="E249" s="12">
        <v>5666</v>
      </c>
      <c r="F249" s="11">
        <v>9.7423226261913159E-2</v>
      </c>
      <c r="G249" s="11">
        <v>0.37137682093442348</v>
      </c>
      <c r="H249" s="11">
        <v>3.6180728054324346E-2</v>
      </c>
      <c r="I249" s="12">
        <v>670</v>
      </c>
      <c r="J249" s="12">
        <v>246.22222819924355</v>
      </c>
      <c r="K249" s="12">
        <v>10191</v>
      </c>
      <c r="L249" s="14">
        <v>6.5744284172308903E-2</v>
      </c>
      <c r="M249" s="14">
        <v>0.3674958629839456</v>
      </c>
      <c r="N249" s="14">
        <v>2.4160752448164416E-2</v>
      </c>
      <c r="O249" s="14">
        <f t="shared" si="0"/>
        <v>1.4975000522830626</v>
      </c>
      <c r="P249" s="17"/>
      <c r="S249" s="28"/>
      <c r="V249" s="18"/>
      <c r="W249" s="18"/>
      <c r="X249" s="18"/>
      <c r="Y249" s="6"/>
      <c r="Z249" s="6"/>
      <c r="AA249" s="6"/>
      <c r="AB249" s="18"/>
      <c r="AC249" s="18"/>
      <c r="AD249" s="18"/>
      <c r="AE249" s="18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</row>
    <row r="250" spans="1:50">
      <c r="A250" s="8">
        <v>60402</v>
      </c>
      <c r="B250" s="9" t="s">
        <v>276</v>
      </c>
      <c r="C250" s="12">
        <v>142</v>
      </c>
      <c r="D250" s="12">
        <v>55.444445669651031</v>
      </c>
      <c r="E250" s="12">
        <v>1556</v>
      </c>
      <c r="F250" s="11">
        <v>9.1259640102827763E-2</v>
      </c>
      <c r="G250" s="11">
        <v>0.39045384274402134</v>
      </c>
      <c r="H250" s="11">
        <v>3.5632677165585498E-2</v>
      </c>
      <c r="I250" s="12">
        <v>391</v>
      </c>
      <c r="J250" s="12">
        <v>146.88889217376709</v>
      </c>
      <c r="K250" s="12">
        <v>3170</v>
      </c>
      <c r="L250" s="14">
        <v>0.12334384858044165</v>
      </c>
      <c r="M250" s="14">
        <v>0.37567491604544012</v>
      </c>
      <c r="N250" s="14">
        <v>4.6337189960178896E-2</v>
      </c>
      <c r="O250" s="14">
        <f t="shared" si="0"/>
        <v>0.76898657851732899</v>
      </c>
      <c r="P250" s="17"/>
      <c r="S250" s="28"/>
      <c r="V250" s="18"/>
      <c r="W250" s="18"/>
      <c r="X250" s="18"/>
      <c r="Y250" s="6"/>
      <c r="Z250" s="6"/>
      <c r="AA250" s="6"/>
      <c r="AB250" s="18"/>
      <c r="AC250" s="18"/>
      <c r="AD250" s="18"/>
      <c r="AE250" s="18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</row>
    <row r="251" spans="1:50">
      <c r="A251" s="8">
        <v>60501</v>
      </c>
      <c r="B251" s="9" t="s">
        <v>277</v>
      </c>
      <c r="C251" s="12">
        <v>984</v>
      </c>
      <c r="D251" s="12">
        <v>373.66667619347572</v>
      </c>
      <c r="E251" s="12">
        <v>10952</v>
      </c>
      <c r="F251" s="11">
        <v>8.9846603360116878E-2</v>
      </c>
      <c r="G251" s="11">
        <v>0.37974255710719079</v>
      </c>
      <c r="H251" s="11">
        <v>3.4118578907366304E-2</v>
      </c>
      <c r="I251" s="12">
        <v>1831</v>
      </c>
      <c r="J251" s="12">
        <v>704.22223973274231</v>
      </c>
      <c r="K251" s="12">
        <v>19283</v>
      </c>
      <c r="L251" s="14">
        <v>9.4954104651765806E-2</v>
      </c>
      <c r="M251" s="14">
        <v>0.38461072623306514</v>
      </c>
      <c r="N251" s="14">
        <v>3.6520367148926113E-2</v>
      </c>
      <c r="O251" s="14">
        <f t="shared" si="0"/>
        <v>0.93423427996313468</v>
      </c>
      <c r="P251" s="17"/>
      <c r="S251" s="28"/>
      <c r="V251" s="18"/>
      <c r="W251" s="18"/>
      <c r="X251" s="18"/>
      <c r="Y251" s="6"/>
      <c r="Z251" s="6"/>
      <c r="AA251" s="6"/>
      <c r="AB251" s="18"/>
      <c r="AC251" s="18"/>
      <c r="AD251" s="18"/>
      <c r="AE251" s="18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</row>
    <row r="252" spans="1:50">
      <c r="A252" s="8">
        <v>60502</v>
      </c>
      <c r="B252" s="9" t="s">
        <v>278</v>
      </c>
      <c r="C252" s="12">
        <v>215</v>
      </c>
      <c r="D252" s="12">
        <v>83.444446593523026</v>
      </c>
      <c r="E252" s="12">
        <v>2574</v>
      </c>
      <c r="F252" s="11">
        <v>8.3527583527583521E-2</v>
      </c>
      <c r="G252" s="11">
        <v>0.38811370508615362</v>
      </c>
      <c r="H252" s="11">
        <v>3.2418199919783612E-2</v>
      </c>
      <c r="I252" s="12">
        <v>370</v>
      </c>
      <c r="J252" s="12">
        <v>137.22222569584846</v>
      </c>
      <c r="K252" s="12">
        <v>6871</v>
      </c>
      <c r="L252" s="14">
        <v>5.3849512443603552E-2</v>
      </c>
      <c r="M252" s="14">
        <v>0.37087088025904991</v>
      </c>
      <c r="N252" s="14">
        <v>1.997121608147991E-2</v>
      </c>
      <c r="O252" s="14">
        <f t="shared" si="0"/>
        <v>1.6232461652571211</v>
      </c>
      <c r="P252" s="17"/>
      <c r="S252" s="28"/>
      <c r="V252" s="18"/>
      <c r="W252" s="18"/>
      <c r="X252" s="18"/>
      <c r="Y252" s="6"/>
      <c r="Z252" s="6"/>
      <c r="AA252" s="6"/>
      <c r="AB252" s="18"/>
      <c r="AC252" s="18"/>
      <c r="AD252" s="18"/>
      <c r="AE252" s="18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</row>
    <row r="253" spans="1:50">
      <c r="A253" s="8">
        <v>60601</v>
      </c>
      <c r="B253" s="9" t="s">
        <v>182</v>
      </c>
      <c r="C253" s="12">
        <v>739</v>
      </c>
      <c r="D253" s="12">
        <v>287.44445204734802</v>
      </c>
      <c r="E253" s="12">
        <v>6777</v>
      </c>
      <c r="F253" s="11">
        <v>0.10904530028036004</v>
      </c>
      <c r="G253" s="11">
        <v>0.38896407584214887</v>
      </c>
      <c r="H253" s="11">
        <v>4.2414704448479862E-2</v>
      </c>
      <c r="I253" s="12">
        <v>1640</v>
      </c>
      <c r="J253" s="12">
        <v>626.55557030439377</v>
      </c>
      <c r="K253" s="12">
        <v>13710</v>
      </c>
      <c r="L253" s="14">
        <v>0.11962071480671042</v>
      </c>
      <c r="M253" s="14">
        <v>0.38204607945389862</v>
      </c>
      <c r="N253" s="14">
        <v>4.5700625113376636E-2</v>
      </c>
      <c r="O253" s="14">
        <f t="shared" si="0"/>
        <v>0.92809899959256836</v>
      </c>
      <c r="P253" s="17"/>
      <c r="S253" s="28"/>
      <c r="V253" s="18"/>
      <c r="W253" s="18"/>
      <c r="X253" s="18"/>
      <c r="Y253" s="6"/>
      <c r="Z253" s="6"/>
      <c r="AA253" s="6"/>
      <c r="AB253" s="18"/>
      <c r="AC253" s="18"/>
      <c r="AD253" s="18"/>
      <c r="AE253" s="18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</row>
    <row r="254" spans="1:50">
      <c r="A254" s="8">
        <v>70101</v>
      </c>
      <c r="B254" s="9" t="s">
        <v>279</v>
      </c>
      <c r="C254" s="12">
        <v>11485</v>
      </c>
      <c r="D254" s="12">
        <v>4100.6667755544186</v>
      </c>
      <c r="E254" s="12">
        <v>575271</v>
      </c>
      <c r="F254" s="11">
        <v>1.9964503686088816E-2</v>
      </c>
      <c r="G254" s="11">
        <v>0.35704543104522585</v>
      </c>
      <c r="H254" s="11">
        <v>7.1282348242035819E-3</v>
      </c>
      <c r="I254" s="12">
        <v>14974</v>
      </c>
      <c r="J254" s="12">
        <v>5280.0001387000084</v>
      </c>
      <c r="K254" s="12">
        <v>1004093</v>
      </c>
      <c r="L254" s="14">
        <v>1.4912961249605365E-2</v>
      </c>
      <c r="M254" s="14">
        <v>0.35261120199679502</v>
      </c>
      <c r="N254" s="14">
        <v>5.2584771915549743E-3</v>
      </c>
      <c r="O254" s="14">
        <f t="shared" si="0"/>
        <v>1.3555701707048207</v>
      </c>
      <c r="P254" s="17"/>
      <c r="S254" s="28"/>
      <c r="V254" s="18"/>
      <c r="W254" s="18"/>
      <c r="X254" s="18"/>
      <c r="Y254" s="6"/>
      <c r="Z254" s="6"/>
      <c r="AA254" s="6"/>
      <c r="AB254" s="18"/>
      <c r="AC254" s="18"/>
      <c r="AD254" s="18"/>
      <c r="AE254" s="18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</row>
    <row r="255" spans="1:50">
      <c r="A255" s="8">
        <v>70102</v>
      </c>
      <c r="B255" s="9" t="s">
        <v>280</v>
      </c>
      <c r="C255" s="12">
        <v>2424</v>
      </c>
      <c r="D255" s="12">
        <v>882.66668894886971</v>
      </c>
      <c r="E255" s="12">
        <v>35340</v>
      </c>
      <c r="F255" s="11">
        <v>6.8590831918505943E-2</v>
      </c>
      <c r="G255" s="11">
        <v>0.36413642283369213</v>
      </c>
      <c r="H255" s="11">
        <v>2.4976420173991785E-2</v>
      </c>
      <c r="I255" s="12">
        <v>3962</v>
      </c>
      <c r="J255" s="12">
        <v>1409.6667047142982</v>
      </c>
      <c r="K255" s="12">
        <v>70309</v>
      </c>
      <c r="L255" s="14">
        <v>5.6351249484418782E-2</v>
      </c>
      <c r="M255" s="14">
        <v>0.35579674525853061</v>
      </c>
      <c r="N255" s="14">
        <v>2.0049591157807654E-2</v>
      </c>
      <c r="O255" s="14">
        <f t="shared" si="0"/>
        <v>1.245732143733292</v>
      </c>
      <c r="P255" s="17"/>
      <c r="S255" s="28"/>
      <c r="V255" s="18"/>
      <c r="W255" s="18"/>
      <c r="X255" s="18"/>
      <c r="Y255" s="6"/>
      <c r="Z255" s="6"/>
      <c r="AA255" s="6"/>
      <c r="AB255" s="18"/>
      <c r="AC255" s="18"/>
      <c r="AD255" s="18"/>
      <c r="AE255" s="18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</row>
    <row r="256" spans="1:50">
      <c r="A256" s="8">
        <v>70103</v>
      </c>
      <c r="B256" s="9" t="s">
        <v>281</v>
      </c>
      <c r="C256" s="12">
        <v>290</v>
      </c>
      <c r="D256" s="12">
        <v>103.55555859208107</v>
      </c>
      <c r="E256" s="12">
        <v>6414</v>
      </c>
      <c r="F256" s="11">
        <v>4.5213595260367945E-2</v>
      </c>
      <c r="G256" s="11">
        <v>0.35708813307614162</v>
      </c>
      <c r="H256" s="11">
        <v>1.6145238321185074E-2</v>
      </c>
      <c r="I256" s="12">
        <v>541</v>
      </c>
      <c r="J256" s="12">
        <v>204.33333843946457</v>
      </c>
      <c r="K256" s="12">
        <v>16477</v>
      </c>
      <c r="L256" s="14">
        <v>3.2833646901741821E-2</v>
      </c>
      <c r="M256" s="14">
        <v>0.37769563482340957</v>
      </c>
      <c r="N256" s="14">
        <v>1.2401125110121052E-2</v>
      </c>
      <c r="O256" s="14">
        <f t="shared" si="0"/>
        <v>1.3019172194310258</v>
      </c>
      <c r="P256" s="17"/>
      <c r="S256" s="28"/>
      <c r="V256" s="18"/>
      <c r="W256" s="18"/>
      <c r="X256" s="18"/>
      <c r="Y256" s="6"/>
      <c r="Z256" s="6"/>
      <c r="AA256" s="6"/>
      <c r="AB256" s="18"/>
      <c r="AC256" s="18"/>
      <c r="AD256" s="18"/>
      <c r="AE256" s="18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</row>
    <row r="257" spans="1:50">
      <c r="A257" s="8">
        <v>70104</v>
      </c>
      <c r="B257" s="9" t="s">
        <v>282</v>
      </c>
      <c r="C257" s="12">
        <v>1869</v>
      </c>
      <c r="D257" s="12">
        <v>658.77779567241669</v>
      </c>
      <c r="E257" s="12">
        <v>49111</v>
      </c>
      <c r="F257" s="11">
        <v>3.8056647186984587E-2</v>
      </c>
      <c r="G257" s="11">
        <v>0.35247608115164081</v>
      </c>
      <c r="H257" s="11">
        <v>1.3414057862238942E-2</v>
      </c>
      <c r="I257" s="12">
        <v>2905</v>
      </c>
      <c r="J257" s="12">
        <v>1015.6666938662529</v>
      </c>
      <c r="K257" s="12">
        <v>97575</v>
      </c>
      <c r="L257" s="14">
        <v>2.9771970279272354E-2</v>
      </c>
      <c r="M257" s="14">
        <v>0.34962708911058621</v>
      </c>
      <c r="N257" s="14">
        <v>1.0409087305828879E-2</v>
      </c>
      <c r="O257" s="14">
        <f t="shared" ref="O257:O346" si="8">H257/N257</f>
        <v>1.2886872276234382</v>
      </c>
      <c r="P257" s="17"/>
      <c r="S257" s="28"/>
      <c r="V257" s="18"/>
      <c r="W257" s="18"/>
      <c r="X257" s="18"/>
      <c r="Y257" s="6"/>
      <c r="Z257" s="6"/>
      <c r="AA257" s="6"/>
      <c r="AB257" s="18"/>
      <c r="AC257" s="18"/>
      <c r="AD257" s="18"/>
      <c r="AE257" s="18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</row>
    <row r="258" spans="1:50">
      <c r="A258" s="8">
        <v>70105</v>
      </c>
      <c r="B258" s="9" t="s">
        <v>283</v>
      </c>
      <c r="C258" s="12">
        <v>1060</v>
      </c>
      <c r="D258" s="12">
        <v>375.66667684912682</v>
      </c>
      <c r="E258" s="12">
        <v>19129</v>
      </c>
      <c r="F258" s="11">
        <v>5.5413246902608605E-2</v>
      </c>
      <c r="G258" s="11">
        <v>0.35440252532936495</v>
      </c>
      <c r="H258" s="11">
        <v>1.9638594638984101E-2</v>
      </c>
      <c r="I258" s="12">
        <v>1727</v>
      </c>
      <c r="J258" s="12">
        <v>616.00001585483551</v>
      </c>
      <c r="K258" s="12">
        <v>35748</v>
      </c>
      <c r="L258" s="14">
        <v>4.8310394987132146E-2</v>
      </c>
      <c r="M258" s="14">
        <v>0.35668790726973681</v>
      </c>
      <c r="N258" s="14">
        <v>1.7231733687334549E-2</v>
      </c>
      <c r="O258" s="14">
        <f t="shared" si="8"/>
        <v>1.139676076436732</v>
      </c>
      <c r="P258" s="17"/>
      <c r="S258" s="28"/>
      <c r="V258" s="18"/>
      <c r="W258" s="18"/>
      <c r="X258" s="18"/>
      <c r="Y258" s="6"/>
      <c r="Z258" s="6"/>
      <c r="AA258" s="6"/>
      <c r="AB258" s="18"/>
      <c r="AC258" s="18"/>
      <c r="AD258" s="18"/>
      <c r="AE258" s="18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</row>
    <row r="259" spans="1:50">
      <c r="A259" s="8">
        <v>70201</v>
      </c>
      <c r="B259" s="9" t="s">
        <v>284</v>
      </c>
      <c r="C259" s="12">
        <v>2935</v>
      </c>
      <c r="D259" s="12">
        <v>1056.1111382842064</v>
      </c>
      <c r="E259" s="12">
        <v>54462</v>
      </c>
      <c r="F259" s="11">
        <v>5.3890786236274836E-2</v>
      </c>
      <c r="G259" s="11">
        <v>0.35983343723482331</v>
      </c>
      <c r="H259" s="11">
        <v>1.9391706846685879E-2</v>
      </c>
      <c r="I259" s="12">
        <v>4059</v>
      </c>
      <c r="J259" s="12">
        <v>1442.2222582995892</v>
      </c>
      <c r="K259" s="12">
        <v>94625</v>
      </c>
      <c r="L259" s="14">
        <v>4.289564068692206E-2</v>
      </c>
      <c r="M259" s="14">
        <v>0.35531467314599385</v>
      </c>
      <c r="N259" s="14">
        <v>1.5241450550061706E-2</v>
      </c>
      <c r="O259" s="14">
        <f t="shared" si="8"/>
        <v>1.2723006109551278</v>
      </c>
      <c r="P259" s="17"/>
      <c r="S259" s="28"/>
      <c r="V259" s="18"/>
      <c r="W259" s="18"/>
      <c r="X259" s="18"/>
      <c r="Y259" s="6"/>
      <c r="Z259" s="6"/>
      <c r="AA259" s="6"/>
      <c r="AB259" s="18"/>
      <c r="AC259" s="18"/>
      <c r="AD259" s="18"/>
      <c r="AE259" s="18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</row>
    <row r="260" spans="1:50">
      <c r="A260" s="8">
        <v>70202</v>
      </c>
      <c r="B260" s="9" t="s">
        <v>285</v>
      </c>
      <c r="C260" s="12">
        <v>179</v>
      </c>
      <c r="D260" s="12">
        <v>61.444446116685867</v>
      </c>
      <c r="E260" s="12">
        <v>3392</v>
      </c>
      <c r="F260" s="11">
        <v>5.2771226415094338E-2</v>
      </c>
      <c r="G260" s="11">
        <v>0.34326506210439034</v>
      </c>
      <c r="H260" s="11">
        <v>1.8114518312702201E-2</v>
      </c>
      <c r="I260" s="12">
        <v>201</v>
      </c>
      <c r="J260" s="12">
        <v>71.666668385267258</v>
      </c>
      <c r="K260" s="12">
        <v>6998</v>
      </c>
      <c r="L260" s="14">
        <v>2.8722492140611604E-2</v>
      </c>
      <c r="M260" s="14">
        <v>0.35655058898142916</v>
      </c>
      <c r="N260" s="14">
        <v>1.0241021489749537E-2</v>
      </c>
      <c r="O260" s="14">
        <f t="shared" si="8"/>
        <v>1.7688194806380808</v>
      </c>
      <c r="P260" s="17"/>
      <c r="S260" s="28"/>
      <c r="V260" s="18"/>
      <c r="W260" s="18"/>
      <c r="X260" s="18"/>
      <c r="Y260" s="6"/>
      <c r="Z260" s="6"/>
      <c r="AA260" s="6"/>
      <c r="AB260" s="18"/>
      <c r="AC260" s="18"/>
      <c r="AD260" s="18"/>
      <c r="AE260" s="18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</row>
    <row r="261" spans="1:50">
      <c r="A261" s="8">
        <v>70301</v>
      </c>
      <c r="B261" s="9" t="s">
        <v>286</v>
      </c>
      <c r="C261" s="12">
        <v>2160</v>
      </c>
      <c r="D261" s="12">
        <v>788.22224262356758</v>
      </c>
      <c r="E261" s="12">
        <v>20074</v>
      </c>
      <c r="F261" s="11">
        <v>0.10760187306964232</v>
      </c>
      <c r="G261" s="11">
        <v>0.36491770491831832</v>
      </c>
      <c r="H261" s="11">
        <v>3.9265828565486077E-2</v>
      </c>
      <c r="I261" s="12">
        <v>6482</v>
      </c>
      <c r="J261" s="12">
        <v>2459.6667273342609</v>
      </c>
      <c r="K261" s="12">
        <v>45341</v>
      </c>
      <c r="L261" s="14">
        <v>0.14296111686994112</v>
      </c>
      <c r="M261" s="14">
        <v>0.37946108104508808</v>
      </c>
      <c r="N261" s="14">
        <v>5.4248179954881036E-2</v>
      </c>
      <c r="O261" s="14">
        <f t="shared" si="8"/>
        <v>0.72381835848030318</v>
      </c>
      <c r="P261" s="17"/>
      <c r="S261" s="28"/>
      <c r="V261" s="18"/>
      <c r="W261" s="18"/>
      <c r="X261" s="18"/>
      <c r="Y261" s="6"/>
      <c r="Z261" s="6"/>
      <c r="AA261" s="6"/>
      <c r="AB261" s="18"/>
      <c r="AC261" s="18"/>
      <c r="AD261" s="18"/>
      <c r="AE261" s="18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</row>
    <row r="262" spans="1:50">
      <c r="A262" s="8">
        <v>70302</v>
      </c>
      <c r="B262" s="9" t="s">
        <v>287</v>
      </c>
      <c r="C262" s="12">
        <v>578</v>
      </c>
      <c r="D262" s="12">
        <v>217.66667264699936</v>
      </c>
      <c r="E262" s="12">
        <v>4146</v>
      </c>
      <c r="F262" s="11">
        <v>0.13941148094548964</v>
      </c>
      <c r="G262" s="11">
        <v>0.37658593883563901</v>
      </c>
      <c r="H262" s="11">
        <v>5.2500403436324013E-2</v>
      </c>
      <c r="I262" s="12">
        <v>1846</v>
      </c>
      <c r="J262" s="12">
        <v>694.77779486775398</v>
      </c>
      <c r="K262" s="12">
        <v>10990</v>
      </c>
      <c r="L262" s="14">
        <v>0.16797088262056414</v>
      </c>
      <c r="M262" s="14">
        <v>0.37636933633139436</v>
      </c>
      <c r="N262" s="14">
        <v>6.3219089614900276E-2</v>
      </c>
      <c r="O262" s="14">
        <f t="shared" si="8"/>
        <v>0.83045174734610627</v>
      </c>
      <c r="P262" s="17"/>
      <c r="S262" s="28"/>
      <c r="V262" s="18"/>
      <c r="W262" s="18"/>
      <c r="X262" s="18"/>
      <c r="Y262" s="6"/>
      <c r="Z262" s="6"/>
      <c r="AA262" s="6"/>
      <c r="AB262" s="18"/>
      <c r="AC262" s="18"/>
      <c r="AD262" s="18"/>
      <c r="AE262" s="18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</row>
    <row r="263" spans="1:50">
      <c r="A263" s="8">
        <v>70303</v>
      </c>
      <c r="B263" s="9" t="s">
        <v>288</v>
      </c>
      <c r="C263" s="12">
        <v>401</v>
      </c>
      <c r="D263" s="12">
        <v>145.55555966496468</v>
      </c>
      <c r="E263" s="12">
        <v>2585</v>
      </c>
      <c r="F263" s="11">
        <v>0.15512572533849128</v>
      </c>
      <c r="G263" s="11">
        <v>0.36298144554854034</v>
      </c>
      <c r="H263" s="11">
        <v>5.6307760025131395E-2</v>
      </c>
      <c r="I263" s="12">
        <v>1123</v>
      </c>
      <c r="J263" s="12">
        <v>403.22223278880119</v>
      </c>
      <c r="K263" s="12">
        <v>6048</v>
      </c>
      <c r="L263" s="14">
        <v>0.18568121693121692</v>
      </c>
      <c r="M263" s="14">
        <v>0.35905808796865646</v>
      </c>
      <c r="N263" s="14">
        <v>6.6670342723016071E-2</v>
      </c>
      <c r="O263" s="14">
        <f t="shared" si="8"/>
        <v>0.84456983008267505</v>
      </c>
      <c r="P263" s="17"/>
      <c r="S263" s="28"/>
      <c r="V263" s="18"/>
      <c r="W263" s="18"/>
      <c r="X263" s="18"/>
      <c r="Y263" s="6"/>
      <c r="Z263" s="6"/>
      <c r="AA263" s="6"/>
      <c r="AB263" s="18"/>
      <c r="AC263" s="18"/>
      <c r="AD263" s="18"/>
      <c r="AE263" s="18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</row>
    <row r="264" spans="1:50">
      <c r="A264" s="8">
        <v>70401</v>
      </c>
      <c r="B264" s="9" t="s">
        <v>289</v>
      </c>
      <c r="C264" s="12">
        <v>262</v>
      </c>
      <c r="D264" s="12">
        <v>100.0000025331974</v>
      </c>
      <c r="E264" s="12">
        <v>4665</v>
      </c>
      <c r="F264" s="11">
        <v>5.6162915326902464E-2</v>
      </c>
      <c r="G264" s="11">
        <v>0.38167939898166947</v>
      </c>
      <c r="H264" s="11">
        <v>2.1436227767030525E-2</v>
      </c>
      <c r="I264" s="12">
        <v>476</v>
      </c>
      <c r="J264" s="12">
        <v>171.66667106747627</v>
      </c>
      <c r="K264" s="12">
        <v>8319</v>
      </c>
      <c r="L264" s="14">
        <v>5.7218415674960936E-2</v>
      </c>
      <c r="M264" s="14">
        <v>0.36064426694847956</v>
      </c>
      <c r="N264" s="14">
        <v>2.063549357704968E-2</v>
      </c>
      <c r="O264" s="14">
        <f t="shared" si="8"/>
        <v>1.0388037333340745</v>
      </c>
      <c r="P264" s="17"/>
      <c r="S264" s="28"/>
      <c r="V264" s="18"/>
      <c r="W264" s="18"/>
      <c r="X264" s="18"/>
      <c r="Y264" s="6"/>
      <c r="Z264" s="6"/>
      <c r="AA264" s="6"/>
      <c r="AB264" s="18"/>
      <c r="AC264" s="18"/>
      <c r="AD264" s="18"/>
      <c r="AE264" s="18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</row>
    <row r="265" spans="1:50">
      <c r="A265" s="8">
        <v>70402</v>
      </c>
      <c r="B265" s="9" t="s">
        <v>290</v>
      </c>
      <c r="C265" s="12">
        <v>500</v>
      </c>
      <c r="D265" s="12">
        <v>188.55556020140648</v>
      </c>
      <c r="E265" s="12">
        <v>7107</v>
      </c>
      <c r="F265" s="11">
        <v>7.0353172928099061E-2</v>
      </c>
      <c r="G265" s="11">
        <v>0.37711112040281297</v>
      </c>
      <c r="H265" s="11">
        <v>2.6530963866808286E-2</v>
      </c>
      <c r="I265" s="12">
        <v>873</v>
      </c>
      <c r="J265" s="12">
        <v>320.11111885309219</v>
      </c>
      <c r="K265" s="12">
        <v>11580</v>
      </c>
      <c r="L265" s="14">
        <v>7.5388601036269431E-2</v>
      </c>
      <c r="M265" s="14">
        <v>0.36667940303905178</v>
      </c>
      <c r="N265" s="14">
        <v>2.7643447223928516E-2</v>
      </c>
      <c r="O265" s="14">
        <f t="shared" si="8"/>
        <v>0.95975598310484045</v>
      </c>
      <c r="P265" s="17"/>
      <c r="S265" s="28"/>
      <c r="V265" s="18"/>
      <c r="W265" s="18"/>
      <c r="X265" s="18"/>
      <c r="Y265" s="6"/>
      <c r="Z265" s="6"/>
      <c r="AA265" s="6"/>
      <c r="AB265" s="18"/>
      <c r="AC265" s="18"/>
      <c r="AD265" s="18"/>
      <c r="AE265" s="18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</row>
    <row r="266" spans="1:50">
      <c r="A266" s="8">
        <v>70403</v>
      </c>
      <c r="B266" s="9" t="s">
        <v>291</v>
      </c>
      <c r="C266" s="12">
        <v>2510</v>
      </c>
      <c r="D266" s="12">
        <v>934.3333557844162</v>
      </c>
      <c r="E266" s="12">
        <v>23163</v>
      </c>
      <c r="F266" s="11">
        <v>0.10836247463627337</v>
      </c>
      <c r="G266" s="11">
        <v>0.37224436485434909</v>
      </c>
      <c r="H266" s="11">
        <v>4.033732054502509E-2</v>
      </c>
      <c r="I266" s="12">
        <v>5301</v>
      </c>
      <c r="J266" s="12">
        <v>1972.5556027889252</v>
      </c>
      <c r="K266" s="12">
        <v>33443</v>
      </c>
      <c r="L266" s="14">
        <v>0.15850850701193075</v>
      </c>
      <c r="M266" s="14">
        <v>0.3721100929615026</v>
      </c>
      <c r="N266" s="14">
        <v>5.8982615279398541E-2</v>
      </c>
      <c r="O266" s="14">
        <f t="shared" si="8"/>
        <v>0.68388491005271035</v>
      </c>
      <c r="P266" s="17"/>
      <c r="S266" s="28"/>
      <c r="V266" s="18"/>
      <c r="W266" s="18"/>
      <c r="X266" s="18"/>
      <c r="Y266" s="6"/>
      <c r="Z266" s="6"/>
      <c r="AA266" s="6"/>
      <c r="AB266" s="18"/>
      <c r="AC266" s="18"/>
      <c r="AD266" s="18"/>
      <c r="AE266" s="18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</row>
    <row r="267" spans="1:50">
      <c r="A267" s="8">
        <v>70404</v>
      </c>
      <c r="B267" s="9" t="s">
        <v>292</v>
      </c>
      <c r="C267" s="12">
        <v>230</v>
      </c>
      <c r="D267" s="12">
        <v>84.333335489034653</v>
      </c>
      <c r="E267" s="12">
        <v>3347</v>
      </c>
      <c r="F267" s="11">
        <v>6.8718255153869132E-2</v>
      </c>
      <c r="G267" s="11">
        <v>0.3666666760392811</v>
      </c>
      <c r="H267" s="11">
        <v>2.5196694200488392E-2</v>
      </c>
      <c r="I267" s="12">
        <v>543</v>
      </c>
      <c r="J267" s="12">
        <v>201.88889411091805</v>
      </c>
      <c r="K267" s="12">
        <v>6779</v>
      </c>
      <c r="L267" s="14">
        <v>8.0100309780203563E-2</v>
      </c>
      <c r="M267" s="14">
        <v>0.37180275158548443</v>
      </c>
      <c r="N267" s="14">
        <v>2.9781515579129374E-2</v>
      </c>
      <c r="O267" s="14">
        <f t="shared" si="8"/>
        <v>0.84605144199397342</v>
      </c>
      <c r="P267" s="17"/>
      <c r="S267" s="28"/>
      <c r="V267" s="18"/>
      <c r="W267" s="18"/>
      <c r="X267" s="18"/>
      <c r="Y267" s="6"/>
      <c r="Z267" s="6"/>
      <c r="AA267" s="6"/>
      <c r="AB267" s="18"/>
      <c r="AC267" s="18"/>
      <c r="AD267" s="18"/>
      <c r="AE267" s="18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</row>
    <row r="268" spans="1:50">
      <c r="A268" s="8">
        <v>70501</v>
      </c>
      <c r="B268" s="9" t="s">
        <v>293</v>
      </c>
      <c r="C268" s="12">
        <v>1071</v>
      </c>
      <c r="D268" s="12">
        <v>389.66667622327805</v>
      </c>
      <c r="E268" s="12">
        <v>9733</v>
      </c>
      <c r="F268" s="11">
        <v>0.11003801500051372</v>
      </c>
      <c r="G268" s="11">
        <v>0.36383443158102524</v>
      </c>
      <c r="H268" s="11">
        <v>4.0035618640016236E-2</v>
      </c>
      <c r="I268" s="12">
        <v>5877</v>
      </c>
      <c r="J268" s="12">
        <v>2110.5556094646454</v>
      </c>
      <c r="K268" s="12">
        <v>30584</v>
      </c>
      <c r="L268" s="14">
        <v>0.19215929897985876</v>
      </c>
      <c r="M268" s="14">
        <v>0.35912125395008432</v>
      </c>
      <c r="N268" s="14">
        <v>6.9008488407816038E-2</v>
      </c>
      <c r="O268" s="14">
        <f t="shared" si="8"/>
        <v>0.5801549862014036</v>
      </c>
      <c r="P268" s="17"/>
      <c r="S268" s="28"/>
      <c r="V268" s="18"/>
      <c r="W268" s="18"/>
      <c r="X268" s="18"/>
      <c r="Y268" s="6"/>
      <c r="Z268" s="6"/>
      <c r="AA268" s="6"/>
      <c r="AB268" s="18"/>
      <c r="AC268" s="18"/>
      <c r="AD268" s="18"/>
      <c r="AE268" s="18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</row>
    <row r="269" spans="1:50">
      <c r="A269" s="8">
        <v>70502</v>
      </c>
      <c r="B269" s="9" t="s">
        <v>294</v>
      </c>
      <c r="C269" s="12">
        <v>1048</v>
      </c>
      <c r="D269" s="12">
        <v>376.22223165631294</v>
      </c>
      <c r="E269" s="12">
        <v>11293</v>
      </c>
      <c r="F269" s="11">
        <v>9.2800850084122907E-2</v>
      </c>
      <c r="G269" s="11">
        <v>0.35899067906136733</v>
      </c>
      <c r="H269" s="11">
        <v>3.3314640189171428E-2</v>
      </c>
      <c r="I269" s="12">
        <v>4760</v>
      </c>
      <c r="J269" s="12">
        <v>1678.6667113900185</v>
      </c>
      <c r="K269" s="12">
        <v>41381</v>
      </c>
      <c r="L269" s="14">
        <v>0.11502863633068316</v>
      </c>
      <c r="M269" s="14">
        <v>0.35266107382143247</v>
      </c>
      <c r="N269" s="14">
        <v>4.0566122408593766E-2</v>
      </c>
      <c r="O269" s="14">
        <f t="shared" si="8"/>
        <v>0.82124290445156911</v>
      </c>
      <c r="P269" s="17"/>
      <c r="S269" s="28"/>
      <c r="V269" s="18"/>
      <c r="W269" s="18"/>
      <c r="X269" s="18"/>
      <c r="Y269" s="6"/>
      <c r="Z269" s="6"/>
      <c r="AA269" s="6"/>
      <c r="AB269" s="18"/>
      <c r="AC269" s="18"/>
      <c r="AD269" s="18"/>
      <c r="AE269" s="18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</row>
    <row r="270" spans="1:50">
      <c r="A270" s="8">
        <v>70503</v>
      </c>
      <c r="B270" s="9" t="s">
        <v>295</v>
      </c>
      <c r="C270" s="12">
        <v>292</v>
      </c>
      <c r="D270" s="12">
        <v>106.88889139890671</v>
      </c>
      <c r="E270" s="12">
        <v>6318</v>
      </c>
      <c r="F270" s="11">
        <v>4.6217157328268442E-2</v>
      </c>
      <c r="G270" s="11">
        <v>0.36605784725652984</v>
      </c>
      <c r="H270" s="11">
        <v>1.6918153117902297E-2</v>
      </c>
      <c r="I270" s="12">
        <v>733</v>
      </c>
      <c r="J270" s="12">
        <v>270.00000709295273</v>
      </c>
      <c r="K270" s="12">
        <v>11351</v>
      </c>
      <c r="L270" s="14">
        <v>6.4575808298828294E-2</v>
      </c>
      <c r="M270" s="14">
        <v>0.36834925933554258</v>
      </c>
      <c r="N270" s="14">
        <v>2.3786451157867386E-2</v>
      </c>
      <c r="O270" s="14">
        <f t="shared" si="8"/>
        <v>0.71125167035716486</v>
      </c>
      <c r="P270" s="17"/>
      <c r="S270" s="28"/>
      <c r="V270" s="18"/>
      <c r="W270" s="18"/>
      <c r="X270" s="18"/>
      <c r="Y270" s="6"/>
      <c r="Z270" s="6"/>
      <c r="AA270" s="6"/>
      <c r="AB270" s="18"/>
      <c r="AC270" s="18"/>
      <c r="AD270" s="18"/>
      <c r="AE270" s="18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</row>
    <row r="271" spans="1:50">
      <c r="A271" s="8">
        <v>70601</v>
      </c>
      <c r="B271" s="9" t="s">
        <v>296</v>
      </c>
      <c r="C271" s="12">
        <v>217</v>
      </c>
      <c r="D271" s="12">
        <v>82.222224682569504</v>
      </c>
      <c r="E271" s="12">
        <v>7018</v>
      </c>
      <c r="F271" s="11">
        <v>3.0920490168139071E-2</v>
      </c>
      <c r="G271" s="11">
        <v>0.37890426120999771</v>
      </c>
      <c r="H271" s="11">
        <v>1.1715905483409733E-2</v>
      </c>
      <c r="I271" s="12">
        <v>502</v>
      </c>
      <c r="J271" s="12">
        <v>182.11111590266228</v>
      </c>
      <c r="K271" s="12">
        <v>13446</v>
      </c>
      <c r="L271" s="14">
        <v>3.7334523278298379E-2</v>
      </c>
      <c r="M271" s="14">
        <v>0.3627711472164587</v>
      </c>
      <c r="N271" s="14">
        <v>1.3543887840447886E-2</v>
      </c>
      <c r="O271" s="14">
        <f t="shared" si="8"/>
        <v>0.865032671669134</v>
      </c>
      <c r="P271" s="17"/>
      <c r="S271" s="28"/>
      <c r="V271" s="18"/>
      <c r="W271" s="18"/>
      <c r="X271" s="18"/>
      <c r="Y271" s="6"/>
      <c r="Z271" s="6"/>
      <c r="AA271" s="6"/>
      <c r="AB271" s="18"/>
      <c r="AC271" s="18"/>
      <c r="AD271" s="18"/>
      <c r="AE271" s="18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</row>
    <row r="272" spans="1:50">
      <c r="A272" s="8">
        <v>70602</v>
      </c>
      <c r="B272" s="9" t="s">
        <v>297</v>
      </c>
      <c r="C272" s="12">
        <v>497</v>
      </c>
      <c r="D272" s="12">
        <v>179.33333805203438</v>
      </c>
      <c r="E272" s="12">
        <v>6414</v>
      </c>
      <c r="F272" s="11">
        <v>7.7486747739320239E-2</v>
      </c>
      <c r="G272" s="11">
        <v>0.3608316661006728</v>
      </c>
      <c r="H272" s="11">
        <v>2.7959672287501462E-2</v>
      </c>
      <c r="I272" s="12">
        <v>913</v>
      </c>
      <c r="J272" s="12">
        <v>328.8888972401619</v>
      </c>
      <c r="K272" s="12">
        <v>11278</v>
      </c>
      <c r="L272" s="14">
        <v>8.0954069870544418E-2</v>
      </c>
      <c r="M272" s="14">
        <v>0.36022880311080163</v>
      </c>
      <c r="N272" s="14">
        <v>2.9161987696414423E-2</v>
      </c>
      <c r="O272" s="14">
        <f t="shared" si="8"/>
        <v>0.9587711433997762</v>
      </c>
      <c r="P272" s="17"/>
      <c r="S272" s="28"/>
      <c r="V272" s="18"/>
      <c r="W272" s="18"/>
      <c r="X272" s="18"/>
      <c r="Y272" s="6"/>
      <c r="Z272" s="6"/>
      <c r="AA272" s="6"/>
      <c r="AB272" s="18"/>
      <c r="AC272" s="18"/>
      <c r="AD272" s="18"/>
      <c r="AE272" s="18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</row>
    <row r="273" spans="1:50">
      <c r="A273" s="8">
        <v>70603</v>
      </c>
      <c r="B273" s="9" t="s">
        <v>298</v>
      </c>
      <c r="C273" s="12">
        <v>119</v>
      </c>
      <c r="D273" s="12">
        <v>41.888890147209167</v>
      </c>
      <c r="E273" s="12">
        <v>1853</v>
      </c>
      <c r="F273" s="11">
        <v>6.4220183486238536E-2</v>
      </c>
      <c r="G273" s="11">
        <v>0.35200748022864847</v>
      </c>
      <c r="H273" s="11">
        <v>2.260598496881229E-2</v>
      </c>
      <c r="I273" s="12">
        <v>223</v>
      </c>
      <c r="J273" s="12">
        <v>78.111113160848618</v>
      </c>
      <c r="K273" s="12">
        <v>4106</v>
      </c>
      <c r="L273" s="14">
        <v>5.4310764734534826E-2</v>
      </c>
      <c r="M273" s="14">
        <v>0.35027405004864853</v>
      </c>
      <c r="N273" s="14">
        <v>1.9023651524804827E-2</v>
      </c>
      <c r="O273" s="14">
        <f t="shared" si="8"/>
        <v>1.1883094546457855</v>
      </c>
      <c r="P273" s="17"/>
      <c r="S273" s="28"/>
      <c r="V273" s="18"/>
      <c r="W273" s="18"/>
      <c r="X273" s="18"/>
      <c r="Y273" s="6"/>
      <c r="Z273" s="6"/>
      <c r="AA273" s="6"/>
      <c r="AB273" s="18"/>
      <c r="AC273" s="18"/>
      <c r="AD273" s="18"/>
      <c r="AE273" s="18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</row>
    <row r="274" spans="1:50">
      <c r="A274" s="8">
        <v>70701</v>
      </c>
      <c r="B274" s="9" t="s">
        <v>299</v>
      </c>
      <c r="C274" s="12">
        <v>136</v>
      </c>
      <c r="D274" s="12">
        <v>49.333334565162659</v>
      </c>
      <c r="E274" s="12">
        <v>1909</v>
      </c>
      <c r="F274" s="11">
        <v>7.1241487689889998E-2</v>
      </c>
      <c r="G274" s="11">
        <v>0.36274510709678426</v>
      </c>
      <c r="H274" s="11">
        <v>2.5842501081803384E-2</v>
      </c>
      <c r="I274" s="12">
        <v>216</v>
      </c>
      <c r="J274" s="12">
        <v>86.444446980953217</v>
      </c>
      <c r="K274" s="12">
        <v>3843</v>
      </c>
      <c r="L274" s="14">
        <v>5.6206088992974239E-2</v>
      </c>
      <c r="M274" s="14">
        <v>0.40020577305996857</v>
      </c>
      <c r="N274" s="14">
        <v>2.2494001296110646E-2</v>
      </c>
      <c r="O274" s="14">
        <f t="shared" si="8"/>
        <v>1.1488619006291119</v>
      </c>
      <c r="P274" s="17"/>
      <c r="S274" s="28"/>
      <c r="V274" s="18"/>
      <c r="W274" s="18"/>
      <c r="X274" s="18"/>
      <c r="Y274" s="6"/>
      <c r="Z274" s="6"/>
      <c r="AA274" s="6"/>
      <c r="AB274" s="18"/>
      <c r="AC274" s="18"/>
      <c r="AD274" s="18"/>
      <c r="AE274" s="18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</row>
    <row r="275" spans="1:50">
      <c r="A275" s="8">
        <v>70702</v>
      </c>
      <c r="B275" s="9" t="s">
        <v>300</v>
      </c>
      <c r="C275" s="12">
        <v>971</v>
      </c>
      <c r="D275" s="12">
        <v>349.11111983656883</v>
      </c>
      <c r="E275" s="12">
        <v>9062</v>
      </c>
      <c r="F275" s="11">
        <v>0.10715073935113661</v>
      </c>
      <c r="G275" s="11">
        <v>0.35953771352890712</v>
      </c>
      <c r="H275" s="11">
        <v>3.8524731829239552E-2</v>
      </c>
      <c r="I275" s="12">
        <v>4744</v>
      </c>
      <c r="J275" s="12">
        <v>1752.3333770930767</v>
      </c>
      <c r="K275" s="12">
        <v>28807</v>
      </c>
      <c r="L275" s="14">
        <v>0.16468219529975353</v>
      </c>
      <c r="M275" s="14">
        <v>0.36937887375486439</v>
      </c>
      <c r="N275" s="14">
        <v>6.0830123827301581E-2</v>
      </c>
      <c r="O275" s="14">
        <f t="shared" si="8"/>
        <v>0.63331667610298381</v>
      </c>
      <c r="P275" s="17"/>
      <c r="S275" s="28"/>
      <c r="V275" s="18"/>
      <c r="W275" s="18"/>
      <c r="X275" s="18"/>
      <c r="Y275" s="6"/>
      <c r="Z275" s="6"/>
      <c r="AA275" s="6"/>
      <c r="AB275" s="18"/>
      <c r="AC275" s="18"/>
      <c r="AD275" s="18"/>
      <c r="AE275" s="18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</row>
    <row r="276" spans="1:50">
      <c r="A276" s="8">
        <v>70703</v>
      </c>
      <c r="B276" s="9" t="s">
        <v>301</v>
      </c>
      <c r="C276" s="12">
        <v>826</v>
      </c>
      <c r="D276" s="12">
        <v>295.66667458415031</v>
      </c>
      <c r="E276" s="12">
        <v>7929</v>
      </c>
      <c r="F276" s="11">
        <v>0.10417454912347081</v>
      </c>
      <c r="G276" s="11">
        <v>0.35794996923020617</v>
      </c>
      <c r="H276" s="11">
        <v>3.7289276653316973E-2</v>
      </c>
      <c r="I276" s="12">
        <v>2903</v>
      </c>
      <c r="J276" s="12">
        <v>1055.4444710016251</v>
      </c>
      <c r="K276" s="12">
        <v>23721</v>
      </c>
      <c r="L276" s="14">
        <v>0.12238101260486489</v>
      </c>
      <c r="M276" s="14">
        <v>0.3635702621431709</v>
      </c>
      <c r="N276" s="14">
        <v>4.4494096834097434E-2</v>
      </c>
      <c r="O276" s="14">
        <f t="shared" si="8"/>
        <v>0.83807244795540725</v>
      </c>
      <c r="P276" s="17"/>
      <c r="S276" s="28"/>
      <c r="V276" s="18"/>
      <c r="W276" s="18"/>
      <c r="X276" s="18"/>
      <c r="Y276" s="6"/>
      <c r="Z276" s="6"/>
      <c r="AA276" s="6"/>
      <c r="AB276" s="18"/>
      <c r="AC276" s="18"/>
      <c r="AD276" s="18"/>
      <c r="AE276" s="18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</row>
    <row r="277" spans="1:50">
      <c r="A277" s="8">
        <v>70704</v>
      </c>
      <c r="B277" s="9" t="s">
        <v>302</v>
      </c>
      <c r="C277" s="12">
        <v>78</v>
      </c>
      <c r="D277" s="12">
        <v>32.44444540143013</v>
      </c>
      <c r="E277" s="12">
        <v>2109</v>
      </c>
      <c r="F277" s="11">
        <v>3.6984352773826459E-2</v>
      </c>
      <c r="G277" s="11">
        <v>0.41595442822346318</v>
      </c>
      <c r="H277" s="11">
        <v>1.5383805311251839E-2</v>
      </c>
      <c r="I277" s="12">
        <v>231</v>
      </c>
      <c r="J277" s="12">
        <v>81.444446533918381</v>
      </c>
      <c r="K277" s="12">
        <v>2910</v>
      </c>
      <c r="L277" s="14">
        <v>7.9381443298969068E-2</v>
      </c>
      <c r="M277" s="14">
        <v>0.35257336161869429</v>
      </c>
      <c r="N277" s="14">
        <v>2.7987782314061297E-2</v>
      </c>
      <c r="O277" s="14">
        <f t="shared" si="8"/>
        <v>0.54966146079830291</v>
      </c>
      <c r="P277" s="17"/>
      <c r="S277" s="28"/>
      <c r="V277" s="18"/>
      <c r="W277" s="18"/>
      <c r="X277" s="18"/>
      <c r="Y277" s="6"/>
      <c r="Z277" s="6"/>
      <c r="AA277" s="6"/>
      <c r="AB277" s="18"/>
      <c r="AC277" s="18"/>
      <c r="AD277" s="18"/>
      <c r="AE277" s="18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</row>
    <row r="278" spans="1:50">
      <c r="A278" s="8">
        <v>70705</v>
      </c>
      <c r="B278" s="9" t="s">
        <v>303</v>
      </c>
      <c r="C278" s="12">
        <v>490</v>
      </c>
      <c r="D278" s="12">
        <v>188.33333820104599</v>
      </c>
      <c r="E278" s="12">
        <v>4621</v>
      </c>
      <c r="F278" s="11">
        <v>0.10603765418740532</v>
      </c>
      <c r="G278" s="11">
        <v>0.3843537514307061</v>
      </c>
      <c r="H278" s="11">
        <v>4.0755970179841158E-2</v>
      </c>
      <c r="I278" s="12">
        <v>974</v>
      </c>
      <c r="J278" s="12">
        <v>370.44445288181305</v>
      </c>
      <c r="K278" s="12">
        <v>9618</v>
      </c>
      <c r="L278" s="14">
        <v>0.10126845498024538</v>
      </c>
      <c r="M278" s="14">
        <v>0.38033311384169716</v>
      </c>
      <c r="N278" s="14">
        <v>3.851574681657445E-2</v>
      </c>
      <c r="O278" s="14">
        <f t="shared" si="8"/>
        <v>1.0581638303402356</v>
      </c>
      <c r="P278" s="17"/>
      <c r="S278" s="28"/>
      <c r="V278" s="18"/>
      <c r="W278" s="18"/>
      <c r="X278" s="18"/>
      <c r="Y278" s="6"/>
      <c r="Z278" s="6"/>
      <c r="AA278" s="6"/>
      <c r="AB278" s="18"/>
      <c r="AC278" s="18"/>
      <c r="AD278" s="18"/>
      <c r="AE278" s="18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</row>
    <row r="279" spans="1:50">
      <c r="A279" s="8">
        <v>70706</v>
      </c>
      <c r="B279" s="9" t="s">
        <v>304</v>
      </c>
      <c r="C279" s="12">
        <v>479</v>
      </c>
      <c r="D279" s="12">
        <v>173.22222685813904</v>
      </c>
      <c r="E279" s="12">
        <v>13367</v>
      </c>
      <c r="F279" s="11">
        <v>3.5834517842447816E-2</v>
      </c>
      <c r="G279" s="11">
        <v>0.36163304145749275</v>
      </c>
      <c r="H279" s="11">
        <v>1.2958945676527195E-2</v>
      </c>
      <c r="I279" s="12">
        <v>612</v>
      </c>
      <c r="J279" s="12">
        <v>225.00000604987144</v>
      </c>
      <c r="K279" s="12">
        <v>18144</v>
      </c>
      <c r="L279" s="14">
        <v>3.3730158730158728E-2</v>
      </c>
      <c r="M279" s="14">
        <v>0.36764706870894026</v>
      </c>
      <c r="N279" s="14">
        <v>1.2400793984230126E-2</v>
      </c>
      <c r="O279" s="14">
        <f t="shared" si="8"/>
        <v>1.0450093512566099</v>
      </c>
      <c r="P279" s="17"/>
      <c r="S279" s="28"/>
      <c r="V279" s="18"/>
      <c r="W279" s="18"/>
      <c r="X279" s="18"/>
      <c r="Y279" s="6"/>
      <c r="Z279" s="6"/>
      <c r="AA279" s="6"/>
      <c r="AB279" s="18"/>
      <c r="AC279" s="18"/>
      <c r="AD279" s="18"/>
      <c r="AE279" s="18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</row>
    <row r="280" spans="1:50">
      <c r="A280" s="8">
        <v>70707</v>
      </c>
      <c r="B280" s="9" t="s">
        <v>305</v>
      </c>
      <c r="C280" s="12">
        <v>127</v>
      </c>
      <c r="D280" s="12">
        <v>46.444445550441742</v>
      </c>
      <c r="E280" s="12">
        <v>1960</v>
      </c>
      <c r="F280" s="11">
        <v>6.4795918367346939E-2</v>
      </c>
      <c r="G280" s="11">
        <v>0.36570429567276963</v>
      </c>
      <c r="H280" s="11">
        <v>2.3696145689000889E-2</v>
      </c>
      <c r="I280" s="12">
        <v>411</v>
      </c>
      <c r="J280" s="12">
        <v>152.22222611308098</v>
      </c>
      <c r="K280" s="12">
        <v>3314</v>
      </c>
      <c r="L280" s="14">
        <v>0.124019312009656</v>
      </c>
      <c r="M280" s="14">
        <v>0.37037037983718002</v>
      </c>
      <c r="N280" s="14">
        <v>4.5933079696162039E-2</v>
      </c>
      <c r="O280" s="14">
        <f t="shared" si="8"/>
        <v>0.51588410456573053</v>
      </c>
      <c r="P280" s="17"/>
      <c r="S280" s="28"/>
      <c r="V280" s="18"/>
      <c r="W280" s="18"/>
      <c r="X280" s="18"/>
      <c r="Y280" s="6"/>
      <c r="Z280" s="6"/>
      <c r="AA280" s="6"/>
      <c r="AB280" s="18"/>
      <c r="AC280" s="18"/>
      <c r="AD280" s="18"/>
      <c r="AE280" s="18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</row>
    <row r="281" spans="1:50">
      <c r="A281" s="8">
        <v>70801</v>
      </c>
      <c r="B281" s="9" t="s">
        <v>306</v>
      </c>
      <c r="C281" s="12">
        <v>237</v>
      </c>
      <c r="D281" s="12">
        <v>86.222224503755569</v>
      </c>
      <c r="E281" s="12">
        <v>6112</v>
      </c>
      <c r="F281" s="11">
        <v>3.8776178010471202E-2</v>
      </c>
      <c r="G281" s="11">
        <v>0.36380685444622601</v>
      </c>
      <c r="H281" s="11">
        <v>1.4107039349436447E-2</v>
      </c>
      <c r="I281" s="12">
        <v>459</v>
      </c>
      <c r="J281" s="12">
        <v>169.55555963516235</v>
      </c>
      <c r="K281" s="12">
        <v>10727</v>
      </c>
      <c r="L281" s="14">
        <v>4.2789223454833596E-2</v>
      </c>
      <c r="M281" s="14">
        <v>0.36940209070841473</v>
      </c>
      <c r="N281" s="14">
        <v>1.5806428604005066E-2</v>
      </c>
      <c r="O281" s="14">
        <f t="shared" si="8"/>
        <v>0.89248746208627905</v>
      </c>
      <c r="P281" s="17"/>
      <c r="S281" s="28"/>
      <c r="V281" s="18"/>
      <c r="W281" s="18"/>
      <c r="X281" s="18"/>
      <c r="Y281" s="6"/>
      <c r="Z281" s="6"/>
      <c r="AA281" s="6"/>
      <c r="AB281" s="18"/>
      <c r="AC281" s="18"/>
      <c r="AD281" s="18"/>
      <c r="AE281" s="18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</row>
    <row r="282" spans="1:50">
      <c r="A282" s="8">
        <v>70802</v>
      </c>
      <c r="B282" s="9" t="s">
        <v>307</v>
      </c>
      <c r="C282" s="12">
        <v>5</v>
      </c>
      <c r="D282" s="12">
        <v>1.7777778208255768</v>
      </c>
      <c r="E282" s="12">
        <v>776</v>
      </c>
      <c r="F282" s="11">
        <v>6.4432989690721646E-3</v>
      </c>
      <c r="G282" s="11">
        <v>0.35555556416511536</v>
      </c>
      <c r="H282" s="11">
        <v>2.2909508000329595E-3</v>
      </c>
      <c r="I282" s="12">
        <v>33</v>
      </c>
      <c r="J282" s="12">
        <v>11.55555585026741</v>
      </c>
      <c r="K282" s="12">
        <v>1578</v>
      </c>
      <c r="L282" s="14">
        <v>2.0912547528517109E-2</v>
      </c>
      <c r="M282" s="14">
        <v>0.35016835909901245</v>
      </c>
      <c r="N282" s="14">
        <v>7.3229124526409438E-3</v>
      </c>
      <c r="O282" s="14">
        <f t="shared" si="8"/>
        <v>0.31284694646414191</v>
      </c>
      <c r="P282" s="17"/>
      <c r="S282" s="28"/>
      <c r="V282" s="18"/>
      <c r="W282" s="18"/>
      <c r="X282" s="18"/>
      <c r="Y282" s="6"/>
      <c r="Z282" s="6"/>
      <c r="AA282" s="6"/>
      <c r="AB282" s="18"/>
      <c r="AC282" s="18"/>
      <c r="AD282" s="18"/>
      <c r="AE282" s="18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</row>
    <row r="283" spans="1:50">
      <c r="A283" s="8">
        <v>70803</v>
      </c>
      <c r="B283" s="9" t="s">
        <v>308</v>
      </c>
      <c r="C283" s="12">
        <v>57</v>
      </c>
      <c r="D283" s="12">
        <v>19.555556088685989</v>
      </c>
      <c r="E283" s="12">
        <v>808</v>
      </c>
      <c r="F283" s="11">
        <v>7.0544554455445538E-2</v>
      </c>
      <c r="G283" s="11">
        <v>0.34307993138045595</v>
      </c>
      <c r="H283" s="11">
        <v>2.4202420901839092E-2</v>
      </c>
      <c r="I283" s="12">
        <v>157</v>
      </c>
      <c r="J283" s="12">
        <v>56.666668087244034</v>
      </c>
      <c r="K283" s="12">
        <v>1949</v>
      </c>
      <c r="L283" s="14">
        <v>8.0554130323242684E-2</v>
      </c>
      <c r="M283" s="14">
        <v>0.36093419163849705</v>
      </c>
      <c r="N283" s="14">
        <v>2.9074739911361742E-2</v>
      </c>
      <c r="O283" s="14">
        <f t="shared" si="8"/>
        <v>0.83242089097351957</v>
      </c>
      <c r="P283" s="17"/>
      <c r="S283" s="28"/>
      <c r="V283" s="18"/>
      <c r="W283" s="18"/>
      <c r="X283" s="18"/>
      <c r="Y283" s="6"/>
      <c r="Z283" s="6"/>
      <c r="AA283" s="6"/>
      <c r="AB283" s="18"/>
      <c r="AC283" s="18"/>
      <c r="AD283" s="18"/>
      <c r="AE283" s="18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</row>
    <row r="284" spans="1:50">
      <c r="A284" s="8">
        <v>70804</v>
      </c>
      <c r="B284" s="9" t="s">
        <v>309</v>
      </c>
      <c r="C284" s="12">
        <v>81</v>
      </c>
      <c r="D284" s="12">
        <v>30.333333939313889</v>
      </c>
      <c r="E284" s="12">
        <v>562</v>
      </c>
      <c r="F284" s="11">
        <v>0.14412811387900357</v>
      </c>
      <c r="G284" s="11">
        <v>0.37448560418906035</v>
      </c>
      <c r="H284" s="11">
        <v>5.3973903806608346E-2</v>
      </c>
      <c r="I284" s="12">
        <v>218</v>
      </c>
      <c r="J284" s="12">
        <v>81.222224235534668</v>
      </c>
      <c r="K284" s="12">
        <v>1203</v>
      </c>
      <c r="L284" s="14">
        <v>0.18121363258520365</v>
      </c>
      <c r="M284" s="14">
        <v>0.37257901025474616</v>
      </c>
      <c r="N284" s="14">
        <v>6.7516395873262386E-2</v>
      </c>
      <c r="O284" s="14">
        <f t="shared" si="8"/>
        <v>0.79941920934175503</v>
      </c>
      <c r="P284" s="17"/>
      <c r="S284" s="28"/>
      <c r="V284" s="18"/>
      <c r="W284" s="18"/>
      <c r="X284" s="18"/>
      <c r="Y284" s="6"/>
      <c r="Z284" s="6"/>
      <c r="AA284" s="6"/>
      <c r="AB284" s="18"/>
      <c r="AC284" s="18"/>
      <c r="AD284" s="18"/>
      <c r="AE284" s="18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</row>
    <row r="285" spans="1:50">
      <c r="A285" s="8">
        <v>70805</v>
      </c>
      <c r="B285" s="9" t="s">
        <v>310</v>
      </c>
      <c r="C285" s="12">
        <v>45</v>
      </c>
      <c r="D285" s="12">
        <v>16.111111521720886</v>
      </c>
      <c r="E285" s="12">
        <v>557</v>
      </c>
      <c r="F285" s="11">
        <v>8.0789946140035901E-2</v>
      </c>
      <c r="G285" s="11">
        <v>0.35802470048268636</v>
      </c>
      <c r="H285" s="11">
        <v>2.8924796268798715E-2</v>
      </c>
      <c r="I285" s="12">
        <v>112</v>
      </c>
      <c r="J285" s="12">
        <v>39.111112117767334</v>
      </c>
      <c r="K285" s="12">
        <v>1452</v>
      </c>
      <c r="L285" s="14">
        <v>7.7134986225895319E-2</v>
      </c>
      <c r="M285" s="14">
        <v>0.3492063581943512</v>
      </c>
      <c r="N285" s="14">
        <v>2.6936027629316347E-2</v>
      </c>
      <c r="O285" s="14">
        <f t="shared" si="8"/>
        <v>1.0738330338404409</v>
      </c>
      <c r="P285" s="17"/>
      <c r="S285" s="28"/>
      <c r="V285" s="18"/>
      <c r="W285" s="18"/>
      <c r="X285" s="18"/>
      <c r="Y285" s="6"/>
      <c r="Z285" s="6"/>
      <c r="AA285" s="6"/>
      <c r="AB285" s="18"/>
      <c r="AC285" s="18"/>
      <c r="AD285" s="18"/>
      <c r="AE285" s="18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</row>
    <row r="286" spans="1:50">
      <c r="A286" s="8">
        <v>70901</v>
      </c>
      <c r="B286" s="9" t="s">
        <v>311</v>
      </c>
      <c r="C286" s="12">
        <v>238</v>
      </c>
      <c r="D286" s="12">
        <v>88.222224116325378</v>
      </c>
      <c r="E286" s="12">
        <v>3618</v>
      </c>
      <c r="F286" s="11">
        <v>6.5782200110558325E-2</v>
      </c>
      <c r="G286" s="11">
        <v>0.37068161393414023</v>
      </c>
      <c r="H286" s="11">
        <v>2.4384252105120338E-2</v>
      </c>
      <c r="I286" s="12">
        <v>618</v>
      </c>
      <c r="J286" s="12">
        <v>228.77778351306915</v>
      </c>
      <c r="K286" s="12">
        <v>7875</v>
      </c>
      <c r="L286" s="14">
        <v>7.8476190476190477E-2</v>
      </c>
      <c r="M286" s="14">
        <v>0.37019058820884976</v>
      </c>
      <c r="N286" s="14">
        <v>2.9051147112770685E-2</v>
      </c>
      <c r="O286" s="14">
        <f t="shared" si="8"/>
        <v>0.8393559128823932</v>
      </c>
      <c r="P286" s="17"/>
      <c r="S286" s="28"/>
      <c r="V286" s="18"/>
      <c r="W286" s="18"/>
      <c r="X286" s="18"/>
      <c r="Y286" s="6"/>
      <c r="Z286" s="6"/>
      <c r="AA286" s="6"/>
      <c r="AB286" s="18"/>
      <c r="AC286" s="18"/>
      <c r="AD286" s="18"/>
      <c r="AE286" s="18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</row>
    <row r="287" spans="1:50">
      <c r="A287" s="8">
        <v>70902</v>
      </c>
      <c r="B287" s="9" t="s">
        <v>312</v>
      </c>
      <c r="C287" s="12">
        <v>209</v>
      </c>
      <c r="D287" s="12">
        <v>74.777779817581177</v>
      </c>
      <c r="E287" s="12">
        <v>3240</v>
      </c>
      <c r="F287" s="11">
        <v>6.4506172839506173E-2</v>
      </c>
      <c r="G287" s="11">
        <v>0.35778842017981427</v>
      </c>
      <c r="H287" s="11">
        <v>2.3079561672092956E-2</v>
      </c>
      <c r="I287" s="12">
        <v>486</v>
      </c>
      <c r="J287" s="12">
        <v>181.88889375329018</v>
      </c>
      <c r="K287" s="12">
        <v>6361</v>
      </c>
      <c r="L287" s="14">
        <v>7.6403081276528853E-2</v>
      </c>
      <c r="M287" s="14">
        <v>0.37425698303146127</v>
      </c>
      <c r="N287" s="14">
        <v>2.8594386692861216E-2</v>
      </c>
      <c r="O287" s="14">
        <f t="shared" si="8"/>
        <v>0.80713609702476763</v>
      </c>
      <c r="P287" s="17"/>
      <c r="S287" s="28"/>
      <c r="V287" s="18"/>
      <c r="W287" s="18"/>
      <c r="X287" s="18"/>
      <c r="Y287" s="6"/>
      <c r="Z287" s="6"/>
      <c r="AA287" s="6"/>
      <c r="AB287" s="18"/>
      <c r="AC287" s="18"/>
      <c r="AD287" s="18"/>
      <c r="AE287" s="18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</row>
    <row r="288" spans="1:50">
      <c r="A288" s="8">
        <v>70903</v>
      </c>
      <c r="B288" s="9" t="s">
        <v>313</v>
      </c>
      <c r="C288" s="12">
        <v>423</v>
      </c>
      <c r="D288" s="12">
        <v>160.11111485958099</v>
      </c>
      <c r="E288" s="12">
        <v>3963</v>
      </c>
      <c r="F288" s="11">
        <v>0.10673732021196064</v>
      </c>
      <c r="G288" s="11">
        <v>0.37851327389971867</v>
      </c>
      <c r="H288" s="11">
        <v>4.0401492520711839E-2</v>
      </c>
      <c r="I288" s="12">
        <v>962</v>
      </c>
      <c r="J288" s="12">
        <v>363.55556473135948</v>
      </c>
      <c r="K288" s="12">
        <v>8698</v>
      </c>
      <c r="L288" s="14">
        <v>0.11060013796275006</v>
      </c>
      <c r="M288" s="14">
        <v>0.37791638745463563</v>
      </c>
      <c r="N288" s="14">
        <v>4.1797604590866809E-2</v>
      </c>
      <c r="O288" s="14">
        <f t="shared" si="8"/>
        <v>0.96659827557534161</v>
      </c>
      <c r="P288" s="17"/>
      <c r="S288" s="28"/>
      <c r="V288" s="18"/>
      <c r="W288" s="18"/>
      <c r="X288" s="18"/>
      <c r="Y288" s="6"/>
      <c r="Z288" s="6"/>
      <c r="AA288" s="6"/>
      <c r="AB288" s="18"/>
      <c r="AC288" s="18"/>
      <c r="AD288" s="18"/>
      <c r="AE288" s="18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</row>
    <row r="289" spans="1:50">
      <c r="A289" s="8">
        <v>70904</v>
      </c>
      <c r="B289" s="9" t="s">
        <v>314</v>
      </c>
      <c r="C289" s="12">
        <v>51</v>
      </c>
      <c r="D289" s="12">
        <v>17.555556029081345</v>
      </c>
      <c r="E289" s="12">
        <v>966</v>
      </c>
      <c r="F289" s="11">
        <v>5.2795031055900624E-2</v>
      </c>
      <c r="G289" s="11">
        <v>0.34422658880551654</v>
      </c>
      <c r="H289" s="11">
        <v>1.8173453446253981E-2</v>
      </c>
      <c r="I289" s="12">
        <v>178</v>
      </c>
      <c r="J289" s="12">
        <v>66.888890653848648</v>
      </c>
      <c r="K289" s="12">
        <v>2094</v>
      </c>
      <c r="L289" s="14">
        <v>8.5004775549188158E-2</v>
      </c>
      <c r="M289" s="14">
        <v>0.37578028457218343</v>
      </c>
      <c r="N289" s="14">
        <v>3.1943118745868505E-2</v>
      </c>
      <c r="O289" s="14">
        <f t="shared" si="8"/>
        <v>0.56893171862263825</v>
      </c>
      <c r="P289" s="17"/>
      <c r="S289" s="28"/>
      <c r="V289" s="18"/>
      <c r="W289" s="18"/>
      <c r="X289" s="18"/>
      <c r="Y289" s="6"/>
      <c r="Z289" s="6"/>
      <c r="AA289" s="6"/>
      <c r="AB289" s="18"/>
      <c r="AC289" s="18"/>
      <c r="AD289" s="18"/>
      <c r="AE289" s="18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</row>
    <row r="290" spans="1:50">
      <c r="A290" s="8">
        <v>71001</v>
      </c>
      <c r="B290" s="9" t="s">
        <v>315</v>
      </c>
      <c r="C290" s="12">
        <v>2167</v>
      </c>
      <c r="D290" s="12">
        <v>764.88890877366066</v>
      </c>
      <c r="E290" s="12">
        <v>47697</v>
      </c>
      <c r="F290" s="11">
        <v>4.5432626789944863E-2</v>
      </c>
      <c r="G290" s="11">
        <v>0.3529713469190866</v>
      </c>
      <c r="H290" s="11">
        <v>1.6036415472119016E-2</v>
      </c>
      <c r="I290" s="12">
        <v>3085</v>
      </c>
      <c r="J290" s="12">
        <v>1106.0000283420086</v>
      </c>
      <c r="K290" s="12">
        <v>74884</v>
      </c>
      <c r="L290" s="14">
        <v>4.1197051439559852E-2</v>
      </c>
      <c r="M290" s="14">
        <v>0.35850892328752304</v>
      </c>
      <c r="N290" s="14">
        <v>1.4769510554217304E-2</v>
      </c>
      <c r="O290" s="14">
        <f t="shared" si="8"/>
        <v>1.0857783955162927</v>
      </c>
      <c r="P290" s="17"/>
      <c r="S290" s="28"/>
      <c r="V290" s="18"/>
      <c r="W290" s="18"/>
      <c r="X290" s="18"/>
      <c r="Y290" s="6"/>
      <c r="Z290" s="6"/>
      <c r="AA290" s="6"/>
      <c r="AB290" s="18"/>
      <c r="AC290" s="18"/>
      <c r="AD290" s="18"/>
      <c r="AE290" s="18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</row>
    <row r="291" spans="1:50">
      <c r="A291" s="8">
        <v>71002</v>
      </c>
      <c r="B291" s="9" t="s">
        <v>316</v>
      </c>
      <c r="C291" s="12">
        <v>406</v>
      </c>
      <c r="D291" s="12">
        <v>144.66667026281357</v>
      </c>
      <c r="E291" s="12">
        <v>5616</v>
      </c>
      <c r="F291" s="11">
        <v>7.2293447293447291E-2</v>
      </c>
      <c r="G291" s="11">
        <v>0.35632184793796445</v>
      </c>
      <c r="H291" s="11">
        <v>2.5759734733406973E-2</v>
      </c>
      <c r="I291" s="12">
        <v>841</v>
      </c>
      <c r="J291" s="12">
        <v>302.55556309223175</v>
      </c>
      <c r="K291" s="12">
        <v>10842</v>
      </c>
      <c r="L291" s="14">
        <v>7.7568714259361737E-2</v>
      </c>
      <c r="M291" s="14">
        <v>0.35975691211918165</v>
      </c>
      <c r="N291" s="14">
        <v>2.7905881119003113E-2</v>
      </c>
      <c r="O291" s="14">
        <f t="shared" si="8"/>
        <v>0.92309340183726807</v>
      </c>
      <c r="P291" s="17"/>
      <c r="S291" s="28"/>
      <c r="V291" s="18"/>
      <c r="W291" s="18"/>
      <c r="X291" s="18"/>
      <c r="Y291" s="6"/>
      <c r="Z291" s="6"/>
      <c r="AA291" s="6"/>
      <c r="AB291" s="18"/>
      <c r="AC291" s="18"/>
      <c r="AD291" s="18"/>
      <c r="AE291" s="18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</row>
    <row r="292" spans="1:50">
      <c r="A292" s="8">
        <v>71003</v>
      </c>
      <c r="B292" s="9" t="s">
        <v>317</v>
      </c>
      <c r="C292" s="12">
        <v>508</v>
      </c>
      <c r="D292" s="12">
        <v>186.0000051856041</v>
      </c>
      <c r="E292" s="12">
        <v>7652</v>
      </c>
      <c r="F292" s="11">
        <v>6.6387872451646623E-2</v>
      </c>
      <c r="G292" s="11">
        <v>0.36614174249134662</v>
      </c>
      <c r="H292" s="11">
        <v>2.4307371299739162E-2</v>
      </c>
      <c r="I292" s="12">
        <v>753</v>
      </c>
      <c r="J292" s="12">
        <v>267.888896048069</v>
      </c>
      <c r="K292" s="12">
        <v>15280</v>
      </c>
      <c r="L292" s="14">
        <v>4.9280104712041882E-2</v>
      </c>
      <c r="M292" s="14">
        <v>0.35576214614617396</v>
      </c>
      <c r="N292" s="14">
        <v>1.7531995814664199E-2</v>
      </c>
      <c r="O292" s="14">
        <f t="shared" si="8"/>
        <v>1.3864577402766587</v>
      </c>
      <c r="P292" s="17"/>
      <c r="S292" s="28"/>
      <c r="V292" s="18"/>
      <c r="W292" s="18"/>
      <c r="X292" s="18"/>
      <c r="Y292" s="6"/>
      <c r="Z292" s="6"/>
      <c r="AA292" s="6"/>
      <c r="AB292" s="18"/>
      <c r="AC292" s="18"/>
      <c r="AD292" s="18"/>
      <c r="AE292" s="18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</row>
    <row r="293" spans="1:50">
      <c r="A293" s="8">
        <v>71004</v>
      </c>
      <c r="B293" s="9" t="s">
        <v>318</v>
      </c>
      <c r="C293" s="12">
        <v>407</v>
      </c>
      <c r="D293" s="12">
        <v>148.8888928592205</v>
      </c>
      <c r="E293" s="12">
        <v>4498</v>
      </c>
      <c r="F293" s="11">
        <v>9.0484659848821702E-2</v>
      </c>
      <c r="G293" s="11">
        <v>0.36582037557548036</v>
      </c>
      <c r="H293" s="11">
        <v>3.3101132249715545E-2</v>
      </c>
      <c r="I293" s="12">
        <v>604</v>
      </c>
      <c r="J293" s="12">
        <v>227.2222284078598</v>
      </c>
      <c r="K293" s="12">
        <v>8191</v>
      </c>
      <c r="L293" s="14">
        <v>7.3739470150164813E-2</v>
      </c>
      <c r="M293" s="14">
        <v>0.37619574239711889</v>
      </c>
      <c r="N293" s="14">
        <v>2.7740474717111441E-2</v>
      </c>
      <c r="O293" s="14">
        <f t="shared" si="8"/>
        <v>1.1932431794073601</v>
      </c>
      <c r="P293" s="17"/>
      <c r="S293" s="28"/>
      <c r="V293" s="18"/>
      <c r="W293" s="18"/>
      <c r="X293" s="18"/>
      <c r="Y293" s="6"/>
      <c r="Z293" s="6"/>
      <c r="AA293" s="6"/>
      <c r="AB293" s="18"/>
      <c r="AC293" s="18"/>
      <c r="AD293" s="18"/>
      <c r="AE293" s="18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</row>
    <row r="294" spans="1:50">
      <c r="A294" s="8">
        <v>71005</v>
      </c>
      <c r="B294" s="9" t="s">
        <v>319</v>
      </c>
      <c r="C294" s="12">
        <v>325</v>
      </c>
      <c r="D294" s="12">
        <v>115.88889175653458</v>
      </c>
      <c r="E294" s="12">
        <v>5336</v>
      </c>
      <c r="F294" s="11">
        <v>6.0907046476761623E-2</v>
      </c>
      <c r="G294" s="11">
        <v>0.35658120540472177</v>
      </c>
      <c r="H294" s="11">
        <v>2.1718308050325073E-2</v>
      </c>
      <c r="I294" s="12">
        <v>487</v>
      </c>
      <c r="J294" s="12">
        <v>175.22222650051117</v>
      </c>
      <c r="K294" s="12">
        <v>8002</v>
      </c>
      <c r="L294" s="14">
        <v>6.0859785053736563E-2</v>
      </c>
      <c r="M294" s="14">
        <v>0.35979923306059786</v>
      </c>
      <c r="N294" s="14">
        <v>2.1897303986567251E-2</v>
      </c>
      <c r="O294" s="14">
        <f t="shared" si="8"/>
        <v>0.99182566327105914</v>
      </c>
      <c r="P294" s="17"/>
      <c r="S294" s="28"/>
      <c r="V294" s="18"/>
      <c r="W294" s="18"/>
      <c r="X294" s="18"/>
      <c r="Y294" s="6"/>
      <c r="Z294" s="6"/>
      <c r="AA294" s="6"/>
      <c r="AB294" s="18"/>
      <c r="AC294" s="18"/>
      <c r="AD294" s="18"/>
      <c r="AE294" s="18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</row>
    <row r="295" spans="1:50">
      <c r="A295" s="8">
        <v>71101</v>
      </c>
      <c r="B295" s="9" t="s">
        <v>320</v>
      </c>
      <c r="C295" s="12">
        <v>1546</v>
      </c>
      <c r="D295" s="12">
        <v>573.11112579703331</v>
      </c>
      <c r="E295" s="12">
        <v>8599</v>
      </c>
      <c r="F295" s="11">
        <v>0.17978834748226538</v>
      </c>
      <c r="G295" s="11">
        <v>0.3707057734780293</v>
      </c>
      <c r="H295" s="11">
        <v>6.6648578415749893E-2</v>
      </c>
      <c r="I295" s="12">
        <v>3151</v>
      </c>
      <c r="J295" s="12">
        <v>1172.7778069376945</v>
      </c>
      <c r="K295" s="12">
        <v>20899</v>
      </c>
      <c r="L295" s="14">
        <v>0.15077276424709316</v>
      </c>
      <c r="M295" s="14">
        <v>0.37219225862827499</v>
      </c>
      <c r="N295" s="14">
        <v>5.6116455664754025E-2</v>
      </c>
      <c r="O295" s="14">
        <f t="shared" si="8"/>
        <v>1.187683320805504</v>
      </c>
      <c r="P295" s="17"/>
      <c r="S295" s="28"/>
      <c r="V295" s="18"/>
      <c r="W295" s="18"/>
      <c r="X295" s="18"/>
      <c r="Y295" s="6"/>
      <c r="Z295" s="6"/>
      <c r="AA295" s="6"/>
      <c r="AB295" s="18"/>
      <c r="AC295" s="18"/>
      <c r="AD295" s="18"/>
      <c r="AE295" s="18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</row>
    <row r="296" spans="1:50">
      <c r="A296" s="8">
        <v>71102</v>
      </c>
      <c r="B296" s="9" t="s">
        <v>321</v>
      </c>
      <c r="C296" s="12">
        <v>471</v>
      </c>
      <c r="D296" s="12">
        <v>176.44444912672043</v>
      </c>
      <c r="E296" s="12">
        <v>5272</v>
      </c>
      <c r="F296" s="11">
        <v>8.9339908952959027E-2</v>
      </c>
      <c r="G296" s="11">
        <v>0.37461666481256989</v>
      </c>
      <c r="H296" s="11">
        <v>3.3468218726616164E-2</v>
      </c>
      <c r="I296" s="12">
        <v>1004</v>
      </c>
      <c r="J296" s="12">
        <v>379.3333426117897</v>
      </c>
      <c r="K296" s="12">
        <v>9006</v>
      </c>
      <c r="L296" s="14">
        <v>0.11148123473240062</v>
      </c>
      <c r="M296" s="14">
        <v>0.37782205439421285</v>
      </c>
      <c r="N296" s="14">
        <v>4.212006913299908E-2</v>
      </c>
      <c r="O296" s="14">
        <f t="shared" si="8"/>
        <v>0.79459078333742328</v>
      </c>
      <c r="P296" s="17"/>
      <c r="S296" s="28"/>
      <c r="V296" s="18"/>
      <c r="W296" s="18"/>
      <c r="X296" s="18"/>
      <c r="Y296" s="6"/>
      <c r="Z296" s="6"/>
      <c r="AA296" s="6"/>
      <c r="AB296" s="18"/>
      <c r="AC296" s="18"/>
      <c r="AD296" s="18"/>
      <c r="AE296" s="18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</row>
    <row r="297" spans="1:50">
      <c r="A297" s="8">
        <v>71103</v>
      </c>
      <c r="B297" s="9" t="s">
        <v>322</v>
      </c>
      <c r="C297" s="12">
        <v>359</v>
      </c>
      <c r="D297" s="12">
        <v>129.22222557663918</v>
      </c>
      <c r="E297" s="12">
        <v>3433</v>
      </c>
      <c r="F297" s="11">
        <v>0.10457325953976114</v>
      </c>
      <c r="G297" s="11">
        <v>0.3599504890714183</v>
      </c>
      <c r="H297" s="11">
        <v>3.7641195915129384E-2</v>
      </c>
      <c r="I297" s="12">
        <v>496</v>
      </c>
      <c r="J297" s="12">
        <v>179.55556055903435</v>
      </c>
      <c r="K297" s="12">
        <v>4958</v>
      </c>
      <c r="L297" s="14">
        <v>0.100040338846309</v>
      </c>
      <c r="M297" s="14">
        <v>0.36200717854644021</v>
      </c>
      <c r="N297" s="14">
        <v>3.6215320806582164E-2</v>
      </c>
      <c r="O297" s="14">
        <f t="shared" si="8"/>
        <v>1.0393721518073109</v>
      </c>
      <c r="P297" s="17"/>
      <c r="S297" s="28"/>
      <c r="V297" s="18"/>
      <c r="W297" s="18"/>
      <c r="X297" s="18"/>
      <c r="Y297" s="6"/>
      <c r="Z297" s="6"/>
      <c r="AA297" s="6"/>
      <c r="AB297" s="18"/>
      <c r="AC297" s="18"/>
      <c r="AD297" s="18"/>
      <c r="AE297" s="18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</row>
    <row r="298" spans="1:50">
      <c r="A298" s="8">
        <v>71104</v>
      </c>
      <c r="B298" s="9" t="s">
        <v>323</v>
      </c>
      <c r="C298" s="12">
        <v>1011</v>
      </c>
      <c r="D298" s="12">
        <v>363.88889783620834</v>
      </c>
      <c r="E298" s="12">
        <v>17776</v>
      </c>
      <c r="F298" s="11">
        <v>5.6874437443744374E-2</v>
      </c>
      <c r="G298" s="11">
        <v>0.35992967145025551</v>
      </c>
      <c r="H298" s="11">
        <v>2.0470797583045021E-2</v>
      </c>
      <c r="I298" s="12">
        <v>1499</v>
      </c>
      <c r="J298" s="12">
        <v>535.77779185771942</v>
      </c>
      <c r="K298" s="12">
        <v>24973</v>
      </c>
      <c r="L298" s="14">
        <v>6.0024826812957996E-2</v>
      </c>
      <c r="M298" s="14">
        <v>0.35742347688973947</v>
      </c>
      <c r="N298" s="14">
        <v>2.1454282299191905E-2</v>
      </c>
      <c r="O298" s="14">
        <f t="shared" si="8"/>
        <v>0.95415904841599253</v>
      </c>
      <c r="P298" s="17"/>
      <c r="S298" s="28"/>
      <c r="V298" s="18"/>
      <c r="W298" s="18"/>
      <c r="X298" s="18"/>
      <c r="Y298" s="6"/>
      <c r="Z298" s="6"/>
      <c r="AA298" s="6"/>
      <c r="AB298" s="18"/>
      <c r="AC298" s="18"/>
      <c r="AD298" s="18"/>
      <c r="AE298" s="18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</row>
    <row r="299" spans="1:50">
      <c r="A299" s="8">
        <v>71105</v>
      </c>
      <c r="B299" s="9" t="s">
        <v>324</v>
      </c>
      <c r="C299" s="12">
        <v>68</v>
      </c>
      <c r="D299" s="12">
        <v>24.777778416872025</v>
      </c>
      <c r="E299" s="12">
        <v>867</v>
      </c>
      <c r="F299" s="11">
        <v>7.8431372549019607E-2</v>
      </c>
      <c r="G299" s="11">
        <v>0.36437909436576504</v>
      </c>
      <c r="H299" s="11">
        <v>2.8578752499275689E-2</v>
      </c>
      <c r="I299" s="12">
        <v>375</v>
      </c>
      <c r="J299" s="12">
        <v>130.77778115868568</v>
      </c>
      <c r="K299" s="12">
        <v>5416</v>
      </c>
      <c r="L299" s="14">
        <v>6.9239290989660265E-2</v>
      </c>
      <c r="M299" s="14">
        <v>0.34874074975649516</v>
      </c>
      <c r="N299" s="14">
        <v>2.4146562252342262E-2</v>
      </c>
      <c r="O299" s="14">
        <f t="shared" si="8"/>
        <v>1.1835536752857436</v>
      </c>
      <c r="P299" s="17"/>
      <c r="S299" s="28"/>
      <c r="V299" s="18"/>
      <c r="W299" s="18"/>
      <c r="X299" s="18"/>
      <c r="Y299" s="6"/>
      <c r="Z299" s="6"/>
      <c r="AA299" s="6"/>
      <c r="AB299" s="18"/>
      <c r="AC299" s="18"/>
      <c r="AD299" s="18"/>
      <c r="AE299" s="18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</row>
    <row r="300" spans="1:50">
      <c r="A300" s="8">
        <v>71106</v>
      </c>
      <c r="B300" s="9" t="s">
        <v>325</v>
      </c>
      <c r="C300" s="12">
        <v>379</v>
      </c>
      <c r="D300" s="12">
        <v>141.22222593426704</v>
      </c>
      <c r="E300" s="12">
        <v>6841</v>
      </c>
      <c r="F300" s="11">
        <v>5.5401257126151147E-2</v>
      </c>
      <c r="G300" s="11">
        <v>0.37261801038065184</v>
      </c>
      <c r="H300" s="11">
        <v>2.064350620293335E-2</v>
      </c>
      <c r="I300" s="12">
        <v>944</v>
      </c>
      <c r="J300" s="12">
        <v>338.33334210515022</v>
      </c>
      <c r="K300" s="12">
        <v>17233</v>
      </c>
      <c r="L300" s="14">
        <v>5.4778622410491501E-2</v>
      </c>
      <c r="M300" s="14">
        <v>0.35840396409443881</v>
      </c>
      <c r="N300" s="14">
        <v>1.9632875419552616E-2</v>
      </c>
      <c r="O300" s="14">
        <f t="shared" si="8"/>
        <v>1.0514764527245068</v>
      </c>
      <c r="P300" s="17"/>
      <c r="S300" s="28"/>
      <c r="V300" s="18"/>
      <c r="W300" s="18"/>
      <c r="X300" s="18"/>
      <c r="Y300" s="6"/>
      <c r="Z300" s="6"/>
      <c r="AA300" s="6"/>
      <c r="AB300" s="18"/>
      <c r="AC300" s="18"/>
      <c r="AD300" s="18"/>
      <c r="AE300" s="18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</row>
    <row r="301" spans="1:50">
      <c r="A301" s="8">
        <v>71201</v>
      </c>
      <c r="B301" s="9" t="s">
        <v>326</v>
      </c>
      <c r="C301" s="12">
        <v>600</v>
      </c>
      <c r="D301" s="12">
        <v>218.1111167371273</v>
      </c>
      <c r="E301" s="12">
        <v>4769</v>
      </c>
      <c r="F301" s="11">
        <v>0.12581253931641853</v>
      </c>
      <c r="G301" s="11">
        <v>0.36351852789521216</v>
      </c>
      <c r="H301" s="11">
        <v>4.5735189083062969E-2</v>
      </c>
      <c r="I301" s="12">
        <v>1403</v>
      </c>
      <c r="J301" s="12">
        <v>524.44445815682411</v>
      </c>
      <c r="K301" s="12">
        <v>10104</v>
      </c>
      <c r="L301" s="14">
        <v>0.13885589865399842</v>
      </c>
      <c r="M301" s="14">
        <v>0.37380217972688817</v>
      </c>
      <c r="N301" s="14">
        <v>5.1904637584800482E-2</v>
      </c>
      <c r="O301" s="14">
        <f t="shared" si="8"/>
        <v>0.88113878087178577</v>
      </c>
      <c r="P301" s="17"/>
      <c r="S301" s="28"/>
      <c r="V301" s="18"/>
      <c r="W301" s="18"/>
      <c r="X301" s="18"/>
      <c r="Y301" s="6"/>
      <c r="Z301" s="6"/>
      <c r="AA301" s="6"/>
      <c r="AB301" s="18"/>
      <c r="AC301" s="18"/>
      <c r="AD301" s="18"/>
      <c r="AE301" s="18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</row>
    <row r="302" spans="1:50">
      <c r="A302" s="8">
        <v>71301</v>
      </c>
      <c r="B302" s="9" t="s">
        <v>327</v>
      </c>
      <c r="C302" s="12">
        <v>566</v>
      </c>
      <c r="D302" s="12">
        <v>216.66667231917381</v>
      </c>
      <c r="E302" s="12">
        <v>6016</v>
      </c>
      <c r="F302" s="11">
        <v>9.4082446808510634E-2</v>
      </c>
      <c r="G302" s="11">
        <v>0.38280330798440604</v>
      </c>
      <c r="H302" s="11">
        <v>3.6015071861564794E-2</v>
      </c>
      <c r="I302" s="12">
        <v>1126</v>
      </c>
      <c r="J302" s="12">
        <v>407.33334362506866</v>
      </c>
      <c r="K302" s="12">
        <v>10996</v>
      </c>
      <c r="L302" s="14">
        <v>0.10240087304474355</v>
      </c>
      <c r="M302" s="14">
        <v>0.36175252542190822</v>
      </c>
      <c r="N302" s="14">
        <v>3.7043774429344187E-2</v>
      </c>
      <c r="O302" s="14">
        <f t="shared" si="8"/>
        <v>0.97223008228436603</v>
      </c>
      <c r="P302" s="17"/>
      <c r="S302" s="28"/>
      <c r="V302" s="18"/>
      <c r="W302" s="18"/>
      <c r="X302" s="18"/>
      <c r="Y302" s="6"/>
      <c r="Z302" s="6"/>
      <c r="AA302" s="6"/>
      <c r="AB302" s="18"/>
      <c r="AC302" s="18"/>
      <c r="AD302" s="18"/>
      <c r="AE302" s="18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</row>
    <row r="303" spans="1:50">
      <c r="A303" s="8">
        <v>71302</v>
      </c>
      <c r="B303" s="9" t="s">
        <v>328</v>
      </c>
      <c r="C303" s="12">
        <v>137</v>
      </c>
      <c r="D303" s="12">
        <v>49.555556744337082</v>
      </c>
      <c r="E303" s="12">
        <v>1890</v>
      </c>
      <c r="F303" s="11">
        <v>7.2486772486772488E-2</v>
      </c>
      <c r="G303" s="11">
        <v>0.36171939229443123</v>
      </c>
      <c r="H303" s="11">
        <v>2.6219871293300043E-2</v>
      </c>
      <c r="I303" s="12">
        <v>277</v>
      </c>
      <c r="J303" s="12">
        <v>102.00000232458115</v>
      </c>
      <c r="K303" s="12">
        <v>4068</v>
      </c>
      <c r="L303" s="14">
        <v>6.8092428711897732E-2</v>
      </c>
      <c r="M303" s="14">
        <v>0.36823105532339762</v>
      </c>
      <c r="N303" s="14">
        <v>2.5073746884115324E-2</v>
      </c>
      <c r="O303" s="14">
        <f t="shared" si="8"/>
        <v>1.0457101371598678</v>
      </c>
      <c r="P303" s="17"/>
      <c r="S303" s="28"/>
      <c r="V303" s="18"/>
      <c r="W303" s="18"/>
      <c r="X303" s="18"/>
      <c r="Y303" s="6"/>
      <c r="Z303" s="6"/>
      <c r="AA303" s="6"/>
      <c r="AB303" s="18"/>
      <c r="AC303" s="18"/>
      <c r="AD303" s="18"/>
      <c r="AE303" s="18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</row>
    <row r="304" spans="1:50">
      <c r="A304" s="8">
        <v>71401</v>
      </c>
      <c r="B304" s="9" t="s">
        <v>329</v>
      </c>
      <c r="C304" s="12">
        <v>248</v>
      </c>
      <c r="D304" s="12">
        <v>88.111113250255585</v>
      </c>
      <c r="E304" s="12">
        <v>5617</v>
      </c>
      <c r="F304" s="11">
        <v>4.4151682392736334E-2</v>
      </c>
      <c r="G304" s="11">
        <v>0.35528674697683704</v>
      </c>
      <c r="H304" s="11">
        <v>1.5686507610869784E-2</v>
      </c>
      <c r="I304" s="12">
        <v>521</v>
      </c>
      <c r="J304" s="12">
        <v>186.44444915652275</v>
      </c>
      <c r="K304" s="12">
        <v>10620</v>
      </c>
      <c r="L304" s="14">
        <v>4.9058380414312618E-2</v>
      </c>
      <c r="M304" s="14">
        <v>0.35785882755570586</v>
      </c>
      <c r="N304" s="14">
        <v>1.7555974496847718E-2</v>
      </c>
      <c r="O304" s="14">
        <f t="shared" si="8"/>
        <v>0.89351392106922878</v>
      </c>
      <c r="P304" s="17"/>
      <c r="S304" s="28"/>
      <c r="V304" s="18"/>
      <c r="W304" s="18"/>
      <c r="X304" s="18"/>
      <c r="Y304" s="6"/>
      <c r="Z304" s="6"/>
      <c r="AA304" s="6"/>
      <c r="AB304" s="18"/>
      <c r="AC304" s="18"/>
      <c r="AD304" s="18"/>
      <c r="AE304" s="18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</row>
    <row r="305" spans="1:50">
      <c r="A305" s="8">
        <v>71402</v>
      </c>
      <c r="B305" s="9" t="s">
        <v>330</v>
      </c>
      <c r="C305" s="12">
        <v>370</v>
      </c>
      <c r="D305" s="12">
        <v>133.44444766640663</v>
      </c>
      <c r="E305" s="12">
        <v>5761</v>
      </c>
      <c r="F305" s="11">
        <v>6.4224960944280512E-2</v>
      </c>
      <c r="G305" s="11">
        <v>0.36066066936866659</v>
      </c>
      <c r="H305" s="11">
        <v>2.3163417404340678E-2</v>
      </c>
      <c r="I305" s="12">
        <v>569</v>
      </c>
      <c r="J305" s="12">
        <v>201.6666719019413</v>
      </c>
      <c r="K305" s="12">
        <v>11412</v>
      </c>
      <c r="L305" s="14">
        <v>4.9859796705222573E-2</v>
      </c>
      <c r="M305" s="14">
        <v>0.35442297346562618</v>
      </c>
      <c r="N305" s="14">
        <v>1.7671457404656615E-2</v>
      </c>
      <c r="O305" s="14">
        <f t="shared" si="8"/>
        <v>1.3107813845753815</v>
      </c>
      <c r="P305" s="17"/>
      <c r="S305" s="28"/>
      <c r="V305" s="18"/>
      <c r="W305" s="18"/>
      <c r="X305" s="18"/>
      <c r="Y305" s="6"/>
      <c r="Z305" s="6"/>
      <c r="AA305" s="6"/>
      <c r="AB305" s="18"/>
      <c r="AC305" s="18"/>
      <c r="AD305" s="18"/>
      <c r="AE305" s="18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</row>
    <row r="306" spans="1:50">
      <c r="A306" s="8">
        <v>71403</v>
      </c>
      <c r="B306" s="9" t="s">
        <v>331</v>
      </c>
      <c r="C306" s="12">
        <v>280</v>
      </c>
      <c r="D306" s="12">
        <v>104.44444701075554</v>
      </c>
      <c r="E306" s="12">
        <v>2774</v>
      </c>
      <c r="F306" s="11">
        <v>0.10093727469358327</v>
      </c>
      <c r="G306" s="11">
        <v>0.3730158821812698</v>
      </c>
      <c r="H306" s="11">
        <v>3.7651206564800123E-2</v>
      </c>
      <c r="I306" s="12">
        <v>633</v>
      </c>
      <c r="J306" s="12">
        <v>236.66667324304581</v>
      </c>
      <c r="K306" s="12">
        <v>5733</v>
      </c>
      <c r="L306" s="14">
        <v>0.11041339612768185</v>
      </c>
      <c r="M306" s="14">
        <v>0.37388100038395861</v>
      </c>
      <c r="N306" s="14">
        <v>4.1281471000007994E-2</v>
      </c>
      <c r="O306" s="14">
        <f t="shared" si="8"/>
        <v>0.91206068128707996</v>
      </c>
      <c r="P306" s="17"/>
      <c r="S306" s="28"/>
      <c r="V306" s="18"/>
      <c r="W306" s="18"/>
      <c r="X306" s="18"/>
      <c r="Y306" s="6"/>
      <c r="Z306" s="6"/>
      <c r="AA306" s="6"/>
      <c r="AB306" s="18"/>
      <c r="AC306" s="18"/>
      <c r="AD306" s="18"/>
      <c r="AE306" s="18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</row>
    <row r="307" spans="1:50">
      <c r="A307" s="8">
        <v>71501</v>
      </c>
      <c r="B307" s="9" t="s">
        <v>332</v>
      </c>
      <c r="C307" s="12">
        <v>2575</v>
      </c>
      <c r="D307" s="12">
        <v>988.1111361682415</v>
      </c>
      <c r="E307" s="12">
        <v>12198</v>
      </c>
      <c r="F307" s="11">
        <v>0.21110018035743564</v>
      </c>
      <c r="G307" s="11">
        <v>0.3837324800653365</v>
      </c>
      <c r="H307" s="11">
        <v>8.1005995750798615E-2</v>
      </c>
      <c r="I307" s="12">
        <v>4188</v>
      </c>
      <c r="J307" s="12">
        <v>1589.6667065322399</v>
      </c>
      <c r="K307" s="12">
        <v>21493</v>
      </c>
      <c r="L307" s="14">
        <v>0.19485413855673941</v>
      </c>
      <c r="M307" s="14">
        <v>0.37957657749098372</v>
      </c>
      <c r="N307" s="14">
        <v>7.3962067023321074E-2</v>
      </c>
      <c r="O307" s="14">
        <f t="shared" si="8"/>
        <v>1.0952370452985922</v>
      </c>
      <c r="P307" s="17"/>
      <c r="S307" s="28"/>
      <c r="V307" s="18"/>
      <c r="W307" s="18"/>
      <c r="X307" s="18"/>
      <c r="Y307" s="6"/>
      <c r="Z307" s="6"/>
      <c r="AA307" s="6"/>
      <c r="AB307" s="18"/>
      <c r="AC307" s="18"/>
      <c r="AD307" s="18"/>
      <c r="AE307" s="18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</row>
    <row r="308" spans="1:50">
      <c r="A308" s="8">
        <v>71502</v>
      </c>
      <c r="B308" s="9" t="s">
        <v>333</v>
      </c>
      <c r="C308" s="12">
        <v>263</v>
      </c>
      <c r="D308" s="12">
        <v>99.666669309139252</v>
      </c>
      <c r="E308" s="12">
        <v>1979</v>
      </c>
      <c r="F308" s="11">
        <v>0.1328954017180394</v>
      </c>
      <c r="G308" s="11">
        <v>0.37896071980661311</v>
      </c>
      <c r="H308" s="11">
        <v>5.0362137094057222E-2</v>
      </c>
      <c r="I308" s="12">
        <v>624</v>
      </c>
      <c r="J308" s="12">
        <v>229.22222754359245</v>
      </c>
      <c r="K308" s="12">
        <v>4407</v>
      </c>
      <c r="L308" s="14">
        <v>0.1415929203539823</v>
      </c>
      <c r="M308" s="14">
        <v>0.36734331337114173</v>
      </c>
      <c r="N308" s="14">
        <v>5.201321251272803E-2</v>
      </c>
      <c r="O308" s="14">
        <f t="shared" si="8"/>
        <v>0.96825661521547479</v>
      </c>
      <c r="P308" s="17"/>
      <c r="S308" s="28"/>
      <c r="V308" s="18"/>
      <c r="W308" s="18"/>
      <c r="X308" s="18"/>
      <c r="Y308" s="6"/>
      <c r="Z308" s="6"/>
      <c r="AA308" s="6"/>
      <c r="AB308" s="18"/>
      <c r="AC308" s="18"/>
      <c r="AD308" s="18"/>
      <c r="AE308" s="18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</row>
    <row r="309" spans="1:50">
      <c r="A309" s="8">
        <v>71503</v>
      </c>
      <c r="B309" s="9" t="s">
        <v>278</v>
      </c>
      <c r="C309" s="12">
        <v>774</v>
      </c>
      <c r="D309" s="12">
        <v>290.66667366027832</v>
      </c>
      <c r="E309" s="12">
        <v>5679</v>
      </c>
      <c r="F309" s="11">
        <v>0.13629160063391443</v>
      </c>
      <c r="G309" s="11">
        <v>0.37553833806237508</v>
      </c>
      <c r="H309" s="11">
        <v>5.1182721193921171E-2</v>
      </c>
      <c r="I309" s="12">
        <v>1639</v>
      </c>
      <c r="J309" s="12">
        <v>604.11112624406815</v>
      </c>
      <c r="K309" s="12">
        <v>11174</v>
      </c>
      <c r="L309" s="14">
        <v>0.1466797923751566</v>
      </c>
      <c r="M309" s="14">
        <v>0.36858518989876032</v>
      </c>
      <c r="N309" s="14">
        <v>5.4063999126907833E-2</v>
      </c>
      <c r="O309" s="14">
        <f t="shared" si="8"/>
        <v>0.94670616344485992</v>
      </c>
      <c r="P309" s="17"/>
      <c r="S309" s="28"/>
      <c r="V309" s="18"/>
      <c r="W309" s="18"/>
      <c r="X309" s="18"/>
      <c r="Y309" s="6"/>
      <c r="Z309" s="6"/>
      <c r="AA309" s="6"/>
      <c r="AB309" s="18"/>
      <c r="AC309" s="18"/>
      <c r="AD309" s="18"/>
      <c r="AE309" s="18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</row>
    <row r="310" spans="1:50">
      <c r="A310" s="8">
        <v>80101</v>
      </c>
      <c r="B310" s="9" t="s">
        <v>334</v>
      </c>
      <c r="C310" s="12">
        <v>5799</v>
      </c>
      <c r="D310" s="12">
        <v>2122.1111642718315</v>
      </c>
      <c r="E310" s="12">
        <v>52044</v>
      </c>
      <c r="F310" s="11">
        <v>0.11142494812082085</v>
      </c>
      <c r="G310" s="11">
        <v>0.36594432906912078</v>
      </c>
      <c r="H310" s="11">
        <v>4.0775327881635376E-2</v>
      </c>
      <c r="I310" s="12">
        <v>6122</v>
      </c>
      <c r="J310" s="12">
        <v>2183.0000569820404</v>
      </c>
      <c r="K310" s="12">
        <v>71730</v>
      </c>
      <c r="L310" s="14">
        <v>8.5347832148334024E-2</v>
      </c>
      <c r="M310" s="14">
        <v>0.35658282538092789</v>
      </c>
      <c r="N310" s="14">
        <v>3.0433571127590136E-2</v>
      </c>
      <c r="O310" s="14">
        <f t="shared" si="8"/>
        <v>1.339814105636447</v>
      </c>
      <c r="P310" s="17"/>
      <c r="S310" s="28"/>
      <c r="V310" s="18"/>
      <c r="W310" s="18"/>
      <c r="X310" s="18"/>
      <c r="Y310" s="6"/>
      <c r="Z310" s="6"/>
      <c r="AA310" s="6"/>
      <c r="AB310" s="18"/>
      <c r="AC310" s="18"/>
      <c r="AD310" s="18"/>
      <c r="AE310" s="18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</row>
    <row r="311" spans="1:50">
      <c r="A311" s="8">
        <v>80102</v>
      </c>
      <c r="B311" s="9" t="s">
        <v>321</v>
      </c>
      <c r="C311" s="12">
        <v>367</v>
      </c>
      <c r="D311" s="12">
        <v>137.77778118848801</v>
      </c>
      <c r="E311" s="12">
        <v>1864</v>
      </c>
      <c r="F311" s="11">
        <v>0.19688841201716739</v>
      </c>
      <c r="G311" s="11">
        <v>0.37541629751631611</v>
      </c>
      <c r="H311" s="11">
        <v>7.3915118663351945E-2</v>
      </c>
      <c r="I311" s="12">
        <v>1202</v>
      </c>
      <c r="J311" s="12">
        <v>441.77778798341751</v>
      </c>
      <c r="K311" s="12">
        <v>5885</v>
      </c>
      <c r="L311" s="14">
        <v>0.20424808836023789</v>
      </c>
      <c r="M311" s="14">
        <v>0.36753559732397462</v>
      </c>
      <c r="N311" s="14">
        <v>7.5068443157759984E-2</v>
      </c>
      <c r="O311" s="14">
        <f t="shared" si="8"/>
        <v>0.98463636055453729</v>
      </c>
      <c r="P311" s="17"/>
      <c r="S311" s="28"/>
      <c r="V311" s="18"/>
      <c r="W311" s="18"/>
      <c r="X311" s="18"/>
      <c r="Y311" s="6"/>
      <c r="Z311" s="6"/>
      <c r="AA311" s="6"/>
      <c r="AB311" s="18"/>
      <c r="AC311" s="18"/>
      <c r="AD311" s="18"/>
      <c r="AE311" s="18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</row>
    <row r="312" spans="1:50">
      <c r="A312" s="8">
        <v>80201</v>
      </c>
      <c r="B312" s="9" t="s">
        <v>335</v>
      </c>
      <c r="C312" s="12">
        <v>12053</v>
      </c>
      <c r="D312" s="12">
        <v>4483.3334472179413</v>
      </c>
      <c r="E312" s="12">
        <v>45218</v>
      </c>
      <c r="F312" s="11">
        <v>0.26655314255385026</v>
      </c>
      <c r="G312" s="11">
        <v>0.37196826078303669</v>
      </c>
      <c r="H312" s="11">
        <v>9.9149308842008524E-2</v>
      </c>
      <c r="I312" s="12">
        <v>14753</v>
      </c>
      <c r="J312" s="12">
        <v>5453.6668033897877</v>
      </c>
      <c r="K312" s="12">
        <v>62528</v>
      </c>
      <c r="L312" s="14">
        <v>0.23594229785056295</v>
      </c>
      <c r="M312" s="14">
        <v>0.36966493617500085</v>
      </c>
      <c r="N312" s="14">
        <v>8.7219594475911391E-2</v>
      </c>
      <c r="O312" s="14">
        <f t="shared" si="8"/>
        <v>1.1367779159921676</v>
      </c>
      <c r="P312" s="17"/>
      <c r="S312" s="28"/>
      <c r="V312" s="18"/>
      <c r="W312" s="18"/>
      <c r="X312" s="18"/>
      <c r="Y312" s="6"/>
      <c r="Z312" s="6"/>
      <c r="AA312" s="6"/>
      <c r="AB312" s="18"/>
      <c r="AC312" s="18"/>
      <c r="AD312" s="18"/>
      <c r="AE312" s="18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</row>
    <row r="313" spans="1:50">
      <c r="A313" s="8">
        <v>80202</v>
      </c>
      <c r="B313" s="9" t="s">
        <v>336</v>
      </c>
      <c r="C313" s="12">
        <v>1720</v>
      </c>
      <c r="D313" s="12">
        <v>623.22223821282387</v>
      </c>
      <c r="E313" s="12">
        <v>15377</v>
      </c>
      <c r="F313" s="11">
        <v>0.11185536840736164</v>
      </c>
      <c r="G313" s="11">
        <v>0.36233851058885108</v>
      </c>
      <c r="H313" s="11">
        <v>4.0529507590090642E-2</v>
      </c>
      <c r="I313" s="12">
        <v>2467</v>
      </c>
      <c r="J313" s="12">
        <v>893.77780041098595</v>
      </c>
      <c r="K313" s="12">
        <v>24740</v>
      </c>
      <c r="L313" s="14">
        <v>9.9717057396928058E-2</v>
      </c>
      <c r="M313" s="14">
        <v>0.36229339295135221</v>
      </c>
      <c r="N313" s="14">
        <v>3.6126831059457798E-2</v>
      </c>
      <c r="O313" s="14">
        <f t="shared" si="8"/>
        <v>1.1218672217163717</v>
      </c>
      <c r="P313" s="17"/>
      <c r="S313" s="28"/>
      <c r="V313" s="18"/>
      <c r="W313" s="18"/>
      <c r="X313" s="18"/>
      <c r="Y313" s="6"/>
      <c r="Z313" s="6"/>
      <c r="AA313" s="6"/>
      <c r="AB313" s="18"/>
      <c r="AC313" s="18"/>
      <c r="AD313" s="18"/>
      <c r="AE313" s="18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</row>
    <row r="314" spans="1:50">
      <c r="A314" s="8">
        <v>80301</v>
      </c>
      <c r="B314" s="9" t="s">
        <v>337</v>
      </c>
      <c r="C314" s="12">
        <v>862</v>
      </c>
      <c r="D314" s="12">
        <v>323.00000837445259</v>
      </c>
      <c r="E314" s="12">
        <v>3609</v>
      </c>
      <c r="F314" s="11">
        <v>0.23884732612912163</v>
      </c>
      <c r="G314" s="11">
        <v>0.37470998651328608</v>
      </c>
      <c r="H314" s="11">
        <v>8.9498478352577612E-2</v>
      </c>
      <c r="I314" s="12">
        <v>1613</v>
      </c>
      <c r="J314" s="12">
        <v>594.0000151693821</v>
      </c>
      <c r="K314" s="12">
        <v>7675</v>
      </c>
      <c r="L314" s="14">
        <v>0.2101628664495114</v>
      </c>
      <c r="M314" s="14">
        <v>0.36825791393018109</v>
      </c>
      <c r="N314" s="14">
        <v>7.7394138784284319E-2</v>
      </c>
      <c r="O314" s="14">
        <f t="shared" si="8"/>
        <v>1.1563986596198317</v>
      </c>
      <c r="P314" s="17"/>
      <c r="S314" s="28"/>
      <c r="V314" s="18"/>
      <c r="W314" s="18"/>
      <c r="X314" s="18"/>
      <c r="Y314" s="6"/>
      <c r="Z314" s="6"/>
      <c r="AA314" s="6"/>
      <c r="AB314" s="18"/>
      <c r="AC314" s="18"/>
      <c r="AD314" s="18"/>
      <c r="AE314" s="18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</row>
    <row r="315" spans="1:50">
      <c r="A315" s="8">
        <v>80302</v>
      </c>
      <c r="B315" s="9" t="s">
        <v>338</v>
      </c>
      <c r="C315" s="12">
        <v>3272</v>
      </c>
      <c r="D315" s="12">
        <v>1406.8889265358448</v>
      </c>
      <c r="E315" s="12">
        <v>14004</v>
      </c>
      <c r="F315" s="11">
        <v>0.23364752927734933</v>
      </c>
      <c r="G315" s="11">
        <v>0.42997827828112617</v>
      </c>
      <c r="H315" s="11">
        <v>0.10046336236331369</v>
      </c>
      <c r="I315" s="12">
        <v>12685</v>
      </c>
      <c r="J315" s="12">
        <v>5917.1112660765648</v>
      </c>
      <c r="K315" s="12">
        <v>31342</v>
      </c>
      <c r="L315" s="14">
        <v>0.40472847935677364</v>
      </c>
      <c r="M315" s="14">
        <v>0.46646521608802244</v>
      </c>
      <c r="N315" s="14">
        <v>0.18879175758013414</v>
      </c>
      <c r="O315" s="14">
        <f t="shared" si="8"/>
        <v>0.53213849826399984</v>
      </c>
      <c r="P315" s="17"/>
      <c r="S315" s="28"/>
      <c r="V315" s="18"/>
      <c r="W315" s="18"/>
      <c r="X315" s="18"/>
      <c r="Y315" s="6"/>
      <c r="Z315" s="6"/>
      <c r="AA315" s="6"/>
      <c r="AB315" s="18"/>
      <c r="AC315" s="18"/>
      <c r="AD315" s="18"/>
      <c r="AE315" s="18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</row>
    <row r="316" spans="1:50">
      <c r="A316" s="8">
        <v>80303</v>
      </c>
      <c r="B316" s="9" t="s">
        <v>339</v>
      </c>
      <c r="C316" s="12">
        <v>335</v>
      </c>
      <c r="D316" s="12">
        <v>118.11111414432526</v>
      </c>
      <c r="E316" s="12">
        <v>3619</v>
      </c>
      <c r="F316" s="11">
        <v>9.2567007460624476E-2</v>
      </c>
      <c r="G316" s="11">
        <v>0.35257048998306045</v>
      </c>
      <c r="H316" s="11">
        <v>3.2636395176657985E-2</v>
      </c>
      <c r="I316" s="12">
        <v>901</v>
      </c>
      <c r="J316" s="12">
        <v>347.88889771699905</v>
      </c>
      <c r="K316" s="12">
        <v>7329</v>
      </c>
      <c r="L316" s="14">
        <v>0.12293628052940374</v>
      </c>
      <c r="M316" s="14">
        <v>0.38611420390343959</v>
      </c>
      <c r="N316" s="14">
        <v>4.7467444087460647E-2</v>
      </c>
      <c r="O316" s="14">
        <f t="shared" si="8"/>
        <v>0.68755324420931818</v>
      </c>
      <c r="P316" s="17"/>
      <c r="S316" s="28"/>
      <c r="V316" s="18"/>
      <c r="W316" s="18"/>
      <c r="X316" s="18"/>
      <c r="Y316" s="6"/>
      <c r="Z316" s="6"/>
      <c r="AA316" s="6"/>
      <c r="AB316" s="18"/>
      <c r="AC316" s="18"/>
      <c r="AD316" s="18"/>
      <c r="AE316" s="18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</row>
    <row r="317" spans="1:50">
      <c r="A317" s="8">
        <v>80304</v>
      </c>
      <c r="B317" s="9" t="s">
        <v>340</v>
      </c>
      <c r="C317" s="12">
        <v>1002</v>
      </c>
      <c r="D317" s="12">
        <v>389.222232401371</v>
      </c>
      <c r="E317" s="12">
        <v>7425</v>
      </c>
      <c r="F317" s="11">
        <v>0.13494949494949496</v>
      </c>
      <c r="G317" s="11">
        <v>0.38844534171793516</v>
      </c>
      <c r="H317" s="11">
        <v>5.2420502680319336E-2</v>
      </c>
      <c r="I317" s="12">
        <v>2002</v>
      </c>
      <c r="J317" s="12">
        <v>811.77779805660248</v>
      </c>
      <c r="K317" s="12">
        <v>13019</v>
      </c>
      <c r="L317" s="14">
        <v>0.15377525155541899</v>
      </c>
      <c r="M317" s="14">
        <v>0.40548341561268852</v>
      </c>
      <c r="N317" s="14">
        <v>6.2353314237391683E-2</v>
      </c>
      <c r="O317" s="14">
        <f t="shared" si="8"/>
        <v>0.84070114510263039</v>
      </c>
      <c r="P317" s="17"/>
      <c r="S317" s="28"/>
      <c r="V317" s="18"/>
      <c r="W317" s="18"/>
      <c r="X317" s="18"/>
      <c r="Y317" s="6"/>
      <c r="Z317" s="6"/>
      <c r="AA317" s="6"/>
      <c r="AB317" s="18"/>
      <c r="AC317" s="18"/>
      <c r="AD317" s="18"/>
      <c r="AE317" s="18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</row>
    <row r="318" spans="1:50">
      <c r="A318" s="8">
        <v>80401</v>
      </c>
      <c r="B318" s="9" t="s">
        <v>341</v>
      </c>
      <c r="C318" s="12">
        <v>1132</v>
      </c>
      <c r="D318" s="12">
        <v>483.1111221909523</v>
      </c>
      <c r="E318" s="12">
        <v>6172</v>
      </c>
      <c r="F318" s="11">
        <v>0.18340894361633181</v>
      </c>
      <c r="G318" s="11">
        <v>0.4267766097093218</v>
      </c>
      <c r="H318" s="11">
        <v>7.827464714694625E-2</v>
      </c>
      <c r="I318" s="12">
        <v>2588</v>
      </c>
      <c r="J318" s="12">
        <v>1273.0000319778919</v>
      </c>
      <c r="K318" s="12">
        <v>11721</v>
      </c>
      <c r="L318" s="14">
        <v>0.22080027301424793</v>
      </c>
      <c r="M318" s="14">
        <v>0.49188563832221482</v>
      </c>
      <c r="N318" s="14">
        <v>0.10860848323333265</v>
      </c>
      <c r="O318" s="14">
        <f t="shared" si="8"/>
        <v>0.72070472597230095</v>
      </c>
      <c r="P318" s="17"/>
      <c r="S318" s="28"/>
      <c r="V318" s="18"/>
      <c r="W318" s="18"/>
      <c r="X318" s="18"/>
      <c r="Y318" s="6"/>
      <c r="Z318" s="6"/>
      <c r="AA318" s="6"/>
      <c r="AB318" s="18"/>
      <c r="AC318" s="18"/>
      <c r="AD318" s="18"/>
      <c r="AE318" s="18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</row>
    <row r="319" spans="1:50">
      <c r="A319" s="8">
        <v>80402</v>
      </c>
      <c r="B319" s="9" t="s">
        <v>342</v>
      </c>
      <c r="C319" s="12">
        <v>434</v>
      </c>
      <c r="D319" s="12">
        <v>164.77778175473213</v>
      </c>
      <c r="E319" s="12">
        <v>2213</v>
      </c>
      <c r="F319" s="11">
        <v>0.19611387257117036</v>
      </c>
      <c r="G319" s="11">
        <v>0.37967230819062703</v>
      </c>
      <c r="H319" s="11">
        <v>7.4459006667298752E-2</v>
      </c>
      <c r="I319" s="12">
        <v>1460</v>
      </c>
      <c r="J319" s="12">
        <v>562.44445884227753</v>
      </c>
      <c r="K319" s="12">
        <v>5597</v>
      </c>
      <c r="L319" s="14">
        <v>0.26085402894407717</v>
      </c>
      <c r="M319" s="14">
        <v>0.38523593071388873</v>
      </c>
      <c r="N319" s="14">
        <v>0.10049034462073923</v>
      </c>
      <c r="O319" s="14">
        <f t="shared" si="8"/>
        <v>0.74095682474087043</v>
      </c>
      <c r="P319" s="17"/>
      <c r="S319" s="28"/>
      <c r="V319" s="18"/>
      <c r="W319" s="18"/>
      <c r="X319" s="18"/>
      <c r="Y319" s="6"/>
      <c r="Z319" s="6"/>
      <c r="AA319" s="6"/>
      <c r="AB319" s="18"/>
      <c r="AC319" s="18"/>
      <c r="AD319" s="18"/>
      <c r="AE319" s="18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</row>
    <row r="320" spans="1:50">
      <c r="A320" s="8">
        <v>80501</v>
      </c>
      <c r="B320" s="9" t="s">
        <v>343</v>
      </c>
      <c r="C320" s="12">
        <v>1010</v>
      </c>
      <c r="D320" s="12">
        <v>416.33334431052208</v>
      </c>
      <c r="E320" s="12">
        <v>6959</v>
      </c>
      <c r="F320" s="11">
        <v>0.14513579537289842</v>
      </c>
      <c r="G320" s="11">
        <v>0.41221123199061593</v>
      </c>
      <c r="H320" s="11">
        <v>5.9826605016600393E-2</v>
      </c>
      <c r="I320" s="12">
        <v>3067</v>
      </c>
      <c r="J320" s="12">
        <v>1344.6667041778564</v>
      </c>
      <c r="K320" s="12">
        <v>14108</v>
      </c>
      <c r="L320" s="14">
        <v>0.21739438616387866</v>
      </c>
      <c r="M320" s="14">
        <v>0.43843061759956192</v>
      </c>
      <c r="N320" s="14">
        <v>9.5312354988506973E-2</v>
      </c>
      <c r="O320" s="14">
        <f t="shared" si="8"/>
        <v>0.62768992565354675</v>
      </c>
      <c r="P320" s="17"/>
      <c r="S320" s="28"/>
      <c r="V320" s="18"/>
      <c r="W320" s="18"/>
      <c r="X320" s="18"/>
      <c r="Y320" s="6"/>
      <c r="Z320" s="6"/>
      <c r="AA320" s="6"/>
      <c r="AB320" s="18"/>
      <c r="AC320" s="18"/>
      <c r="AD320" s="18"/>
      <c r="AE320" s="18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</row>
    <row r="321" spans="1:50">
      <c r="A321" s="8">
        <v>80601</v>
      </c>
      <c r="B321" s="9" t="s">
        <v>344</v>
      </c>
      <c r="C321" s="12">
        <v>285</v>
      </c>
      <c r="D321" s="12">
        <v>126.22222539782524</v>
      </c>
      <c r="E321" s="12">
        <v>1199</v>
      </c>
      <c r="F321" s="11">
        <v>0.23769808173477899</v>
      </c>
      <c r="G321" s="11">
        <v>0.44288500139587805</v>
      </c>
      <c r="H321" s="11">
        <v>0.10527291526090513</v>
      </c>
      <c r="I321" s="12">
        <v>807</v>
      </c>
      <c r="J321" s="12">
        <v>330.88889712095261</v>
      </c>
      <c r="K321" s="12">
        <v>3042</v>
      </c>
      <c r="L321" s="14">
        <v>0.26528599605522685</v>
      </c>
      <c r="M321" s="14">
        <v>0.41002341650675661</v>
      </c>
      <c r="N321" s="14">
        <v>0.10877347045396207</v>
      </c>
      <c r="O321" s="14">
        <f t="shared" si="8"/>
        <v>0.96781793227293833</v>
      </c>
      <c r="P321" s="17"/>
      <c r="S321" s="28"/>
      <c r="V321" s="18"/>
      <c r="W321" s="18"/>
      <c r="X321" s="18"/>
      <c r="Y321" s="6"/>
      <c r="Z321" s="6"/>
      <c r="AA321" s="6"/>
      <c r="AB321" s="18"/>
      <c r="AC321" s="18"/>
      <c r="AD321" s="18"/>
      <c r="AE321" s="18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</row>
    <row r="322" spans="1:50">
      <c r="A322" s="8">
        <v>80602</v>
      </c>
      <c r="B322" s="9" t="s">
        <v>345</v>
      </c>
      <c r="C322" s="12">
        <v>867</v>
      </c>
      <c r="D322" s="12">
        <v>321.33334162831306</v>
      </c>
      <c r="E322" s="12">
        <v>5435</v>
      </c>
      <c r="F322" s="11">
        <v>0.15952161913523458</v>
      </c>
      <c r="G322" s="11">
        <v>0.37062669161281786</v>
      </c>
      <c r="H322" s="11">
        <v>5.9122969940811967E-2</v>
      </c>
      <c r="I322" s="12">
        <v>1482</v>
      </c>
      <c r="J322" s="12">
        <v>544.6666804254055</v>
      </c>
      <c r="K322" s="12">
        <v>9538</v>
      </c>
      <c r="L322" s="14">
        <v>0.15537848605577689</v>
      </c>
      <c r="M322" s="14">
        <v>0.36752137680526686</v>
      </c>
      <c r="N322" s="14">
        <v>5.7104915121137086E-2</v>
      </c>
      <c r="O322" s="14">
        <f t="shared" si="8"/>
        <v>1.035339424205324</v>
      </c>
      <c r="P322" s="17"/>
      <c r="S322" s="28"/>
      <c r="V322" s="18"/>
      <c r="W322" s="18"/>
      <c r="X322" s="18"/>
      <c r="Y322" s="6"/>
      <c r="Z322" s="6"/>
      <c r="AA322" s="6"/>
      <c r="AB322" s="18"/>
      <c r="AC322" s="18"/>
      <c r="AD322" s="18"/>
      <c r="AE322" s="18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</row>
    <row r="323" spans="1:50">
      <c r="A323" s="8">
        <v>80701</v>
      </c>
      <c r="B323" s="9" t="s">
        <v>346</v>
      </c>
      <c r="C323" s="12">
        <v>221</v>
      </c>
      <c r="D323" s="12">
        <v>83.777779519557953</v>
      </c>
      <c r="E323" s="12">
        <v>1942</v>
      </c>
      <c r="F323" s="11">
        <v>0.11380020597322348</v>
      </c>
      <c r="G323" s="11">
        <v>0.37908497520161971</v>
      </c>
      <c r="H323" s="11">
        <v>4.3139948259298636E-2</v>
      </c>
      <c r="I323" s="12">
        <v>653</v>
      </c>
      <c r="J323" s="12">
        <v>239.77778396010399</v>
      </c>
      <c r="K323" s="12">
        <v>4371</v>
      </c>
      <c r="L323" s="14">
        <v>0.1493937314115763</v>
      </c>
      <c r="M323" s="14">
        <v>0.36719415614104745</v>
      </c>
      <c r="N323" s="14">
        <v>5.4856505138436054E-2</v>
      </c>
      <c r="O323" s="14">
        <f t="shared" si="8"/>
        <v>0.7864144489414796</v>
      </c>
      <c r="P323" s="17"/>
      <c r="S323" s="28"/>
      <c r="V323" s="18"/>
      <c r="W323" s="18"/>
      <c r="X323" s="18"/>
      <c r="Y323" s="6"/>
      <c r="Z323" s="6"/>
      <c r="AA323" s="6"/>
      <c r="AB323" s="18"/>
      <c r="AC323" s="18"/>
      <c r="AD323" s="18"/>
      <c r="AE323" s="18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</row>
    <row r="324" spans="1:50">
      <c r="A324" s="8">
        <v>80702</v>
      </c>
      <c r="B324" s="9" t="s">
        <v>322</v>
      </c>
      <c r="C324" s="12">
        <v>230</v>
      </c>
      <c r="D324" s="12">
        <v>85.777779787778854</v>
      </c>
      <c r="E324" s="12">
        <v>1718</v>
      </c>
      <c r="F324" s="11">
        <v>0.13387660069848661</v>
      </c>
      <c r="G324" s="11">
        <v>0.37294686864251675</v>
      </c>
      <c r="H324" s="11">
        <v>4.9928859015005156E-2</v>
      </c>
      <c r="I324" s="12">
        <v>504</v>
      </c>
      <c r="J324" s="12">
        <v>191.44444903731346</v>
      </c>
      <c r="K324" s="12">
        <v>3635</v>
      </c>
      <c r="L324" s="14">
        <v>0.13865199449793672</v>
      </c>
      <c r="M324" s="14">
        <v>0.37985009729625685</v>
      </c>
      <c r="N324" s="14">
        <v>5.2666973600361336E-2</v>
      </c>
      <c r="O324" s="14">
        <f t="shared" si="8"/>
        <v>0.9480107855421297</v>
      </c>
      <c r="P324" s="17"/>
      <c r="S324" s="28"/>
      <c r="V324" s="18"/>
      <c r="W324" s="18"/>
      <c r="X324" s="18"/>
      <c r="Y324" s="6"/>
      <c r="Z324" s="6"/>
      <c r="AA324" s="6"/>
      <c r="AB324" s="18"/>
      <c r="AC324" s="18"/>
      <c r="AD324" s="18"/>
      <c r="AE324" s="18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</row>
    <row r="325" spans="1:50">
      <c r="A325" s="8">
        <v>80703</v>
      </c>
      <c r="B325" s="9" t="s">
        <v>347</v>
      </c>
      <c r="C325" s="12">
        <v>42</v>
      </c>
      <c r="D325" s="12">
        <v>18.444445043802261</v>
      </c>
      <c r="E325" s="12">
        <v>286</v>
      </c>
      <c r="F325" s="11">
        <v>0.14685314685314685</v>
      </c>
      <c r="G325" s="11">
        <v>0.43915345342386336</v>
      </c>
      <c r="H325" s="11">
        <v>6.4491066586721185E-2</v>
      </c>
      <c r="I325" s="12">
        <v>61</v>
      </c>
      <c r="J325" s="12">
        <v>22.111111611127853</v>
      </c>
      <c r="K325" s="12">
        <v>793</v>
      </c>
      <c r="L325" s="14">
        <v>7.6923076923076927E-2</v>
      </c>
      <c r="M325" s="14">
        <v>0.36247723952668615</v>
      </c>
      <c r="N325" s="14">
        <v>2.7882864578975861E-2</v>
      </c>
      <c r="O325" s="14">
        <f t="shared" si="8"/>
        <v>2.3129283006075534</v>
      </c>
      <c r="P325" s="17"/>
      <c r="S325" s="28"/>
      <c r="V325" s="18"/>
      <c r="W325" s="18"/>
      <c r="X325" s="18"/>
      <c r="Y325" s="6"/>
      <c r="Z325" s="6"/>
      <c r="AA325" s="6"/>
      <c r="AB325" s="18"/>
      <c r="AC325" s="18"/>
      <c r="AD325" s="18"/>
      <c r="AE325" s="18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</row>
    <row r="326" spans="1:50">
      <c r="A326" s="8">
        <v>80801</v>
      </c>
      <c r="B326" s="9" t="s">
        <v>348</v>
      </c>
      <c r="C326" s="12">
        <v>605</v>
      </c>
      <c r="D326" s="12">
        <v>219.66667252779007</v>
      </c>
      <c r="E326" s="12">
        <v>3638</v>
      </c>
      <c r="F326" s="11">
        <v>0.16630016492578339</v>
      </c>
      <c r="G326" s="11">
        <v>0.36308540913684306</v>
      </c>
      <c r="H326" s="11">
        <v>6.0381163421602539E-2</v>
      </c>
      <c r="I326" s="12">
        <v>1478</v>
      </c>
      <c r="J326" s="12">
        <v>541.11112475395203</v>
      </c>
      <c r="K326" s="12">
        <v>8928</v>
      </c>
      <c r="L326" s="14">
        <v>0.16554659498207885</v>
      </c>
      <c r="M326" s="14">
        <v>0.36611036857506901</v>
      </c>
      <c r="N326" s="14">
        <v>6.0608324905236557E-2</v>
      </c>
      <c r="O326" s="14">
        <f t="shared" si="8"/>
        <v>0.99625197554974187</v>
      </c>
      <c r="P326" s="17"/>
      <c r="S326" s="28"/>
      <c r="V326" s="18"/>
      <c r="W326" s="18"/>
      <c r="X326" s="18"/>
      <c r="Y326" s="6"/>
      <c r="Z326" s="6"/>
      <c r="AA326" s="6"/>
      <c r="AB326" s="18"/>
      <c r="AC326" s="18"/>
      <c r="AD326" s="18"/>
      <c r="AE326" s="18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</row>
    <row r="327" spans="1:50">
      <c r="A327" s="8">
        <v>80802</v>
      </c>
      <c r="B327" s="9" t="s">
        <v>349</v>
      </c>
      <c r="C327" s="12">
        <v>298</v>
      </c>
      <c r="D327" s="12">
        <v>104.44444724917412</v>
      </c>
      <c r="E327" s="12">
        <v>2047</v>
      </c>
      <c r="F327" s="11">
        <v>0.14557889594528578</v>
      </c>
      <c r="G327" s="11">
        <v>0.35048472231266481</v>
      </c>
      <c r="H327" s="11">
        <v>5.1023178919967813E-2</v>
      </c>
      <c r="I327" s="12">
        <v>919</v>
      </c>
      <c r="J327" s="12">
        <v>341.66667532920837</v>
      </c>
      <c r="K327" s="12">
        <v>5108</v>
      </c>
      <c r="L327" s="14">
        <v>0.17991386061080658</v>
      </c>
      <c r="M327" s="14">
        <v>0.37178093071731055</v>
      </c>
      <c r="N327" s="14">
        <v>6.6888542546830146E-2</v>
      </c>
      <c r="O327" s="14">
        <f t="shared" si="8"/>
        <v>0.76280895019121331</v>
      </c>
      <c r="P327" s="17"/>
      <c r="S327" s="28"/>
      <c r="V327" s="18"/>
      <c r="W327" s="18"/>
      <c r="X327" s="18"/>
      <c r="Y327" s="6"/>
      <c r="Z327" s="6"/>
      <c r="AA327" s="6"/>
      <c r="AB327" s="18"/>
      <c r="AC327" s="18"/>
      <c r="AD327" s="18"/>
      <c r="AE327" s="18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</row>
    <row r="328" spans="1:50">
      <c r="A328" s="8">
        <v>80803</v>
      </c>
      <c r="B328" s="9" t="s">
        <v>350</v>
      </c>
      <c r="C328" s="12">
        <v>143</v>
      </c>
      <c r="D328" s="12">
        <v>51.555556833744049</v>
      </c>
      <c r="E328" s="12">
        <v>1306</v>
      </c>
      <c r="F328" s="11">
        <v>0.10949464012251149</v>
      </c>
      <c r="G328" s="11">
        <v>0.36052836946674161</v>
      </c>
      <c r="H328" s="11">
        <v>3.9475924068716729E-2</v>
      </c>
      <c r="I328" s="12">
        <v>450</v>
      </c>
      <c r="J328" s="12">
        <v>170.88889336585999</v>
      </c>
      <c r="K328" s="12">
        <v>3287</v>
      </c>
      <c r="L328" s="14">
        <v>0.13690295101916641</v>
      </c>
      <c r="M328" s="14">
        <v>0.37975309636857774</v>
      </c>
      <c r="N328" s="14">
        <v>5.198931955152418E-2</v>
      </c>
      <c r="O328" s="14">
        <f t="shared" si="8"/>
        <v>0.75930834273747305</v>
      </c>
      <c r="P328" s="17"/>
      <c r="S328" s="28"/>
      <c r="V328" s="18"/>
      <c r="W328" s="18"/>
      <c r="X328" s="18"/>
      <c r="Y328" s="6"/>
      <c r="Z328" s="6"/>
      <c r="AA328" s="6"/>
      <c r="AB328" s="18"/>
      <c r="AC328" s="18"/>
      <c r="AD328" s="18"/>
      <c r="AE328" s="18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</row>
    <row r="329" spans="1:50">
      <c r="A329" s="8">
        <v>80901</v>
      </c>
      <c r="B329" s="9" t="s">
        <v>351</v>
      </c>
      <c r="C329" s="12">
        <v>225</v>
      </c>
      <c r="D329" s="12">
        <v>105.66666933894157</v>
      </c>
      <c r="E329" s="12">
        <v>800</v>
      </c>
      <c r="F329" s="11">
        <v>0.28125</v>
      </c>
      <c r="G329" s="11">
        <v>0.46962964150640701</v>
      </c>
      <c r="H329" s="11">
        <v>0.13208333667367697</v>
      </c>
      <c r="I329" s="12">
        <v>1073</v>
      </c>
      <c r="J329" s="12">
        <v>556.77779313921928</v>
      </c>
      <c r="K329" s="12">
        <v>3143</v>
      </c>
      <c r="L329" s="14">
        <v>0.3413935730194082</v>
      </c>
      <c r="M329" s="14">
        <v>0.51889822286972909</v>
      </c>
      <c r="N329" s="14">
        <v>0.17714851833891801</v>
      </c>
      <c r="O329" s="14">
        <f t="shared" si="8"/>
        <v>0.745607910877228</v>
      </c>
      <c r="P329" s="17"/>
      <c r="S329" s="28"/>
      <c r="V329" s="18"/>
      <c r="W329" s="18"/>
      <c r="X329" s="18"/>
      <c r="Y329" s="6"/>
      <c r="Z329" s="6"/>
      <c r="AA329" s="6"/>
      <c r="AB329" s="18"/>
      <c r="AC329" s="18"/>
      <c r="AD329" s="18"/>
      <c r="AE329" s="18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</row>
    <row r="330" spans="1:50">
      <c r="A330" s="8">
        <v>90101</v>
      </c>
      <c r="B330" s="9" t="s">
        <v>352</v>
      </c>
      <c r="C330" s="12">
        <v>1327</v>
      </c>
      <c r="D330" s="12">
        <v>483.00001206994057</v>
      </c>
      <c r="E330" s="12">
        <v>21768</v>
      </c>
      <c r="F330" s="11">
        <v>6.0961043733921354E-2</v>
      </c>
      <c r="G330" s="11">
        <v>0.36397890886958595</v>
      </c>
      <c r="H330" s="11">
        <v>2.2188534181823805E-2</v>
      </c>
      <c r="I330" s="12">
        <v>1435</v>
      </c>
      <c r="J330" s="12">
        <v>514.22223553061485</v>
      </c>
      <c r="K330" s="12">
        <v>30130</v>
      </c>
      <c r="L330" s="14">
        <v>4.7626949883836707E-2</v>
      </c>
      <c r="M330" s="14">
        <v>0.35834302127568979</v>
      </c>
      <c r="N330" s="14">
        <v>1.7066785115519907E-2</v>
      </c>
      <c r="O330" s="14">
        <f t="shared" si="8"/>
        <v>1.3001004015481725</v>
      </c>
      <c r="P330" s="17"/>
      <c r="S330" s="28"/>
      <c r="V330" s="18"/>
      <c r="W330" s="18"/>
      <c r="X330" s="18"/>
      <c r="Y330" s="6"/>
      <c r="Z330" s="6"/>
      <c r="AA330" s="6"/>
      <c r="AB330" s="18"/>
      <c r="AC330" s="18"/>
      <c r="AD330" s="18"/>
      <c r="AE330" s="18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</row>
    <row r="331" spans="1:50">
      <c r="A331" s="8">
        <v>90102</v>
      </c>
      <c r="B331" s="9" t="s">
        <v>353</v>
      </c>
      <c r="C331" s="12">
        <v>315</v>
      </c>
      <c r="D331" s="12">
        <v>118.66666960716248</v>
      </c>
      <c r="E331" s="12">
        <v>3643</v>
      </c>
      <c r="F331" s="11">
        <v>8.646719736480922E-2</v>
      </c>
      <c r="G331" s="11">
        <v>0.37671958605448402</v>
      </c>
      <c r="H331" s="11">
        <v>3.2573886798562303E-2</v>
      </c>
      <c r="I331" s="12">
        <v>561</v>
      </c>
      <c r="J331" s="12">
        <v>204.77778270840645</v>
      </c>
      <c r="K331" s="12">
        <v>5452</v>
      </c>
      <c r="L331" s="14">
        <v>0.1028980190755686</v>
      </c>
      <c r="M331" s="14">
        <v>0.3650227855764821</v>
      </c>
      <c r="N331" s="14">
        <v>3.7560121553266039E-2</v>
      </c>
      <c r="O331" s="14">
        <f t="shared" si="8"/>
        <v>0.86724657566316743</v>
      </c>
      <c r="P331" s="17"/>
      <c r="S331" s="28"/>
      <c r="V331" s="18"/>
      <c r="W331" s="18"/>
      <c r="X331" s="18"/>
      <c r="Y331" s="6"/>
      <c r="Z331" s="6"/>
      <c r="AA331" s="6"/>
      <c r="AB331" s="18"/>
      <c r="AC331" s="18"/>
      <c r="AD331" s="18"/>
      <c r="AE331" s="18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</row>
    <row r="332" spans="1:50">
      <c r="A332" s="8">
        <v>90103</v>
      </c>
      <c r="B332" s="9" t="s">
        <v>354</v>
      </c>
      <c r="C332" s="12">
        <v>140</v>
      </c>
      <c r="D332" s="12">
        <v>51.111112415790558</v>
      </c>
      <c r="E332" s="12">
        <v>756</v>
      </c>
      <c r="F332" s="11">
        <v>0.18518518518518517</v>
      </c>
      <c r="G332" s="11">
        <v>0.36507937439850396</v>
      </c>
      <c r="H332" s="11">
        <v>6.7607291555278504E-2</v>
      </c>
      <c r="I332" s="12">
        <v>182</v>
      </c>
      <c r="J332" s="12">
        <v>66.666668474674225</v>
      </c>
      <c r="K332" s="12">
        <v>1582</v>
      </c>
      <c r="L332" s="14">
        <v>0.11504424778761062</v>
      </c>
      <c r="M332" s="14">
        <v>0.36630037623447376</v>
      </c>
      <c r="N332" s="14">
        <v>4.2140751248213794E-2</v>
      </c>
      <c r="O332" s="14">
        <f t="shared" si="8"/>
        <v>1.6043209850973918</v>
      </c>
      <c r="P332" s="17"/>
      <c r="S332" s="28"/>
      <c r="V332" s="18"/>
      <c r="W332" s="18"/>
      <c r="X332" s="18"/>
      <c r="Y332" s="6"/>
      <c r="Z332" s="6"/>
      <c r="AA332" s="6"/>
      <c r="AB332" s="18"/>
      <c r="AC332" s="18"/>
      <c r="AD332" s="18"/>
      <c r="AE332" s="18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</row>
    <row r="333" spans="1:50">
      <c r="A333" s="8">
        <v>90104</v>
      </c>
      <c r="B333" s="9" t="s">
        <v>355</v>
      </c>
      <c r="C333" s="12">
        <v>151</v>
      </c>
      <c r="D333" s="12">
        <v>55.555556982755661</v>
      </c>
      <c r="E333" s="12">
        <v>1064</v>
      </c>
      <c r="F333" s="11">
        <v>0.14191729323308272</v>
      </c>
      <c r="G333" s="11">
        <v>0.36791759591228912</v>
      </c>
      <c r="H333" s="11">
        <v>5.2213869344695171E-2</v>
      </c>
      <c r="I333" s="12">
        <v>320</v>
      </c>
      <c r="J333" s="12">
        <v>127.11111426353455</v>
      </c>
      <c r="K333" s="12">
        <v>2357</v>
      </c>
      <c r="L333" s="14">
        <v>0.13576580398812049</v>
      </c>
      <c r="M333" s="14">
        <v>0.39722223207354546</v>
      </c>
      <c r="N333" s="14">
        <v>5.392919569942068E-2</v>
      </c>
      <c r="O333" s="14">
        <f t="shared" si="8"/>
        <v>0.96819299208009635</v>
      </c>
      <c r="P333" s="17"/>
      <c r="S333" s="28"/>
      <c r="V333" s="18"/>
      <c r="W333" s="18"/>
      <c r="X333" s="18"/>
      <c r="Y333" s="6"/>
      <c r="Z333" s="6"/>
      <c r="AA333" s="6"/>
      <c r="AB333" s="18"/>
      <c r="AC333" s="18"/>
      <c r="AD333" s="18"/>
      <c r="AE333" s="18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</row>
    <row r="334" spans="1:50">
      <c r="A334" s="8">
        <v>90201</v>
      </c>
      <c r="B334" s="9" t="s">
        <v>356</v>
      </c>
      <c r="C334" s="12">
        <v>319</v>
      </c>
      <c r="D334" s="12">
        <v>120.88889175653458</v>
      </c>
      <c r="E334" s="12">
        <v>1985</v>
      </c>
      <c r="F334" s="11">
        <v>0.16070528967254408</v>
      </c>
      <c r="G334" s="11">
        <v>0.37896204312393283</v>
      </c>
      <c r="H334" s="11">
        <v>6.0901204915130763E-2</v>
      </c>
      <c r="I334" s="12">
        <v>659</v>
      </c>
      <c r="J334" s="12">
        <v>245.77778404951096</v>
      </c>
      <c r="K334" s="12">
        <v>4882</v>
      </c>
      <c r="L334" s="14">
        <v>0.13498566161409259</v>
      </c>
      <c r="M334" s="14">
        <v>0.3729556662359802</v>
      </c>
      <c r="N334" s="14">
        <v>5.0343667359588479E-2</v>
      </c>
      <c r="O334" s="14">
        <f t="shared" si="8"/>
        <v>1.2097093459666579</v>
      </c>
      <c r="P334" s="17"/>
      <c r="S334" s="28"/>
      <c r="V334" s="18"/>
      <c r="W334" s="18"/>
      <c r="X334" s="18"/>
      <c r="Y334" s="6"/>
      <c r="Z334" s="6"/>
      <c r="AA334" s="6"/>
      <c r="AB334" s="18"/>
      <c r="AC334" s="18"/>
      <c r="AD334" s="18"/>
      <c r="AE334" s="18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</row>
    <row r="335" spans="1:50">
      <c r="A335" s="8">
        <v>90202</v>
      </c>
      <c r="B335" s="9" t="s">
        <v>319</v>
      </c>
      <c r="C335" s="12">
        <v>170</v>
      </c>
      <c r="D335" s="12">
        <v>63.777779757976532</v>
      </c>
      <c r="E335" s="12">
        <v>452</v>
      </c>
      <c r="F335" s="11">
        <v>0.37610619469026546</v>
      </c>
      <c r="G335" s="11">
        <v>0.37516341034103845</v>
      </c>
      <c r="H335" s="11">
        <v>0.14110128265039057</v>
      </c>
      <c r="I335" s="12">
        <v>1316</v>
      </c>
      <c r="J335" s="12">
        <v>510.66667860746384</v>
      </c>
      <c r="K335" s="12">
        <v>2796</v>
      </c>
      <c r="L335" s="14">
        <v>0.47067238912732473</v>
      </c>
      <c r="M335" s="14">
        <v>0.3880445886074953</v>
      </c>
      <c r="N335" s="14">
        <v>0.18264187360781967</v>
      </c>
      <c r="O335" s="14">
        <f t="shared" si="8"/>
        <v>0.77255713524584335</v>
      </c>
      <c r="P335" s="17"/>
      <c r="S335" s="28"/>
      <c r="V335" s="18"/>
      <c r="W335" s="18"/>
      <c r="X335" s="18"/>
      <c r="Y335" s="6"/>
      <c r="Z335" s="6"/>
      <c r="AA335" s="6"/>
      <c r="AB335" s="18"/>
      <c r="AC335" s="18"/>
      <c r="AD335" s="18"/>
      <c r="AE335" s="18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</row>
    <row r="336" spans="1:50">
      <c r="A336" s="8">
        <v>90203</v>
      </c>
      <c r="B336" s="9" t="s">
        <v>357</v>
      </c>
      <c r="C336" s="12">
        <v>293</v>
      </c>
      <c r="D336" s="12">
        <v>113.33333614468575</v>
      </c>
      <c r="E336" s="12">
        <v>2592</v>
      </c>
      <c r="F336" s="11">
        <v>0.11304012345679013</v>
      </c>
      <c r="G336" s="11">
        <v>0.38680319503305716</v>
      </c>
      <c r="H336" s="11">
        <v>4.372428092001765E-2</v>
      </c>
      <c r="I336" s="12">
        <v>713</v>
      </c>
      <c r="J336" s="12">
        <v>266.88889592885971</v>
      </c>
      <c r="K336" s="12">
        <v>5400</v>
      </c>
      <c r="L336" s="14">
        <v>0.13203703703703704</v>
      </c>
      <c r="M336" s="14">
        <v>0.37431822710920015</v>
      </c>
      <c r="N336" s="14">
        <v>4.94238696164555E-2</v>
      </c>
      <c r="O336" s="14">
        <f t="shared" si="8"/>
        <v>0.8846794324145717</v>
      </c>
      <c r="P336" s="17"/>
      <c r="S336" s="28"/>
      <c r="V336" s="18"/>
      <c r="W336" s="18"/>
      <c r="X336" s="18"/>
      <c r="Y336" s="6"/>
      <c r="Z336" s="6"/>
      <c r="AA336" s="6"/>
      <c r="AB336" s="18"/>
      <c r="AC336" s="18"/>
      <c r="AD336" s="18"/>
      <c r="AE336" s="18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</row>
    <row r="337" spans="1:50">
      <c r="A337" s="8">
        <v>90301</v>
      </c>
      <c r="B337" s="9" t="s">
        <v>358</v>
      </c>
      <c r="C337" s="12">
        <v>742</v>
      </c>
      <c r="D337" s="12">
        <v>284.55556300282478</v>
      </c>
      <c r="E337" s="12">
        <v>3445</v>
      </c>
      <c r="F337" s="11">
        <v>0.2153846153846154</v>
      </c>
      <c r="G337" s="11">
        <v>0.38349806334612502</v>
      </c>
      <c r="H337" s="11">
        <v>8.2599582874550007E-2</v>
      </c>
      <c r="I337" s="12">
        <v>1692</v>
      </c>
      <c r="J337" s="12">
        <v>634.22223767638206</v>
      </c>
      <c r="K337" s="12">
        <v>8311</v>
      </c>
      <c r="L337" s="14">
        <v>0.20358560943328119</v>
      </c>
      <c r="M337" s="14">
        <v>0.37483583787020219</v>
      </c>
      <c r="N337" s="14">
        <v>7.6311182490239687E-2</v>
      </c>
      <c r="O337" s="14">
        <f t="shared" si="8"/>
        <v>1.0824047037289013</v>
      </c>
      <c r="P337" s="17"/>
      <c r="S337" s="28"/>
      <c r="V337" s="18"/>
      <c r="W337" s="18"/>
      <c r="X337" s="18"/>
      <c r="Y337" s="6"/>
      <c r="Z337" s="6"/>
      <c r="AA337" s="6"/>
      <c r="AB337" s="18"/>
      <c r="AC337" s="18"/>
      <c r="AD337" s="18"/>
      <c r="AE337" s="18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</row>
    <row r="338" spans="1:50">
      <c r="A338" s="8">
        <v>90302</v>
      </c>
      <c r="B338" s="9" t="s">
        <v>359</v>
      </c>
      <c r="C338" s="12">
        <v>360</v>
      </c>
      <c r="D338" s="12">
        <v>135.66666996479034</v>
      </c>
      <c r="E338" s="12">
        <v>2129</v>
      </c>
      <c r="F338" s="11">
        <v>0.1690934711131987</v>
      </c>
      <c r="G338" s="11">
        <v>0.37685186101330653</v>
      </c>
      <c r="H338" s="11">
        <v>6.3723189274208725E-2</v>
      </c>
      <c r="I338" s="12">
        <v>1193</v>
      </c>
      <c r="J338" s="12">
        <v>455.33334437012672</v>
      </c>
      <c r="K338" s="12">
        <v>7471</v>
      </c>
      <c r="L338" s="14">
        <v>0.15968411189934414</v>
      </c>
      <c r="M338" s="14">
        <v>0.3816708670327969</v>
      </c>
      <c r="N338" s="14">
        <v>6.0946773439984843E-2</v>
      </c>
      <c r="O338" s="14">
        <f t="shared" si="8"/>
        <v>1.0455547632387441</v>
      </c>
      <c r="P338" s="17"/>
      <c r="S338" s="28"/>
      <c r="V338" s="18"/>
      <c r="W338" s="18"/>
      <c r="X338" s="18"/>
      <c r="Y338" s="6"/>
      <c r="Z338" s="6"/>
      <c r="AA338" s="6"/>
      <c r="AB338" s="18"/>
      <c r="AC338" s="18"/>
      <c r="AD338" s="18"/>
      <c r="AE338" s="18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</row>
    <row r="339" spans="1:50">
      <c r="A339" s="8">
        <v>90303</v>
      </c>
      <c r="B339" s="9" t="s">
        <v>360</v>
      </c>
      <c r="C339" s="12">
        <v>768</v>
      </c>
      <c r="D339" s="12">
        <v>288.11111813783646</v>
      </c>
      <c r="E339" s="12">
        <v>2989</v>
      </c>
      <c r="F339" s="11">
        <v>0.25694212111073939</v>
      </c>
      <c r="G339" s="11">
        <v>0.3751446850753079</v>
      </c>
      <c r="H339" s="11">
        <v>9.6390471106669956E-2</v>
      </c>
      <c r="I339" s="12">
        <v>2061</v>
      </c>
      <c r="J339" s="12">
        <v>789.11113157868385</v>
      </c>
      <c r="K339" s="12">
        <v>7244</v>
      </c>
      <c r="L339" s="14">
        <v>0.28451131971286581</v>
      </c>
      <c r="M339" s="14">
        <v>0.38287779309979808</v>
      </c>
      <c r="N339" s="14">
        <v>0.10893306620357314</v>
      </c>
      <c r="O339" s="14">
        <f t="shared" si="8"/>
        <v>0.88485961578035732</v>
      </c>
      <c r="P339" s="17"/>
      <c r="S339" s="28"/>
      <c r="V339" s="18"/>
      <c r="W339" s="18"/>
      <c r="X339" s="18"/>
      <c r="Y339" s="6"/>
      <c r="Z339" s="6"/>
      <c r="AA339" s="6"/>
      <c r="AB339" s="18"/>
      <c r="AC339" s="18"/>
      <c r="AD339" s="18"/>
      <c r="AE339" s="18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</row>
    <row r="340" spans="1:50">
      <c r="A340" s="8">
        <v>90401</v>
      </c>
      <c r="B340" s="9" t="s">
        <v>361</v>
      </c>
      <c r="C340" s="12">
        <v>55</v>
      </c>
      <c r="D340" s="12">
        <v>19.666667133569717</v>
      </c>
      <c r="E340" s="12">
        <v>701</v>
      </c>
      <c r="F340" s="11">
        <v>7.8459343794579167E-2</v>
      </c>
      <c r="G340" s="11">
        <v>0.35757576606490393</v>
      </c>
      <c r="H340" s="11">
        <v>2.8055159962296312E-2</v>
      </c>
      <c r="I340" s="12">
        <v>249</v>
      </c>
      <c r="J340" s="12">
        <v>97.000002592802048</v>
      </c>
      <c r="K340" s="12">
        <v>2126</v>
      </c>
      <c r="L340" s="14">
        <v>0.11712135465663218</v>
      </c>
      <c r="M340" s="14">
        <v>0.38955824334458655</v>
      </c>
      <c r="N340" s="14">
        <v>4.562558917817594E-2</v>
      </c>
      <c r="O340" s="14">
        <f t="shared" si="8"/>
        <v>0.6148996751085446</v>
      </c>
      <c r="P340" s="17"/>
      <c r="S340" s="28"/>
      <c r="V340" s="18"/>
      <c r="W340" s="18"/>
      <c r="X340" s="18"/>
      <c r="Y340" s="6"/>
      <c r="Z340" s="6"/>
      <c r="AA340" s="6"/>
      <c r="AB340" s="18"/>
      <c r="AC340" s="18"/>
      <c r="AD340" s="18"/>
      <c r="AE340" s="18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</row>
    <row r="341" spans="1:50">
      <c r="A341" s="8">
        <v>90402</v>
      </c>
      <c r="B341" s="9" t="s">
        <v>362</v>
      </c>
      <c r="C341" s="12">
        <v>192</v>
      </c>
      <c r="D341" s="12">
        <v>71.000001490116119</v>
      </c>
      <c r="E341" s="12">
        <v>722</v>
      </c>
      <c r="F341" s="11">
        <v>0.26592797783933519</v>
      </c>
      <c r="G341" s="11">
        <v>0.36979167442768812</v>
      </c>
      <c r="H341" s="11">
        <v>9.8337952202376899E-2</v>
      </c>
      <c r="I341" s="12">
        <v>527</v>
      </c>
      <c r="J341" s="12">
        <v>196.00000447034836</v>
      </c>
      <c r="K341" s="12">
        <v>1823</v>
      </c>
      <c r="L341" s="14">
        <v>0.28908392759188151</v>
      </c>
      <c r="M341" s="14">
        <v>0.37191651702153389</v>
      </c>
      <c r="N341" s="14">
        <v>0.10751508747687787</v>
      </c>
      <c r="O341" s="14">
        <f t="shared" si="8"/>
        <v>0.91464327947019908</v>
      </c>
      <c r="P341" s="17"/>
      <c r="S341" s="28"/>
      <c r="V341" s="18"/>
      <c r="W341" s="18"/>
      <c r="X341" s="18"/>
      <c r="Y341" s="6"/>
      <c r="Z341" s="6"/>
      <c r="AA341" s="6"/>
      <c r="AB341" s="18"/>
      <c r="AC341" s="18"/>
      <c r="AD341" s="18"/>
      <c r="AE341" s="18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</row>
    <row r="342" spans="1:50">
      <c r="A342" s="8">
        <v>90501</v>
      </c>
      <c r="B342" s="9" t="s">
        <v>363</v>
      </c>
      <c r="C342" s="12">
        <v>46</v>
      </c>
      <c r="D342" s="12">
        <v>16.000000417232513</v>
      </c>
      <c r="E342" s="12">
        <v>384</v>
      </c>
      <c r="F342" s="11">
        <v>0.11979166666666667</v>
      </c>
      <c r="G342" s="11">
        <v>0.34782609602679376</v>
      </c>
      <c r="H342" s="11">
        <v>4.1666667753209673E-2</v>
      </c>
      <c r="I342" s="12">
        <v>226</v>
      </c>
      <c r="J342" s="12">
        <v>85.000002175569534</v>
      </c>
      <c r="K342" s="12">
        <v>1188</v>
      </c>
      <c r="L342" s="14">
        <v>0.19023569023569023</v>
      </c>
      <c r="M342" s="14">
        <v>0.37610620431667935</v>
      </c>
      <c r="N342" s="14">
        <v>7.1548823380109039E-2</v>
      </c>
      <c r="O342" s="14">
        <f t="shared" si="8"/>
        <v>0.58235294145722083</v>
      </c>
      <c r="P342" s="17"/>
      <c r="S342" s="28"/>
      <c r="V342" s="18"/>
      <c r="W342" s="18"/>
      <c r="X342" s="18"/>
      <c r="Y342" s="6"/>
      <c r="Z342" s="6"/>
      <c r="AA342" s="6"/>
      <c r="AB342" s="18"/>
      <c r="AC342" s="18"/>
      <c r="AD342" s="18"/>
      <c r="AE342" s="18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</row>
    <row r="343" spans="1:50">
      <c r="A343" s="8">
        <v>90502</v>
      </c>
      <c r="B343" s="9" t="s">
        <v>364</v>
      </c>
      <c r="C343" s="12">
        <v>99</v>
      </c>
      <c r="D343" s="12">
        <v>33.777778714895248</v>
      </c>
      <c r="E343" s="12">
        <v>690</v>
      </c>
      <c r="F343" s="11">
        <v>0.14347826086956522</v>
      </c>
      <c r="G343" s="11">
        <v>0.34118968398884092</v>
      </c>
      <c r="H343" s="11">
        <v>4.895330248535544E-2</v>
      </c>
      <c r="I343" s="12">
        <v>288</v>
      </c>
      <c r="J343" s="12">
        <v>106.1111136674881</v>
      </c>
      <c r="K343" s="12">
        <v>1795</v>
      </c>
      <c r="L343" s="14">
        <v>0.16044568245125349</v>
      </c>
      <c r="M343" s="14">
        <v>0.36844136690100032</v>
      </c>
      <c r="N343" s="14">
        <v>5.9114826555703673E-2</v>
      </c>
      <c r="O343" s="14">
        <f t="shared" si="8"/>
        <v>0.82810532209253684</v>
      </c>
      <c r="P343" s="17"/>
      <c r="S343" s="28"/>
      <c r="V343" s="18"/>
      <c r="W343" s="18"/>
      <c r="X343" s="18"/>
      <c r="Y343" s="6"/>
      <c r="Z343" s="6"/>
      <c r="AA343" s="6"/>
      <c r="AB343" s="18"/>
      <c r="AC343" s="18"/>
      <c r="AD343" s="18"/>
      <c r="AE343" s="18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</row>
    <row r="344" spans="1:50">
      <c r="A344" s="8">
        <v>90503</v>
      </c>
      <c r="B344" s="9" t="s">
        <v>365</v>
      </c>
      <c r="C344" s="12">
        <v>99</v>
      </c>
      <c r="D344" s="12">
        <v>39.000001192092896</v>
      </c>
      <c r="E344" s="12">
        <v>502</v>
      </c>
      <c r="F344" s="11">
        <v>0.19721115537848605</v>
      </c>
      <c r="G344" s="11">
        <v>0.39393940598073635</v>
      </c>
      <c r="H344" s="11">
        <v>7.7689245402575491E-2</v>
      </c>
      <c r="I344" s="12">
        <v>366</v>
      </c>
      <c r="J344" s="12">
        <v>140.88889253139496</v>
      </c>
      <c r="K344" s="12">
        <v>1780</v>
      </c>
      <c r="L344" s="14">
        <v>0.20561797752808988</v>
      </c>
      <c r="M344" s="14">
        <v>0.38494232932075123</v>
      </c>
      <c r="N344" s="14">
        <v>7.9151063219884799E-2</v>
      </c>
      <c r="O344" s="14">
        <f t="shared" si="8"/>
        <v>0.98153129272252071</v>
      </c>
      <c r="P344" s="17"/>
      <c r="S344" s="28"/>
      <c r="V344" s="18"/>
      <c r="W344" s="18"/>
      <c r="X344" s="18"/>
      <c r="Y344" s="6"/>
      <c r="Z344" s="6"/>
      <c r="AA344" s="6"/>
      <c r="AB344" s="18"/>
      <c r="AC344" s="18"/>
      <c r="AD344" s="18"/>
      <c r="AE344" s="18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</row>
    <row r="345" spans="1:50">
      <c r="A345" s="1">
        <v>10</v>
      </c>
      <c r="B345" s="9" t="s">
        <v>38</v>
      </c>
      <c r="C345" s="10">
        <f t="shared" ref="C345:E345" si="9">SUM(C246:C248)</f>
        <v>2644</v>
      </c>
      <c r="D345" s="10">
        <f t="shared" si="9"/>
        <v>991.77780246734619</v>
      </c>
      <c r="E345" s="10">
        <f t="shared" si="9"/>
        <v>56762</v>
      </c>
      <c r="F345" s="11">
        <f t="shared" ref="F345:F346" si="10">C345/E345</f>
        <v>4.6580458757619535E-2</v>
      </c>
      <c r="G345" s="11">
        <f t="shared" ref="G345:G346" si="11">D345/C345</f>
        <v>0.37510506901185559</v>
      </c>
      <c r="H345" s="11">
        <f t="shared" ref="H345:H346" si="12">F345*G345</f>
        <v>1.7472566196880767E-2</v>
      </c>
      <c r="I345" s="10">
        <f t="shared" ref="I345:K345" si="13">SUM(I246:I248)</f>
        <v>5267</v>
      </c>
      <c r="J345" s="10">
        <f t="shared" si="13"/>
        <v>1968.3333841860294</v>
      </c>
      <c r="K345" s="10">
        <f t="shared" si="13"/>
        <v>98145</v>
      </c>
      <c r="L345" s="26">
        <f t="shared" ref="L345:L346" si="14">I345/K345</f>
        <v>5.3665494930969483E-2</v>
      </c>
      <c r="M345" s="26">
        <f t="shared" ref="M345:M346" si="15">J345/I345</f>
        <v>0.37371053430530271</v>
      </c>
      <c r="N345" s="26">
        <f t="shared" ref="N345:N346" si="16">L345*M345</f>
        <v>2.0055360784411121E-2</v>
      </c>
      <c r="O345" s="14">
        <f t="shared" si="8"/>
        <v>0.87121674771675306</v>
      </c>
      <c r="P345" s="18"/>
      <c r="S345" s="6"/>
      <c r="V345" s="18"/>
      <c r="W345" s="18"/>
      <c r="X345" s="18"/>
      <c r="Y345" s="6"/>
      <c r="Z345" s="6"/>
      <c r="AA345" s="6"/>
      <c r="AB345" s="18"/>
      <c r="AC345" s="18"/>
      <c r="AD345" s="18"/>
      <c r="AE345" s="18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</row>
    <row r="346" spans="1:50">
      <c r="A346" s="1">
        <v>11</v>
      </c>
      <c r="B346" s="9" t="s">
        <v>40</v>
      </c>
      <c r="C346" s="10">
        <f t="shared" ref="C346:E346" si="17">SUM(C2:C344)</f>
        <v>361093</v>
      </c>
      <c r="D346" s="10">
        <f t="shared" si="17"/>
        <v>136068.22565126419</v>
      </c>
      <c r="E346" s="10">
        <f t="shared" si="17"/>
        <v>4095713</v>
      </c>
      <c r="F346" s="11">
        <f t="shared" si="10"/>
        <v>8.8163648185309862E-2</v>
      </c>
      <c r="G346" s="11">
        <f t="shared" si="11"/>
        <v>0.37682321632173482</v>
      </c>
      <c r="H346" s="11">
        <f t="shared" si="12"/>
        <v>3.3222109471846339E-2</v>
      </c>
      <c r="I346" s="10">
        <f t="shared" ref="I346:K346" si="18">SUM(I2:I344)</f>
        <v>615611</v>
      </c>
      <c r="J346" s="10">
        <f t="shared" si="18"/>
        <v>232510.00586163998</v>
      </c>
      <c r="K346" s="10">
        <f t="shared" si="18"/>
        <v>7032638</v>
      </c>
      <c r="L346" s="26">
        <f t="shared" si="14"/>
        <v>8.7536284392855143E-2</v>
      </c>
      <c r="M346" s="26">
        <f t="shared" si="15"/>
        <v>0.37768981688377884</v>
      </c>
      <c r="N346" s="26">
        <f t="shared" si="16"/>
        <v>3.3061563223023845E-2</v>
      </c>
      <c r="O346" s="14">
        <f t="shared" si="8"/>
        <v>1.0048559787611824</v>
      </c>
      <c r="P346" s="18"/>
      <c r="S346" s="6"/>
      <c r="V346" s="18"/>
      <c r="W346" s="18"/>
      <c r="X346" s="18"/>
      <c r="Y346" s="6"/>
      <c r="Z346" s="6"/>
      <c r="AA346" s="6"/>
      <c r="AB346" s="18"/>
      <c r="AC346" s="18"/>
      <c r="AD346" s="18"/>
      <c r="AE346" s="18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</row>
    <row r="347" spans="1:50">
      <c r="A347" s="16"/>
      <c r="B347" s="29"/>
      <c r="C347" s="16"/>
      <c r="D347" s="16"/>
      <c r="E347" s="16"/>
      <c r="F347" s="22"/>
      <c r="G347" s="22"/>
      <c r="H347" s="22"/>
      <c r="I347" s="16"/>
      <c r="J347" s="16"/>
      <c r="K347" s="16"/>
      <c r="L347" s="18"/>
      <c r="M347" s="18"/>
      <c r="N347" s="18"/>
      <c r="O347" s="18"/>
      <c r="P347" s="18"/>
      <c r="S347" s="6"/>
      <c r="V347" s="18"/>
      <c r="W347" s="18"/>
      <c r="X347" s="18"/>
      <c r="Y347" s="6"/>
      <c r="Z347" s="6"/>
      <c r="AA347" s="6"/>
      <c r="AB347" s="18"/>
      <c r="AC347" s="18"/>
      <c r="AD347" s="18"/>
      <c r="AE347" s="18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</row>
    <row r="348" spans="1:50">
      <c r="A348" s="16"/>
      <c r="B348" s="29"/>
      <c r="C348" s="16"/>
      <c r="D348" s="16"/>
      <c r="E348" s="16"/>
      <c r="F348" s="22"/>
      <c r="G348" s="22"/>
      <c r="H348" s="22"/>
      <c r="I348" s="16"/>
      <c r="J348" s="16"/>
      <c r="K348" s="16"/>
      <c r="L348" s="18"/>
      <c r="M348" s="18"/>
      <c r="N348" s="18"/>
      <c r="O348" s="18"/>
      <c r="P348" s="18"/>
      <c r="S348" s="6"/>
      <c r="V348" s="18"/>
      <c r="W348" s="18"/>
      <c r="X348" s="18"/>
      <c r="Y348" s="6"/>
      <c r="Z348" s="6"/>
      <c r="AA348" s="6"/>
      <c r="AB348" s="18"/>
      <c r="AC348" s="18"/>
      <c r="AD348" s="18"/>
      <c r="AE348" s="18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</row>
    <row r="349" spans="1:50">
      <c r="A349" s="16"/>
      <c r="B349" s="29"/>
      <c r="C349" s="16"/>
      <c r="D349" s="16"/>
      <c r="E349" s="16"/>
      <c r="F349" s="22"/>
      <c r="G349" s="22"/>
      <c r="H349" s="22"/>
      <c r="I349" s="16"/>
      <c r="J349" s="16"/>
      <c r="K349" s="16"/>
      <c r="L349" s="18"/>
      <c r="M349" s="18"/>
      <c r="N349" s="18"/>
      <c r="O349" s="18"/>
      <c r="P349" s="18"/>
      <c r="S349" s="6"/>
      <c r="V349" s="18"/>
      <c r="W349" s="18"/>
      <c r="X349" s="18"/>
      <c r="Y349" s="6"/>
      <c r="Z349" s="6"/>
      <c r="AA349" s="6"/>
      <c r="AB349" s="18"/>
      <c r="AC349" s="18"/>
      <c r="AD349" s="18"/>
      <c r="AE349" s="18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</row>
    <row r="350" spans="1:50">
      <c r="A350" s="16"/>
      <c r="B350" s="29"/>
      <c r="C350" s="16"/>
      <c r="D350" s="16"/>
      <c r="E350" s="16"/>
      <c r="F350" s="22"/>
      <c r="G350" s="22"/>
      <c r="H350" s="22"/>
      <c r="I350" s="16"/>
      <c r="J350" s="16"/>
      <c r="K350" s="16"/>
      <c r="L350" s="18"/>
      <c r="M350" s="18"/>
      <c r="N350" s="18"/>
      <c r="O350" s="18"/>
      <c r="P350" s="18"/>
      <c r="S350" s="6"/>
      <c r="V350" s="18"/>
      <c r="W350" s="18"/>
      <c r="X350" s="18"/>
      <c r="Y350" s="6"/>
      <c r="Z350" s="6"/>
      <c r="AA350" s="6"/>
      <c r="AB350" s="18"/>
      <c r="AC350" s="18"/>
      <c r="AD350" s="18"/>
      <c r="AE350" s="18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</row>
    <row r="351" spans="1:50">
      <c r="A351" s="16"/>
      <c r="B351" s="29"/>
      <c r="C351" s="16"/>
      <c r="D351" s="16"/>
      <c r="E351" s="16"/>
      <c r="F351" s="22"/>
      <c r="G351" s="22"/>
      <c r="H351" s="22"/>
      <c r="I351" s="16"/>
      <c r="J351" s="16"/>
      <c r="K351" s="16"/>
      <c r="L351" s="18"/>
      <c r="M351" s="18"/>
      <c r="N351" s="18"/>
      <c r="O351" s="18"/>
      <c r="P351" s="18"/>
      <c r="S351" s="6"/>
      <c r="V351" s="18"/>
      <c r="W351" s="18"/>
      <c r="X351" s="18"/>
      <c r="Y351" s="6"/>
      <c r="Z351" s="6"/>
      <c r="AA351" s="6"/>
      <c r="AB351" s="18"/>
      <c r="AC351" s="18"/>
      <c r="AD351" s="18"/>
      <c r="AE351" s="18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</row>
    <row r="352" spans="1:50">
      <c r="A352" s="16"/>
      <c r="B352" s="29"/>
      <c r="C352" s="16"/>
      <c r="D352" s="16"/>
      <c r="E352" s="16"/>
      <c r="F352" s="22"/>
      <c r="G352" s="22"/>
      <c r="H352" s="22"/>
      <c r="I352" s="16"/>
      <c r="J352" s="16"/>
      <c r="K352" s="16"/>
      <c r="L352" s="18"/>
      <c r="M352" s="18"/>
      <c r="N352" s="18"/>
      <c r="O352" s="18"/>
      <c r="P352" s="18"/>
      <c r="S352" s="6"/>
      <c r="V352" s="18"/>
      <c r="W352" s="18"/>
      <c r="X352" s="18"/>
      <c r="Y352" s="6"/>
      <c r="Z352" s="6"/>
      <c r="AA352" s="6"/>
      <c r="AB352" s="18"/>
      <c r="AC352" s="18"/>
      <c r="AD352" s="18"/>
      <c r="AE352" s="18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</row>
    <row r="353" spans="1:50">
      <c r="A353" s="16"/>
      <c r="B353" s="29"/>
      <c r="C353" s="16"/>
      <c r="D353" s="16"/>
      <c r="E353" s="16"/>
      <c r="F353" s="22"/>
      <c r="G353" s="22"/>
      <c r="H353" s="22"/>
      <c r="I353" s="16"/>
      <c r="J353" s="16"/>
      <c r="K353" s="16"/>
      <c r="L353" s="18"/>
      <c r="M353" s="18"/>
      <c r="N353" s="18"/>
      <c r="O353" s="18"/>
      <c r="P353" s="18"/>
      <c r="S353" s="6"/>
      <c r="V353" s="18"/>
      <c r="W353" s="18"/>
      <c r="X353" s="18"/>
      <c r="Y353" s="6"/>
      <c r="Z353" s="6"/>
      <c r="AA353" s="6"/>
      <c r="AB353" s="18"/>
      <c r="AC353" s="18"/>
      <c r="AD353" s="18"/>
      <c r="AE353" s="18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</row>
    <row r="354" spans="1:50">
      <c r="A354" s="16"/>
      <c r="B354" s="29"/>
      <c r="C354" s="16"/>
      <c r="D354" s="16"/>
      <c r="E354" s="16"/>
      <c r="F354" s="22"/>
      <c r="G354" s="22"/>
      <c r="H354" s="22"/>
      <c r="I354" s="16"/>
      <c r="J354" s="16"/>
      <c r="K354" s="16"/>
      <c r="L354" s="18"/>
      <c r="M354" s="18"/>
      <c r="N354" s="18"/>
      <c r="O354" s="18"/>
      <c r="P354" s="18"/>
      <c r="S354" s="6"/>
      <c r="V354" s="18"/>
      <c r="W354" s="18"/>
      <c r="X354" s="18"/>
      <c r="Y354" s="6"/>
      <c r="Z354" s="6"/>
      <c r="AA354" s="6"/>
      <c r="AB354" s="18"/>
      <c r="AC354" s="18"/>
      <c r="AD354" s="18"/>
      <c r="AE354" s="18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</row>
    <row r="355" spans="1:50">
      <c r="A355" s="16"/>
      <c r="B355" s="29"/>
      <c r="C355" s="16"/>
      <c r="D355" s="16"/>
      <c r="E355" s="16"/>
      <c r="F355" s="22"/>
      <c r="G355" s="22"/>
      <c r="H355" s="22"/>
      <c r="I355" s="16"/>
      <c r="J355" s="16"/>
      <c r="K355" s="16"/>
      <c r="L355" s="18"/>
      <c r="M355" s="18"/>
      <c r="N355" s="18"/>
      <c r="O355" s="18"/>
      <c r="P355" s="18"/>
      <c r="S355" s="6"/>
      <c r="V355" s="18"/>
      <c r="W355" s="18"/>
      <c r="X355" s="18"/>
      <c r="Y355" s="6"/>
      <c r="Z355" s="6"/>
      <c r="AA355" s="6"/>
      <c r="AB355" s="18"/>
      <c r="AC355" s="18"/>
      <c r="AD355" s="18"/>
      <c r="AE355" s="18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</row>
    <row r="356" spans="1:50">
      <c r="A356" s="16"/>
      <c r="B356" s="29"/>
      <c r="C356" s="16"/>
      <c r="D356" s="16"/>
      <c r="E356" s="16"/>
      <c r="F356" s="22"/>
      <c r="G356" s="22"/>
      <c r="H356" s="22"/>
      <c r="I356" s="16"/>
      <c r="J356" s="16"/>
      <c r="K356" s="16"/>
      <c r="L356" s="18"/>
      <c r="M356" s="18"/>
      <c r="N356" s="18"/>
      <c r="O356" s="18"/>
      <c r="P356" s="18"/>
      <c r="S356" s="6"/>
      <c r="V356" s="18"/>
      <c r="W356" s="18"/>
      <c r="X356" s="18"/>
      <c r="Y356" s="6"/>
      <c r="Z356" s="6"/>
      <c r="AA356" s="6"/>
      <c r="AB356" s="18"/>
      <c r="AC356" s="18"/>
      <c r="AD356" s="18"/>
      <c r="AE356" s="18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</row>
    <row r="357" spans="1:50">
      <c r="A357" s="16"/>
      <c r="B357" s="29"/>
      <c r="C357" s="16"/>
      <c r="D357" s="16"/>
      <c r="E357" s="16"/>
      <c r="F357" s="22"/>
      <c r="G357" s="22"/>
      <c r="H357" s="22"/>
      <c r="I357" s="16"/>
      <c r="J357" s="16"/>
      <c r="K357" s="16"/>
      <c r="L357" s="18"/>
      <c r="M357" s="18"/>
      <c r="N357" s="18"/>
      <c r="O357" s="18"/>
      <c r="P357" s="18"/>
      <c r="S357" s="6"/>
      <c r="V357" s="18"/>
      <c r="W357" s="18"/>
      <c r="X357" s="18"/>
      <c r="Y357" s="6"/>
      <c r="Z357" s="6"/>
      <c r="AA357" s="6"/>
      <c r="AB357" s="18"/>
      <c r="AC357" s="18"/>
      <c r="AD357" s="18"/>
      <c r="AE357" s="18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</row>
    <row r="358" spans="1:50">
      <c r="A358" s="16"/>
      <c r="B358" s="29"/>
      <c r="C358" s="16"/>
      <c r="D358" s="16"/>
      <c r="E358" s="16"/>
      <c r="F358" s="22"/>
      <c r="G358" s="22"/>
      <c r="H358" s="22"/>
      <c r="I358" s="16"/>
      <c r="J358" s="16"/>
      <c r="K358" s="16"/>
      <c r="L358" s="18"/>
      <c r="M358" s="18"/>
      <c r="N358" s="18"/>
      <c r="O358" s="18"/>
      <c r="P358" s="18"/>
      <c r="S358" s="6"/>
      <c r="V358" s="18"/>
      <c r="W358" s="18"/>
      <c r="X358" s="18"/>
      <c r="Y358" s="6"/>
      <c r="Z358" s="6"/>
      <c r="AA358" s="6"/>
      <c r="AB358" s="18"/>
      <c r="AC358" s="18"/>
      <c r="AD358" s="18"/>
      <c r="AE358" s="18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</row>
    <row r="359" spans="1:50">
      <c r="A359" s="16"/>
      <c r="B359" s="29"/>
      <c r="C359" s="16"/>
      <c r="D359" s="16"/>
      <c r="E359" s="16"/>
      <c r="F359" s="22"/>
      <c r="G359" s="22"/>
      <c r="H359" s="22"/>
      <c r="I359" s="16"/>
      <c r="J359" s="16"/>
      <c r="K359" s="16"/>
      <c r="L359" s="18"/>
      <c r="M359" s="18"/>
      <c r="N359" s="18"/>
      <c r="O359" s="18"/>
      <c r="P359" s="18"/>
      <c r="S359" s="6"/>
      <c r="V359" s="18"/>
      <c r="W359" s="18"/>
      <c r="X359" s="18"/>
      <c r="Y359" s="6"/>
      <c r="Z359" s="6"/>
      <c r="AA359" s="6"/>
      <c r="AB359" s="18"/>
      <c r="AC359" s="18"/>
      <c r="AD359" s="18"/>
      <c r="AE359" s="18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</row>
    <row r="360" spans="1:50">
      <c r="A360" s="16"/>
      <c r="B360" s="29"/>
      <c r="C360" s="16"/>
      <c r="D360" s="16"/>
      <c r="E360" s="16"/>
      <c r="F360" s="22"/>
      <c r="G360" s="22"/>
      <c r="H360" s="22"/>
      <c r="I360" s="16"/>
      <c r="J360" s="16"/>
      <c r="K360" s="16"/>
      <c r="L360" s="18"/>
      <c r="M360" s="18"/>
      <c r="N360" s="18"/>
      <c r="O360" s="18"/>
      <c r="P360" s="18"/>
      <c r="S360" s="6"/>
      <c r="V360" s="18"/>
      <c r="W360" s="18"/>
      <c r="X360" s="18"/>
      <c r="Y360" s="6"/>
      <c r="Z360" s="6"/>
      <c r="AA360" s="6"/>
      <c r="AB360" s="18"/>
      <c r="AC360" s="18"/>
      <c r="AD360" s="18"/>
      <c r="AE360" s="18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</row>
    <row r="361" spans="1:50">
      <c r="A361" s="16"/>
      <c r="B361" s="29"/>
      <c r="C361" s="16"/>
      <c r="D361" s="16"/>
      <c r="E361" s="16"/>
      <c r="F361" s="22"/>
      <c r="G361" s="22"/>
      <c r="H361" s="22"/>
      <c r="I361" s="16"/>
      <c r="J361" s="16"/>
      <c r="K361" s="16"/>
      <c r="L361" s="18"/>
      <c r="M361" s="18"/>
      <c r="N361" s="18"/>
      <c r="O361" s="18"/>
      <c r="P361" s="18"/>
      <c r="S361" s="6"/>
      <c r="V361" s="18"/>
      <c r="W361" s="18"/>
      <c r="X361" s="18"/>
      <c r="Y361" s="6"/>
      <c r="Z361" s="6"/>
      <c r="AA361" s="6"/>
      <c r="AB361" s="18"/>
      <c r="AC361" s="18"/>
      <c r="AD361" s="18"/>
      <c r="AE361" s="18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</row>
    <row r="362" spans="1:50">
      <c r="A362" s="16"/>
      <c r="B362" s="29"/>
      <c r="C362" s="16"/>
      <c r="D362" s="16"/>
      <c r="E362" s="16"/>
      <c r="F362" s="22"/>
      <c r="G362" s="22"/>
      <c r="H362" s="22"/>
      <c r="I362" s="16"/>
      <c r="J362" s="16"/>
      <c r="K362" s="16"/>
      <c r="L362" s="18"/>
      <c r="M362" s="18"/>
      <c r="N362" s="18"/>
      <c r="O362" s="18"/>
      <c r="P362" s="18"/>
      <c r="S362" s="6"/>
      <c r="V362" s="18"/>
      <c r="W362" s="18"/>
      <c r="X362" s="18"/>
      <c r="Y362" s="6"/>
      <c r="Z362" s="6"/>
      <c r="AA362" s="6"/>
      <c r="AB362" s="18"/>
      <c r="AC362" s="18"/>
      <c r="AD362" s="18"/>
      <c r="AE362" s="18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</row>
    <row r="363" spans="1:50">
      <c r="A363" s="16"/>
      <c r="B363" s="29"/>
      <c r="C363" s="16"/>
      <c r="D363" s="16"/>
      <c r="E363" s="16"/>
      <c r="F363" s="22"/>
      <c r="G363" s="22"/>
      <c r="H363" s="22"/>
      <c r="I363" s="16"/>
      <c r="J363" s="16"/>
      <c r="K363" s="16"/>
      <c r="L363" s="18"/>
      <c r="M363" s="18"/>
      <c r="N363" s="18"/>
      <c r="O363" s="18"/>
      <c r="P363" s="18"/>
      <c r="S363" s="6"/>
      <c r="V363" s="18"/>
      <c r="W363" s="18"/>
      <c r="X363" s="18"/>
      <c r="Y363" s="6"/>
      <c r="Z363" s="6"/>
      <c r="AA363" s="6"/>
      <c r="AB363" s="18"/>
      <c r="AC363" s="18"/>
      <c r="AD363" s="18"/>
      <c r="AE363" s="18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</row>
    <row r="364" spans="1:50">
      <c r="A364" s="16"/>
      <c r="B364" s="29"/>
      <c r="C364" s="16"/>
      <c r="D364" s="16"/>
      <c r="E364" s="16"/>
      <c r="F364" s="22"/>
      <c r="G364" s="22"/>
      <c r="H364" s="22"/>
      <c r="I364" s="16"/>
      <c r="J364" s="16"/>
      <c r="K364" s="16"/>
      <c r="L364" s="18"/>
      <c r="M364" s="18"/>
      <c r="N364" s="18"/>
      <c r="O364" s="18"/>
      <c r="P364" s="18"/>
      <c r="S364" s="6"/>
      <c r="V364" s="18"/>
      <c r="W364" s="18"/>
      <c r="X364" s="18"/>
      <c r="Y364" s="6"/>
      <c r="Z364" s="6"/>
      <c r="AA364" s="6"/>
      <c r="AB364" s="18"/>
      <c r="AC364" s="18"/>
      <c r="AD364" s="18"/>
      <c r="AE364" s="18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</row>
    <row r="365" spans="1:50">
      <c r="A365" s="16"/>
      <c r="B365" s="29"/>
      <c r="C365" s="16"/>
      <c r="D365" s="16"/>
      <c r="E365" s="16"/>
      <c r="F365" s="22"/>
      <c r="G365" s="22"/>
      <c r="H365" s="22"/>
      <c r="I365" s="16"/>
      <c r="J365" s="16"/>
      <c r="K365" s="16"/>
      <c r="L365" s="18"/>
      <c r="M365" s="18"/>
      <c r="N365" s="18"/>
      <c r="O365" s="18"/>
      <c r="P365" s="18"/>
      <c r="S365" s="6"/>
      <c r="V365" s="18"/>
      <c r="W365" s="18"/>
      <c r="X365" s="18"/>
      <c r="Y365" s="6"/>
      <c r="Z365" s="6"/>
      <c r="AA365" s="6"/>
      <c r="AB365" s="18"/>
      <c r="AC365" s="18"/>
      <c r="AD365" s="18"/>
      <c r="AE365" s="18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</row>
    <row r="366" spans="1:50">
      <c r="A366" s="16"/>
      <c r="B366" s="29"/>
      <c r="C366" s="16"/>
      <c r="D366" s="16"/>
      <c r="E366" s="16"/>
      <c r="F366" s="22"/>
      <c r="G366" s="22"/>
      <c r="H366" s="22"/>
      <c r="I366" s="16"/>
      <c r="J366" s="16"/>
      <c r="K366" s="16"/>
      <c r="L366" s="18"/>
      <c r="M366" s="18"/>
      <c r="N366" s="18"/>
      <c r="O366" s="18"/>
      <c r="P366" s="18"/>
      <c r="S366" s="6"/>
      <c r="V366" s="18"/>
      <c r="W366" s="18"/>
      <c r="X366" s="18"/>
      <c r="Y366" s="6"/>
      <c r="Z366" s="6"/>
      <c r="AA366" s="6"/>
      <c r="AB366" s="18"/>
      <c r="AC366" s="18"/>
      <c r="AD366" s="18"/>
      <c r="AE366" s="18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</row>
    <row r="367" spans="1:50">
      <c r="A367" s="16"/>
      <c r="B367" s="29"/>
      <c r="C367" s="16"/>
      <c r="D367" s="16"/>
      <c r="E367" s="16"/>
      <c r="F367" s="22"/>
      <c r="G367" s="22"/>
      <c r="H367" s="22"/>
      <c r="I367" s="16"/>
      <c r="J367" s="16"/>
      <c r="K367" s="16"/>
      <c r="L367" s="18"/>
      <c r="M367" s="18"/>
      <c r="N367" s="18"/>
      <c r="O367" s="18"/>
      <c r="P367" s="18"/>
      <c r="S367" s="6"/>
      <c r="V367" s="18"/>
      <c r="W367" s="18"/>
      <c r="X367" s="18"/>
      <c r="Y367" s="6"/>
      <c r="Z367" s="6"/>
      <c r="AA367" s="6"/>
      <c r="AB367" s="18"/>
      <c r="AC367" s="18"/>
      <c r="AD367" s="18"/>
      <c r="AE367" s="18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</row>
    <row r="368" spans="1:50">
      <c r="A368" s="16"/>
      <c r="B368" s="29"/>
      <c r="C368" s="16"/>
      <c r="D368" s="16"/>
      <c r="E368" s="16"/>
      <c r="F368" s="22"/>
      <c r="G368" s="22"/>
      <c r="H368" s="22"/>
      <c r="I368" s="16"/>
      <c r="J368" s="16"/>
      <c r="K368" s="16"/>
      <c r="L368" s="18"/>
      <c r="M368" s="18"/>
      <c r="N368" s="18"/>
      <c r="O368" s="18"/>
      <c r="P368" s="18"/>
      <c r="S368" s="6"/>
      <c r="V368" s="18"/>
      <c r="W368" s="18"/>
      <c r="X368" s="18"/>
      <c r="Y368" s="6"/>
      <c r="Z368" s="6"/>
      <c r="AA368" s="6"/>
      <c r="AB368" s="18"/>
      <c r="AC368" s="18"/>
      <c r="AD368" s="18"/>
      <c r="AE368" s="18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</row>
    <row r="369" spans="1:50">
      <c r="A369" s="16"/>
      <c r="B369" s="29"/>
      <c r="C369" s="16"/>
      <c r="D369" s="16"/>
      <c r="E369" s="16"/>
      <c r="F369" s="22"/>
      <c r="G369" s="22"/>
      <c r="H369" s="22"/>
      <c r="I369" s="16"/>
      <c r="J369" s="16"/>
      <c r="K369" s="16"/>
      <c r="L369" s="18"/>
      <c r="M369" s="18"/>
      <c r="N369" s="18"/>
      <c r="O369" s="18"/>
      <c r="P369" s="18"/>
      <c r="S369" s="6"/>
      <c r="V369" s="18"/>
      <c r="W369" s="18"/>
      <c r="X369" s="18"/>
      <c r="Y369" s="6"/>
      <c r="Z369" s="6"/>
      <c r="AA369" s="6"/>
      <c r="AB369" s="18"/>
      <c r="AC369" s="18"/>
      <c r="AD369" s="18"/>
      <c r="AE369" s="18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</row>
    <row r="370" spans="1:50">
      <c r="A370" s="16"/>
      <c r="B370" s="29"/>
      <c r="C370" s="16"/>
      <c r="D370" s="16"/>
      <c r="E370" s="16"/>
      <c r="F370" s="22"/>
      <c r="G370" s="22"/>
      <c r="H370" s="22"/>
      <c r="I370" s="16"/>
      <c r="J370" s="16"/>
      <c r="K370" s="16"/>
      <c r="L370" s="18"/>
      <c r="M370" s="18"/>
      <c r="N370" s="18"/>
      <c r="O370" s="18"/>
      <c r="P370" s="18"/>
      <c r="S370" s="6"/>
      <c r="V370" s="18"/>
      <c r="W370" s="18"/>
      <c r="X370" s="18"/>
      <c r="Y370" s="6"/>
      <c r="Z370" s="6"/>
      <c r="AA370" s="6"/>
      <c r="AB370" s="18"/>
      <c r="AC370" s="18"/>
      <c r="AD370" s="18"/>
      <c r="AE370" s="18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</row>
    <row r="371" spans="1:50">
      <c r="A371" s="16"/>
      <c r="B371" s="29"/>
      <c r="C371" s="16"/>
      <c r="D371" s="16"/>
      <c r="E371" s="16"/>
      <c r="F371" s="22"/>
      <c r="G371" s="22"/>
      <c r="H371" s="22"/>
      <c r="I371" s="16"/>
      <c r="J371" s="16"/>
      <c r="K371" s="16"/>
      <c r="L371" s="18"/>
      <c r="M371" s="18"/>
      <c r="N371" s="18"/>
      <c r="O371" s="18"/>
      <c r="P371" s="18"/>
      <c r="S371" s="6"/>
      <c r="V371" s="18"/>
      <c r="W371" s="18"/>
      <c r="X371" s="18"/>
      <c r="Y371" s="6"/>
      <c r="Z371" s="6"/>
      <c r="AA371" s="6"/>
      <c r="AB371" s="18"/>
      <c r="AC371" s="18"/>
      <c r="AD371" s="18"/>
      <c r="AE371" s="18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</row>
    <row r="372" spans="1:50">
      <c r="A372" s="16"/>
      <c r="B372" s="29"/>
      <c r="C372" s="16"/>
      <c r="D372" s="16"/>
      <c r="E372" s="16"/>
      <c r="F372" s="22"/>
      <c r="G372" s="22"/>
      <c r="H372" s="22"/>
      <c r="I372" s="16"/>
      <c r="J372" s="16"/>
      <c r="K372" s="16"/>
      <c r="L372" s="18"/>
      <c r="M372" s="18"/>
      <c r="N372" s="18"/>
      <c r="O372" s="18"/>
      <c r="P372" s="18"/>
      <c r="S372" s="6"/>
      <c r="V372" s="18"/>
      <c r="W372" s="18"/>
      <c r="X372" s="18"/>
      <c r="Y372" s="6"/>
      <c r="Z372" s="6"/>
      <c r="AA372" s="6"/>
      <c r="AB372" s="18"/>
      <c r="AC372" s="18"/>
      <c r="AD372" s="18"/>
      <c r="AE372" s="18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</row>
    <row r="373" spans="1:50">
      <c r="A373" s="16"/>
      <c r="B373" s="29"/>
      <c r="C373" s="16"/>
      <c r="D373" s="16"/>
      <c r="E373" s="16"/>
      <c r="F373" s="22"/>
      <c r="G373" s="22"/>
      <c r="H373" s="22"/>
      <c r="I373" s="16"/>
      <c r="J373" s="16"/>
      <c r="K373" s="16"/>
      <c r="L373" s="18"/>
      <c r="M373" s="18"/>
      <c r="N373" s="18"/>
      <c r="O373" s="18"/>
      <c r="P373" s="18"/>
      <c r="S373" s="6"/>
      <c r="V373" s="18"/>
      <c r="W373" s="18"/>
      <c r="X373" s="18"/>
      <c r="Y373" s="6"/>
      <c r="Z373" s="6"/>
      <c r="AA373" s="6"/>
      <c r="AB373" s="18"/>
      <c r="AC373" s="18"/>
      <c r="AD373" s="18"/>
      <c r="AE373" s="18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</row>
    <row r="374" spans="1:50">
      <c r="A374" s="16"/>
      <c r="B374" s="29"/>
      <c r="C374" s="16"/>
      <c r="D374" s="16"/>
      <c r="E374" s="16"/>
      <c r="F374" s="22"/>
      <c r="G374" s="22"/>
      <c r="H374" s="22"/>
      <c r="I374" s="16"/>
      <c r="J374" s="16"/>
      <c r="K374" s="16"/>
      <c r="L374" s="18"/>
      <c r="M374" s="18"/>
      <c r="N374" s="18"/>
      <c r="O374" s="18"/>
      <c r="P374" s="18"/>
      <c r="S374" s="6"/>
      <c r="V374" s="18"/>
      <c r="W374" s="18"/>
      <c r="X374" s="18"/>
      <c r="Y374" s="6"/>
      <c r="Z374" s="6"/>
      <c r="AA374" s="6"/>
      <c r="AB374" s="18"/>
      <c r="AC374" s="18"/>
      <c r="AD374" s="18"/>
      <c r="AE374" s="18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</row>
    <row r="375" spans="1:50">
      <c r="A375" s="16"/>
      <c r="B375" s="29"/>
      <c r="C375" s="16"/>
      <c r="D375" s="16"/>
      <c r="E375" s="16"/>
      <c r="F375" s="22"/>
      <c r="G375" s="22"/>
      <c r="H375" s="22"/>
      <c r="I375" s="16"/>
      <c r="J375" s="16"/>
      <c r="K375" s="16"/>
      <c r="L375" s="18"/>
      <c r="M375" s="18"/>
      <c r="N375" s="18"/>
      <c r="O375" s="18"/>
      <c r="P375" s="18"/>
      <c r="S375" s="6"/>
      <c r="V375" s="18"/>
      <c r="W375" s="18"/>
      <c r="X375" s="18"/>
      <c r="Y375" s="6"/>
      <c r="Z375" s="6"/>
      <c r="AA375" s="6"/>
      <c r="AB375" s="18"/>
      <c r="AC375" s="18"/>
      <c r="AD375" s="18"/>
      <c r="AE375" s="18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</row>
    <row r="376" spans="1:50">
      <c r="A376" s="16"/>
      <c r="B376" s="29"/>
      <c r="C376" s="16"/>
      <c r="D376" s="16"/>
      <c r="E376" s="16"/>
      <c r="F376" s="22"/>
      <c r="G376" s="22"/>
      <c r="H376" s="22"/>
      <c r="I376" s="16"/>
      <c r="J376" s="16"/>
      <c r="K376" s="16"/>
      <c r="L376" s="18"/>
      <c r="M376" s="18"/>
      <c r="N376" s="18"/>
      <c r="O376" s="18"/>
      <c r="P376" s="18"/>
      <c r="S376" s="6"/>
      <c r="V376" s="18"/>
      <c r="W376" s="18"/>
      <c r="X376" s="18"/>
      <c r="Y376" s="6"/>
      <c r="Z376" s="6"/>
      <c r="AA376" s="6"/>
      <c r="AB376" s="18"/>
      <c r="AC376" s="18"/>
      <c r="AD376" s="18"/>
      <c r="AE376" s="18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</row>
    <row r="377" spans="1:50">
      <c r="A377" s="16"/>
      <c r="B377" s="29"/>
      <c r="C377" s="16"/>
      <c r="D377" s="16"/>
      <c r="E377" s="16"/>
      <c r="F377" s="22"/>
      <c r="G377" s="22"/>
      <c r="H377" s="22"/>
      <c r="I377" s="16"/>
      <c r="J377" s="16"/>
      <c r="K377" s="16"/>
      <c r="L377" s="18"/>
      <c r="M377" s="18"/>
      <c r="N377" s="18"/>
      <c r="O377" s="18"/>
      <c r="P377" s="18"/>
      <c r="S377" s="6"/>
      <c r="V377" s="18"/>
      <c r="W377" s="18"/>
      <c r="X377" s="18"/>
      <c r="Y377" s="6"/>
      <c r="Z377" s="6"/>
      <c r="AA377" s="6"/>
      <c r="AB377" s="18"/>
      <c r="AC377" s="18"/>
      <c r="AD377" s="18"/>
      <c r="AE377" s="18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</row>
    <row r="378" spans="1:50">
      <c r="A378" s="16"/>
      <c r="B378" s="29"/>
      <c r="C378" s="16"/>
      <c r="D378" s="16"/>
      <c r="E378" s="16"/>
      <c r="F378" s="22"/>
      <c r="G378" s="22"/>
      <c r="H378" s="22"/>
      <c r="I378" s="16"/>
      <c r="J378" s="16"/>
      <c r="K378" s="16"/>
      <c r="L378" s="18"/>
      <c r="M378" s="18"/>
      <c r="N378" s="18"/>
      <c r="O378" s="18"/>
      <c r="P378" s="18"/>
      <c r="S378" s="6"/>
      <c r="V378" s="18"/>
      <c r="W378" s="18"/>
      <c r="X378" s="18"/>
      <c r="Y378" s="6"/>
      <c r="Z378" s="6"/>
      <c r="AA378" s="6"/>
      <c r="AB378" s="18"/>
      <c r="AC378" s="18"/>
      <c r="AD378" s="18"/>
      <c r="AE378" s="18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</row>
    <row r="379" spans="1:50">
      <c r="A379" s="16"/>
      <c r="B379" s="29"/>
      <c r="C379" s="16"/>
      <c r="D379" s="16"/>
      <c r="E379" s="16"/>
      <c r="F379" s="22"/>
      <c r="G379" s="22"/>
      <c r="H379" s="22"/>
      <c r="I379" s="16"/>
      <c r="J379" s="16"/>
      <c r="K379" s="16"/>
      <c r="L379" s="18"/>
      <c r="M379" s="18"/>
      <c r="N379" s="18"/>
      <c r="O379" s="18"/>
      <c r="P379" s="18"/>
      <c r="S379" s="6"/>
      <c r="V379" s="18"/>
      <c r="W379" s="18"/>
      <c r="X379" s="18"/>
      <c r="Y379" s="6"/>
      <c r="Z379" s="6"/>
      <c r="AA379" s="6"/>
      <c r="AB379" s="18"/>
      <c r="AC379" s="18"/>
      <c r="AD379" s="18"/>
      <c r="AE379" s="18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</row>
    <row r="380" spans="1:50">
      <c r="A380" s="16"/>
      <c r="B380" s="29"/>
      <c r="C380" s="16"/>
      <c r="D380" s="16"/>
      <c r="E380" s="16"/>
      <c r="F380" s="22"/>
      <c r="G380" s="22"/>
      <c r="H380" s="22"/>
      <c r="I380" s="16"/>
      <c r="J380" s="16"/>
      <c r="K380" s="16"/>
      <c r="L380" s="18"/>
      <c r="M380" s="18"/>
      <c r="N380" s="18"/>
      <c r="O380" s="18"/>
      <c r="P380" s="18"/>
      <c r="S380" s="6"/>
      <c r="V380" s="18"/>
      <c r="W380" s="18"/>
      <c r="X380" s="18"/>
      <c r="Y380" s="6"/>
      <c r="Z380" s="6"/>
      <c r="AA380" s="6"/>
      <c r="AB380" s="18"/>
      <c r="AC380" s="18"/>
      <c r="AD380" s="18"/>
      <c r="AE380" s="18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</row>
    <row r="381" spans="1:50">
      <c r="A381" s="16"/>
      <c r="B381" s="29"/>
      <c r="C381" s="16"/>
      <c r="D381" s="16"/>
      <c r="E381" s="16"/>
      <c r="F381" s="22"/>
      <c r="G381" s="22"/>
      <c r="H381" s="22"/>
      <c r="I381" s="16"/>
      <c r="J381" s="16"/>
      <c r="K381" s="16"/>
      <c r="L381" s="18"/>
      <c r="M381" s="18"/>
      <c r="N381" s="18"/>
      <c r="O381" s="18"/>
      <c r="P381" s="18"/>
      <c r="S381" s="6"/>
      <c r="V381" s="18"/>
      <c r="W381" s="18"/>
      <c r="X381" s="18"/>
      <c r="Y381" s="6"/>
      <c r="Z381" s="6"/>
      <c r="AA381" s="6"/>
      <c r="AB381" s="18"/>
      <c r="AC381" s="18"/>
      <c r="AD381" s="18"/>
      <c r="AE381" s="18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</row>
    <row r="382" spans="1:50">
      <c r="A382" s="16"/>
      <c r="B382" s="29"/>
      <c r="C382" s="16"/>
      <c r="D382" s="16"/>
      <c r="E382" s="16"/>
      <c r="F382" s="22"/>
      <c r="G382" s="22"/>
      <c r="H382" s="22"/>
      <c r="I382" s="16"/>
      <c r="J382" s="16"/>
      <c r="K382" s="16"/>
      <c r="L382" s="18"/>
      <c r="M382" s="18"/>
      <c r="N382" s="18"/>
      <c r="O382" s="18"/>
      <c r="P382" s="18"/>
      <c r="S382" s="6"/>
      <c r="V382" s="18"/>
      <c r="W382" s="18"/>
      <c r="X382" s="18"/>
      <c r="Y382" s="6"/>
      <c r="Z382" s="6"/>
      <c r="AA382" s="6"/>
      <c r="AB382" s="18"/>
      <c r="AC382" s="18"/>
      <c r="AD382" s="18"/>
      <c r="AE382" s="18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</row>
    <row r="383" spans="1:50">
      <c r="A383" s="16"/>
      <c r="B383" s="29"/>
      <c r="C383" s="16"/>
      <c r="D383" s="16"/>
      <c r="E383" s="16"/>
      <c r="F383" s="22"/>
      <c r="G383" s="22"/>
      <c r="H383" s="22"/>
      <c r="I383" s="16"/>
      <c r="J383" s="16"/>
      <c r="K383" s="16"/>
      <c r="L383" s="18"/>
      <c r="M383" s="18"/>
      <c r="N383" s="18"/>
      <c r="O383" s="18"/>
      <c r="P383" s="18"/>
      <c r="S383" s="6"/>
      <c r="V383" s="18"/>
      <c r="W383" s="18"/>
      <c r="X383" s="18"/>
      <c r="Y383" s="6"/>
      <c r="Z383" s="6"/>
      <c r="AA383" s="6"/>
      <c r="AB383" s="18"/>
      <c r="AC383" s="18"/>
      <c r="AD383" s="18"/>
      <c r="AE383" s="18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</row>
    <row r="384" spans="1:50">
      <c r="A384" s="16"/>
      <c r="B384" s="29"/>
      <c r="C384" s="16"/>
      <c r="D384" s="16"/>
      <c r="E384" s="16"/>
      <c r="F384" s="22"/>
      <c r="G384" s="22"/>
      <c r="H384" s="22"/>
      <c r="I384" s="16"/>
      <c r="J384" s="16"/>
      <c r="K384" s="16"/>
      <c r="L384" s="18"/>
      <c r="M384" s="18"/>
      <c r="N384" s="18"/>
      <c r="O384" s="18"/>
      <c r="P384" s="18"/>
      <c r="S384" s="6"/>
      <c r="V384" s="18"/>
      <c r="W384" s="18"/>
      <c r="X384" s="18"/>
      <c r="Y384" s="6"/>
      <c r="Z384" s="6"/>
      <c r="AA384" s="6"/>
      <c r="AB384" s="18"/>
      <c r="AC384" s="18"/>
      <c r="AD384" s="18"/>
      <c r="AE384" s="18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</row>
    <row r="385" spans="1:50">
      <c r="A385" s="16"/>
      <c r="B385" s="29"/>
      <c r="C385" s="16"/>
      <c r="D385" s="16"/>
      <c r="E385" s="16"/>
      <c r="F385" s="22"/>
      <c r="G385" s="22"/>
      <c r="H385" s="22"/>
      <c r="I385" s="16"/>
      <c r="J385" s="16"/>
      <c r="K385" s="16"/>
      <c r="L385" s="18"/>
      <c r="M385" s="18"/>
      <c r="N385" s="18"/>
      <c r="O385" s="18"/>
      <c r="P385" s="18"/>
      <c r="S385" s="6"/>
      <c r="V385" s="18"/>
      <c r="W385" s="18"/>
      <c r="X385" s="18"/>
      <c r="Y385" s="6"/>
      <c r="Z385" s="6"/>
      <c r="AA385" s="6"/>
      <c r="AB385" s="18"/>
      <c r="AC385" s="18"/>
      <c r="AD385" s="18"/>
      <c r="AE385" s="18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</row>
    <row r="386" spans="1:50">
      <c r="A386" s="16"/>
      <c r="B386" s="29"/>
      <c r="C386" s="16"/>
      <c r="D386" s="16"/>
      <c r="E386" s="16"/>
      <c r="F386" s="22"/>
      <c r="G386" s="22"/>
      <c r="H386" s="22"/>
      <c r="I386" s="16"/>
      <c r="J386" s="16"/>
      <c r="K386" s="16"/>
      <c r="L386" s="18"/>
      <c r="M386" s="18"/>
      <c r="N386" s="18"/>
      <c r="O386" s="18"/>
      <c r="P386" s="18"/>
      <c r="S386" s="6"/>
      <c r="V386" s="18"/>
      <c r="W386" s="18"/>
      <c r="X386" s="18"/>
      <c r="Y386" s="6"/>
      <c r="Z386" s="6"/>
      <c r="AA386" s="6"/>
      <c r="AB386" s="18"/>
      <c r="AC386" s="18"/>
      <c r="AD386" s="18"/>
      <c r="AE386" s="18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</row>
    <row r="387" spans="1:50">
      <c r="A387" s="16"/>
      <c r="B387" s="29"/>
      <c r="C387" s="16"/>
      <c r="D387" s="16"/>
      <c r="E387" s="16"/>
      <c r="F387" s="22"/>
      <c r="G387" s="22"/>
      <c r="H387" s="22"/>
      <c r="I387" s="16"/>
      <c r="J387" s="16"/>
      <c r="K387" s="16"/>
      <c r="L387" s="18"/>
      <c r="M387" s="18"/>
      <c r="N387" s="18"/>
      <c r="O387" s="18"/>
      <c r="P387" s="18"/>
      <c r="S387" s="6"/>
      <c r="V387" s="18"/>
      <c r="W387" s="18"/>
      <c r="X387" s="18"/>
      <c r="Y387" s="6"/>
      <c r="Z387" s="6"/>
      <c r="AA387" s="6"/>
      <c r="AB387" s="18"/>
      <c r="AC387" s="18"/>
      <c r="AD387" s="18"/>
      <c r="AE387" s="18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</row>
    <row r="388" spans="1:50">
      <c r="A388" s="16"/>
      <c r="B388" s="29"/>
      <c r="C388" s="16"/>
      <c r="D388" s="16"/>
      <c r="E388" s="16"/>
      <c r="F388" s="22"/>
      <c r="G388" s="22"/>
      <c r="H388" s="22"/>
      <c r="I388" s="16"/>
      <c r="J388" s="16"/>
      <c r="K388" s="16"/>
      <c r="L388" s="18"/>
      <c r="M388" s="18"/>
      <c r="N388" s="18"/>
      <c r="O388" s="18"/>
      <c r="P388" s="18"/>
      <c r="S388" s="6"/>
      <c r="V388" s="18"/>
      <c r="W388" s="18"/>
      <c r="X388" s="18"/>
      <c r="Y388" s="6"/>
      <c r="Z388" s="6"/>
      <c r="AA388" s="6"/>
      <c r="AB388" s="18"/>
      <c r="AC388" s="18"/>
      <c r="AD388" s="18"/>
      <c r="AE388" s="18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</row>
    <row r="389" spans="1:50">
      <c r="A389" s="16"/>
      <c r="B389" s="29"/>
      <c r="C389" s="16"/>
      <c r="D389" s="16"/>
      <c r="E389" s="16"/>
      <c r="F389" s="22"/>
      <c r="G389" s="22"/>
      <c r="H389" s="22"/>
      <c r="I389" s="16"/>
      <c r="J389" s="16"/>
      <c r="K389" s="16"/>
      <c r="L389" s="18"/>
      <c r="M389" s="18"/>
      <c r="N389" s="18"/>
      <c r="O389" s="18"/>
      <c r="P389" s="18"/>
      <c r="S389" s="6"/>
      <c r="V389" s="18"/>
      <c r="W389" s="18"/>
      <c r="X389" s="18"/>
      <c r="Y389" s="6"/>
      <c r="Z389" s="6"/>
      <c r="AA389" s="6"/>
      <c r="AB389" s="18"/>
      <c r="AC389" s="18"/>
      <c r="AD389" s="18"/>
      <c r="AE389" s="18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</row>
    <row r="390" spans="1:50">
      <c r="A390" s="16"/>
      <c r="B390" s="29"/>
      <c r="C390" s="16"/>
      <c r="D390" s="16"/>
      <c r="E390" s="16"/>
      <c r="F390" s="22"/>
      <c r="G390" s="22"/>
      <c r="H390" s="22"/>
      <c r="I390" s="16"/>
      <c r="J390" s="16"/>
      <c r="K390" s="16"/>
      <c r="L390" s="18"/>
      <c r="M390" s="18"/>
      <c r="N390" s="18"/>
      <c r="O390" s="18"/>
      <c r="P390" s="18"/>
      <c r="S390" s="6"/>
      <c r="V390" s="18"/>
      <c r="W390" s="18"/>
      <c r="X390" s="18"/>
      <c r="Y390" s="6"/>
      <c r="Z390" s="6"/>
      <c r="AA390" s="6"/>
      <c r="AB390" s="18"/>
      <c r="AC390" s="18"/>
      <c r="AD390" s="18"/>
      <c r="AE390" s="18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</row>
    <row r="391" spans="1:50">
      <c r="A391" s="16"/>
      <c r="B391" s="29"/>
      <c r="C391" s="16"/>
      <c r="D391" s="16"/>
      <c r="E391" s="16"/>
      <c r="F391" s="22"/>
      <c r="G391" s="22"/>
      <c r="H391" s="22"/>
      <c r="I391" s="16"/>
      <c r="J391" s="16"/>
      <c r="K391" s="16"/>
      <c r="L391" s="18"/>
      <c r="M391" s="18"/>
      <c r="N391" s="18"/>
      <c r="O391" s="18"/>
      <c r="P391" s="18"/>
      <c r="S391" s="6"/>
      <c r="V391" s="18"/>
      <c r="W391" s="18"/>
      <c r="X391" s="18"/>
      <c r="Y391" s="6"/>
      <c r="Z391" s="6"/>
      <c r="AA391" s="6"/>
      <c r="AB391" s="18"/>
      <c r="AC391" s="18"/>
      <c r="AD391" s="18"/>
      <c r="AE391" s="18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</row>
    <row r="392" spans="1:50">
      <c r="A392" s="16"/>
      <c r="B392" s="29"/>
      <c r="C392" s="16"/>
      <c r="D392" s="16"/>
      <c r="E392" s="16"/>
      <c r="F392" s="22"/>
      <c r="G392" s="22"/>
      <c r="H392" s="22"/>
      <c r="I392" s="16"/>
      <c r="J392" s="16"/>
      <c r="K392" s="16"/>
      <c r="L392" s="18"/>
      <c r="M392" s="18"/>
      <c r="N392" s="18"/>
      <c r="O392" s="18"/>
      <c r="P392" s="18"/>
      <c r="S392" s="6"/>
      <c r="V392" s="18"/>
      <c r="W392" s="18"/>
      <c r="X392" s="18"/>
      <c r="Y392" s="6"/>
      <c r="Z392" s="6"/>
      <c r="AA392" s="6"/>
      <c r="AB392" s="18"/>
      <c r="AC392" s="18"/>
      <c r="AD392" s="18"/>
      <c r="AE392" s="18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</row>
    <row r="393" spans="1:50">
      <c r="A393" s="16"/>
      <c r="B393" s="29"/>
      <c r="C393" s="16"/>
      <c r="D393" s="16"/>
      <c r="E393" s="16"/>
      <c r="F393" s="22"/>
      <c r="G393" s="22"/>
      <c r="H393" s="22"/>
      <c r="I393" s="16"/>
      <c r="J393" s="16"/>
      <c r="K393" s="16"/>
      <c r="L393" s="18"/>
      <c r="M393" s="18"/>
      <c r="N393" s="18"/>
      <c r="O393" s="18"/>
      <c r="P393" s="18"/>
      <c r="S393" s="6"/>
      <c r="V393" s="18"/>
      <c r="W393" s="18"/>
      <c r="X393" s="18"/>
      <c r="Y393" s="6"/>
      <c r="Z393" s="6"/>
      <c r="AA393" s="6"/>
      <c r="AB393" s="18"/>
      <c r="AC393" s="18"/>
      <c r="AD393" s="18"/>
      <c r="AE393" s="18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</row>
    <row r="394" spans="1:50">
      <c r="A394" s="16"/>
      <c r="B394" s="29"/>
      <c r="C394" s="16"/>
      <c r="D394" s="16"/>
      <c r="E394" s="16"/>
      <c r="F394" s="22"/>
      <c r="G394" s="22"/>
      <c r="H394" s="22"/>
      <c r="I394" s="16"/>
      <c r="J394" s="16"/>
      <c r="K394" s="16"/>
      <c r="L394" s="18"/>
      <c r="M394" s="18"/>
      <c r="N394" s="18"/>
      <c r="O394" s="18"/>
      <c r="P394" s="18"/>
      <c r="S394" s="6"/>
      <c r="V394" s="18"/>
      <c r="W394" s="18"/>
      <c r="X394" s="18"/>
      <c r="Y394" s="6"/>
      <c r="Z394" s="6"/>
      <c r="AA394" s="6"/>
      <c r="AB394" s="18"/>
      <c r="AC394" s="18"/>
      <c r="AD394" s="18"/>
      <c r="AE394" s="18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</row>
    <row r="395" spans="1:50">
      <c r="A395" s="16"/>
      <c r="B395" s="29"/>
      <c r="C395" s="16"/>
      <c r="D395" s="16"/>
      <c r="E395" s="16"/>
      <c r="F395" s="22"/>
      <c r="G395" s="22"/>
      <c r="H395" s="22"/>
      <c r="I395" s="16"/>
      <c r="J395" s="16"/>
      <c r="K395" s="16"/>
      <c r="L395" s="18"/>
      <c r="M395" s="18"/>
      <c r="N395" s="18"/>
      <c r="O395" s="18"/>
      <c r="P395" s="18"/>
      <c r="S395" s="6"/>
      <c r="V395" s="18"/>
      <c r="W395" s="18"/>
      <c r="X395" s="18"/>
      <c r="Y395" s="6"/>
      <c r="Z395" s="6"/>
      <c r="AA395" s="6"/>
      <c r="AB395" s="18"/>
      <c r="AC395" s="18"/>
      <c r="AD395" s="18"/>
      <c r="AE395" s="18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</row>
    <row r="396" spans="1:50">
      <c r="A396" s="16"/>
      <c r="B396" s="29"/>
      <c r="C396" s="16"/>
      <c r="D396" s="16"/>
      <c r="E396" s="16"/>
      <c r="F396" s="22"/>
      <c r="G396" s="22"/>
      <c r="H396" s="22"/>
      <c r="I396" s="16"/>
      <c r="J396" s="16"/>
      <c r="K396" s="16"/>
      <c r="L396" s="18"/>
      <c r="M396" s="18"/>
      <c r="N396" s="18"/>
      <c r="O396" s="18"/>
      <c r="P396" s="18"/>
      <c r="S396" s="6"/>
      <c r="V396" s="18"/>
      <c r="W396" s="18"/>
      <c r="X396" s="18"/>
      <c r="Y396" s="6"/>
      <c r="Z396" s="6"/>
      <c r="AA396" s="6"/>
      <c r="AB396" s="18"/>
      <c r="AC396" s="18"/>
      <c r="AD396" s="18"/>
      <c r="AE396" s="18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</row>
    <row r="397" spans="1:50">
      <c r="A397" s="16"/>
      <c r="B397" s="29"/>
      <c r="C397" s="16"/>
      <c r="D397" s="16"/>
      <c r="E397" s="16"/>
      <c r="F397" s="22"/>
      <c r="G397" s="22"/>
      <c r="H397" s="22"/>
      <c r="I397" s="16"/>
      <c r="J397" s="16"/>
      <c r="K397" s="16"/>
      <c r="L397" s="18"/>
      <c r="M397" s="18"/>
      <c r="N397" s="18"/>
      <c r="O397" s="18"/>
      <c r="P397" s="18"/>
      <c r="S397" s="6"/>
      <c r="V397" s="18"/>
      <c r="W397" s="18"/>
      <c r="X397" s="18"/>
      <c r="Y397" s="6"/>
      <c r="Z397" s="6"/>
      <c r="AA397" s="6"/>
      <c r="AB397" s="18"/>
      <c r="AC397" s="18"/>
      <c r="AD397" s="18"/>
      <c r="AE397" s="18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</row>
    <row r="398" spans="1:50">
      <c r="A398" s="16"/>
      <c r="B398" s="29"/>
      <c r="C398" s="16"/>
      <c r="D398" s="16"/>
      <c r="E398" s="16"/>
      <c r="F398" s="22"/>
      <c r="G398" s="22"/>
      <c r="H398" s="22"/>
      <c r="I398" s="16"/>
      <c r="J398" s="16"/>
      <c r="K398" s="16"/>
      <c r="L398" s="18"/>
      <c r="M398" s="18"/>
      <c r="N398" s="18"/>
      <c r="O398" s="18"/>
      <c r="P398" s="18"/>
      <c r="S398" s="6"/>
      <c r="V398" s="18"/>
      <c r="W398" s="18"/>
      <c r="X398" s="18"/>
      <c r="Y398" s="6"/>
      <c r="Z398" s="6"/>
      <c r="AA398" s="6"/>
      <c r="AB398" s="18"/>
      <c r="AC398" s="18"/>
      <c r="AD398" s="18"/>
      <c r="AE398" s="18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</row>
    <row r="399" spans="1:50">
      <c r="A399" s="16"/>
      <c r="B399" s="29"/>
      <c r="C399" s="16"/>
      <c r="D399" s="16"/>
      <c r="E399" s="16"/>
      <c r="F399" s="22"/>
      <c r="G399" s="22"/>
      <c r="H399" s="22"/>
      <c r="I399" s="16"/>
      <c r="J399" s="16"/>
      <c r="K399" s="16"/>
      <c r="L399" s="18"/>
      <c r="M399" s="18"/>
      <c r="N399" s="18"/>
      <c r="O399" s="18"/>
      <c r="P399" s="18"/>
      <c r="S399" s="6"/>
      <c r="V399" s="18"/>
      <c r="W399" s="18"/>
      <c r="X399" s="18"/>
      <c r="Y399" s="6"/>
      <c r="Z399" s="6"/>
      <c r="AA399" s="6"/>
      <c r="AB399" s="18"/>
      <c r="AC399" s="18"/>
      <c r="AD399" s="18"/>
      <c r="AE399" s="18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</row>
    <row r="400" spans="1:50">
      <c r="A400" s="16"/>
      <c r="B400" s="29"/>
      <c r="C400" s="16"/>
      <c r="D400" s="16"/>
      <c r="E400" s="16"/>
      <c r="F400" s="22"/>
      <c r="G400" s="22"/>
      <c r="H400" s="22"/>
      <c r="I400" s="16"/>
      <c r="J400" s="16"/>
      <c r="K400" s="16"/>
      <c r="L400" s="18"/>
      <c r="M400" s="18"/>
      <c r="N400" s="18"/>
      <c r="O400" s="18"/>
      <c r="P400" s="18"/>
      <c r="S400" s="6"/>
      <c r="V400" s="18"/>
      <c r="W400" s="18"/>
      <c r="X400" s="18"/>
      <c r="Y400" s="6"/>
      <c r="Z400" s="6"/>
      <c r="AA400" s="6"/>
      <c r="AB400" s="18"/>
      <c r="AC400" s="18"/>
      <c r="AD400" s="18"/>
      <c r="AE400" s="18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</row>
    <row r="401" spans="1:50">
      <c r="A401" s="16"/>
      <c r="B401" s="29"/>
      <c r="C401" s="16"/>
      <c r="D401" s="16"/>
      <c r="E401" s="16"/>
      <c r="F401" s="22"/>
      <c r="G401" s="22"/>
      <c r="H401" s="22"/>
      <c r="I401" s="16"/>
      <c r="J401" s="16"/>
      <c r="K401" s="16"/>
      <c r="L401" s="18"/>
      <c r="M401" s="18"/>
      <c r="N401" s="18"/>
      <c r="O401" s="18"/>
      <c r="P401" s="18"/>
      <c r="S401" s="6"/>
      <c r="V401" s="18"/>
      <c r="W401" s="18"/>
      <c r="X401" s="18"/>
      <c r="Y401" s="6"/>
      <c r="Z401" s="6"/>
      <c r="AA401" s="6"/>
      <c r="AB401" s="18"/>
      <c r="AC401" s="18"/>
      <c r="AD401" s="18"/>
      <c r="AE401" s="18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</row>
    <row r="402" spans="1:50">
      <c r="A402" s="16"/>
      <c r="B402" s="29"/>
      <c r="C402" s="16"/>
      <c r="D402" s="16"/>
      <c r="E402" s="16"/>
      <c r="F402" s="22"/>
      <c r="G402" s="22"/>
      <c r="H402" s="22"/>
      <c r="I402" s="16"/>
      <c r="J402" s="16"/>
      <c r="K402" s="16"/>
      <c r="L402" s="18"/>
      <c r="M402" s="18"/>
      <c r="N402" s="18"/>
      <c r="O402" s="18"/>
      <c r="P402" s="18"/>
      <c r="S402" s="6"/>
      <c r="V402" s="18"/>
      <c r="W402" s="18"/>
      <c r="X402" s="18"/>
      <c r="Y402" s="6"/>
      <c r="Z402" s="6"/>
      <c r="AA402" s="6"/>
      <c r="AB402" s="18"/>
      <c r="AC402" s="18"/>
      <c r="AD402" s="18"/>
      <c r="AE402" s="18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</row>
    <row r="403" spans="1:50">
      <c r="A403" s="16"/>
      <c r="B403" s="29"/>
      <c r="C403" s="16"/>
      <c r="D403" s="16"/>
      <c r="E403" s="16"/>
      <c r="F403" s="22"/>
      <c r="G403" s="22"/>
      <c r="H403" s="22"/>
      <c r="I403" s="16"/>
      <c r="J403" s="16"/>
      <c r="K403" s="16"/>
      <c r="L403" s="18"/>
      <c r="M403" s="18"/>
      <c r="N403" s="18"/>
      <c r="O403" s="18"/>
      <c r="P403" s="18"/>
      <c r="S403" s="6"/>
      <c r="V403" s="18"/>
      <c r="W403" s="18"/>
      <c r="X403" s="18"/>
      <c r="Y403" s="6"/>
      <c r="Z403" s="6"/>
      <c r="AA403" s="6"/>
      <c r="AB403" s="18"/>
      <c r="AC403" s="18"/>
      <c r="AD403" s="18"/>
      <c r="AE403" s="18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</row>
    <row r="404" spans="1:50">
      <c r="A404" s="16"/>
      <c r="B404" s="29"/>
      <c r="C404" s="16"/>
      <c r="D404" s="16"/>
      <c r="E404" s="16"/>
      <c r="F404" s="22"/>
      <c r="G404" s="22"/>
      <c r="H404" s="22"/>
      <c r="I404" s="16"/>
      <c r="J404" s="16"/>
      <c r="K404" s="16"/>
      <c r="L404" s="18"/>
      <c r="M404" s="18"/>
      <c r="N404" s="18"/>
      <c r="O404" s="18"/>
      <c r="P404" s="18"/>
      <c r="S404" s="6"/>
      <c r="V404" s="18"/>
      <c r="W404" s="18"/>
      <c r="X404" s="18"/>
      <c r="Y404" s="6"/>
      <c r="Z404" s="6"/>
      <c r="AA404" s="6"/>
      <c r="AB404" s="18"/>
      <c r="AC404" s="18"/>
      <c r="AD404" s="18"/>
      <c r="AE404" s="18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</row>
    <row r="405" spans="1:50">
      <c r="A405" s="16"/>
      <c r="B405" s="29"/>
      <c r="C405" s="16"/>
      <c r="D405" s="16"/>
      <c r="E405" s="16"/>
      <c r="F405" s="22"/>
      <c r="G405" s="22"/>
      <c r="H405" s="22"/>
      <c r="I405" s="16"/>
      <c r="J405" s="16"/>
      <c r="K405" s="16"/>
      <c r="L405" s="18"/>
      <c r="M405" s="18"/>
      <c r="N405" s="18"/>
      <c r="O405" s="18"/>
      <c r="P405" s="18"/>
      <c r="S405" s="6"/>
      <c r="V405" s="18"/>
      <c r="W405" s="18"/>
      <c r="X405" s="18"/>
      <c r="Y405" s="6"/>
      <c r="Z405" s="6"/>
      <c r="AA405" s="6"/>
      <c r="AB405" s="18"/>
      <c r="AC405" s="18"/>
      <c r="AD405" s="18"/>
      <c r="AE405" s="18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</row>
    <row r="406" spans="1:50">
      <c r="A406" s="16"/>
      <c r="B406" s="29"/>
      <c r="C406" s="16"/>
      <c r="D406" s="16"/>
      <c r="E406" s="16"/>
      <c r="F406" s="22"/>
      <c r="G406" s="22"/>
      <c r="H406" s="22"/>
      <c r="I406" s="16"/>
      <c r="J406" s="16"/>
      <c r="K406" s="16"/>
      <c r="L406" s="18"/>
      <c r="M406" s="18"/>
      <c r="N406" s="18"/>
      <c r="O406" s="18"/>
      <c r="P406" s="18"/>
      <c r="S406" s="6"/>
      <c r="V406" s="18"/>
      <c r="W406" s="18"/>
      <c r="X406" s="18"/>
      <c r="Y406" s="6"/>
      <c r="Z406" s="6"/>
      <c r="AA406" s="6"/>
      <c r="AB406" s="18"/>
      <c r="AC406" s="18"/>
      <c r="AD406" s="18"/>
      <c r="AE406" s="18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</row>
    <row r="407" spans="1:50">
      <c r="A407" s="16"/>
      <c r="B407" s="29"/>
      <c r="C407" s="16"/>
      <c r="D407" s="16"/>
      <c r="E407" s="16"/>
      <c r="F407" s="22"/>
      <c r="G407" s="22"/>
      <c r="H407" s="22"/>
      <c r="I407" s="16"/>
      <c r="J407" s="16"/>
      <c r="K407" s="16"/>
      <c r="L407" s="18"/>
      <c r="M407" s="18"/>
      <c r="N407" s="18"/>
      <c r="O407" s="18"/>
      <c r="P407" s="18"/>
      <c r="S407" s="6"/>
      <c r="V407" s="18"/>
      <c r="W407" s="18"/>
      <c r="X407" s="18"/>
      <c r="Y407" s="6"/>
      <c r="Z407" s="6"/>
      <c r="AA407" s="6"/>
      <c r="AB407" s="18"/>
      <c r="AC407" s="18"/>
      <c r="AD407" s="18"/>
      <c r="AE407" s="18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</row>
    <row r="408" spans="1:50">
      <c r="A408" s="16"/>
      <c r="B408" s="29"/>
      <c r="C408" s="16"/>
      <c r="D408" s="16"/>
      <c r="E408" s="16"/>
      <c r="F408" s="22"/>
      <c r="G408" s="22"/>
      <c r="H408" s="22"/>
      <c r="I408" s="16"/>
      <c r="J408" s="16"/>
      <c r="K408" s="16"/>
      <c r="L408" s="18"/>
      <c r="M408" s="18"/>
      <c r="N408" s="18"/>
      <c r="O408" s="18"/>
      <c r="P408" s="18"/>
      <c r="S408" s="6"/>
      <c r="V408" s="18"/>
      <c r="W408" s="18"/>
      <c r="X408" s="18"/>
      <c r="Y408" s="6"/>
      <c r="Z408" s="6"/>
      <c r="AA408" s="6"/>
      <c r="AB408" s="18"/>
      <c r="AC408" s="18"/>
      <c r="AD408" s="18"/>
      <c r="AE408" s="18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</row>
    <row r="409" spans="1:50">
      <c r="A409" s="16"/>
      <c r="B409" s="29"/>
      <c r="C409" s="16"/>
      <c r="D409" s="16"/>
      <c r="E409" s="16"/>
      <c r="F409" s="22"/>
      <c r="G409" s="22"/>
      <c r="H409" s="22"/>
      <c r="I409" s="16"/>
      <c r="J409" s="16"/>
      <c r="K409" s="16"/>
      <c r="L409" s="18"/>
      <c r="M409" s="18"/>
      <c r="N409" s="18"/>
      <c r="O409" s="18"/>
      <c r="P409" s="18"/>
      <c r="S409" s="6"/>
      <c r="V409" s="18"/>
      <c r="W409" s="18"/>
      <c r="X409" s="18"/>
      <c r="Y409" s="6"/>
      <c r="Z409" s="6"/>
      <c r="AA409" s="6"/>
      <c r="AB409" s="18"/>
      <c r="AC409" s="18"/>
      <c r="AD409" s="18"/>
      <c r="AE409" s="18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</row>
    <row r="410" spans="1:50">
      <c r="A410" s="16"/>
      <c r="B410" s="29"/>
      <c r="C410" s="16"/>
      <c r="D410" s="16"/>
      <c r="E410" s="16"/>
      <c r="F410" s="22"/>
      <c r="G410" s="22"/>
      <c r="H410" s="22"/>
      <c r="I410" s="16"/>
      <c r="J410" s="16"/>
      <c r="K410" s="16"/>
      <c r="L410" s="18"/>
      <c r="M410" s="18"/>
      <c r="N410" s="18"/>
      <c r="O410" s="18"/>
      <c r="P410" s="18"/>
      <c r="S410" s="6"/>
      <c r="V410" s="18"/>
      <c r="W410" s="18"/>
      <c r="X410" s="18"/>
      <c r="Y410" s="6"/>
      <c r="Z410" s="6"/>
      <c r="AA410" s="6"/>
      <c r="AB410" s="18"/>
      <c r="AC410" s="18"/>
      <c r="AD410" s="18"/>
      <c r="AE410" s="18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</row>
    <row r="411" spans="1:50">
      <c r="A411" s="16"/>
      <c r="B411" s="29"/>
      <c r="C411" s="16"/>
      <c r="D411" s="16"/>
      <c r="E411" s="16"/>
      <c r="F411" s="22"/>
      <c r="G411" s="22"/>
      <c r="H411" s="22"/>
      <c r="I411" s="16"/>
      <c r="J411" s="16"/>
      <c r="K411" s="16"/>
      <c r="L411" s="18"/>
      <c r="M411" s="18"/>
      <c r="N411" s="18"/>
      <c r="O411" s="18"/>
      <c r="P411" s="18"/>
      <c r="S411" s="6"/>
      <c r="V411" s="18"/>
      <c r="W411" s="18"/>
      <c r="X411" s="18"/>
      <c r="Y411" s="6"/>
      <c r="Z411" s="6"/>
      <c r="AA411" s="6"/>
      <c r="AB411" s="18"/>
      <c r="AC411" s="18"/>
      <c r="AD411" s="18"/>
      <c r="AE411" s="18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</row>
    <row r="412" spans="1:50">
      <c r="A412" s="16"/>
      <c r="B412" s="29"/>
      <c r="C412" s="16"/>
      <c r="D412" s="16"/>
      <c r="E412" s="16"/>
      <c r="F412" s="22"/>
      <c r="G412" s="22"/>
      <c r="H412" s="22"/>
      <c r="I412" s="16"/>
      <c r="J412" s="16"/>
      <c r="K412" s="16"/>
      <c r="L412" s="18"/>
      <c r="M412" s="18"/>
      <c r="N412" s="18"/>
      <c r="O412" s="18"/>
      <c r="P412" s="18"/>
      <c r="S412" s="6"/>
      <c r="V412" s="18"/>
      <c r="W412" s="18"/>
      <c r="X412" s="18"/>
      <c r="Y412" s="6"/>
      <c r="Z412" s="6"/>
      <c r="AA412" s="6"/>
      <c r="AB412" s="18"/>
      <c r="AC412" s="18"/>
      <c r="AD412" s="18"/>
      <c r="AE412" s="18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</row>
    <row r="413" spans="1:50">
      <c r="A413" s="16"/>
      <c r="B413" s="29"/>
      <c r="C413" s="16"/>
      <c r="D413" s="16"/>
      <c r="E413" s="16"/>
      <c r="F413" s="22"/>
      <c r="G413" s="22"/>
      <c r="H413" s="22"/>
      <c r="I413" s="16"/>
      <c r="J413" s="16"/>
      <c r="K413" s="16"/>
      <c r="L413" s="18"/>
      <c r="M413" s="18"/>
      <c r="N413" s="18"/>
      <c r="O413" s="18"/>
      <c r="P413" s="18"/>
      <c r="S413" s="6"/>
      <c r="V413" s="18"/>
      <c r="W413" s="18"/>
      <c r="X413" s="18"/>
      <c r="Y413" s="6"/>
      <c r="Z413" s="6"/>
      <c r="AA413" s="6"/>
      <c r="AB413" s="18"/>
      <c r="AC413" s="18"/>
      <c r="AD413" s="18"/>
      <c r="AE413" s="18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</row>
    <row r="414" spans="1:50">
      <c r="A414" s="16"/>
      <c r="B414" s="29"/>
      <c r="C414" s="16"/>
      <c r="D414" s="16"/>
      <c r="E414" s="16"/>
      <c r="F414" s="22"/>
      <c r="G414" s="22"/>
      <c r="H414" s="22"/>
      <c r="I414" s="16"/>
      <c r="J414" s="16"/>
      <c r="K414" s="16"/>
      <c r="L414" s="18"/>
      <c r="M414" s="18"/>
      <c r="N414" s="18"/>
      <c r="O414" s="18"/>
      <c r="P414" s="18"/>
      <c r="S414" s="6"/>
      <c r="V414" s="18"/>
      <c r="W414" s="18"/>
      <c r="X414" s="18"/>
      <c r="Y414" s="6"/>
      <c r="Z414" s="6"/>
      <c r="AA414" s="6"/>
      <c r="AB414" s="18"/>
      <c r="AC414" s="18"/>
      <c r="AD414" s="18"/>
      <c r="AE414" s="18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</row>
    <row r="415" spans="1:50">
      <c r="A415" s="16"/>
      <c r="B415" s="29"/>
      <c r="C415" s="16"/>
      <c r="D415" s="16"/>
      <c r="E415" s="16"/>
      <c r="F415" s="22"/>
      <c r="G415" s="22"/>
      <c r="H415" s="22"/>
      <c r="I415" s="16"/>
      <c r="J415" s="16"/>
      <c r="K415" s="16"/>
      <c r="L415" s="18"/>
      <c r="M415" s="18"/>
      <c r="N415" s="18"/>
      <c r="O415" s="18"/>
      <c r="P415" s="18"/>
      <c r="S415" s="6"/>
      <c r="V415" s="18"/>
      <c r="W415" s="18"/>
      <c r="X415" s="18"/>
      <c r="Y415" s="6"/>
      <c r="Z415" s="6"/>
      <c r="AA415" s="6"/>
      <c r="AB415" s="18"/>
      <c r="AC415" s="18"/>
      <c r="AD415" s="18"/>
      <c r="AE415" s="18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</row>
    <row r="416" spans="1:50">
      <c r="A416" s="16"/>
      <c r="B416" s="29"/>
      <c r="C416" s="16"/>
      <c r="D416" s="16"/>
      <c r="E416" s="16"/>
      <c r="F416" s="22"/>
      <c r="G416" s="22"/>
      <c r="H416" s="22"/>
      <c r="I416" s="16"/>
      <c r="J416" s="16"/>
      <c r="K416" s="16"/>
      <c r="L416" s="18"/>
      <c r="M416" s="18"/>
      <c r="N416" s="18"/>
      <c r="O416" s="18"/>
      <c r="P416" s="18"/>
      <c r="S416" s="6"/>
      <c r="V416" s="18"/>
      <c r="W416" s="18"/>
      <c r="X416" s="18"/>
      <c r="Y416" s="6"/>
      <c r="Z416" s="6"/>
      <c r="AA416" s="6"/>
      <c r="AB416" s="18"/>
      <c r="AC416" s="18"/>
      <c r="AD416" s="18"/>
      <c r="AE416" s="18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</row>
    <row r="417" spans="1:50">
      <c r="A417" s="16"/>
      <c r="B417" s="29"/>
      <c r="C417" s="16"/>
      <c r="D417" s="16"/>
      <c r="E417" s="16"/>
      <c r="F417" s="22"/>
      <c r="G417" s="22"/>
      <c r="H417" s="22"/>
      <c r="I417" s="16"/>
      <c r="J417" s="16"/>
      <c r="K417" s="16"/>
      <c r="L417" s="18"/>
      <c r="M417" s="18"/>
      <c r="N417" s="18"/>
      <c r="O417" s="18"/>
      <c r="P417" s="18"/>
      <c r="S417" s="6"/>
      <c r="V417" s="18"/>
      <c r="W417" s="18"/>
      <c r="X417" s="18"/>
      <c r="Y417" s="6"/>
      <c r="Z417" s="6"/>
      <c r="AA417" s="6"/>
      <c r="AB417" s="18"/>
      <c r="AC417" s="18"/>
      <c r="AD417" s="18"/>
      <c r="AE417" s="18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</row>
    <row r="418" spans="1:50">
      <c r="A418" s="16"/>
      <c r="B418" s="29"/>
      <c r="C418" s="16"/>
      <c r="D418" s="16"/>
      <c r="E418" s="16"/>
      <c r="F418" s="22"/>
      <c r="G418" s="22"/>
      <c r="H418" s="22"/>
      <c r="I418" s="16"/>
      <c r="J418" s="16"/>
      <c r="K418" s="16"/>
      <c r="L418" s="18"/>
      <c r="M418" s="18"/>
      <c r="N418" s="18"/>
      <c r="O418" s="18"/>
      <c r="P418" s="18"/>
      <c r="S418" s="6"/>
      <c r="V418" s="18"/>
      <c r="W418" s="18"/>
      <c r="X418" s="18"/>
      <c r="Y418" s="6"/>
      <c r="Z418" s="6"/>
      <c r="AA418" s="6"/>
      <c r="AB418" s="18"/>
      <c r="AC418" s="18"/>
      <c r="AD418" s="18"/>
      <c r="AE418" s="18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</row>
    <row r="419" spans="1:50">
      <c r="A419" s="16"/>
      <c r="B419" s="29"/>
      <c r="C419" s="16"/>
      <c r="D419" s="16"/>
      <c r="E419" s="16"/>
      <c r="F419" s="22"/>
      <c r="G419" s="22"/>
      <c r="H419" s="22"/>
      <c r="I419" s="16"/>
      <c r="J419" s="16"/>
      <c r="K419" s="16"/>
      <c r="L419" s="18"/>
      <c r="M419" s="18"/>
      <c r="N419" s="18"/>
      <c r="O419" s="18"/>
      <c r="P419" s="18"/>
      <c r="S419" s="6"/>
      <c r="V419" s="18"/>
      <c r="W419" s="18"/>
      <c r="X419" s="18"/>
      <c r="Y419" s="6"/>
      <c r="Z419" s="6"/>
      <c r="AA419" s="6"/>
      <c r="AB419" s="18"/>
      <c r="AC419" s="18"/>
      <c r="AD419" s="18"/>
      <c r="AE419" s="18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</row>
    <row r="420" spans="1:50">
      <c r="A420" s="16"/>
      <c r="B420" s="29"/>
      <c r="C420" s="16"/>
      <c r="D420" s="16"/>
      <c r="E420" s="16"/>
      <c r="F420" s="22"/>
      <c r="G420" s="22"/>
      <c r="H420" s="22"/>
      <c r="I420" s="16"/>
      <c r="J420" s="16"/>
      <c r="K420" s="16"/>
      <c r="L420" s="18"/>
      <c r="M420" s="18"/>
      <c r="N420" s="18"/>
      <c r="O420" s="18"/>
      <c r="P420" s="18"/>
      <c r="S420" s="6"/>
      <c r="V420" s="18"/>
      <c r="W420" s="18"/>
      <c r="X420" s="18"/>
      <c r="Y420" s="6"/>
      <c r="Z420" s="6"/>
      <c r="AA420" s="6"/>
      <c r="AB420" s="18"/>
      <c r="AC420" s="18"/>
      <c r="AD420" s="18"/>
      <c r="AE420" s="18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</row>
    <row r="421" spans="1:50">
      <c r="A421" s="16"/>
      <c r="B421" s="29"/>
      <c r="C421" s="16"/>
      <c r="D421" s="16"/>
      <c r="E421" s="16"/>
      <c r="F421" s="22"/>
      <c r="G421" s="22"/>
      <c r="H421" s="22"/>
      <c r="I421" s="16"/>
      <c r="J421" s="16"/>
      <c r="K421" s="16"/>
      <c r="L421" s="18"/>
      <c r="M421" s="18"/>
      <c r="N421" s="18"/>
      <c r="O421" s="18"/>
      <c r="P421" s="18"/>
      <c r="S421" s="6"/>
      <c r="V421" s="18"/>
      <c r="W421" s="18"/>
      <c r="X421" s="18"/>
      <c r="Y421" s="6"/>
      <c r="Z421" s="6"/>
      <c r="AA421" s="6"/>
      <c r="AB421" s="18"/>
      <c r="AC421" s="18"/>
      <c r="AD421" s="18"/>
      <c r="AE421" s="18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</row>
    <row r="422" spans="1:50">
      <c r="A422" s="16"/>
      <c r="B422" s="29"/>
      <c r="C422" s="16"/>
      <c r="D422" s="16"/>
      <c r="E422" s="16"/>
      <c r="F422" s="22"/>
      <c r="G422" s="22"/>
      <c r="H422" s="22"/>
      <c r="I422" s="16"/>
      <c r="J422" s="16"/>
      <c r="K422" s="16"/>
      <c r="L422" s="18"/>
      <c r="M422" s="18"/>
      <c r="N422" s="18"/>
      <c r="O422" s="18"/>
      <c r="P422" s="18"/>
      <c r="S422" s="6"/>
      <c r="V422" s="18"/>
      <c r="W422" s="18"/>
      <c r="X422" s="18"/>
      <c r="Y422" s="6"/>
      <c r="Z422" s="6"/>
      <c r="AA422" s="6"/>
      <c r="AB422" s="18"/>
      <c r="AC422" s="18"/>
      <c r="AD422" s="18"/>
      <c r="AE422" s="18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</row>
    <row r="423" spans="1:50">
      <c r="A423" s="16"/>
      <c r="B423" s="29"/>
      <c r="C423" s="16"/>
      <c r="D423" s="16"/>
      <c r="E423" s="16"/>
      <c r="F423" s="22"/>
      <c r="G423" s="22"/>
      <c r="H423" s="22"/>
      <c r="I423" s="16"/>
      <c r="J423" s="16"/>
      <c r="K423" s="16"/>
      <c r="L423" s="18"/>
      <c r="M423" s="18"/>
      <c r="N423" s="18"/>
      <c r="O423" s="18"/>
      <c r="P423" s="18"/>
      <c r="S423" s="6"/>
      <c r="V423" s="18"/>
      <c r="W423" s="18"/>
      <c r="X423" s="18"/>
      <c r="Y423" s="6"/>
      <c r="Z423" s="6"/>
      <c r="AA423" s="6"/>
      <c r="AB423" s="18"/>
      <c r="AC423" s="18"/>
      <c r="AD423" s="18"/>
      <c r="AE423" s="18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</row>
    <row r="424" spans="1:50">
      <c r="A424" s="16"/>
      <c r="B424" s="29"/>
      <c r="C424" s="16"/>
      <c r="D424" s="16"/>
      <c r="E424" s="16"/>
      <c r="F424" s="22"/>
      <c r="G424" s="22"/>
      <c r="H424" s="22"/>
      <c r="I424" s="16"/>
      <c r="J424" s="16"/>
      <c r="K424" s="16"/>
      <c r="L424" s="18"/>
      <c r="M424" s="18"/>
      <c r="N424" s="18"/>
      <c r="O424" s="18"/>
      <c r="P424" s="18"/>
      <c r="S424" s="6"/>
      <c r="V424" s="18"/>
      <c r="W424" s="18"/>
      <c r="X424" s="18"/>
      <c r="Y424" s="6"/>
      <c r="Z424" s="6"/>
      <c r="AA424" s="6"/>
      <c r="AB424" s="18"/>
      <c r="AC424" s="18"/>
      <c r="AD424" s="18"/>
      <c r="AE424" s="18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</row>
    <row r="425" spans="1:50">
      <c r="A425" s="16"/>
      <c r="B425" s="29"/>
      <c r="C425" s="16"/>
      <c r="D425" s="16"/>
      <c r="E425" s="16"/>
      <c r="F425" s="22"/>
      <c r="G425" s="22"/>
      <c r="H425" s="22"/>
      <c r="I425" s="16"/>
      <c r="J425" s="16"/>
      <c r="K425" s="16"/>
      <c r="L425" s="18"/>
      <c r="M425" s="18"/>
      <c r="N425" s="18"/>
      <c r="O425" s="18"/>
      <c r="P425" s="18"/>
      <c r="S425" s="6"/>
      <c r="V425" s="18"/>
      <c r="W425" s="18"/>
      <c r="X425" s="18"/>
      <c r="Y425" s="6"/>
      <c r="Z425" s="6"/>
      <c r="AA425" s="6"/>
      <c r="AB425" s="18"/>
      <c r="AC425" s="18"/>
      <c r="AD425" s="18"/>
      <c r="AE425" s="18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</row>
    <row r="426" spans="1:50">
      <c r="A426" s="16"/>
      <c r="B426" s="29"/>
      <c r="C426" s="16"/>
      <c r="D426" s="16"/>
      <c r="E426" s="16"/>
      <c r="F426" s="22"/>
      <c r="G426" s="22"/>
      <c r="H426" s="22"/>
      <c r="I426" s="16"/>
      <c r="J426" s="16"/>
      <c r="K426" s="16"/>
      <c r="L426" s="18"/>
      <c r="M426" s="18"/>
      <c r="N426" s="18"/>
      <c r="O426" s="18"/>
      <c r="P426" s="18"/>
      <c r="S426" s="6"/>
      <c r="V426" s="18"/>
      <c r="W426" s="18"/>
      <c r="X426" s="18"/>
      <c r="Y426" s="6"/>
      <c r="Z426" s="6"/>
      <c r="AA426" s="6"/>
      <c r="AB426" s="18"/>
      <c r="AC426" s="18"/>
      <c r="AD426" s="18"/>
      <c r="AE426" s="18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</row>
    <row r="427" spans="1:50">
      <c r="A427" s="16"/>
      <c r="B427" s="29"/>
      <c r="C427" s="16"/>
      <c r="D427" s="16"/>
      <c r="E427" s="16"/>
      <c r="F427" s="22"/>
      <c r="G427" s="22"/>
      <c r="H427" s="22"/>
      <c r="I427" s="16"/>
      <c r="J427" s="16"/>
      <c r="K427" s="16"/>
      <c r="L427" s="18"/>
      <c r="M427" s="18"/>
      <c r="N427" s="18"/>
      <c r="O427" s="18"/>
      <c r="P427" s="18"/>
      <c r="S427" s="6"/>
      <c r="V427" s="18"/>
      <c r="W427" s="18"/>
      <c r="X427" s="18"/>
      <c r="Y427" s="6"/>
      <c r="Z427" s="6"/>
      <c r="AA427" s="6"/>
      <c r="AB427" s="18"/>
      <c r="AC427" s="18"/>
      <c r="AD427" s="18"/>
      <c r="AE427" s="18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</row>
    <row r="428" spans="1:50">
      <c r="A428" s="16"/>
      <c r="B428" s="29"/>
      <c r="C428" s="16"/>
      <c r="D428" s="16"/>
      <c r="E428" s="16"/>
      <c r="F428" s="22"/>
      <c r="G428" s="22"/>
      <c r="H428" s="22"/>
      <c r="I428" s="16"/>
      <c r="J428" s="16"/>
      <c r="K428" s="16"/>
      <c r="L428" s="18"/>
      <c r="M428" s="18"/>
      <c r="N428" s="18"/>
      <c r="O428" s="18"/>
      <c r="P428" s="18"/>
      <c r="S428" s="6"/>
      <c r="V428" s="18"/>
      <c r="W428" s="18"/>
      <c r="X428" s="18"/>
      <c r="Y428" s="6"/>
      <c r="Z428" s="6"/>
      <c r="AA428" s="6"/>
      <c r="AB428" s="18"/>
      <c r="AC428" s="18"/>
      <c r="AD428" s="18"/>
      <c r="AE428" s="18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</row>
    <row r="429" spans="1:50">
      <c r="A429" s="16"/>
      <c r="B429" s="29"/>
      <c r="C429" s="16"/>
      <c r="D429" s="16"/>
      <c r="E429" s="16"/>
      <c r="F429" s="22"/>
      <c r="G429" s="22"/>
      <c r="H429" s="22"/>
      <c r="I429" s="16"/>
      <c r="J429" s="16"/>
      <c r="K429" s="16"/>
      <c r="L429" s="18"/>
      <c r="M429" s="18"/>
      <c r="N429" s="18"/>
      <c r="O429" s="18"/>
      <c r="P429" s="18"/>
      <c r="S429" s="6"/>
      <c r="V429" s="18"/>
      <c r="W429" s="18"/>
      <c r="X429" s="18"/>
      <c r="Y429" s="6"/>
      <c r="Z429" s="6"/>
      <c r="AA429" s="6"/>
      <c r="AB429" s="18"/>
      <c r="AC429" s="18"/>
      <c r="AD429" s="18"/>
      <c r="AE429" s="18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</row>
    <row r="430" spans="1:50">
      <c r="A430" s="16"/>
      <c r="B430" s="29"/>
      <c r="C430" s="16"/>
      <c r="D430" s="16"/>
      <c r="E430" s="16"/>
      <c r="F430" s="22"/>
      <c r="G430" s="22"/>
      <c r="H430" s="22"/>
      <c r="I430" s="16"/>
      <c r="J430" s="16"/>
      <c r="K430" s="16"/>
      <c r="L430" s="18"/>
      <c r="M430" s="18"/>
      <c r="N430" s="18"/>
      <c r="O430" s="18"/>
      <c r="P430" s="18"/>
      <c r="S430" s="6"/>
      <c r="V430" s="18"/>
      <c r="W430" s="18"/>
      <c r="X430" s="18"/>
      <c r="Y430" s="6"/>
      <c r="Z430" s="6"/>
      <c r="AA430" s="6"/>
      <c r="AB430" s="18"/>
      <c r="AC430" s="18"/>
      <c r="AD430" s="18"/>
      <c r="AE430" s="18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</row>
    <row r="431" spans="1:50">
      <c r="A431" s="16"/>
      <c r="B431" s="29"/>
      <c r="C431" s="16"/>
      <c r="D431" s="16"/>
      <c r="E431" s="16"/>
      <c r="F431" s="22"/>
      <c r="G431" s="22"/>
      <c r="H431" s="22"/>
      <c r="I431" s="16"/>
      <c r="J431" s="16"/>
      <c r="K431" s="16"/>
      <c r="L431" s="18"/>
      <c r="M431" s="18"/>
      <c r="N431" s="18"/>
      <c r="O431" s="18"/>
      <c r="P431" s="18"/>
      <c r="S431" s="6"/>
      <c r="V431" s="18"/>
      <c r="W431" s="18"/>
      <c r="X431" s="18"/>
      <c r="Y431" s="6"/>
      <c r="Z431" s="6"/>
      <c r="AA431" s="6"/>
      <c r="AB431" s="18"/>
      <c r="AC431" s="18"/>
      <c r="AD431" s="18"/>
      <c r="AE431" s="18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</row>
    <row r="432" spans="1:50">
      <c r="A432" s="16"/>
      <c r="B432" s="29"/>
      <c r="C432" s="16"/>
      <c r="D432" s="16"/>
      <c r="E432" s="16"/>
      <c r="F432" s="22"/>
      <c r="G432" s="22"/>
      <c r="H432" s="22"/>
      <c r="I432" s="16"/>
      <c r="J432" s="16"/>
      <c r="K432" s="16"/>
      <c r="L432" s="18"/>
      <c r="M432" s="18"/>
      <c r="N432" s="18"/>
      <c r="O432" s="18"/>
      <c r="P432" s="18"/>
      <c r="S432" s="6"/>
      <c r="V432" s="18"/>
      <c r="W432" s="18"/>
      <c r="X432" s="18"/>
      <c r="Y432" s="6"/>
      <c r="Z432" s="6"/>
      <c r="AA432" s="6"/>
      <c r="AB432" s="18"/>
      <c r="AC432" s="18"/>
      <c r="AD432" s="18"/>
      <c r="AE432" s="18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</row>
    <row r="433" spans="1:50">
      <c r="A433" s="16"/>
      <c r="B433" s="29"/>
      <c r="C433" s="16"/>
      <c r="D433" s="16"/>
      <c r="E433" s="16"/>
      <c r="F433" s="22"/>
      <c r="G433" s="22"/>
      <c r="H433" s="22"/>
      <c r="I433" s="16"/>
      <c r="J433" s="16"/>
      <c r="K433" s="16"/>
      <c r="L433" s="18"/>
      <c r="M433" s="18"/>
      <c r="N433" s="18"/>
      <c r="O433" s="18"/>
      <c r="P433" s="18"/>
      <c r="S433" s="6"/>
      <c r="V433" s="18"/>
      <c r="W433" s="18"/>
      <c r="X433" s="18"/>
      <c r="Y433" s="6"/>
      <c r="Z433" s="6"/>
      <c r="AA433" s="6"/>
      <c r="AB433" s="18"/>
      <c r="AC433" s="18"/>
      <c r="AD433" s="18"/>
      <c r="AE433" s="18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</row>
    <row r="434" spans="1:50">
      <c r="A434" s="16"/>
      <c r="B434" s="29"/>
      <c r="C434" s="16"/>
      <c r="D434" s="16"/>
      <c r="E434" s="16"/>
      <c r="F434" s="22"/>
      <c r="G434" s="22"/>
      <c r="H434" s="22"/>
      <c r="I434" s="16"/>
      <c r="J434" s="16"/>
      <c r="K434" s="16"/>
      <c r="L434" s="18"/>
      <c r="M434" s="18"/>
      <c r="N434" s="18"/>
      <c r="O434" s="18"/>
      <c r="P434" s="18"/>
      <c r="S434" s="6"/>
      <c r="V434" s="18"/>
      <c r="W434" s="18"/>
      <c r="X434" s="18"/>
      <c r="Y434" s="6"/>
      <c r="Z434" s="6"/>
      <c r="AA434" s="6"/>
      <c r="AB434" s="18"/>
      <c r="AC434" s="18"/>
      <c r="AD434" s="18"/>
      <c r="AE434" s="18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</row>
    <row r="435" spans="1:50">
      <c r="A435" s="16"/>
      <c r="B435" s="29"/>
      <c r="C435" s="16"/>
      <c r="D435" s="16"/>
      <c r="E435" s="16"/>
      <c r="F435" s="22"/>
      <c r="G435" s="22"/>
      <c r="H435" s="22"/>
      <c r="I435" s="16"/>
      <c r="J435" s="16"/>
      <c r="K435" s="16"/>
      <c r="L435" s="18"/>
      <c r="M435" s="18"/>
      <c r="N435" s="18"/>
      <c r="O435" s="18"/>
      <c r="P435" s="18"/>
      <c r="S435" s="6"/>
      <c r="V435" s="18"/>
      <c r="W435" s="18"/>
      <c r="X435" s="18"/>
      <c r="Y435" s="6"/>
      <c r="Z435" s="6"/>
      <c r="AA435" s="6"/>
      <c r="AB435" s="18"/>
      <c r="AC435" s="18"/>
      <c r="AD435" s="18"/>
      <c r="AE435" s="18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</row>
    <row r="436" spans="1:50">
      <c r="A436" s="16"/>
      <c r="B436" s="29"/>
      <c r="C436" s="16"/>
      <c r="D436" s="16"/>
      <c r="E436" s="16"/>
      <c r="F436" s="22"/>
      <c r="G436" s="22"/>
      <c r="H436" s="22"/>
      <c r="I436" s="16"/>
      <c r="J436" s="16"/>
      <c r="K436" s="16"/>
      <c r="L436" s="18"/>
      <c r="M436" s="18"/>
      <c r="N436" s="18"/>
      <c r="O436" s="18"/>
      <c r="P436" s="18"/>
      <c r="S436" s="6"/>
      <c r="V436" s="18"/>
      <c r="W436" s="18"/>
      <c r="X436" s="18"/>
      <c r="Y436" s="6"/>
      <c r="Z436" s="6"/>
      <c r="AA436" s="6"/>
      <c r="AB436" s="18"/>
      <c r="AC436" s="18"/>
      <c r="AD436" s="18"/>
      <c r="AE436" s="18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</row>
    <row r="437" spans="1:50">
      <c r="A437" s="16"/>
      <c r="B437" s="29"/>
      <c r="C437" s="16"/>
      <c r="D437" s="16"/>
      <c r="E437" s="16"/>
      <c r="F437" s="22"/>
      <c r="G437" s="22"/>
      <c r="H437" s="22"/>
      <c r="I437" s="16"/>
      <c r="J437" s="16"/>
      <c r="K437" s="16"/>
      <c r="L437" s="18"/>
      <c r="M437" s="18"/>
      <c r="N437" s="18"/>
      <c r="O437" s="18"/>
      <c r="P437" s="18"/>
      <c r="S437" s="6"/>
      <c r="V437" s="18"/>
      <c r="W437" s="18"/>
      <c r="X437" s="18"/>
      <c r="Y437" s="6"/>
      <c r="Z437" s="6"/>
      <c r="AA437" s="6"/>
      <c r="AB437" s="18"/>
      <c r="AC437" s="18"/>
      <c r="AD437" s="18"/>
      <c r="AE437" s="18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</row>
    <row r="438" spans="1:50">
      <c r="A438" s="16"/>
      <c r="B438" s="29"/>
      <c r="C438" s="16"/>
      <c r="D438" s="16"/>
      <c r="E438" s="16"/>
      <c r="F438" s="22"/>
      <c r="G438" s="22"/>
      <c r="H438" s="22"/>
      <c r="I438" s="16"/>
      <c r="J438" s="16"/>
      <c r="K438" s="16"/>
      <c r="L438" s="18"/>
      <c r="M438" s="18"/>
      <c r="N438" s="18"/>
      <c r="O438" s="18"/>
      <c r="P438" s="18"/>
      <c r="S438" s="6"/>
      <c r="V438" s="18"/>
      <c r="W438" s="18"/>
      <c r="X438" s="18"/>
      <c r="Y438" s="6"/>
      <c r="Z438" s="6"/>
      <c r="AA438" s="6"/>
      <c r="AB438" s="18"/>
      <c r="AC438" s="18"/>
      <c r="AD438" s="18"/>
      <c r="AE438" s="18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</row>
    <row r="439" spans="1:50">
      <c r="A439" s="16"/>
      <c r="B439" s="29"/>
      <c r="C439" s="16"/>
      <c r="D439" s="16"/>
      <c r="E439" s="16"/>
      <c r="F439" s="22"/>
      <c r="G439" s="22"/>
      <c r="H439" s="22"/>
      <c r="I439" s="16"/>
      <c r="J439" s="16"/>
      <c r="K439" s="16"/>
      <c r="L439" s="18"/>
      <c r="M439" s="18"/>
      <c r="N439" s="18"/>
      <c r="O439" s="18"/>
      <c r="P439" s="18"/>
      <c r="S439" s="6"/>
      <c r="V439" s="18"/>
      <c r="W439" s="18"/>
      <c r="X439" s="18"/>
      <c r="Y439" s="6"/>
      <c r="Z439" s="6"/>
      <c r="AA439" s="6"/>
      <c r="AB439" s="18"/>
      <c r="AC439" s="18"/>
      <c r="AD439" s="18"/>
      <c r="AE439" s="18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</row>
    <row r="440" spans="1:50">
      <c r="A440" s="16"/>
      <c r="B440" s="29"/>
      <c r="C440" s="16"/>
      <c r="D440" s="16"/>
      <c r="E440" s="16"/>
      <c r="F440" s="22"/>
      <c r="G440" s="22"/>
      <c r="H440" s="22"/>
      <c r="I440" s="16"/>
      <c r="J440" s="16"/>
      <c r="K440" s="16"/>
      <c r="L440" s="18"/>
      <c r="M440" s="18"/>
      <c r="N440" s="18"/>
      <c r="O440" s="18"/>
      <c r="P440" s="18"/>
      <c r="S440" s="6"/>
      <c r="V440" s="18"/>
      <c r="W440" s="18"/>
      <c r="X440" s="18"/>
      <c r="Y440" s="6"/>
      <c r="Z440" s="6"/>
      <c r="AA440" s="6"/>
      <c r="AB440" s="18"/>
      <c r="AC440" s="18"/>
      <c r="AD440" s="18"/>
      <c r="AE440" s="18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</row>
    <row r="441" spans="1:50">
      <c r="A441" s="16"/>
      <c r="B441" s="29"/>
      <c r="C441" s="16"/>
      <c r="D441" s="16"/>
      <c r="E441" s="16"/>
      <c r="F441" s="22"/>
      <c r="G441" s="22"/>
      <c r="H441" s="22"/>
      <c r="I441" s="16"/>
      <c r="J441" s="16"/>
      <c r="K441" s="16"/>
      <c r="L441" s="18"/>
      <c r="M441" s="18"/>
      <c r="N441" s="18"/>
      <c r="O441" s="18"/>
      <c r="P441" s="18"/>
      <c r="S441" s="6"/>
      <c r="V441" s="18"/>
      <c r="W441" s="18"/>
      <c r="X441" s="18"/>
      <c r="Y441" s="6"/>
      <c r="Z441" s="6"/>
      <c r="AA441" s="6"/>
      <c r="AB441" s="18"/>
      <c r="AC441" s="18"/>
      <c r="AD441" s="18"/>
      <c r="AE441" s="18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</row>
    <row r="442" spans="1:50">
      <c r="A442" s="16"/>
      <c r="B442" s="29"/>
      <c r="C442" s="16"/>
      <c r="D442" s="16"/>
      <c r="E442" s="16"/>
      <c r="F442" s="22"/>
      <c r="G442" s="22"/>
      <c r="H442" s="22"/>
      <c r="I442" s="16"/>
      <c r="J442" s="16"/>
      <c r="K442" s="16"/>
      <c r="L442" s="18"/>
      <c r="M442" s="18"/>
      <c r="N442" s="18"/>
      <c r="O442" s="18"/>
      <c r="P442" s="18"/>
      <c r="S442" s="6"/>
      <c r="V442" s="18"/>
      <c r="W442" s="18"/>
      <c r="X442" s="18"/>
      <c r="Y442" s="6"/>
      <c r="Z442" s="6"/>
      <c r="AA442" s="6"/>
      <c r="AB442" s="18"/>
      <c r="AC442" s="18"/>
      <c r="AD442" s="18"/>
      <c r="AE442" s="18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</row>
    <row r="443" spans="1:50">
      <c r="A443" s="16"/>
      <c r="B443" s="29"/>
      <c r="C443" s="16"/>
      <c r="D443" s="16"/>
      <c r="E443" s="16"/>
      <c r="F443" s="22"/>
      <c r="G443" s="22"/>
      <c r="H443" s="22"/>
      <c r="I443" s="16"/>
      <c r="J443" s="16"/>
      <c r="K443" s="16"/>
      <c r="L443" s="18"/>
      <c r="M443" s="18"/>
      <c r="N443" s="18"/>
      <c r="O443" s="18"/>
      <c r="P443" s="18"/>
      <c r="S443" s="6"/>
      <c r="V443" s="18"/>
      <c r="W443" s="18"/>
      <c r="X443" s="18"/>
      <c r="Y443" s="6"/>
      <c r="Z443" s="6"/>
      <c r="AA443" s="6"/>
      <c r="AB443" s="18"/>
      <c r="AC443" s="18"/>
      <c r="AD443" s="18"/>
      <c r="AE443" s="18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</row>
    <row r="444" spans="1:50">
      <c r="A444" s="16"/>
      <c r="B444" s="29"/>
      <c r="C444" s="16"/>
      <c r="D444" s="16"/>
      <c r="E444" s="16"/>
      <c r="F444" s="22"/>
      <c r="G444" s="22"/>
      <c r="H444" s="22"/>
      <c r="I444" s="16"/>
      <c r="J444" s="16"/>
      <c r="K444" s="16"/>
      <c r="L444" s="18"/>
      <c r="M444" s="18"/>
      <c r="N444" s="18"/>
      <c r="O444" s="18"/>
      <c r="P444" s="18"/>
      <c r="S444" s="6"/>
      <c r="V444" s="18"/>
      <c r="W444" s="18"/>
      <c r="X444" s="18"/>
      <c r="Y444" s="6"/>
      <c r="Z444" s="6"/>
      <c r="AA444" s="6"/>
      <c r="AB444" s="18"/>
      <c r="AC444" s="18"/>
      <c r="AD444" s="18"/>
      <c r="AE444" s="18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</row>
    <row r="445" spans="1:50">
      <c r="A445" s="16"/>
      <c r="B445" s="29"/>
      <c r="C445" s="16"/>
      <c r="D445" s="16"/>
      <c r="E445" s="16"/>
      <c r="F445" s="22"/>
      <c r="G445" s="22"/>
      <c r="H445" s="22"/>
      <c r="I445" s="16"/>
      <c r="J445" s="16"/>
      <c r="K445" s="16"/>
      <c r="L445" s="18"/>
      <c r="M445" s="18"/>
      <c r="N445" s="18"/>
      <c r="O445" s="18"/>
      <c r="P445" s="18"/>
      <c r="S445" s="6"/>
      <c r="V445" s="18"/>
      <c r="W445" s="18"/>
      <c r="X445" s="18"/>
      <c r="Y445" s="6"/>
      <c r="Z445" s="6"/>
      <c r="AA445" s="6"/>
      <c r="AB445" s="18"/>
      <c r="AC445" s="18"/>
      <c r="AD445" s="18"/>
      <c r="AE445" s="18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</row>
    <row r="446" spans="1:50">
      <c r="A446" s="16"/>
      <c r="B446" s="29"/>
      <c r="C446" s="16"/>
      <c r="D446" s="16"/>
      <c r="E446" s="16"/>
      <c r="F446" s="22"/>
      <c r="G446" s="22"/>
      <c r="H446" s="22"/>
      <c r="I446" s="16"/>
      <c r="J446" s="16"/>
      <c r="K446" s="16"/>
      <c r="L446" s="18"/>
      <c r="M446" s="18"/>
      <c r="N446" s="18"/>
      <c r="O446" s="18"/>
      <c r="P446" s="18"/>
      <c r="S446" s="6"/>
      <c r="V446" s="18"/>
      <c r="W446" s="18"/>
      <c r="X446" s="18"/>
      <c r="Y446" s="6"/>
      <c r="Z446" s="6"/>
      <c r="AA446" s="6"/>
      <c r="AB446" s="18"/>
      <c r="AC446" s="18"/>
      <c r="AD446" s="18"/>
      <c r="AE446" s="18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</row>
    <row r="447" spans="1:50">
      <c r="A447" s="16"/>
      <c r="B447" s="29"/>
      <c r="C447" s="16"/>
      <c r="D447" s="16"/>
      <c r="E447" s="16"/>
      <c r="F447" s="22"/>
      <c r="G447" s="22"/>
      <c r="H447" s="22"/>
      <c r="I447" s="16"/>
      <c r="J447" s="16"/>
      <c r="K447" s="16"/>
      <c r="L447" s="18"/>
      <c r="M447" s="18"/>
      <c r="N447" s="18"/>
      <c r="O447" s="18"/>
      <c r="P447" s="18"/>
      <c r="S447" s="6"/>
      <c r="V447" s="18"/>
      <c r="W447" s="18"/>
      <c r="X447" s="18"/>
      <c r="Y447" s="6"/>
      <c r="Z447" s="6"/>
      <c r="AA447" s="6"/>
      <c r="AB447" s="18"/>
      <c r="AC447" s="18"/>
      <c r="AD447" s="18"/>
      <c r="AE447" s="18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</row>
    <row r="448" spans="1:50">
      <c r="A448" s="16"/>
      <c r="B448" s="29"/>
      <c r="C448" s="16"/>
      <c r="D448" s="16"/>
      <c r="E448" s="16"/>
      <c r="F448" s="22"/>
      <c r="G448" s="22"/>
      <c r="H448" s="22"/>
      <c r="I448" s="16"/>
      <c r="J448" s="16"/>
      <c r="K448" s="16"/>
      <c r="L448" s="18"/>
      <c r="M448" s="18"/>
      <c r="N448" s="18"/>
      <c r="O448" s="18"/>
      <c r="P448" s="18"/>
      <c r="S448" s="6"/>
      <c r="V448" s="18"/>
      <c r="W448" s="18"/>
      <c r="X448" s="18"/>
      <c r="Y448" s="6"/>
      <c r="Z448" s="6"/>
      <c r="AA448" s="6"/>
      <c r="AB448" s="18"/>
      <c r="AC448" s="18"/>
      <c r="AD448" s="18"/>
      <c r="AE448" s="18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</row>
    <row r="449" spans="1:50">
      <c r="A449" s="16"/>
      <c r="B449" s="29"/>
      <c r="C449" s="16"/>
      <c r="D449" s="16"/>
      <c r="E449" s="16"/>
      <c r="F449" s="22"/>
      <c r="G449" s="22"/>
      <c r="H449" s="22"/>
      <c r="I449" s="16"/>
      <c r="J449" s="16"/>
      <c r="K449" s="16"/>
      <c r="L449" s="18"/>
      <c r="M449" s="18"/>
      <c r="N449" s="18"/>
      <c r="O449" s="18"/>
      <c r="P449" s="18"/>
      <c r="S449" s="6"/>
      <c r="V449" s="18"/>
      <c r="W449" s="18"/>
      <c r="X449" s="18"/>
      <c r="Y449" s="6"/>
      <c r="Z449" s="6"/>
      <c r="AA449" s="6"/>
      <c r="AB449" s="18"/>
      <c r="AC449" s="18"/>
      <c r="AD449" s="18"/>
      <c r="AE449" s="18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</row>
    <row r="450" spans="1:50">
      <c r="A450" s="16"/>
      <c r="B450" s="29"/>
      <c r="C450" s="16"/>
      <c r="D450" s="16"/>
      <c r="E450" s="16"/>
      <c r="F450" s="22"/>
      <c r="G450" s="22"/>
      <c r="H450" s="22"/>
      <c r="I450" s="16"/>
      <c r="J450" s="16"/>
      <c r="K450" s="16"/>
      <c r="L450" s="18"/>
      <c r="M450" s="18"/>
      <c r="N450" s="18"/>
      <c r="O450" s="18"/>
      <c r="P450" s="18"/>
      <c r="S450" s="6"/>
      <c r="V450" s="18"/>
      <c r="W450" s="18"/>
      <c r="X450" s="18"/>
      <c r="Y450" s="6"/>
      <c r="Z450" s="6"/>
      <c r="AA450" s="6"/>
      <c r="AB450" s="18"/>
      <c r="AC450" s="18"/>
      <c r="AD450" s="18"/>
      <c r="AE450" s="18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</row>
    <row r="451" spans="1:50">
      <c r="A451" s="16"/>
      <c r="B451" s="29"/>
      <c r="C451" s="16"/>
      <c r="D451" s="16"/>
      <c r="E451" s="16"/>
      <c r="F451" s="22"/>
      <c r="G451" s="22"/>
      <c r="H451" s="22"/>
      <c r="I451" s="16"/>
      <c r="J451" s="16"/>
      <c r="K451" s="16"/>
      <c r="L451" s="18"/>
      <c r="M451" s="18"/>
      <c r="N451" s="18"/>
      <c r="O451" s="18"/>
      <c r="P451" s="18"/>
      <c r="S451" s="6"/>
      <c r="V451" s="18"/>
      <c r="W451" s="18"/>
      <c r="X451" s="18"/>
      <c r="Y451" s="6"/>
      <c r="Z451" s="6"/>
      <c r="AA451" s="6"/>
      <c r="AB451" s="18"/>
      <c r="AC451" s="18"/>
      <c r="AD451" s="18"/>
      <c r="AE451" s="18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</row>
    <row r="452" spans="1:50">
      <c r="A452" s="16"/>
      <c r="B452" s="29"/>
      <c r="C452" s="16"/>
      <c r="D452" s="16"/>
      <c r="E452" s="16"/>
      <c r="F452" s="22"/>
      <c r="G452" s="22"/>
      <c r="H452" s="22"/>
      <c r="I452" s="16"/>
      <c r="J452" s="16"/>
      <c r="K452" s="16"/>
      <c r="L452" s="18"/>
      <c r="M452" s="18"/>
      <c r="N452" s="18"/>
      <c r="O452" s="18"/>
      <c r="P452" s="18"/>
      <c r="S452" s="6"/>
      <c r="V452" s="18"/>
      <c r="W452" s="18"/>
      <c r="X452" s="18"/>
      <c r="Y452" s="6"/>
      <c r="Z452" s="6"/>
      <c r="AA452" s="6"/>
      <c r="AB452" s="18"/>
      <c r="AC452" s="18"/>
      <c r="AD452" s="18"/>
      <c r="AE452" s="18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</row>
    <row r="453" spans="1:50">
      <c r="A453" s="16"/>
      <c r="B453" s="29"/>
      <c r="C453" s="16"/>
      <c r="D453" s="16"/>
      <c r="E453" s="16"/>
      <c r="F453" s="22"/>
      <c r="G453" s="22"/>
      <c r="H453" s="22"/>
      <c r="I453" s="16"/>
      <c r="J453" s="16"/>
      <c r="K453" s="16"/>
      <c r="L453" s="18"/>
      <c r="M453" s="18"/>
      <c r="N453" s="18"/>
      <c r="O453" s="18"/>
      <c r="P453" s="18"/>
      <c r="S453" s="6"/>
      <c r="V453" s="18"/>
      <c r="W453" s="18"/>
      <c r="X453" s="18"/>
      <c r="Y453" s="6"/>
      <c r="Z453" s="6"/>
      <c r="AA453" s="6"/>
      <c r="AB453" s="18"/>
      <c r="AC453" s="18"/>
      <c r="AD453" s="18"/>
      <c r="AE453" s="18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</row>
    <row r="454" spans="1:50">
      <c r="A454" s="16"/>
      <c r="B454" s="29"/>
      <c r="C454" s="16"/>
      <c r="D454" s="16"/>
      <c r="E454" s="16"/>
      <c r="F454" s="22"/>
      <c r="G454" s="22"/>
      <c r="H454" s="22"/>
      <c r="I454" s="16"/>
      <c r="J454" s="16"/>
      <c r="K454" s="16"/>
      <c r="L454" s="18"/>
      <c r="M454" s="18"/>
      <c r="N454" s="18"/>
      <c r="O454" s="18"/>
      <c r="P454" s="18"/>
      <c r="S454" s="6"/>
      <c r="V454" s="18"/>
      <c r="W454" s="18"/>
      <c r="X454" s="18"/>
      <c r="Y454" s="6"/>
      <c r="Z454" s="6"/>
      <c r="AA454" s="6"/>
      <c r="AB454" s="18"/>
      <c r="AC454" s="18"/>
      <c r="AD454" s="18"/>
      <c r="AE454" s="18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</row>
    <row r="455" spans="1:50">
      <c r="A455" s="16"/>
      <c r="B455" s="29"/>
      <c r="C455" s="16"/>
      <c r="D455" s="16"/>
      <c r="E455" s="16"/>
      <c r="F455" s="22"/>
      <c r="G455" s="22"/>
      <c r="H455" s="22"/>
      <c r="I455" s="16"/>
      <c r="J455" s="16"/>
      <c r="K455" s="16"/>
      <c r="L455" s="18"/>
      <c r="M455" s="18"/>
      <c r="N455" s="18"/>
      <c r="O455" s="18"/>
      <c r="P455" s="18"/>
      <c r="S455" s="6"/>
      <c r="V455" s="18"/>
      <c r="W455" s="18"/>
      <c r="X455" s="18"/>
      <c r="Y455" s="6"/>
      <c r="Z455" s="6"/>
      <c r="AA455" s="6"/>
      <c r="AB455" s="18"/>
      <c r="AC455" s="18"/>
      <c r="AD455" s="18"/>
      <c r="AE455" s="18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</row>
    <row r="456" spans="1:50">
      <c r="A456" s="16"/>
      <c r="B456" s="29"/>
      <c r="C456" s="16"/>
      <c r="D456" s="16"/>
      <c r="E456" s="16"/>
      <c r="F456" s="22"/>
      <c r="G456" s="22"/>
      <c r="H456" s="22"/>
      <c r="I456" s="16"/>
      <c r="J456" s="16"/>
      <c r="K456" s="16"/>
      <c r="L456" s="18"/>
      <c r="M456" s="18"/>
      <c r="N456" s="18"/>
      <c r="O456" s="18"/>
      <c r="P456" s="18"/>
      <c r="S456" s="6"/>
      <c r="V456" s="18"/>
      <c r="W456" s="18"/>
      <c r="X456" s="18"/>
      <c r="Y456" s="6"/>
      <c r="Z456" s="6"/>
      <c r="AA456" s="6"/>
      <c r="AB456" s="18"/>
      <c r="AC456" s="18"/>
      <c r="AD456" s="18"/>
      <c r="AE456" s="18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</row>
    <row r="457" spans="1:50">
      <c r="A457" s="16"/>
      <c r="B457" s="29"/>
      <c r="C457" s="16"/>
      <c r="D457" s="16"/>
      <c r="E457" s="16"/>
      <c r="F457" s="22"/>
      <c r="G457" s="22"/>
      <c r="H457" s="22"/>
      <c r="I457" s="16"/>
      <c r="J457" s="16"/>
      <c r="K457" s="16"/>
      <c r="L457" s="18"/>
      <c r="M457" s="18"/>
      <c r="N457" s="18"/>
      <c r="O457" s="18"/>
      <c r="P457" s="18"/>
      <c r="S457" s="6"/>
      <c r="V457" s="18"/>
      <c r="W457" s="18"/>
      <c r="X457" s="18"/>
      <c r="Y457" s="6"/>
      <c r="Z457" s="6"/>
      <c r="AA457" s="6"/>
      <c r="AB457" s="18"/>
      <c r="AC457" s="18"/>
      <c r="AD457" s="18"/>
      <c r="AE457" s="18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</row>
    <row r="458" spans="1:50">
      <c r="A458" s="16"/>
      <c r="B458" s="29"/>
      <c r="C458" s="16"/>
      <c r="D458" s="16"/>
      <c r="E458" s="16"/>
      <c r="F458" s="22"/>
      <c r="G458" s="22"/>
      <c r="H458" s="22"/>
      <c r="I458" s="16"/>
      <c r="J458" s="16"/>
      <c r="K458" s="16"/>
      <c r="L458" s="18"/>
      <c r="M458" s="18"/>
      <c r="N458" s="18"/>
      <c r="O458" s="18"/>
      <c r="P458" s="18"/>
      <c r="S458" s="6"/>
      <c r="V458" s="18"/>
      <c r="W458" s="18"/>
      <c r="X458" s="18"/>
      <c r="Y458" s="6"/>
      <c r="Z458" s="6"/>
      <c r="AA458" s="6"/>
      <c r="AB458" s="18"/>
      <c r="AC458" s="18"/>
      <c r="AD458" s="18"/>
      <c r="AE458" s="18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</row>
    <row r="459" spans="1:50">
      <c r="A459" s="16"/>
      <c r="B459" s="29"/>
      <c r="C459" s="16"/>
      <c r="D459" s="16"/>
      <c r="E459" s="16"/>
      <c r="F459" s="22"/>
      <c r="G459" s="22"/>
      <c r="H459" s="22"/>
      <c r="I459" s="16"/>
      <c r="J459" s="16"/>
      <c r="K459" s="16"/>
      <c r="L459" s="18"/>
      <c r="M459" s="18"/>
      <c r="N459" s="18"/>
      <c r="O459" s="18"/>
      <c r="P459" s="18"/>
      <c r="S459" s="6"/>
      <c r="V459" s="18"/>
      <c r="W459" s="18"/>
      <c r="X459" s="18"/>
      <c r="Y459" s="6"/>
      <c r="Z459" s="6"/>
      <c r="AA459" s="6"/>
      <c r="AB459" s="18"/>
      <c r="AC459" s="18"/>
      <c r="AD459" s="18"/>
      <c r="AE459" s="18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</row>
    <row r="460" spans="1:50">
      <c r="A460" s="16"/>
      <c r="B460" s="29"/>
      <c r="C460" s="16"/>
      <c r="D460" s="16"/>
      <c r="E460" s="16"/>
      <c r="F460" s="22"/>
      <c r="G460" s="22"/>
      <c r="H460" s="22"/>
      <c r="I460" s="16"/>
      <c r="J460" s="16"/>
      <c r="K460" s="16"/>
      <c r="L460" s="18"/>
      <c r="M460" s="18"/>
      <c r="N460" s="18"/>
      <c r="O460" s="18"/>
      <c r="P460" s="18"/>
      <c r="S460" s="6"/>
      <c r="V460" s="18"/>
      <c r="W460" s="18"/>
      <c r="X460" s="18"/>
      <c r="Y460" s="6"/>
      <c r="Z460" s="6"/>
      <c r="AA460" s="6"/>
      <c r="AB460" s="18"/>
      <c r="AC460" s="18"/>
      <c r="AD460" s="18"/>
      <c r="AE460" s="18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</row>
    <row r="461" spans="1:50">
      <c r="A461" s="16"/>
      <c r="B461" s="29"/>
      <c r="C461" s="16"/>
      <c r="D461" s="16"/>
      <c r="E461" s="16"/>
      <c r="F461" s="22"/>
      <c r="G461" s="22"/>
      <c r="H461" s="22"/>
      <c r="I461" s="16"/>
      <c r="J461" s="16"/>
      <c r="K461" s="16"/>
      <c r="L461" s="18"/>
      <c r="M461" s="18"/>
      <c r="N461" s="18"/>
      <c r="O461" s="18"/>
      <c r="P461" s="18"/>
      <c r="S461" s="6"/>
      <c r="V461" s="18"/>
      <c r="W461" s="18"/>
      <c r="X461" s="18"/>
      <c r="Y461" s="6"/>
      <c r="Z461" s="6"/>
      <c r="AA461" s="6"/>
      <c r="AB461" s="18"/>
      <c r="AC461" s="18"/>
      <c r="AD461" s="18"/>
      <c r="AE461" s="18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</row>
    <row r="462" spans="1:50">
      <c r="A462" s="16"/>
      <c r="B462" s="29"/>
      <c r="C462" s="16"/>
      <c r="D462" s="16"/>
      <c r="E462" s="16"/>
      <c r="F462" s="22"/>
      <c r="G462" s="22"/>
      <c r="H462" s="22"/>
      <c r="I462" s="16"/>
      <c r="J462" s="16"/>
      <c r="K462" s="16"/>
      <c r="L462" s="18"/>
      <c r="M462" s="18"/>
      <c r="N462" s="18"/>
      <c r="O462" s="18"/>
      <c r="P462" s="18"/>
      <c r="S462" s="6"/>
      <c r="V462" s="18"/>
      <c r="W462" s="18"/>
      <c r="X462" s="18"/>
      <c r="Y462" s="6"/>
      <c r="Z462" s="6"/>
      <c r="AA462" s="6"/>
      <c r="AB462" s="18"/>
      <c r="AC462" s="18"/>
      <c r="AD462" s="18"/>
      <c r="AE462" s="18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</row>
    <row r="463" spans="1:50">
      <c r="A463" s="16"/>
      <c r="B463" s="29"/>
      <c r="C463" s="16"/>
      <c r="D463" s="16"/>
      <c r="E463" s="16"/>
      <c r="F463" s="22"/>
      <c r="G463" s="22"/>
      <c r="H463" s="22"/>
      <c r="I463" s="16"/>
      <c r="J463" s="16"/>
      <c r="K463" s="16"/>
      <c r="L463" s="18"/>
      <c r="M463" s="18"/>
      <c r="N463" s="18"/>
      <c r="O463" s="18"/>
      <c r="P463" s="18"/>
      <c r="S463" s="6"/>
      <c r="V463" s="18"/>
      <c r="W463" s="18"/>
      <c r="X463" s="18"/>
      <c r="Y463" s="6"/>
      <c r="Z463" s="6"/>
      <c r="AA463" s="6"/>
      <c r="AB463" s="18"/>
      <c r="AC463" s="18"/>
      <c r="AD463" s="18"/>
      <c r="AE463" s="18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</row>
    <row r="464" spans="1:50">
      <c r="A464" s="16"/>
      <c r="B464" s="29"/>
      <c r="C464" s="16"/>
      <c r="D464" s="16"/>
      <c r="E464" s="16"/>
      <c r="F464" s="22"/>
      <c r="G464" s="22"/>
      <c r="H464" s="22"/>
      <c r="I464" s="16"/>
      <c r="J464" s="16"/>
      <c r="K464" s="16"/>
      <c r="L464" s="18"/>
      <c r="M464" s="18"/>
      <c r="N464" s="18"/>
      <c r="O464" s="18"/>
      <c r="P464" s="18"/>
      <c r="S464" s="6"/>
      <c r="V464" s="18"/>
      <c r="W464" s="18"/>
      <c r="X464" s="18"/>
      <c r="Y464" s="6"/>
      <c r="Z464" s="6"/>
      <c r="AA464" s="6"/>
      <c r="AB464" s="18"/>
      <c r="AC464" s="18"/>
      <c r="AD464" s="18"/>
      <c r="AE464" s="18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</row>
    <row r="465" spans="1:50">
      <c r="A465" s="16"/>
      <c r="B465" s="29"/>
      <c r="C465" s="16"/>
      <c r="D465" s="16"/>
      <c r="E465" s="16"/>
      <c r="F465" s="22"/>
      <c r="G465" s="22"/>
      <c r="H465" s="22"/>
      <c r="I465" s="16"/>
      <c r="J465" s="16"/>
      <c r="K465" s="16"/>
      <c r="L465" s="18"/>
      <c r="M465" s="18"/>
      <c r="N465" s="18"/>
      <c r="O465" s="18"/>
      <c r="P465" s="18"/>
      <c r="S465" s="6"/>
      <c r="V465" s="18"/>
      <c r="W465" s="18"/>
      <c r="X465" s="18"/>
      <c r="Y465" s="6"/>
      <c r="Z465" s="6"/>
      <c r="AA465" s="6"/>
      <c r="AB465" s="18"/>
      <c r="AC465" s="18"/>
      <c r="AD465" s="18"/>
      <c r="AE465" s="18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</row>
    <row r="466" spans="1:50">
      <c r="A466" s="16"/>
      <c r="B466" s="29"/>
      <c r="C466" s="16"/>
      <c r="D466" s="16"/>
      <c r="E466" s="16"/>
      <c r="F466" s="22"/>
      <c r="G466" s="22"/>
      <c r="H466" s="22"/>
      <c r="I466" s="16"/>
      <c r="J466" s="16"/>
      <c r="K466" s="16"/>
      <c r="L466" s="18"/>
      <c r="M466" s="18"/>
      <c r="N466" s="18"/>
      <c r="O466" s="18"/>
      <c r="P466" s="18"/>
      <c r="S466" s="6"/>
      <c r="V466" s="18"/>
      <c r="W466" s="18"/>
      <c r="X466" s="18"/>
      <c r="Y466" s="6"/>
      <c r="Z466" s="6"/>
      <c r="AA466" s="6"/>
      <c r="AB466" s="18"/>
      <c r="AC466" s="18"/>
      <c r="AD466" s="18"/>
      <c r="AE466" s="18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</row>
    <row r="467" spans="1:50">
      <c r="A467" s="16"/>
      <c r="B467" s="29"/>
      <c r="C467" s="16"/>
      <c r="D467" s="16"/>
      <c r="E467" s="16"/>
      <c r="F467" s="22"/>
      <c r="G467" s="22"/>
      <c r="H467" s="22"/>
      <c r="I467" s="16"/>
      <c r="J467" s="16"/>
      <c r="K467" s="16"/>
      <c r="L467" s="18"/>
      <c r="M467" s="18"/>
      <c r="N467" s="18"/>
      <c r="O467" s="18"/>
      <c r="P467" s="18"/>
      <c r="S467" s="6"/>
      <c r="V467" s="18"/>
      <c r="W467" s="18"/>
      <c r="X467" s="18"/>
      <c r="Y467" s="6"/>
      <c r="Z467" s="6"/>
      <c r="AA467" s="6"/>
      <c r="AB467" s="18"/>
      <c r="AC467" s="18"/>
      <c r="AD467" s="18"/>
      <c r="AE467" s="18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</row>
    <row r="468" spans="1:50">
      <c r="A468" s="16"/>
      <c r="B468" s="29"/>
      <c r="C468" s="16"/>
      <c r="D468" s="16"/>
      <c r="E468" s="16"/>
      <c r="F468" s="22"/>
      <c r="G468" s="22"/>
      <c r="H468" s="22"/>
      <c r="I468" s="16"/>
      <c r="J468" s="16"/>
      <c r="K468" s="16"/>
      <c r="L468" s="18"/>
      <c r="M468" s="18"/>
      <c r="N468" s="18"/>
      <c r="O468" s="18"/>
      <c r="P468" s="18"/>
      <c r="S468" s="6"/>
      <c r="V468" s="18"/>
      <c r="W468" s="18"/>
      <c r="X468" s="18"/>
      <c r="Y468" s="6"/>
      <c r="Z468" s="6"/>
      <c r="AA468" s="6"/>
      <c r="AB468" s="18"/>
      <c r="AC468" s="18"/>
      <c r="AD468" s="18"/>
      <c r="AE468" s="18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</row>
    <row r="469" spans="1:50">
      <c r="A469" s="16"/>
      <c r="B469" s="29"/>
      <c r="C469" s="16"/>
      <c r="D469" s="16"/>
      <c r="E469" s="16"/>
      <c r="F469" s="22"/>
      <c r="G469" s="22"/>
      <c r="H469" s="22"/>
      <c r="I469" s="16"/>
      <c r="J469" s="16"/>
      <c r="K469" s="16"/>
      <c r="L469" s="18"/>
      <c r="M469" s="18"/>
      <c r="N469" s="18"/>
      <c r="O469" s="18"/>
      <c r="P469" s="18"/>
      <c r="S469" s="6"/>
      <c r="V469" s="18"/>
      <c r="W469" s="18"/>
      <c r="X469" s="18"/>
      <c r="Y469" s="6"/>
      <c r="Z469" s="6"/>
      <c r="AA469" s="6"/>
      <c r="AB469" s="18"/>
      <c r="AC469" s="18"/>
      <c r="AD469" s="18"/>
      <c r="AE469" s="18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</row>
    <row r="470" spans="1:50">
      <c r="A470" s="16"/>
      <c r="B470" s="29"/>
      <c r="C470" s="16"/>
      <c r="D470" s="16"/>
      <c r="E470" s="16"/>
      <c r="F470" s="22"/>
      <c r="G470" s="22"/>
      <c r="H470" s="22"/>
      <c r="I470" s="16"/>
      <c r="J470" s="16"/>
      <c r="K470" s="16"/>
      <c r="L470" s="18"/>
      <c r="M470" s="18"/>
      <c r="N470" s="18"/>
      <c r="O470" s="18"/>
      <c r="P470" s="18"/>
      <c r="S470" s="6"/>
      <c r="V470" s="18"/>
      <c r="W470" s="18"/>
      <c r="X470" s="18"/>
      <c r="Y470" s="6"/>
      <c r="Z470" s="6"/>
      <c r="AA470" s="6"/>
      <c r="AB470" s="18"/>
      <c r="AC470" s="18"/>
      <c r="AD470" s="18"/>
      <c r="AE470" s="18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</row>
    <row r="471" spans="1:50">
      <c r="A471" s="16"/>
      <c r="B471" s="29"/>
      <c r="C471" s="16"/>
      <c r="D471" s="16"/>
      <c r="E471" s="16"/>
      <c r="F471" s="22"/>
      <c r="G471" s="22"/>
      <c r="H471" s="22"/>
      <c r="I471" s="16"/>
      <c r="J471" s="16"/>
      <c r="K471" s="16"/>
      <c r="L471" s="18"/>
      <c r="M471" s="18"/>
      <c r="N471" s="18"/>
      <c r="O471" s="18"/>
      <c r="P471" s="18"/>
      <c r="S471" s="6"/>
      <c r="V471" s="18"/>
      <c r="W471" s="18"/>
      <c r="X471" s="18"/>
      <c r="Y471" s="6"/>
      <c r="Z471" s="6"/>
      <c r="AA471" s="6"/>
      <c r="AB471" s="18"/>
      <c r="AC471" s="18"/>
      <c r="AD471" s="18"/>
      <c r="AE471" s="18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</row>
    <row r="472" spans="1:50">
      <c r="A472" s="16"/>
      <c r="B472" s="29"/>
      <c r="C472" s="16"/>
      <c r="D472" s="16"/>
      <c r="E472" s="16"/>
      <c r="F472" s="22"/>
      <c r="G472" s="22"/>
      <c r="H472" s="22"/>
      <c r="I472" s="16"/>
      <c r="J472" s="16"/>
      <c r="K472" s="16"/>
      <c r="L472" s="18"/>
      <c r="M472" s="18"/>
      <c r="N472" s="18"/>
      <c r="O472" s="18"/>
      <c r="P472" s="18"/>
      <c r="S472" s="6"/>
      <c r="V472" s="18"/>
      <c r="W472" s="18"/>
      <c r="X472" s="18"/>
      <c r="Y472" s="6"/>
      <c r="Z472" s="6"/>
      <c r="AA472" s="6"/>
      <c r="AB472" s="18"/>
      <c r="AC472" s="18"/>
      <c r="AD472" s="18"/>
      <c r="AE472" s="18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</row>
    <row r="473" spans="1:50">
      <c r="A473" s="16"/>
      <c r="B473" s="29"/>
      <c r="C473" s="16"/>
      <c r="D473" s="16"/>
      <c r="E473" s="16"/>
      <c r="F473" s="22"/>
      <c r="G473" s="22"/>
      <c r="H473" s="22"/>
      <c r="I473" s="16"/>
      <c r="J473" s="16"/>
      <c r="K473" s="16"/>
      <c r="L473" s="18"/>
      <c r="M473" s="18"/>
      <c r="N473" s="18"/>
      <c r="O473" s="18"/>
      <c r="P473" s="18"/>
      <c r="S473" s="6"/>
      <c r="V473" s="18"/>
      <c r="W473" s="18"/>
      <c r="X473" s="18"/>
      <c r="Y473" s="6"/>
      <c r="Z473" s="6"/>
      <c r="AA473" s="6"/>
      <c r="AB473" s="18"/>
      <c r="AC473" s="18"/>
      <c r="AD473" s="18"/>
      <c r="AE473" s="18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</row>
    <row r="474" spans="1:50">
      <c r="A474" s="16"/>
      <c r="B474" s="29"/>
      <c r="C474" s="16"/>
      <c r="D474" s="16"/>
      <c r="E474" s="16"/>
      <c r="F474" s="22"/>
      <c r="G474" s="22"/>
      <c r="H474" s="22"/>
      <c r="I474" s="16"/>
      <c r="J474" s="16"/>
      <c r="K474" s="16"/>
      <c r="L474" s="18"/>
      <c r="M474" s="18"/>
      <c r="N474" s="18"/>
      <c r="O474" s="18"/>
      <c r="P474" s="18"/>
      <c r="S474" s="6"/>
      <c r="V474" s="18"/>
      <c r="W474" s="18"/>
      <c r="X474" s="18"/>
      <c r="Y474" s="6"/>
      <c r="Z474" s="6"/>
      <c r="AA474" s="6"/>
      <c r="AB474" s="18"/>
      <c r="AC474" s="18"/>
      <c r="AD474" s="18"/>
      <c r="AE474" s="18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</row>
    <row r="475" spans="1:50">
      <c r="A475" s="16"/>
      <c r="B475" s="29"/>
      <c r="C475" s="16"/>
      <c r="D475" s="16"/>
      <c r="E475" s="16"/>
      <c r="F475" s="22"/>
      <c r="G475" s="22"/>
      <c r="H475" s="22"/>
      <c r="I475" s="16"/>
      <c r="J475" s="16"/>
      <c r="K475" s="16"/>
      <c r="L475" s="18"/>
      <c r="M475" s="18"/>
      <c r="N475" s="18"/>
      <c r="O475" s="18"/>
      <c r="P475" s="18"/>
      <c r="S475" s="6"/>
      <c r="V475" s="18"/>
      <c r="W475" s="18"/>
      <c r="X475" s="18"/>
      <c r="Y475" s="6"/>
      <c r="Z475" s="6"/>
      <c r="AA475" s="6"/>
      <c r="AB475" s="18"/>
      <c r="AC475" s="18"/>
      <c r="AD475" s="18"/>
      <c r="AE475" s="18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</row>
    <row r="476" spans="1:50">
      <c r="A476" s="16"/>
      <c r="B476" s="29"/>
      <c r="C476" s="16"/>
      <c r="D476" s="16"/>
      <c r="E476" s="16"/>
      <c r="F476" s="22"/>
      <c r="G476" s="22"/>
      <c r="H476" s="22"/>
      <c r="I476" s="16"/>
      <c r="J476" s="16"/>
      <c r="K476" s="16"/>
      <c r="L476" s="18"/>
      <c r="M476" s="18"/>
      <c r="N476" s="18"/>
      <c r="O476" s="18"/>
      <c r="P476" s="18"/>
      <c r="S476" s="6"/>
      <c r="V476" s="18"/>
      <c r="W476" s="18"/>
      <c r="X476" s="18"/>
      <c r="Y476" s="6"/>
      <c r="Z476" s="6"/>
      <c r="AA476" s="6"/>
      <c r="AB476" s="18"/>
      <c r="AC476" s="18"/>
      <c r="AD476" s="18"/>
      <c r="AE476" s="18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</row>
    <row r="477" spans="1:50">
      <c r="A477" s="16"/>
      <c r="B477" s="29"/>
      <c r="C477" s="16"/>
      <c r="D477" s="16"/>
      <c r="E477" s="16"/>
      <c r="F477" s="22"/>
      <c r="G477" s="22"/>
      <c r="H477" s="22"/>
      <c r="I477" s="16"/>
      <c r="J477" s="16"/>
      <c r="K477" s="16"/>
      <c r="L477" s="18"/>
      <c r="M477" s="18"/>
      <c r="N477" s="18"/>
      <c r="O477" s="18"/>
      <c r="P477" s="18"/>
      <c r="S477" s="6"/>
      <c r="V477" s="18"/>
      <c r="W477" s="18"/>
      <c r="X477" s="18"/>
      <c r="Y477" s="6"/>
      <c r="Z477" s="6"/>
      <c r="AA477" s="6"/>
      <c r="AB477" s="18"/>
      <c r="AC477" s="18"/>
      <c r="AD477" s="18"/>
      <c r="AE477" s="18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</row>
    <row r="478" spans="1:50">
      <c r="A478" s="16"/>
      <c r="B478" s="29"/>
      <c r="C478" s="16"/>
      <c r="D478" s="16"/>
      <c r="E478" s="16"/>
      <c r="F478" s="22"/>
      <c r="G478" s="22"/>
      <c r="H478" s="22"/>
      <c r="I478" s="16"/>
      <c r="J478" s="16"/>
      <c r="K478" s="16"/>
      <c r="L478" s="18"/>
      <c r="M478" s="18"/>
      <c r="N478" s="18"/>
      <c r="O478" s="18"/>
      <c r="P478" s="18"/>
      <c r="S478" s="6"/>
      <c r="V478" s="18"/>
      <c r="W478" s="18"/>
      <c r="X478" s="18"/>
      <c r="Y478" s="6"/>
      <c r="Z478" s="6"/>
      <c r="AA478" s="6"/>
      <c r="AB478" s="18"/>
      <c r="AC478" s="18"/>
      <c r="AD478" s="18"/>
      <c r="AE478" s="18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</row>
    <row r="479" spans="1:50">
      <c r="A479" s="16"/>
      <c r="B479" s="29"/>
      <c r="C479" s="16"/>
      <c r="D479" s="16"/>
      <c r="E479" s="16"/>
      <c r="F479" s="22"/>
      <c r="G479" s="22"/>
      <c r="H479" s="22"/>
      <c r="I479" s="16"/>
      <c r="J479" s="16"/>
      <c r="K479" s="16"/>
      <c r="L479" s="18"/>
      <c r="M479" s="18"/>
      <c r="N479" s="18"/>
      <c r="O479" s="18"/>
      <c r="P479" s="18"/>
      <c r="S479" s="6"/>
      <c r="V479" s="18"/>
      <c r="W479" s="18"/>
      <c r="X479" s="18"/>
      <c r="Y479" s="6"/>
      <c r="Z479" s="6"/>
      <c r="AA479" s="6"/>
      <c r="AB479" s="18"/>
      <c r="AC479" s="18"/>
      <c r="AD479" s="18"/>
      <c r="AE479" s="18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</row>
    <row r="480" spans="1:50">
      <c r="A480" s="16"/>
      <c r="B480" s="29"/>
      <c r="C480" s="16"/>
      <c r="D480" s="16"/>
      <c r="E480" s="16"/>
      <c r="F480" s="22"/>
      <c r="G480" s="22"/>
      <c r="H480" s="22"/>
      <c r="I480" s="16"/>
      <c r="J480" s="16"/>
      <c r="K480" s="16"/>
      <c r="L480" s="18"/>
      <c r="M480" s="18"/>
      <c r="N480" s="18"/>
      <c r="O480" s="18"/>
      <c r="P480" s="18"/>
      <c r="S480" s="6"/>
      <c r="V480" s="18"/>
      <c r="W480" s="18"/>
      <c r="X480" s="18"/>
      <c r="Y480" s="6"/>
      <c r="Z480" s="6"/>
      <c r="AA480" s="6"/>
      <c r="AB480" s="18"/>
      <c r="AC480" s="18"/>
      <c r="AD480" s="18"/>
      <c r="AE480" s="18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</row>
    <row r="481" spans="1:50">
      <c r="A481" s="16"/>
      <c r="B481" s="29"/>
      <c r="C481" s="16"/>
      <c r="D481" s="16"/>
      <c r="E481" s="16"/>
      <c r="F481" s="22"/>
      <c r="G481" s="22"/>
      <c r="H481" s="22"/>
      <c r="I481" s="16"/>
      <c r="J481" s="16"/>
      <c r="K481" s="16"/>
      <c r="L481" s="18"/>
      <c r="M481" s="18"/>
      <c r="N481" s="18"/>
      <c r="O481" s="18"/>
      <c r="P481" s="18"/>
      <c r="S481" s="6"/>
      <c r="V481" s="18"/>
      <c r="W481" s="18"/>
      <c r="X481" s="18"/>
      <c r="Y481" s="6"/>
      <c r="Z481" s="6"/>
      <c r="AA481" s="6"/>
      <c r="AB481" s="18"/>
      <c r="AC481" s="18"/>
      <c r="AD481" s="18"/>
      <c r="AE481" s="18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</row>
    <row r="482" spans="1:50">
      <c r="A482" s="16"/>
      <c r="B482" s="29"/>
      <c r="C482" s="16"/>
      <c r="D482" s="16"/>
      <c r="E482" s="16"/>
      <c r="F482" s="22"/>
      <c r="G482" s="22"/>
      <c r="H482" s="22"/>
      <c r="I482" s="16"/>
      <c r="J482" s="16"/>
      <c r="K482" s="16"/>
      <c r="L482" s="18"/>
      <c r="M482" s="18"/>
      <c r="N482" s="18"/>
      <c r="O482" s="18"/>
      <c r="P482" s="18"/>
      <c r="S482" s="6"/>
      <c r="V482" s="18"/>
      <c r="W482" s="18"/>
      <c r="X482" s="18"/>
      <c r="Y482" s="6"/>
      <c r="Z482" s="6"/>
      <c r="AA482" s="6"/>
      <c r="AB482" s="18"/>
      <c r="AC482" s="18"/>
      <c r="AD482" s="18"/>
      <c r="AE482" s="18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</row>
    <row r="483" spans="1:50">
      <c r="A483" s="16"/>
      <c r="B483" s="29"/>
      <c r="C483" s="16"/>
      <c r="D483" s="16"/>
      <c r="E483" s="16"/>
      <c r="F483" s="22"/>
      <c r="G483" s="22"/>
      <c r="H483" s="22"/>
      <c r="I483" s="16"/>
      <c r="J483" s="16"/>
      <c r="K483" s="16"/>
      <c r="L483" s="18"/>
      <c r="M483" s="18"/>
      <c r="N483" s="18"/>
      <c r="O483" s="18"/>
      <c r="P483" s="18"/>
      <c r="S483" s="6"/>
      <c r="V483" s="18"/>
      <c r="W483" s="18"/>
      <c r="X483" s="18"/>
      <c r="Y483" s="6"/>
      <c r="Z483" s="6"/>
      <c r="AA483" s="6"/>
      <c r="AB483" s="18"/>
      <c r="AC483" s="18"/>
      <c r="AD483" s="18"/>
      <c r="AE483" s="18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</row>
    <row r="484" spans="1:50">
      <c r="A484" s="16"/>
      <c r="B484" s="29"/>
      <c r="C484" s="16"/>
      <c r="D484" s="16"/>
      <c r="E484" s="16"/>
      <c r="F484" s="22"/>
      <c r="G484" s="22"/>
      <c r="H484" s="22"/>
      <c r="I484" s="16"/>
      <c r="J484" s="16"/>
      <c r="K484" s="16"/>
      <c r="L484" s="18"/>
      <c r="M484" s="18"/>
      <c r="N484" s="18"/>
      <c r="O484" s="18"/>
      <c r="P484" s="18"/>
      <c r="S484" s="6"/>
      <c r="V484" s="18"/>
      <c r="W484" s="18"/>
      <c r="X484" s="18"/>
      <c r="Y484" s="6"/>
      <c r="Z484" s="6"/>
      <c r="AA484" s="6"/>
      <c r="AB484" s="18"/>
      <c r="AC484" s="18"/>
      <c r="AD484" s="18"/>
      <c r="AE484" s="18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</row>
    <row r="485" spans="1:50">
      <c r="A485" s="16"/>
      <c r="B485" s="29"/>
      <c r="C485" s="16"/>
      <c r="D485" s="16"/>
      <c r="E485" s="16"/>
      <c r="F485" s="22"/>
      <c r="G485" s="22"/>
      <c r="H485" s="22"/>
      <c r="I485" s="16"/>
      <c r="J485" s="16"/>
      <c r="K485" s="16"/>
      <c r="L485" s="18"/>
      <c r="M485" s="18"/>
      <c r="N485" s="18"/>
      <c r="O485" s="18"/>
      <c r="P485" s="18"/>
      <c r="S485" s="6"/>
      <c r="V485" s="18"/>
      <c r="W485" s="18"/>
      <c r="X485" s="18"/>
      <c r="Y485" s="6"/>
      <c r="Z485" s="6"/>
      <c r="AA485" s="6"/>
      <c r="AB485" s="18"/>
      <c r="AC485" s="18"/>
      <c r="AD485" s="18"/>
      <c r="AE485" s="18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</row>
    <row r="486" spans="1:50">
      <c r="A486" s="16"/>
      <c r="B486" s="29"/>
      <c r="C486" s="16"/>
      <c r="D486" s="16"/>
      <c r="E486" s="16"/>
      <c r="F486" s="22"/>
      <c r="G486" s="22"/>
      <c r="H486" s="22"/>
      <c r="I486" s="16"/>
      <c r="J486" s="16"/>
      <c r="K486" s="16"/>
      <c r="L486" s="18"/>
      <c r="M486" s="18"/>
      <c r="N486" s="18"/>
      <c r="O486" s="18"/>
      <c r="P486" s="18"/>
      <c r="S486" s="6"/>
      <c r="V486" s="18"/>
      <c r="W486" s="18"/>
      <c r="X486" s="18"/>
      <c r="Y486" s="6"/>
      <c r="Z486" s="6"/>
      <c r="AA486" s="6"/>
      <c r="AB486" s="18"/>
      <c r="AC486" s="18"/>
      <c r="AD486" s="18"/>
      <c r="AE486" s="18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</row>
    <row r="487" spans="1:50">
      <c r="A487" s="16"/>
      <c r="B487" s="29"/>
      <c r="C487" s="16"/>
      <c r="D487" s="16"/>
      <c r="E487" s="16"/>
      <c r="F487" s="22"/>
      <c r="G487" s="22"/>
      <c r="H487" s="22"/>
      <c r="I487" s="16"/>
      <c r="J487" s="16"/>
      <c r="K487" s="16"/>
      <c r="L487" s="18"/>
      <c r="M487" s="18"/>
      <c r="N487" s="18"/>
      <c r="O487" s="18"/>
      <c r="P487" s="18"/>
      <c r="S487" s="6"/>
      <c r="V487" s="18"/>
      <c r="W487" s="18"/>
      <c r="X487" s="18"/>
      <c r="Y487" s="6"/>
      <c r="Z487" s="6"/>
      <c r="AA487" s="6"/>
      <c r="AB487" s="18"/>
      <c r="AC487" s="18"/>
      <c r="AD487" s="18"/>
      <c r="AE487" s="18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</row>
    <row r="488" spans="1:50">
      <c r="A488" s="16"/>
      <c r="B488" s="29"/>
      <c r="C488" s="16"/>
      <c r="D488" s="16"/>
      <c r="E488" s="16"/>
      <c r="F488" s="22"/>
      <c r="G488" s="22"/>
      <c r="H488" s="22"/>
      <c r="I488" s="16"/>
      <c r="J488" s="16"/>
      <c r="K488" s="16"/>
      <c r="L488" s="18"/>
      <c r="M488" s="18"/>
      <c r="N488" s="18"/>
      <c r="O488" s="18"/>
      <c r="P488" s="18"/>
      <c r="S488" s="6"/>
      <c r="V488" s="18"/>
      <c r="W488" s="18"/>
      <c r="X488" s="18"/>
      <c r="Y488" s="6"/>
      <c r="Z488" s="6"/>
      <c r="AA488" s="6"/>
      <c r="AB488" s="18"/>
      <c r="AC488" s="18"/>
      <c r="AD488" s="18"/>
      <c r="AE488" s="18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</row>
    <row r="489" spans="1:50">
      <c r="A489" s="16"/>
      <c r="B489" s="29"/>
      <c r="C489" s="16"/>
      <c r="D489" s="16"/>
      <c r="E489" s="16"/>
      <c r="F489" s="22"/>
      <c r="G489" s="22"/>
      <c r="H489" s="22"/>
      <c r="I489" s="16"/>
      <c r="J489" s="16"/>
      <c r="K489" s="16"/>
      <c r="L489" s="18"/>
      <c r="M489" s="18"/>
      <c r="N489" s="18"/>
      <c r="O489" s="18"/>
      <c r="P489" s="18"/>
      <c r="S489" s="6"/>
      <c r="V489" s="18"/>
      <c r="W489" s="18"/>
      <c r="X489" s="18"/>
      <c r="Y489" s="6"/>
      <c r="Z489" s="6"/>
      <c r="AA489" s="6"/>
      <c r="AB489" s="18"/>
      <c r="AC489" s="18"/>
      <c r="AD489" s="18"/>
      <c r="AE489" s="18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</row>
    <row r="490" spans="1:50">
      <c r="A490" s="16"/>
      <c r="B490" s="29"/>
      <c r="C490" s="16"/>
      <c r="D490" s="16"/>
      <c r="E490" s="16"/>
      <c r="F490" s="22"/>
      <c r="G490" s="22"/>
      <c r="H490" s="22"/>
      <c r="I490" s="16"/>
      <c r="J490" s="16"/>
      <c r="K490" s="16"/>
      <c r="L490" s="18"/>
      <c r="M490" s="18"/>
      <c r="N490" s="18"/>
      <c r="O490" s="18"/>
      <c r="P490" s="18"/>
      <c r="S490" s="6"/>
      <c r="V490" s="18"/>
      <c r="W490" s="18"/>
      <c r="X490" s="18"/>
      <c r="Y490" s="6"/>
      <c r="Z490" s="6"/>
      <c r="AA490" s="6"/>
      <c r="AB490" s="18"/>
      <c r="AC490" s="18"/>
      <c r="AD490" s="18"/>
      <c r="AE490" s="18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</row>
    <row r="491" spans="1:50">
      <c r="A491" s="16"/>
      <c r="B491" s="29"/>
      <c r="C491" s="16"/>
      <c r="D491" s="16"/>
      <c r="E491" s="16"/>
      <c r="F491" s="22"/>
      <c r="G491" s="22"/>
      <c r="H491" s="22"/>
      <c r="I491" s="16"/>
      <c r="J491" s="16"/>
      <c r="K491" s="16"/>
      <c r="L491" s="18"/>
      <c r="M491" s="18"/>
      <c r="N491" s="18"/>
      <c r="O491" s="18"/>
      <c r="P491" s="18"/>
      <c r="S491" s="6"/>
      <c r="V491" s="18"/>
      <c r="W491" s="18"/>
      <c r="X491" s="18"/>
      <c r="Y491" s="6"/>
      <c r="Z491" s="6"/>
      <c r="AA491" s="6"/>
      <c r="AB491" s="18"/>
      <c r="AC491" s="18"/>
      <c r="AD491" s="18"/>
      <c r="AE491" s="18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</row>
    <row r="492" spans="1:50">
      <c r="A492" s="16"/>
      <c r="B492" s="29"/>
      <c r="C492" s="16"/>
      <c r="D492" s="16"/>
      <c r="E492" s="16"/>
      <c r="F492" s="22"/>
      <c r="G492" s="22"/>
      <c r="H492" s="22"/>
      <c r="I492" s="16"/>
      <c r="J492" s="16"/>
      <c r="K492" s="16"/>
      <c r="L492" s="18"/>
      <c r="M492" s="18"/>
      <c r="N492" s="18"/>
      <c r="O492" s="18"/>
      <c r="P492" s="18"/>
      <c r="S492" s="6"/>
      <c r="V492" s="18"/>
      <c r="W492" s="18"/>
      <c r="X492" s="18"/>
      <c r="Y492" s="6"/>
      <c r="Z492" s="6"/>
      <c r="AA492" s="6"/>
      <c r="AB492" s="18"/>
      <c r="AC492" s="18"/>
      <c r="AD492" s="18"/>
      <c r="AE492" s="18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</row>
    <row r="493" spans="1:50">
      <c r="A493" s="16"/>
      <c r="B493" s="29"/>
      <c r="C493" s="16"/>
      <c r="D493" s="16"/>
      <c r="E493" s="16"/>
      <c r="F493" s="22"/>
      <c r="G493" s="22"/>
      <c r="H493" s="22"/>
      <c r="I493" s="16"/>
      <c r="J493" s="16"/>
      <c r="K493" s="16"/>
      <c r="L493" s="18"/>
      <c r="M493" s="18"/>
      <c r="N493" s="18"/>
      <c r="O493" s="18"/>
      <c r="P493" s="18"/>
      <c r="S493" s="6"/>
      <c r="V493" s="18"/>
      <c r="W493" s="18"/>
      <c r="X493" s="18"/>
      <c r="Y493" s="6"/>
      <c r="Z493" s="6"/>
      <c r="AA493" s="6"/>
      <c r="AB493" s="18"/>
      <c r="AC493" s="18"/>
      <c r="AD493" s="18"/>
      <c r="AE493" s="18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</row>
    <row r="494" spans="1:50">
      <c r="A494" s="16"/>
      <c r="B494" s="29"/>
      <c r="C494" s="16"/>
      <c r="D494" s="16"/>
      <c r="E494" s="16"/>
      <c r="F494" s="22"/>
      <c r="G494" s="22"/>
      <c r="H494" s="22"/>
      <c r="I494" s="16"/>
      <c r="J494" s="16"/>
      <c r="K494" s="16"/>
      <c r="L494" s="18"/>
      <c r="M494" s="18"/>
      <c r="N494" s="18"/>
      <c r="O494" s="18"/>
      <c r="P494" s="18"/>
      <c r="S494" s="6"/>
      <c r="V494" s="18"/>
      <c r="W494" s="18"/>
      <c r="X494" s="18"/>
      <c r="Y494" s="6"/>
      <c r="Z494" s="6"/>
      <c r="AA494" s="6"/>
      <c r="AB494" s="18"/>
      <c r="AC494" s="18"/>
      <c r="AD494" s="18"/>
      <c r="AE494" s="18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</row>
    <row r="495" spans="1:50">
      <c r="A495" s="16"/>
      <c r="B495" s="29"/>
      <c r="C495" s="16"/>
      <c r="D495" s="16"/>
      <c r="E495" s="16"/>
      <c r="F495" s="22"/>
      <c r="G495" s="22"/>
      <c r="H495" s="22"/>
      <c r="I495" s="16"/>
      <c r="J495" s="16"/>
      <c r="K495" s="16"/>
      <c r="L495" s="18"/>
      <c r="M495" s="18"/>
      <c r="N495" s="18"/>
      <c r="O495" s="18"/>
      <c r="P495" s="18"/>
      <c r="S495" s="6"/>
      <c r="V495" s="18"/>
      <c r="W495" s="18"/>
      <c r="X495" s="18"/>
      <c r="Y495" s="6"/>
      <c r="Z495" s="6"/>
      <c r="AA495" s="6"/>
      <c r="AB495" s="18"/>
      <c r="AC495" s="18"/>
      <c r="AD495" s="18"/>
      <c r="AE495" s="18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</row>
    <row r="496" spans="1:50">
      <c r="A496" s="16"/>
      <c r="B496" s="29"/>
      <c r="C496" s="16"/>
      <c r="D496" s="16"/>
      <c r="E496" s="16"/>
      <c r="F496" s="22"/>
      <c r="G496" s="22"/>
      <c r="H496" s="22"/>
      <c r="I496" s="16"/>
      <c r="J496" s="16"/>
      <c r="K496" s="16"/>
      <c r="L496" s="18"/>
      <c r="M496" s="18"/>
      <c r="N496" s="18"/>
      <c r="O496" s="18"/>
      <c r="P496" s="18"/>
      <c r="S496" s="6"/>
      <c r="V496" s="18"/>
      <c r="W496" s="18"/>
      <c r="X496" s="18"/>
      <c r="Y496" s="6"/>
      <c r="Z496" s="6"/>
      <c r="AA496" s="6"/>
      <c r="AB496" s="18"/>
      <c r="AC496" s="18"/>
      <c r="AD496" s="18"/>
      <c r="AE496" s="18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</row>
    <row r="497" spans="1:50">
      <c r="A497" s="16"/>
      <c r="B497" s="29"/>
      <c r="C497" s="16"/>
      <c r="D497" s="16"/>
      <c r="E497" s="16"/>
      <c r="F497" s="22"/>
      <c r="G497" s="22"/>
      <c r="H497" s="22"/>
      <c r="I497" s="16"/>
      <c r="J497" s="16"/>
      <c r="K497" s="16"/>
      <c r="L497" s="18"/>
      <c r="M497" s="18"/>
      <c r="N497" s="18"/>
      <c r="O497" s="18"/>
      <c r="P497" s="18"/>
      <c r="S497" s="6"/>
      <c r="V497" s="18"/>
      <c r="W497" s="18"/>
      <c r="X497" s="18"/>
      <c r="Y497" s="6"/>
      <c r="Z497" s="6"/>
      <c r="AA497" s="6"/>
      <c r="AB497" s="18"/>
      <c r="AC497" s="18"/>
      <c r="AD497" s="18"/>
      <c r="AE497" s="18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</row>
    <row r="498" spans="1:50">
      <c r="A498" s="16"/>
      <c r="B498" s="29"/>
      <c r="C498" s="16"/>
      <c r="D498" s="16"/>
      <c r="E498" s="16"/>
      <c r="F498" s="22"/>
      <c r="G498" s="22"/>
      <c r="H498" s="22"/>
      <c r="I498" s="16"/>
      <c r="J498" s="16"/>
      <c r="K498" s="16"/>
      <c r="L498" s="18"/>
      <c r="M498" s="18"/>
      <c r="N498" s="18"/>
      <c r="O498" s="18"/>
      <c r="P498" s="18"/>
      <c r="S498" s="6"/>
      <c r="V498" s="18"/>
      <c r="W498" s="18"/>
      <c r="X498" s="18"/>
      <c r="Y498" s="6"/>
      <c r="Z498" s="6"/>
      <c r="AA498" s="6"/>
      <c r="AB498" s="18"/>
      <c r="AC498" s="18"/>
      <c r="AD498" s="18"/>
      <c r="AE498" s="18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</row>
    <row r="499" spans="1:50">
      <c r="A499" s="16"/>
      <c r="B499" s="29"/>
      <c r="C499" s="16"/>
      <c r="D499" s="16"/>
      <c r="E499" s="16"/>
      <c r="F499" s="22"/>
      <c r="G499" s="22"/>
      <c r="H499" s="22"/>
      <c r="I499" s="16"/>
      <c r="J499" s="16"/>
      <c r="K499" s="16"/>
      <c r="L499" s="18"/>
      <c r="M499" s="18"/>
      <c r="N499" s="18"/>
      <c r="O499" s="18"/>
      <c r="P499" s="18"/>
      <c r="S499" s="6"/>
      <c r="V499" s="18"/>
      <c r="W499" s="18"/>
      <c r="X499" s="18"/>
      <c r="Y499" s="6"/>
      <c r="Z499" s="6"/>
      <c r="AA499" s="6"/>
      <c r="AB499" s="18"/>
      <c r="AC499" s="18"/>
      <c r="AD499" s="18"/>
      <c r="AE499" s="18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</row>
    <row r="500" spans="1:50">
      <c r="A500" s="16"/>
      <c r="B500" s="29"/>
      <c r="C500" s="16"/>
      <c r="D500" s="16"/>
      <c r="E500" s="16"/>
      <c r="F500" s="22"/>
      <c r="G500" s="22"/>
      <c r="H500" s="22"/>
      <c r="I500" s="16"/>
      <c r="J500" s="16"/>
      <c r="K500" s="16"/>
      <c r="L500" s="18"/>
      <c r="M500" s="18"/>
      <c r="N500" s="18"/>
      <c r="O500" s="18"/>
      <c r="P500" s="18"/>
      <c r="S500" s="6"/>
      <c r="V500" s="18"/>
      <c r="W500" s="18"/>
      <c r="X500" s="18"/>
      <c r="Y500" s="6"/>
      <c r="Z500" s="6"/>
      <c r="AA500" s="6"/>
      <c r="AB500" s="18"/>
      <c r="AC500" s="18"/>
      <c r="AD500" s="18"/>
      <c r="AE500" s="18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</row>
    <row r="501" spans="1:50">
      <c r="A501" s="16"/>
      <c r="B501" s="29"/>
      <c r="C501" s="16"/>
      <c r="D501" s="16"/>
      <c r="E501" s="16"/>
      <c r="F501" s="22"/>
      <c r="G501" s="22"/>
      <c r="H501" s="22"/>
      <c r="I501" s="16"/>
      <c r="J501" s="16"/>
      <c r="K501" s="16"/>
      <c r="L501" s="18"/>
      <c r="M501" s="18"/>
      <c r="N501" s="18"/>
      <c r="O501" s="18"/>
      <c r="P501" s="18"/>
      <c r="S501" s="6"/>
      <c r="V501" s="18"/>
      <c r="W501" s="18"/>
      <c r="X501" s="18"/>
      <c r="Y501" s="6"/>
      <c r="Z501" s="6"/>
      <c r="AA501" s="6"/>
      <c r="AB501" s="18"/>
      <c r="AC501" s="18"/>
      <c r="AD501" s="18"/>
      <c r="AE501" s="18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</row>
    <row r="502" spans="1:50">
      <c r="A502" s="16"/>
      <c r="B502" s="29"/>
      <c r="C502" s="16"/>
      <c r="D502" s="16"/>
      <c r="E502" s="16"/>
      <c r="F502" s="22"/>
      <c r="G502" s="22"/>
      <c r="H502" s="22"/>
      <c r="I502" s="16"/>
      <c r="J502" s="16"/>
      <c r="K502" s="16"/>
      <c r="L502" s="18"/>
      <c r="M502" s="18"/>
      <c r="N502" s="18"/>
      <c r="O502" s="18"/>
      <c r="P502" s="18"/>
      <c r="S502" s="6"/>
      <c r="V502" s="18"/>
      <c r="W502" s="18"/>
      <c r="X502" s="18"/>
      <c r="Y502" s="6"/>
      <c r="Z502" s="6"/>
      <c r="AA502" s="6"/>
      <c r="AB502" s="18"/>
      <c r="AC502" s="18"/>
      <c r="AD502" s="18"/>
      <c r="AE502" s="18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</row>
    <row r="503" spans="1:50">
      <c r="A503" s="16"/>
      <c r="B503" s="29"/>
      <c r="C503" s="16"/>
      <c r="D503" s="16"/>
      <c r="E503" s="16"/>
      <c r="F503" s="22"/>
      <c r="G503" s="22"/>
      <c r="H503" s="22"/>
      <c r="I503" s="16"/>
      <c r="J503" s="16"/>
      <c r="K503" s="16"/>
      <c r="L503" s="18"/>
      <c r="M503" s="18"/>
      <c r="N503" s="18"/>
      <c r="O503" s="18"/>
      <c r="P503" s="18"/>
      <c r="S503" s="6"/>
      <c r="V503" s="18"/>
      <c r="W503" s="18"/>
      <c r="X503" s="18"/>
      <c r="Y503" s="6"/>
      <c r="Z503" s="6"/>
      <c r="AA503" s="6"/>
      <c r="AB503" s="18"/>
      <c r="AC503" s="18"/>
      <c r="AD503" s="18"/>
      <c r="AE503" s="18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</row>
    <row r="504" spans="1:50">
      <c r="A504" s="16"/>
      <c r="B504" s="29"/>
      <c r="C504" s="16"/>
      <c r="D504" s="16"/>
      <c r="E504" s="16"/>
      <c r="F504" s="22"/>
      <c r="G504" s="22"/>
      <c r="H504" s="22"/>
      <c r="I504" s="16"/>
      <c r="J504" s="16"/>
      <c r="K504" s="16"/>
      <c r="L504" s="18"/>
      <c r="M504" s="18"/>
      <c r="N504" s="18"/>
      <c r="O504" s="18"/>
      <c r="P504" s="18"/>
      <c r="S504" s="6"/>
      <c r="V504" s="18"/>
      <c r="W504" s="18"/>
      <c r="X504" s="18"/>
      <c r="Y504" s="6"/>
      <c r="Z504" s="6"/>
      <c r="AA504" s="6"/>
      <c r="AB504" s="18"/>
      <c r="AC504" s="18"/>
      <c r="AD504" s="18"/>
      <c r="AE504" s="18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</row>
    <row r="505" spans="1:50">
      <c r="A505" s="16"/>
      <c r="B505" s="29"/>
      <c r="C505" s="16"/>
      <c r="D505" s="16"/>
      <c r="E505" s="16"/>
      <c r="F505" s="22"/>
      <c r="G505" s="22"/>
      <c r="H505" s="22"/>
      <c r="I505" s="16"/>
      <c r="J505" s="16"/>
      <c r="K505" s="16"/>
      <c r="L505" s="18"/>
      <c r="M505" s="18"/>
      <c r="N505" s="18"/>
      <c r="O505" s="18"/>
      <c r="P505" s="18"/>
      <c r="S505" s="6"/>
      <c r="V505" s="18"/>
      <c r="W505" s="18"/>
      <c r="X505" s="18"/>
      <c r="Y505" s="6"/>
      <c r="Z505" s="6"/>
      <c r="AA505" s="6"/>
      <c r="AB505" s="18"/>
      <c r="AC505" s="18"/>
      <c r="AD505" s="18"/>
      <c r="AE505" s="18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</row>
    <row r="506" spans="1:50">
      <c r="A506" s="16"/>
      <c r="B506" s="29"/>
      <c r="C506" s="16"/>
      <c r="D506" s="16"/>
      <c r="E506" s="16"/>
      <c r="F506" s="22"/>
      <c r="G506" s="22"/>
      <c r="H506" s="22"/>
      <c r="I506" s="16"/>
      <c r="J506" s="16"/>
      <c r="K506" s="16"/>
      <c r="L506" s="18"/>
      <c r="M506" s="18"/>
      <c r="N506" s="18"/>
      <c r="O506" s="18"/>
      <c r="P506" s="18"/>
      <c r="S506" s="6"/>
      <c r="V506" s="18"/>
      <c r="W506" s="18"/>
      <c r="X506" s="18"/>
      <c r="Y506" s="6"/>
      <c r="Z506" s="6"/>
      <c r="AA506" s="6"/>
      <c r="AB506" s="18"/>
      <c r="AC506" s="18"/>
      <c r="AD506" s="18"/>
      <c r="AE506" s="18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</row>
    <row r="507" spans="1:50">
      <c r="A507" s="16"/>
      <c r="B507" s="29"/>
      <c r="C507" s="16"/>
      <c r="D507" s="16"/>
      <c r="E507" s="16"/>
      <c r="F507" s="22"/>
      <c r="G507" s="22"/>
      <c r="H507" s="22"/>
      <c r="I507" s="16"/>
      <c r="J507" s="16"/>
      <c r="K507" s="16"/>
      <c r="L507" s="18"/>
      <c r="M507" s="18"/>
      <c r="N507" s="18"/>
      <c r="O507" s="18"/>
      <c r="P507" s="18"/>
      <c r="S507" s="6"/>
      <c r="V507" s="18"/>
      <c r="W507" s="18"/>
      <c r="X507" s="18"/>
      <c r="Y507" s="6"/>
      <c r="Z507" s="6"/>
      <c r="AA507" s="6"/>
      <c r="AB507" s="18"/>
      <c r="AC507" s="18"/>
      <c r="AD507" s="18"/>
      <c r="AE507" s="18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</row>
    <row r="508" spans="1:50">
      <c r="A508" s="16"/>
      <c r="B508" s="29"/>
      <c r="C508" s="16"/>
      <c r="D508" s="16"/>
      <c r="E508" s="16"/>
      <c r="F508" s="22"/>
      <c r="G508" s="22"/>
      <c r="H508" s="22"/>
      <c r="I508" s="16"/>
      <c r="J508" s="16"/>
      <c r="K508" s="16"/>
      <c r="L508" s="18"/>
      <c r="M508" s="18"/>
      <c r="N508" s="18"/>
      <c r="O508" s="18"/>
      <c r="P508" s="18"/>
      <c r="S508" s="6"/>
      <c r="V508" s="18"/>
      <c r="W508" s="18"/>
      <c r="X508" s="18"/>
      <c r="Y508" s="6"/>
      <c r="Z508" s="6"/>
      <c r="AA508" s="6"/>
      <c r="AB508" s="18"/>
      <c r="AC508" s="18"/>
      <c r="AD508" s="18"/>
      <c r="AE508" s="18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</row>
    <row r="509" spans="1:50">
      <c r="A509" s="16"/>
      <c r="B509" s="29"/>
      <c r="C509" s="16"/>
      <c r="D509" s="16"/>
      <c r="E509" s="16"/>
      <c r="F509" s="22"/>
      <c r="G509" s="22"/>
      <c r="H509" s="22"/>
      <c r="I509" s="16"/>
      <c r="J509" s="16"/>
      <c r="K509" s="16"/>
      <c r="L509" s="18"/>
      <c r="M509" s="18"/>
      <c r="N509" s="18"/>
      <c r="O509" s="18"/>
      <c r="P509" s="18"/>
      <c r="S509" s="6"/>
      <c r="V509" s="18"/>
      <c r="W509" s="18"/>
      <c r="X509" s="18"/>
      <c r="Y509" s="6"/>
      <c r="Z509" s="6"/>
      <c r="AA509" s="6"/>
      <c r="AB509" s="18"/>
      <c r="AC509" s="18"/>
      <c r="AD509" s="18"/>
      <c r="AE509" s="18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</row>
    <row r="510" spans="1:50">
      <c r="A510" s="16"/>
      <c r="B510" s="29"/>
      <c r="C510" s="16"/>
      <c r="D510" s="16"/>
      <c r="E510" s="16"/>
      <c r="F510" s="22"/>
      <c r="G510" s="22"/>
      <c r="H510" s="22"/>
      <c r="I510" s="16"/>
      <c r="J510" s="16"/>
      <c r="K510" s="16"/>
      <c r="L510" s="18"/>
      <c r="M510" s="18"/>
      <c r="N510" s="18"/>
      <c r="O510" s="18"/>
      <c r="P510" s="18"/>
      <c r="S510" s="6"/>
      <c r="V510" s="18"/>
      <c r="W510" s="18"/>
      <c r="X510" s="18"/>
      <c r="Y510" s="6"/>
      <c r="Z510" s="6"/>
      <c r="AA510" s="6"/>
      <c r="AB510" s="18"/>
      <c r="AC510" s="18"/>
      <c r="AD510" s="18"/>
      <c r="AE510" s="18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</row>
    <row r="511" spans="1:50">
      <c r="A511" s="16"/>
      <c r="B511" s="29"/>
      <c r="C511" s="16"/>
      <c r="D511" s="16"/>
      <c r="E511" s="16"/>
      <c r="F511" s="22"/>
      <c r="G511" s="22"/>
      <c r="H511" s="22"/>
      <c r="I511" s="16"/>
      <c r="J511" s="16"/>
      <c r="K511" s="16"/>
      <c r="L511" s="18"/>
      <c r="M511" s="18"/>
      <c r="N511" s="18"/>
      <c r="O511" s="18"/>
      <c r="P511" s="18"/>
      <c r="S511" s="6"/>
      <c r="V511" s="18"/>
      <c r="W511" s="18"/>
      <c r="X511" s="18"/>
      <c r="Y511" s="6"/>
      <c r="Z511" s="6"/>
      <c r="AA511" s="6"/>
      <c r="AB511" s="18"/>
      <c r="AC511" s="18"/>
      <c r="AD511" s="18"/>
      <c r="AE511" s="18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</row>
    <row r="512" spans="1:50">
      <c r="A512" s="16"/>
      <c r="B512" s="29"/>
      <c r="C512" s="16"/>
      <c r="D512" s="16"/>
      <c r="E512" s="16"/>
      <c r="F512" s="22"/>
      <c r="G512" s="22"/>
      <c r="H512" s="22"/>
      <c r="I512" s="16"/>
      <c r="J512" s="16"/>
      <c r="K512" s="16"/>
      <c r="L512" s="18"/>
      <c r="M512" s="18"/>
      <c r="N512" s="18"/>
      <c r="O512" s="18"/>
      <c r="P512" s="18"/>
      <c r="S512" s="6"/>
      <c r="V512" s="18"/>
      <c r="W512" s="18"/>
      <c r="X512" s="18"/>
      <c r="Y512" s="6"/>
      <c r="Z512" s="6"/>
      <c r="AA512" s="6"/>
      <c r="AB512" s="18"/>
      <c r="AC512" s="18"/>
      <c r="AD512" s="18"/>
      <c r="AE512" s="18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</row>
    <row r="513" spans="1:50">
      <c r="A513" s="16"/>
      <c r="B513" s="29"/>
      <c r="C513" s="16"/>
      <c r="D513" s="16"/>
      <c r="E513" s="16"/>
      <c r="F513" s="22"/>
      <c r="G513" s="22"/>
      <c r="H513" s="22"/>
      <c r="I513" s="16"/>
      <c r="J513" s="16"/>
      <c r="K513" s="16"/>
      <c r="L513" s="18"/>
      <c r="M513" s="18"/>
      <c r="N513" s="18"/>
      <c r="O513" s="18"/>
      <c r="P513" s="18"/>
      <c r="S513" s="6"/>
      <c r="V513" s="18"/>
      <c r="W513" s="18"/>
      <c r="X513" s="18"/>
      <c r="Y513" s="6"/>
      <c r="Z513" s="6"/>
      <c r="AA513" s="6"/>
      <c r="AB513" s="18"/>
      <c r="AC513" s="18"/>
      <c r="AD513" s="18"/>
      <c r="AE513" s="18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</row>
    <row r="514" spans="1:50">
      <c r="A514" s="16"/>
      <c r="B514" s="29"/>
      <c r="C514" s="16"/>
      <c r="D514" s="16"/>
      <c r="E514" s="16"/>
      <c r="F514" s="22"/>
      <c r="G514" s="22"/>
      <c r="H514" s="22"/>
      <c r="I514" s="16"/>
      <c r="J514" s="16"/>
      <c r="K514" s="16"/>
      <c r="L514" s="18"/>
      <c r="M514" s="18"/>
      <c r="N514" s="18"/>
      <c r="O514" s="18"/>
      <c r="P514" s="18"/>
      <c r="S514" s="6"/>
      <c r="V514" s="18"/>
      <c r="W514" s="18"/>
      <c r="X514" s="18"/>
      <c r="Y514" s="6"/>
      <c r="Z514" s="6"/>
      <c r="AA514" s="6"/>
      <c r="AB514" s="18"/>
      <c r="AC514" s="18"/>
      <c r="AD514" s="18"/>
      <c r="AE514" s="18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</row>
    <row r="515" spans="1:50">
      <c r="A515" s="16"/>
      <c r="B515" s="29"/>
      <c r="C515" s="16"/>
      <c r="D515" s="16"/>
      <c r="E515" s="16"/>
      <c r="F515" s="22"/>
      <c r="G515" s="22"/>
      <c r="H515" s="22"/>
      <c r="I515" s="16"/>
      <c r="J515" s="16"/>
      <c r="K515" s="16"/>
      <c r="L515" s="18"/>
      <c r="M515" s="18"/>
      <c r="N515" s="18"/>
      <c r="O515" s="18"/>
      <c r="P515" s="18"/>
      <c r="S515" s="6"/>
      <c r="V515" s="18"/>
      <c r="W515" s="18"/>
      <c r="X515" s="18"/>
      <c r="Y515" s="6"/>
      <c r="Z515" s="6"/>
      <c r="AA515" s="6"/>
      <c r="AB515" s="18"/>
      <c r="AC515" s="18"/>
      <c r="AD515" s="18"/>
      <c r="AE515" s="18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</row>
    <row r="516" spans="1:50">
      <c r="A516" s="16"/>
      <c r="B516" s="29"/>
      <c r="C516" s="16"/>
      <c r="D516" s="16"/>
      <c r="E516" s="16"/>
      <c r="F516" s="22"/>
      <c r="G516" s="22"/>
      <c r="H516" s="22"/>
      <c r="I516" s="16"/>
      <c r="J516" s="16"/>
      <c r="K516" s="16"/>
      <c r="L516" s="18"/>
      <c r="M516" s="18"/>
      <c r="N516" s="18"/>
      <c r="O516" s="18"/>
      <c r="P516" s="18"/>
      <c r="S516" s="6"/>
      <c r="V516" s="18"/>
      <c r="W516" s="18"/>
      <c r="X516" s="18"/>
      <c r="Y516" s="6"/>
      <c r="Z516" s="6"/>
      <c r="AA516" s="6"/>
      <c r="AB516" s="18"/>
      <c r="AC516" s="18"/>
      <c r="AD516" s="18"/>
      <c r="AE516" s="18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</row>
    <row r="517" spans="1:50">
      <c r="A517" s="16"/>
      <c r="B517" s="29"/>
      <c r="C517" s="16"/>
      <c r="D517" s="16"/>
      <c r="E517" s="16"/>
      <c r="F517" s="22"/>
      <c r="G517" s="22"/>
      <c r="H517" s="22"/>
      <c r="I517" s="16"/>
      <c r="J517" s="16"/>
      <c r="K517" s="16"/>
      <c r="L517" s="18"/>
      <c r="M517" s="18"/>
      <c r="N517" s="18"/>
      <c r="O517" s="18"/>
      <c r="P517" s="18"/>
      <c r="S517" s="6"/>
      <c r="V517" s="18"/>
      <c r="W517" s="18"/>
      <c r="X517" s="18"/>
      <c r="Y517" s="6"/>
      <c r="Z517" s="6"/>
      <c r="AA517" s="6"/>
      <c r="AB517" s="18"/>
      <c r="AC517" s="18"/>
      <c r="AD517" s="18"/>
      <c r="AE517" s="18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</row>
    <row r="518" spans="1:50">
      <c r="A518" s="16"/>
      <c r="B518" s="29"/>
      <c r="C518" s="16"/>
      <c r="D518" s="16"/>
      <c r="E518" s="16"/>
      <c r="F518" s="22"/>
      <c r="G518" s="22"/>
      <c r="H518" s="22"/>
      <c r="I518" s="16"/>
      <c r="J518" s="16"/>
      <c r="K518" s="16"/>
      <c r="L518" s="18"/>
      <c r="M518" s="18"/>
      <c r="N518" s="18"/>
      <c r="O518" s="18"/>
      <c r="P518" s="18"/>
      <c r="S518" s="6"/>
      <c r="V518" s="18"/>
      <c r="W518" s="18"/>
      <c r="X518" s="18"/>
      <c r="Y518" s="6"/>
      <c r="Z518" s="6"/>
      <c r="AA518" s="6"/>
      <c r="AB518" s="18"/>
      <c r="AC518" s="18"/>
      <c r="AD518" s="18"/>
      <c r="AE518" s="18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</row>
    <row r="519" spans="1:50">
      <c r="A519" s="16"/>
      <c r="B519" s="29"/>
      <c r="C519" s="16"/>
      <c r="D519" s="16"/>
      <c r="E519" s="16"/>
      <c r="F519" s="22"/>
      <c r="G519" s="22"/>
      <c r="H519" s="22"/>
      <c r="I519" s="16"/>
      <c r="J519" s="16"/>
      <c r="K519" s="16"/>
      <c r="L519" s="18"/>
      <c r="M519" s="18"/>
      <c r="N519" s="18"/>
      <c r="O519" s="18"/>
      <c r="P519" s="18"/>
      <c r="S519" s="6"/>
      <c r="V519" s="18"/>
      <c r="W519" s="18"/>
      <c r="X519" s="18"/>
      <c r="Y519" s="6"/>
      <c r="Z519" s="6"/>
      <c r="AA519" s="6"/>
      <c r="AB519" s="18"/>
      <c r="AC519" s="18"/>
      <c r="AD519" s="18"/>
      <c r="AE519" s="18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</row>
    <row r="520" spans="1:50">
      <c r="A520" s="16"/>
      <c r="B520" s="29"/>
      <c r="C520" s="16"/>
      <c r="D520" s="16"/>
      <c r="E520" s="16"/>
      <c r="F520" s="22"/>
      <c r="G520" s="22"/>
      <c r="H520" s="22"/>
      <c r="I520" s="16"/>
      <c r="J520" s="16"/>
      <c r="K520" s="16"/>
      <c r="L520" s="18"/>
      <c r="M520" s="18"/>
      <c r="N520" s="18"/>
      <c r="O520" s="18"/>
      <c r="P520" s="18"/>
      <c r="S520" s="6"/>
      <c r="V520" s="18"/>
      <c r="W520" s="18"/>
      <c r="X520" s="18"/>
      <c r="Y520" s="6"/>
      <c r="Z520" s="6"/>
      <c r="AA520" s="6"/>
      <c r="AB520" s="18"/>
      <c r="AC520" s="18"/>
      <c r="AD520" s="18"/>
      <c r="AE520" s="18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</row>
    <row r="521" spans="1:50">
      <c r="A521" s="16"/>
      <c r="B521" s="29"/>
      <c r="C521" s="16"/>
      <c r="D521" s="16"/>
      <c r="E521" s="16"/>
      <c r="F521" s="22"/>
      <c r="G521" s="22"/>
      <c r="H521" s="22"/>
      <c r="I521" s="16"/>
      <c r="J521" s="16"/>
      <c r="K521" s="16"/>
      <c r="L521" s="18"/>
      <c r="M521" s="18"/>
      <c r="N521" s="18"/>
      <c r="O521" s="18"/>
      <c r="P521" s="18"/>
      <c r="S521" s="6"/>
      <c r="V521" s="18"/>
      <c r="W521" s="18"/>
      <c r="X521" s="18"/>
      <c r="Y521" s="6"/>
      <c r="Z521" s="6"/>
      <c r="AA521" s="6"/>
      <c r="AB521" s="18"/>
      <c r="AC521" s="18"/>
      <c r="AD521" s="18"/>
      <c r="AE521" s="18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</row>
    <row r="522" spans="1:50">
      <c r="A522" s="16"/>
      <c r="B522" s="29"/>
      <c r="C522" s="16"/>
      <c r="D522" s="16"/>
      <c r="E522" s="16"/>
      <c r="F522" s="22"/>
      <c r="G522" s="22"/>
      <c r="H522" s="22"/>
      <c r="I522" s="16"/>
      <c r="J522" s="16"/>
      <c r="K522" s="16"/>
      <c r="L522" s="18"/>
      <c r="M522" s="18"/>
      <c r="N522" s="18"/>
      <c r="O522" s="18"/>
      <c r="P522" s="18"/>
      <c r="S522" s="6"/>
      <c r="V522" s="18"/>
      <c r="W522" s="18"/>
      <c r="X522" s="18"/>
      <c r="Y522" s="6"/>
      <c r="Z522" s="6"/>
      <c r="AA522" s="6"/>
      <c r="AB522" s="18"/>
      <c r="AC522" s="18"/>
      <c r="AD522" s="18"/>
      <c r="AE522" s="18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</row>
    <row r="523" spans="1:50">
      <c r="A523" s="16"/>
      <c r="B523" s="29"/>
      <c r="C523" s="16"/>
      <c r="D523" s="16"/>
      <c r="E523" s="16"/>
      <c r="F523" s="22"/>
      <c r="G523" s="22"/>
      <c r="H523" s="22"/>
      <c r="I523" s="16"/>
      <c r="J523" s="16"/>
      <c r="K523" s="16"/>
      <c r="L523" s="18"/>
      <c r="M523" s="18"/>
      <c r="N523" s="18"/>
      <c r="O523" s="18"/>
      <c r="P523" s="18"/>
      <c r="S523" s="6"/>
      <c r="V523" s="18"/>
      <c r="W523" s="18"/>
      <c r="X523" s="18"/>
      <c r="Y523" s="6"/>
      <c r="Z523" s="6"/>
      <c r="AA523" s="6"/>
      <c r="AB523" s="18"/>
      <c r="AC523" s="18"/>
      <c r="AD523" s="18"/>
      <c r="AE523" s="18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</row>
    <row r="524" spans="1:50">
      <c r="A524" s="16"/>
      <c r="B524" s="29"/>
      <c r="C524" s="16"/>
      <c r="D524" s="16"/>
      <c r="E524" s="16"/>
      <c r="F524" s="22"/>
      <c r="G524" s="22"/>
      <c r="H524" s="22"/>
      <c r="I524" s="16"/>
      <c r="J524" s="16"/>
      <c r="K524" s="16"/>
      <c r="L524" s="18"/>
      <c r="M524" s="18"/>
      <c r="N524" s="18"/>
      <c r="O524" s="18"/>
      <c r="P524" s="18"/>
      <c r="S524" s="6"/>
      <c r="V524" s="18"/>
      <c r="W524" s="18"/>
      <c r="X524" s="18"/>
      <c r="Y524" s="6"/>
      <c r="Z524" s="6"/>
      <c r="AA524" s="6"/>
      <c r="AB524" s="18"/>
      <c r="AC524" s="18"/>
      <c r="AD524" s="18"/>
      <c r="AE524" s="18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</row>
    <row r="525" spans="1:50">
      <c r="A525" s="16"/>
      <c r="B525" s="29"/>
      <c r="C525" s="16"/>
      <c r="D525" s="16"/>
      <c r="E525" s="16"/>
      <c r="F525" s="22"/>
      <c r="G525" s="22"/>
      <c r="H525" s="22"/>
      <c r="I525" s="16"/>
      <c r="J525" s="16"/>
      <c r="K525" s="16"/>
      <c r="L525" s="18"/>
      <c r="M525" s="18"/>
      <c r="N525" s="18"/>
      <c r="O525" s="18"/>
      <c r="P525" s="18"/>
      <c r="S525" s="6"/>
      <c r="V525" s="18"/>
      <c r="W525" s="18"/>
      <c r="X525" s="18"/>
      <c r="Y525" s="6"/>
      <c r="Z525" s="6"/>
      <c r="AA525" s="6"/>
      <c r="AB525" s="18"/>
      <c r="AC525" s="18"/>
      <c r="AD525" s="18"/>
      <c r="AE525" s="18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</row>
    <row r="526" spans="1:50">
      <c r="A526" s="16"/>
      <c r="B526" s="29"/>
      <c r="C526" s="16"/>
      <c r="D526" s="16"/>
      <c r="E526" s="16"/>
      <c r="F526" s="22"/>
      <c r="G526" s="22"/>
      <c r="H526" s="22"/>
      <c r="I526" s="16"/>
      <c r="J526" s="16"/>
      <c r="K526" s="16"/>
      <c r="L526" s="18"/>
      <c r="M526" s="18"/>
      <c r="N526" s="18"/>
      <c r="O526" s="18"/>
      <c r="P526" s="18"/>
      <c r="S526" s="6"/>
      <c r="V526" s="18"/>
      <c r="W526" s="18"/>
      <c r="X526" s="18"/>
      <c r="Y526" s="6"/>
      <c r="Z526" s="6"/>
      <c r="AA526" s="6"/>
      <c r="AB526" s="18"/>
      <c r="AC526" s="18"/>
      <c r="AD526" s="18"/>
      <c r="AE526" s="18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</row>
    <row r="527" spans="1:50">
      <c r="A527" s="16"/>
      <c r="B527" s="29"/>
      <c r="C527" s="16"/>
      <c r="D527" s="16"/>
      <c r="E527" s="16"/>
      <c r="F527" s="22"/>
      <c r="G527" s="22"/>
      <c r="H527" s="22"/>
      <c r="I527" s="16"/>
      <c r="J527" s="16"/>
      <c r="K527" s="16"/>
      <c r="L527" s="18"/>
      <c r="M527" s="18"/>
      <c r="N527" s="18"/>
      <c r="O527" s="18"/>
      <c r="P527" s="18"/>
      <c r="S527" s="6"/>
      <c r="V527" s="18"/>
      <c r="W527" s="18"/>
      <c r="X527" s="18"/>
      <c r="Y527" s="6"/>
      <c r="Z527" s="6"/>
      <c r="AA527" s="6"/>
      <c r="AB527" s="18"/>
      <c r="AC527" s="18"/>
      <c r="AD527" s="18"/>
      <c r="AE527" s="18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</row>
    <row r="528" spans="1:50">
      <c r="A528" s="16"/>
      <c r="B528" s="29"/>
      <c r="C528" s="16"/>
      <c r="D528" s="16"/>
      <c r="E528" s="16"/>
      <c r="F528" s="22"/>
      <c r="G528" s="22"/>
      <c r="H528" s="22"/>
      <c r="I528" s="16"/>
      <c r="J528" s="16"/>
      <c r="K528" s="16"/>
      <c r="L528" s="18"/>
      <c r="M528" s="18"/>
      <c r="N528" s="18"/>
      <c r="O528" s="18"/>
      <c r="P528" s="18"/>
      <c r="S528" s="6"/>
      <c r="V528" s="18"/>
      <c r="W528" s="18"/>
      <c r="X528" s="18"/>
      <c r="Y528" s="6"/>
      <c r="Z528" s="6"/>
      <c r="AA528" s="6"/>
      <c r="AB528" s="18"/>
      <c r="AC528" s="18"/>
      <c r="AD528" s="18"/>
      <c r="AE528" s="18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</row>
    <row r="529" spans="1:50">
      <c r="A529" s="16"/>
      <c r="B529" s="29"/>
      <c r="C529" s="16"/>
      <c r="D529" s="16"/>
      <c r="E529" s="16"/>
      <c r="F529" s="22"/>
      <c r="G529" s="22"/>
      <c r="H529" s="22"/>
      <c r="I529" s="16"/>
      <c r="J529" s="16"/>
      <c r="K529" s="16"/>
      <c r="L529" s="18"/>
      <c r="M529" s="18"/>
      <c r="N529" s="18"/>
      <c r="O529" s="18"/>
      <c r="P529" s="18"/>
      <c r="S529" s="6"/>
      <c r="V529" s="18"/>
      <c r="W529" s="18"/>
      <c r="X529" s="18"/>
      <c r="Y529" s="6"/>
      <c r="Z529" s="6"/>
      <c r="AA529" s="6"/>
      <c r="AB529" s="18"/>
      <c r="AC529" s="18"/>
      <c r="AD529" s="18"/>
      <c r="AE529" s="18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</row>
    <row r="530" spans="1:50">
      <c r="A530" s="16"/>
      <c r="B530" s="29"/>
      <c r="C530" s="16"/>
      <c r="D530" s="16"/>
      <c r="E530" s="16"/>
      <c r="F530" s="22"/>
      <c r="G530" s="22"/>
      <c r="H530" s="22"/>
      <c r="I530" s="16"/>
      <c r="J530" s="16"/>
      <c r="K530" s="16"/>
      <c r="L530" s="18"/>
      <c r="M530" s="18"/>
      <c r="N530" s="18"/>
      <c r="O530" s="18"/>
      <c r="P530" s="18"/>
      <c r="S530" s="6"/>
      <c r="V530" s="18"/>
      <c r="W530" s="18"/>
      <c r="X530" s="18"/>
      <c r="Y530" s="6"/>
      <c r="Z530" s="6"/>
      <c r="AA530" s="6"/>
      <c r="AB530" s="18"/>
      <c r="AC530" s="18"/>
      <c r="AD530" s="18"/>
      <c r="AE530" s="18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</row>
    <row r="531" spans="1:50">
      <c r="A531" s="16"/>
      <c r="B531" s="29"/>
      <c r="C531" s="16"/>
      <c r="D531" s="16"/>
      <c r="E531" s="16"/>
      <c r="F531" s="22"/>
      <c r="G531" s="22"/>
      <c r="H531" s="22"/>
      <c r="I531" s="16"/>
      <c r="J531" s="16"/>
      <c r="K531" s="16"/>
      <c r="L531" s="18"/>
      <c r="M531" s="18"/>
      <c r="N531" s="18"/>
      <c r="O531" s="18"/>
      <c r="P531" s="18"/>
      <c r="S531" s="6"/>
      <c r="V531" s="18"/>
      <c r="W531" s="18"/>
      <c r="X531" s="18"/>
      <c r="Y531" s="6"/>
      <c r="Z531" s="6"/>
      <c r="AA531" s="6"/>
      <c r="AB531" s="18"/>
      <c r="AC531" s="18"/>
      <c r="AD531" s="18"/>
      <c r="AE531" s="18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</row>
    <row r="532" spans="1:50">
      <c r="A532" s="16"/>
      <c r="B532" s="29"/>
      <c r="C532" s="16"/>
      <c r="D532" s="16"/>
      <c r="E532" s="16"/>
      <c r="F532" s="22"/>
      <c r="G532" s="22"/>
      <c r="H532" s="22"/>
      <c r="I532" s="16"/>
      <c r="J532" s="16"/>
      <c r="K532" s="16"/>
      <c r="L532" s="18"/>
      <c r="M532" s="18"/>
      <c r="N532" s="18"/>
      <c r="O532" s="18"/>
      <c r="P532" s="18"/>
      <c r="S532" s="6"/>
      <c r="V532" s="18"/>
      <c r="W532" s="18"/>
      <c r="X532" s="18"/>
      <c r="Y532" s="6"/>
      <c r="Z532" s="6"/>
      <c r="AA532" s="6"/>
      <c r="AB532" s="18"/>
      <c r="AC532" s="18"/>
      <c r="AD532" s="18"/>
      <c r="AE532" s="18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</row>
    <row r="533" spans="1:50">
      <c r="A533" s="16"/>
      <c r="B533" s="29"/>
      <c r="C533" s="16"/>
      <c r="D533" s="16"/>
      <c r="E533" s="16"/>
      <c r="F533" s="22"/>
      <c r="G533" s="22"/>
      <c r="H533" s="22"/>
      <c r="I533" s="16"/>
      <c r="J533" s="16"/>
      <c r="K533" s="16"/>
      <c r="L533" s="18"/>
      <c r="M533" s="18"/>
      <c r="N533" s="18"/>
      <c r="O533" s="18"/>
      <c r="P533" s="18"/>
      <c r="S533" s="6"/>
      <c r="V533" s="18"/>
      <c r="W533" s="18"/>
      <c r="X533" s="18"/>
      <c r="Y533" s="6"/>
      <c r="Z533" s="6"/>
      <c r="AA533" s="6"/>
      <c r="AB533" s="18"/>
      <c r="AC533" s="18"/>
      <c r="AD533" s="18"/>
      <c r="AE533" s="18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</row>
    <row r="534" spans="1:50">
      <c r="A534" s="16"/>
      <c r="B534" s="29"/>
      <c r="C534" s="16"/>
      <c r="D534" s="16"/>
      <c r="E534" s="16"/>
      <c r="F534" s="22"/>
      <c r="G534" s="22"/>
      <c r="H534" s="22"/>
      <c r="I534" s="16"/>
      <c r="J534" s="16"/>
      <c r="K534" s="16"/>
      <c r="L534" s="18"/>
      <c r="M534" s="18"/>
      <c r="N534" s="18"/>
      <c r="O534" s="18"/>
      <c r="P534" s="18"/>
      <c r="S534" s="6"/>
      <c r="V534" s="18"/>
      <c r="W534" s="18"/>
      <c r="X534" s="18"/>
      <c r="Y534" s="6"/>
      <c r="Z534" s="6"/>
      <c r="AA534" s="6"/>
      <c r="AB534" s="18"/>
      <c r="AC534" s="18"/>
      <c r="AD534" s="18"/>
      <c r="AE534" s="18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</row>
    <row r="535" spans="1:50">
      <c r="A535" s="16"/>
      <c r="B535" s="29"/>
      <c r="C535" s="16"/>
      <c r="D535" s="16"/>
      <c r="E535" s="16"/>
      <c r="F535" s="22"/>
      <c r="G535" s="22"/>
      <c r="H535" s="22"/>
      <c r="I535" s="16"/>
      <c r="J535" s="16"/>
      <c r="K535" s="16"/>
      <c r="L535" s="18"/>
      <c r="M535" s="18"/>
      <c r="N535" s="18"/>
      <c r="O535" s="18"/>
      <c r="P535" s="18"/>
      <c r="S535" s="6"/>
      <c r="V535" s="18"/>
      <c r="W535" s="18"/>
      <c r="X535" s="18"/>
      <c r="Y535" s="6"/>
      <c r="Z535" s="6"/>
      <c r="AA535" s="6"/>
      <c r="AB535" s="18"/>
      <c r="AC535" s="18"/>
      <c r="AD535" s="18"/>
      <c r="AE535" s="18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</row>
    <row r="536" spans="1:50">
      <c r="A536" s="16"/>
      <c r="B536" s="29"/>
      <c r="C536" s="16"/>
      <c r="D536" s="16"/>
      <c r="E536" s="16"/>
      <c r="F536" s="22"/>
      <c r="G536" s="22"/>
      <c r="H536" s="22"/>
      <c r="I536" s="16"/>
      <c r="J536" s="16"/>
      <c r="K536" s="16"/>
      <c r="L536" s="18"/>
      <c r="M536" s="18"/>
      <c r="N536" s="18"/>
      <c r="O536" s="18"/>
      <c r="P536" s="18"/>
      <c r="S536" s="6"/>
      <c r="V536" s="18"/>
      <c r="W536" s="18"/>
      <c r="X536" s="18"/>
      <c r="Y536" s="6"/>
      <c r="Z536" s="6"/>
      <c r="AA536" s="6"/>
      <c r="AB536" s="18"/>
      <c r="AC536" s="18"/>
      <c r="AD536" s="18"/>
      <c r="AE536" s="18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</row>
    <row r="537" spans="1:50">
      <c r="A537" s="16"/>
      <c r="B537" s="29"/>
      <c r="C537" s="16"/>
      <c r="D537" s="16"/>
      <c r="E537" s="16"/>
      <c r="F537" s="22"/>
      <c r="G537" s="22"/>
      <c r="H537" s="22"/>
      <c r="I537" s="16"/>
      <c r="J537" s="16"/>
      <c r="K537" s="16"/>
      <c r="L537" s="18"/>
      <c r="M537" s="18"/>
      <c r="N537" s="18"/>
      <c r="O537" s="18"/>
      <c r="P537" s="18"/>
      <c r="S537" s="6"/>
      <c r="V537" s="18"/>
      <c r="W537" s="18"/>
      <c r="X537" s="18"/>
      <c r="Y537" s="6"/>
      <c r="Z537" s="6"/>
      <c r="AA537" s="6"/>
      <c r="AB537" s="18"/>
      <c r="AC537" s="18"/>
      <c r="AD537" s="18"/>
      <c r="AE537" s="18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</row>
    <row r="538" spans="1:50">
      <c r="A538" s="16"/>
      <c r="B538" s="29"/>
      <c r="C538" s="16"/>
      <c r="D538" s="16"/>
      <c r="E538" s="16"/>
      <c r="F538" s="22"/>
      <c r="G538" s="22"/>
      <c r="H538" s="22"/>
      <c r="I538" s="16"/>
      <c r="J538" s="16"/>
      <c r="K538" s="16"/>
      <c r="L538" s="18"/>
      <c r="M538" s="18"/>
      <c r="N538" s="18"/>
      <c r="O538" s="18"/>
      <c r="P538" s="18"/>
      <c r="S538" s="6"/>
      <c r="V538" s="18"/>
      <c r="W538" s="18"/>
      <c r="X538" s="18"/>
      <c r="Y538" s="6"/>
      <c r="Z538" s="6"/>
      <c r="AA538" s="6"/>
      <c r="AB538" s="18"/>
      <c r="AC538" s="18"/>
      <c r="AD538" s="18"/>
      <c r="AE538" s="18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</row>
    <row r="539" spans="1:50">
      <c r="A539" s="16"/>
      <c r="B539" s="29"/>
      <c r="C539" s="16"/>
      <c r="D539" s="16"/>
      <c r="E539" s="16"/>
      <c r="F539" s="22"/>
      <c r="G539" s="22"/>
      <c r="H539" s="22"/>
      <c r="I539" s="16"/>
      <c r="J539" s="16"/>
      <c r="K539" s="16"/>
      <c r="L539" s="18"/>
      <c r="M539" s="18"/>
      <c r="N539" s="18"/>
      <c r="O539" s="18"/>
      <c r="P539" s="18"/>
      <c r="S539" s="6"/>
      <c r="V539" s="18"/>
      <c r="W539" s="18"/>
      <c r="X539" s="18"/>
      <c r="Y539" s="6"/>
      <c r="Z539" s="6"/>
      <c r="AA539" s="6"/>
      <c r="AB539" s="18"/>
      <c r="AC539" s="18"/>
      <c r="AD539" s="18"/>
      <c r="AE539" s="18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</row>
    <row r="540" spans="1:50">
      <c r="A540" s="16"/>
      <c r="B540" s="29"/>
      <c r="C540" s="16"/>
      <c r="D540" s="16"/>
      <c r="E540" s="16"/>
      <c r="F540" s="22"/>
      <c r="G540" s="22"/>
      <c r="H540" s="22"/>
      <c r="I540" s="16"/>
      <c r="J540" s="16"/>
      <c r="K540" s="16"/>
      <c r="L540" s="18"/>
      <c r="M540" s="18"/>
      <c r="N540" s="18"/>
      <c r="O540" s="18"/>
      <c r="P540" s="18"/>
      <c r="S540" s="6"/>
      <c r="V540" s="18"/>
      <c r="W540" s="18"/>
      <c r="X540" s="18"/>
      <c r="Y540" s="6"/>
      <c r="Z540" s="6"/>
      <c r="AA540" s="6"/>
      <c r="AB540" s="18"/>
      <c r="AC540" s="18"/>
      <c r="AD540" s="18"/>
      <c r="AE540" s="18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</row>
    <row r="541" spans="1:50">
      <c r="A541" s="16"/>
      <c r="B541" s="29"/>
      <c r="C541" s="16"/>
      <c r="D541" s="16"/>
      <c r="E541" s="16"/>
      <c r="F541" s="22"/>
      <c r="G541" s="22"/>
      <c r="H541" s="22"/>
      <c r="I541" s="16"/>
      <c r="J541" s="16"/>
      <c r="K541" s="16"/>
      <c r="L541" s="18"/>
      <c r="M541" s="18"/>
      <c r="N541" s="18"/>
      <c r="O541" s="18"/>
      <c r="P541" s="18"/>
      <c r="S541" s="6"/>
      <c r="V541" s="18"/>
      <c r="W541" s="18"/>
      <c r="X541" s="18"/>
      <c r="Y541" s="6"/>
      <c r="Z541" s="6"/>
      <c r="AA541" s="6"/>
      <c r="AB541" s="18"/>
      <c r="AC541" s="18"/>
      <c r="AD541" s="18"/>
      <c r="AE541" s="18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</row>
    <row r="542" spans="1:50">
      <c r="A542" s="16"/>
      <c r="B542" s="29"/>
      <c r="C542" s="16"/>
      <c r="D542" s="16"/>
      <c r="E542" s="16"/>
      <c r="F542" s="22"/>
      <c r="G542" s="22"/>
      <c r="H542" s="22"/>
      <c r="I542" s="16"/>
      <c r="J542" s="16"/>
      <c r="K542" s="16"/>
      <c r="L542" s="18"/>
      <c r="M542" s="18"/>
      <c r="N542" s="18"/>
      <c r="O542" s="18"/>
      <c r="P542" s="18"/>
      <c r="S542" s="6"/>
      <c r="V542" s="18"/>
      <c r="W542" s="18"/>
      <c r="X542" s="18"/>
      <c r="Y542" s="6"/>
      <c r="Z542" s="6"/>
      <c r="AA542" s="6"/>
      <c r="AB542" s="18"/>
      <c r="AC542" s="18"/>
      <c r="AD542" s="18"/>
      <c r="AE542" s="18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</row>
    <row r="543" spans="1:50">
      <c r="A543" s="16"/>
      <c r="B543" s="29"/>
      <c r="C543" s="16"/>
      <c r="D543" s="16"/>
      <c r="E543" s="16"/>
      <c r="F543" s="22"/>
      <c r="G543" s="22"/>
      <c r="H543" s="22"/>
      <c r="I543" s="16"/>
      <c r="J543" s="16"/>
      <c r="K543" s="16"/>
      <c r="L543" s="18"/>
      <c r="M543" s="18"/>
      <c r="N543" s="18"/>
      <c r="O543" s="18"/>
      <c r="P543" s="18"/>
      <c r="S543" s="6"/>
      <c r="V543" s="18"/>
      <c r="W543" s="18"/>
      <c r="X543" s="18"/>
      <c r="Y543" s="6"/>
      <c r="Z543" s="6"/>
      <c r="AA543" s="6"/>
      <c r="AB543" s="18"/>
      <c r="AC543" s="18"/>
      <c r="AD543" s="18"/>
      <c r="AE543" s="18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</row>
    <row r="544" spans="1:50">
      <c r="A544" s="16"/>
      <c r="B544" s="29"/>
      <c r="C544" s="16"/>
      <c r="D544" s="16"/>
      <c r="E544" s="16"/>
      <c r="F544" s="22"/>
      <c r="G544" s="22"/>
      <c r="H544" s="22"/>
      <c r="I544" s="16"/>
      <c r="J544" s="16"/>
      <c r="K544" s="16"/>
      <c r="L544" s="18"/>
      <c r="M544" s="18"/>
      <c r="N544" s="18"/>
      <c r="O544" s="18"/>
      <c r="P544" s="18"/>
      <c r="S544" s="6"/>
      <c r="V544" s="18"/>
      <c r="W544" s="18"/>
      <c r="X544" s="18"/>
      <c r="Y544" s="6"/>
      <c r="Z544" s="6"/>
      <c r="AA544" s="6"/>
      <c r="AB544" s="18"/>
      <c r="AC544" s="18"/>
      <c r="AD544" s="18"/>
      <c r="AE544" s="18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</row>
    <row r="545" spans="1:50">
      <c r="A545" s="16"/>
      <c r="B545" s="30"/>
      <c r="C545" s="16"/>
      <c r="D545" s="16"/>
      <c r="E545" s="16"/>
      <c r="F545" s="22"/>
      <c r="G545" s="22"/>
      <c r="H545" s="22"/>
      <c r="I545" s="16"/>
      <c r="J545" s="16"/>
      <c r="K545" s="16"/>
      <c r="L545" s="18"/>
      <c r="M545" s="18"/>
      <c r="N545" s="18"/>
      <c r="O545" s="18"/>
      <c r="P545" s="18"/>
      <c r="S545" s="6"/>
      <c r="V545" s="18"/>
      <c r="W545" s="18"/>
      <c r="X545" s="18"/>
      <c r="Y545" s="6"/>
      <c r="Z545" s="6"/>
      <c r="AA545" s="6"/>
      <c r="AB545" s="18"/>
      <c r="AC545" s="18"/>
      <c r="AD545" s="18"/>
      <c r="AE545" s="18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</row>
    <row r="546" spans="1:50">
      <c r="A546" s="16"/>
      <c r="B546" s="30"/>
      <c r="C546" s="16"/>
      <c r="D546" s="16"/>
      <c r="E546" s="16"/>
      <c r="F546" s="22"/>
      <c r="G546" s="22"/>
      <c r="H546" s="22"/>
      <c r="I546" s="16"/>
      <c r="J546" s="16"/>
      <c r="K546" s="16"/>
      <c r="L546" s="18"/>
      <c r="M546" s="18"/>
      <c r="N546" s="18"/>
      <c r="O546" s="18"/>
      <c r="P546" s="18"/>
      <c r="S546" s="6"/>
      <c r="V546" s="18"/>
      <c r="W546" s="18"/>
      <c r="X546" s="18"/>
      <c r="Y546" s="6"/>
      <c r="Z546" s="6"/>
      <c r="AA546" s="6"/>
      <c r="AB546" s="18"/>
      <c r="AC546" s="18"/>
      <c r="AD546" s="18"/>
      <c r="AE546" s="18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</row>
    <row r="547" spans="1:50">
      <c r="A547" s="16"/>
      <c r="B547" s="30"/>
      <c r="C547" s="16"/>
      <c r="D547" s="16"/>
      <c r="E547" s="16"/>
      <c r="F547" s="22"/>
      <c r="G547" s="22"/>
      <c r="H547" s="22"/>
      <c r="I547" s="16"/>
      <c r="J547" s="16"/>
      <c r="K547" s="16"/>
      <c r="L547" s="18"/>
      <c r="M547" s="18"/>
      <c r="N547" s="18"/>
      <c r="O547" s="18"/>
      <c r="P547" s="18"/>
      <c r="S547" s="6"/>
      <c r="V547" s="18"/>
      <c r="W547" s="18"/>
      <c r="X547" s="18"/>
      <c r="Y547" s="6"/>
      <c r="Z547" s="6"/>
      <c r="AA547" s="6"/>
      <c r="AB547" s="18"/>
      <c r="AC547" s="18"/>
      <c r="AD547" s="18"/>
      <c r="AE547" s="18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</row>
    <row r="548" spans="1:50">
      <c r="A548" s="16"/>
      <c r="B548" s="30"/>
      <c r="C548" s="16"/>
      <c r="D548" s="16"/>
      <c r="E548" s="16"/>
      <c r="F548" s="22"/>
      <c r="G548" s="22"/>
      <c r="H548" s="22"/>
      <c r="I548" s="16"/>
      <c r="J548" s="16"/>
      <c r="K548" s="16"/>
      <c r="L548" s="18"/>
      <c r="M548" s="18"/>
      <c r="N548" s="18"/>
      <c r="O548" s="18"/>
      <c r="P548" s="18"/>
      <c r="S548" s="6"/>
      <c r="V548" s="18"/>
      <c r="W548" s="18"/>
      <c r="X548" s="18"/>
      <c r="Y548" s="6"/>
      <c r="Z548" s="6"/>
      <c r="AA548" s="6"/>
      <c r="AB548" s="18"/>
      <c r="AC548" s="18"/>
      <c r="AD548" s="18"/>
      <c r="AE548" s="18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</row>
    <row r="549" spans="1:50">
      <c r="A549" s="16"/>
      <c r="B549" s="30"/>
      <c r="C549" s="16"/>
      <c r="D549" s="16"/>
      <c r="E549" s="16"/>
      <c r="F549" s="22"/>
      <c r="G549" s="22"/>
      <c r="H549" s="22"/>
      <c r="I549" s="16"/>
      <c r="J549" s="16"/>
      <c r="K549" s="16"/>
      <c r="L549" s="18"/>
      <c r="M549" s="18"/>
      <c r="N549" s="18"/>
      <c r="O549" s="18"/>
      <c r="P549" s="18"/>
      <c r="S549" s="6"/>
      <c r="V549" s="18"/>
      <c r="W549" s="18"/>
      <c r="X549" s="18"/>
      <c r="Y549" s="6"/>
      <c r="Z549" s="6"/>
      <c r="AA549" s="6"/>
      <c r="AB549" s="18"/>
      <c r="AC549" s="18"/>
      <c r="AD549" s="18"/>
      <c r="AE549" s="18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</row>
    <row r="550" spans="1:50">
      <c r="A550" s="16"/>
      <c r="B550" s="30"/>
      <c r="C550" s="16"/>
      <c r="D550" s="16"/>
      <c r="E550" s="16"/>
      <c r="F550" s="22"/>
      <c r="G550" s="22"/>
      <c r="H550" s="22"/>
      <c r="I550" s="16"/>
      <c r="J550" s="16"/>
      <c r="K550" s="16"/>
      <c r="L550" s="18"/>
      <c r="M550" s="18"/>
      <c r="N550" s="18"/>
      <c r="O550" s="18"/>
      <c r="P550" s="18"/>
      <c r="S550" s="6"/>
      <c r="V550" s="18"/>
      <c r="W550" s="18"/>
      <c r="X550" s="18"/>
      <c r="Y550" s="6"/>
      <c r="Z550" s="6"/>
      <c r="AA550" s="6"/>
      <c r="AB550" s="18"/>
      <c r="AC550" s="18"/>
      <c r="AD550" s="18"/>
      <c r="AE550" s="18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</row>
    <row r="551" spans="1:50">
      <c r="A551" s="16"/>
      <c r="B551" s="30"/>
      <c r="C551" s="16"/>
      <c r="D551" s="16"/>
      <c r="E551" s="16"/>
      <c r="F551" s="22"/>
      <c r="G551" s="22"/>
      <c r="H551" s="22"/>
      <c r="I551" s="16"/>
      <c r="J551" s="16"/>
      <c r="K551" s="16"/>
      <c r="L551" s="18"/>
      <c r="M551" s="18"/>
      <c r="N551" s="18"/>
      <c r="O551" s="18"/>
      <c r="P551" s="18"/>
      <c r="S551" s="6"/>
      <c r="V551" s="18"/>
      <c r="W551" s="18"/>
      <c r="X551" s="18"/>
      <c r="Y551" s="6"/>
      <c r="Z551" s="6"/>
      <c r="AA551" s="6"/>
      <c r="AB551" s="18"/>
      <c r="AC551" s="18"/>
      <c r="AD551" s="18"/>
      <c r="AE551" s="18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</row>
    <row r="552" spans="1:50">
      <c r="A552" s="16"/>
      <c r="B552" s="30"/>
      <c r="C552" s="16"/>
      <c r="D552" s="16"/>
      <c r="E552" s="16"/>
      <c r="F552" s="22"/>
      <c r="G552" s="22"/>
      <c r="H552" s="22"/>
      <c r="I552" s="16"/>
      <c r="J552" s="16"/>
      <c r="K552" s="16"/>
      <c r="L552" s="18"/>
      <c r="M552" s="18"/>
      <c r="N552" s="18"/>
      <c r="O552" s="18"/>
      <c r="P552" s="18"/>
      <c r="S552" s="6"/>
      <c r="V552" s="18"/>
      <c r="W552" s="18"/>
      <c r="X552" s="18"/>
      <c r="Y552" s="6"/>
      <c r="Z552" s="6"/>
      <c r="AA552" s="6"/>
      <c r="AB552" s="18"/>
      <c r="AC552" s="18"/>
      <c r="AD552" s="18"/>
      <c r="AE552" s="18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</row>
    <row r="553" spans="1:50">
      <c r="A553" s="16"/>
      <c r="B553" s="30"/>
      <c r="C553" s="16"/>
      <c r="D553" s="16"/>
      <c r="E553" s="16"/>
      <c r="F553" s="22"/>
      <c r="G553" s="22"/>
      <c r="H553" s="22"/>
      <c r="I553" s="16"/>
      <c r="J553" s="16"/>
      <c r="K553" s="16"/>
      <c r="L553" s="18"/>
      <c r="M553" s="18"/>
      <c r="N553" s="18"/>
      <c r="O553" s="18"/>
      <c r="P553" s="18"/>
      <c r="S553" s="6"/>
      <c r="V553" s="18"/>
      <c r="W553" s="18"/>
      <c r="X553" s="18"/>
      <c r="Y553" s="6"/>
      <c r="Z553" s="6"/>
      <c r="AA553" s="6"/>
      <c r="AB553" s="18"/>
      <c r="AC553" s="18"/>
      <c r="AD553" s="18"/>
      <c r="AE553" s="18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</row>
    <row r="554" spans="1:50">
      <c r="A554" s="16"/>
      <c r="B554" s="30"/>
      <c r="C554" s="16"/>
      <c r="D554" s="16"/>
      <c r="E554" s="16"/>
      <c r="F554" s="22"/>
      <c r="G554" s="22"/>
      <c r="H554" s="22"/>
      <c r="I554" s="16"/>
      <c r="J554" s="16"/>
      <c r="K554" s="16"/>
      <c r="L554" s="18"/>
      <c r="M554" s="18"/>
      <c r="N554" s="18"/>
      <c r="O554" s="18"/>
      <c r="P554" s="18"/>
      <c r="S554" s="6"/>
      <c r="V554" s="18"/>
      <c r="W554" s="18"/>
      <c r="X554" s="18"/>
      <c r="Y554" s="6"/>
      <c r="Z554" s="6"/>
      <c r="AA554" s="6"/>
      <c r="AB554" s="18"/>
      <c r="AC554" s="18"/>
      <c r="AD554" s="18"/>
      <c r="AE554" s="18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</row>
    <row r="555" spans="1:50">
      <c r="A555" s="16"/>
      <c r="B555" s="30"/>
      <c r="C555" s="16"/>
      <c r="D555" s="16"/>
      <c r="E555" s="16"/>
      <c r="F555" s="22"/>
      <c r="G555" s="22"/>
      <c r="H555" s="22"/>
      <c r="I555" s="16"/>
      <c r="J555" s="16"/>
      <c r="K555" s="16"/>
      <c r="L555" s="18"/>
      <c r="M555" s="18"/>
      <c r="N555" s="18"/>
      <c r="O555" s="18"/>
      <c r="P555" s="18"/>
      <c r="S555" s="6"/>
      <c r="V555" s="18"/>
      <c r="W555" s="18"/>
      <c r="X555" s="18"/>
      <c r="Y555" s="6"/>
      <c r="Z555" s="6"/>
      <c r="AA555" s="6"/>
      <c r="AB555" s="18"/>
      <c r="AC555" s="18"/>
      <c r="AD555" s="18"/>
      <c r="AE555" s="18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</row>
    <row r="556" spans="1:50">
      <c r="A556" s="16"/>
      <c r="B556" s="30"/>
      <c r="C556" s="16"/>
      <c r="D556" s="16"/>
      <c r="E556" s="16"/>
      <c r="F556" s="22"/>
      <c r="G556" s="22"/>
      <c r="H556" s="22"/>
      <c r="I556" s="16"/>
      <c r="J556" s="16"/>
      <c r="K556" s="16"/>
      <c r="L556" s="18"/>
      <c r="M556" s="18"/>
      <c r="N556" s="18"/>
      <c r="O556" s="18"/>
      <c r="P556" s="18"/>
      <c r="S556" s="6"/>
      <c r="V556" s="18"/>
      <c r="W556" s="18"/>
      <c r="X556" s="18"/>
      <c r="Y556" s="6"/>
      <c r="Z556" s="6"/>
      <c r="AA556" s="6"/>
      <c r="AB556" s="18"/>
      <c r="AC556" s="18"/>
      <c r="AD556" s="18"/>
      <c r="AE556" s="18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</row>
    <row r="557" spans="1:50">
      <c r="A557" s="16"/>
      <c r="B557" s="30"/>
      <c r="C557" s="16"/>
      <c r="D557" s="16"/>
      <c r="E557" s="16"/>
      <c r="F557" s="22"/>
      <c r="G557" s="22"/>
      <c r="H557" s="22"/>
      <c r="I557" s="16"/>
      <c r="J557" s="16"/>
      <c r="K557" s="16"/>
      <c r="L557" s="18"/>
      <c r="M557" s="18"/>
      <c r="N557" s="18"/>
      <c r="O557" s="18"/>
      <c r="P557" s="18"/>
      <c r="S557" s="6"/>
      <c r="V557" s="18"/>
      <c r="W557" s="18"/>
      <c r="X557" s="18"/>
      <c r="Y557" s="6"/>
      <c r="Z557" s="6"/>
      <c r="AA557" s="6"/>
      <c r="AB557" s="18"/>
      <c r="AC557" s="18"/>
      <c r="AD557" s="18"/>
      <c r="AE557" s="18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</row>
    <row r="558" spans="1:50">
      <c r="A558" s="16"/>
      <c r="B558" s="30"/>
      <c r="C558" s="16"/>
      <c r="D558" s="16"/>
      <c r="E558" s="16"/>
      <c r="F558" s="22"/>
      <c r="G558" s="22"/>
      <c r="H558" s="22"/>
      <c r="I558" s="16"/>
      <c r="J558" s="16"/>
      <c r="K558" s="16"/>
      <c r="L558" s="18"/>
      <c r="M558" s="18"/>
      <c r="N558" s="18"/>
      <c r="O558" s="18"/>
      <c r="P558" s="18"/>
      <c r="S558" s="6"/>
      <c r="V558" s="18"/>
      <c r="W558" s="18"/>
      <c r="X558" s="18"/>
      <c r="Y558" s="6"/>
      <c r="Z558" s="6"/>
      <c r="AA558" s="6"/>
      <c r="AB558" s="18"/>
      <c r="AC558" s="18"/>
      <c r="AD558" s="18"/>
      <c r="AE558" s="18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</row>
    <row r="559" spans="1:50">
      <c r="A559" s="16"/>
      <c r="B559" s="30"/>
      <c r="C559" s="16"/>
      <c r="D559" s="16"/>
      <c r="E559" s="16"/>
      <c r="F559" s="22"/>
      <c r="G559" s="22"/>
      <c r="H559" s="22"/>
      <c r="I559" s="16"/>
      <c r="J559" s="16"/>
      <c r="K559" s="16"/>
      <c r="L559" s="18"/>
      <c r="M559" s="18"/>
      <c r="N559" s="18"/>
      <c r="O559" s="18"/>
      <c r="P559" s="18"/>
      <c r="S559" s="6"/>
      <c r="V559" s="18"/>
      <c r="W559" s="18"/>
      <c r="X559" s="18"/>
      <c r="Y559" s="6"/>
      <c r="Z559" s="6"/>
      <c r="AA559" s="6"/>
      <c r="AB559" s="18"/>
      <c r="AC559" s="18"/>
      <c r="AD559" s="18"/>
      <c r="AE559" s="18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</row>
    <row r="560" spans="1:50">
      <c r="A560" s="16"/>
      <c r="B560" s="30"/>
      <c r="C560" s="16"/>
      <c r="D560" s="16"/>
      <c r="E560" s="16"/>
      <c r="F560" s="22"/>
      <c r="G560" s="22"/>
      <c r="H560" s="22"/>
      <c r="I560" s="16"/>
      <c r="J560" s="16"/>
      <c r="K560" s="16"/>
      <c r="L560" s="18"/>
      <c r="M560" s="18"/>
      <c r="N560" s="18"/>
      <c r="O560" s="18"/>
      <c r="P560" s="18"/>
      <c r="S560" s="6"/>
      <c r="V560" s="18"/>
      <c r="W560" s="18"/>
      <c r="X560" s="18"/>
      <c r="Y560" s="6"/>
      <c r="Z560" s="6"/>
      <c r="AA560" s="6"/>
      <c r="AB560" s="18"/>
      <c r="AC560" s="18"/>
      <c r="AD560" s="18"/>
      <c r="AE560" s="18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</row>
    <row r="561" spans="1:50">
      <c r="A561" s="16"/>
      <c r="B561" s="30"/>
      <c r="C561" s="16"/>
      <c r="D561" s="16"/>
      <c r="E561" s="16"/>
      <c r="F561" s="22"/>
      <c r="G561" s="22"/>
      <c r="H561" s="22"/>
      <c r="I561" s="16"/>
      <c r="J561" s="16"/>
      <c r="K561" s="16"/>
      <c r="L561" s="18"/>
      <c r="M561" s="18"/>
      <c r="N561" s="18"/>
      <c r="O561" s="18"/>
      <c r="P561" s="18"/>
      <c r="S561" s="6"/>
      <c r="V561" s="18"/>
      <c r="W561" s="18"/>
      <c r="X561" s="18"/>
      <c r="Y561" s="6"/>
      <c r="Z561" s="6"/>
      <c r="AA561" s="6"/>
      <c r="AB561" s="18"/>
      <c r="AC561" s="18"/>
      <c r="AD561" s="18"/>
      <c r="AE561" s="18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</row>
    <row r="562" spans="1:50">
      <c r="A562" s="16"/>
      <c r="B562" s="30"/>
      <c r="C562" s="16"/>
      <c r="D562" s="16"/>
      <c r="E562" s="16"/>
      <c r="F562" s="22"/>
      <c r="G562" s="22"/>
      <c r="H562" s="22"/>
      <c r="I562" s="16"/>
      <c r="J562" s="16"/>
      <c r="K562" s="16"/>
      <c r="L562" s="18"/>
      <c r="M562" s="18"/>
      <c r="N562" s="18"/>
      <c r="O562" s="18"/>
      <c r="P562" s="18"/>
      <c r="S562" s="6"/>
      <c r="V562" s="18"/>
      <c r="W562" s="18"/>
      <c r="X562" s="18"/>
      <c r="Y562" s="6"/>
      <c r="Z562" s="6"/>
      <c r="AA562" s="6"/>
      <c r="AB562" s="18"/>
      <c r="AC562" s="18"/>
      <c r="AD562" s="18"/>
      <c r="AE562" s="18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</row>
    <row r="563" spans="1:50">
      <c r="A563" s="16"/>
      <c r="B563" s="30"/>
      <c r="C563" s="16"/>
      <c r="D563" s="16"/>
      <c r="E563" s="16"/>
      <c r="F563" s="22"/>
      <c r="G563" s="22"/>
      <c r="H563" s="22"/>
      <c r="I563" s="16"/>
      <c r="J563" s="16"/>
      <c r="K563" s="16"/>
      <c r="L563" s="18"/>
      <c r="M563" s="18"/>
      <c r="N563" s="18"/>
      <c r="O563" s="18"/>
      <c r="P563" s="18"/>
      <c r="S563" s="6"/>
      <c r="V563" s="18"/>
      <c r="W563" s="18"/>
      <c r="X563" s="18"/>
      <c r="Y563" s="6"/>
      <c r="Z563" s="6"/>
      <c r="AA563" s="6"/>
      <c r="AB563" s="18"/>
      <c r="AC563" s="18"/>
      <c r="AD563" s="18"/>
      <c r="AE563" s="18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</row>
    <row r="564" spans="1:50">
      <c r="A564" s="16"/>
      <c r="B564" s="30"/>
      <c r="C564" s="16"/>
      <c r="D564" s="16"/>
      <c r="E564" s="16"/>
      <c r="F564" s="22"/>
      <c r="G564" s="22"/>
      <c r="H564" s="22"/>
      <c r="I564" s="16"/>
      <c r="J564" s="16"/>
      <c r="K564" s="16"/>
      <c r="L564" s="18"/>
      <c r="M564" s="18"/>
      <c r="N564" s="18"/>
      <c r="O564" s="18"/>
      <c r="P564" s="18"/>
      <c r="S564" s="6"/>
      <c r="V564" s="18"/>
      <c r="W564" s="18"/>
      <c r="X564" s="18"/>
      <c r="Y564" s="6"/>
      <c r="Z564" s="6"/>
      <c r="AA564" s="6"/>
      <c r="AB564" s="18"/>
      <c r="AC564" s="18"/>
      <c r="AD564" s="18"/>
      <c r="AE564" s="18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</row>
    <row r="565" spans="1:50">
      <c r="A565" s="16"/>
      <c r="B565" s="30"/>
      <c r="C565" s="16"/>
      <c r="D565" s="16"/>
      <c r="E565" s="16"/>
      <c r="F565" s="22"/>
      <c r="G565" s="22"/>
      <c r="H565" s="22"/>
      <c r="I565" s="16"/>
      <c r="J565" s="16"/>
      <c r="K565" s="16"/>
      <c r="L565" s="18"/>
      <c r="M565" s="18"/>
      <c r="N565" s="18"/>
      <c r="O565" s="18"/>
      <c r="P565" s="18"/>
      <c r="S565" s="6"/>
      <c r="V565" s="18"/>
      <c r="W565" s="18"/>
      <c r="X565" s="18"/>
      <c r="Y565" s="6"/>
      <c r="Z565" s="6"/>
      <c r="AA565" s="6"/>
      <c r="AB565" s="18"/>
      <c r="AC565" s="18"/>
      <c r="AD565" s="18"/>
      <c r="AE565" s="18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</row>
    <row r="566" spans="1:50">
      <c r="A566" s="16"/>
      <c r="B566" s="30"/>
      <c r="C566" s="16"/>
      <c r="D566" s="16"/>
      <c r="E566" s="16"/>
      <c r="F566" s="22"/>
      <c r="G566" s="22"/>
      <c r="H566" s="22"/>
      <c r="I566" s="16"/>
      <c r="J566" s="16"/>
      <c r="K566" s="16"/>
      <c r="L566" s="18"/>
      <c r="M566" s="18"/>
      <c r="N566" s="18"/>
      <c r="O566" s="18"/>
      <c r="P566" s="18"/>
      <c r="S566" s="6"/>
      <c r="V566" s="18"/>
      <c r="W566" s="18"/>
      <c r="X566" s="18"/>
      <c r="Y566" s="6"/>
      <c r="Z566" s="6"/>
      <c r="AA566" s="6"/>
      <c r="AB566" s="18"/>
      <c r="AC566" s="18"/>
      <c r="AD566" s="18"/>
      <c r="AE566" s="18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</row>
    <row r="567" spans="1:50">
      <c r="A567" s="16"/>
      <c r="B567" s="30"/>
      <c r="C567" s="16"/>
      <c r="D567" s="16"/>
      <c r="E567" s="16"/>
      <c r="F567" s="22"/>
      <c r="G567" s="22"/>
      <c r="H567" s="22"/>
      <c r="I567" s="16"/>
      <c r="J567" s="16"/>
      <c r="K567" s="16"/>
      <c r="L567" s="18"/>
      <c r="M567" s="18"/>
      <c r="N567" s="18"/>
      <c r="O567" s="18"/>
      <c r="P567" s="18"/>
      <c r="S567" s="6"/>
      <c r="V567" s="18"/>
      <c r="W567" s="18"/>
      <c r="X567" s="18"/>
      <c r="Y567" s="6"/>
      <c r="Z567" s="6"/>
      <c r="AA567" s="6"/>
      <c r="AB567" s="18"/>
      <c r="AC567" s="18"/>
      <c r="AD567" s="18"/>
      <c r="AE567" s="18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</row>
    <row r="568" spans="1:50">
      <c r="A568" s="16"/>
      <c r="B568" s="30"/>
      <c r="C568" s="16"/>
      <c r="D568" s="16"/>
      <c r="E568" s="16"/>
      <c r="F568" s="22"/>
      <c r="G568" s="22"/>
      <c r="H568" s="22"/>
      <c r="I568" s="16"/>
      <c r="J568" s="16"/>
      <c r="K568" s="16"/>
      <c r="L568" s="18"/>
      <c r="M568" s="18"/>
      <c r="N568" s="18"/>
      <c r="O568" s="18"/>
      <c r="P568" s="18"/>
      <c r="S568" s="6"/>
      <c r="V568" s="18"/>
      <c r="W568" s="18"/>
      <c r="X568" s="18"/>
      <c r="Y568" s="6"/>
      <c r="Z568" s="6"/>
      <c r="AA568" s="6"/>
      <c r="AB568" s="18"/>
      <c r="AC568" s="18"/>
      <c r="AD568" s="18"/>
      <c r="AE568" s="18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</row>
    <row r="569" spans="1:50">
      <c r="A569" s="16"/>
      <c r="B569" s="30"/>
      <c r="C569" s="16"/>
      <c r="D569" s="16"/>
      <c r="E569" s="16"/>
      <c r="F569" s="22"/>
      <c r="G569" s="22"/>
      <c r="H569" s="22"/>
      <c r="I569" s="16"/>
      <c r="J569" s="16"/>
      <c r="K569" s="16"/>
      <c r="L569" s="18"/>
      <c r="M569" s="18"/>
      <c r="N569" s="18"/>
      <c r="O569" s="18"/>
      <c r="P569" s="18"/>
      <c r="S569" s="6"/>
      <c r="V569" s="18"/>
      <c r="W569" s="18"/>
      <c r="X569" s="18"/>
      <c r="Y569" s="6"/>
      <c r="Z569" s="6"/>
      <c r="AA569" s="6"/>
      <c r="AB569" s="18"/>
      <c r="AC569" s="18"/>
      <c r="AD569" s="18"/>
      <c r="AE569" s="18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</row>
    <row r="570" spans="1:50">
      <c r="A570" s="16"/>
      <c r="B570" s="30"/>
      <c r="C570" s="16"/>
      <c r="D570" s="16"/>
      <c r="E570" s="16"/>
      <c r="F570" s="22"/>
      <c r="G570" s="22"/>
      <c r="H570" s="22"/>
      <c r="I570" s="16"/>
      <c r="J570" s="16"/>
      <c r="K570" s="16"/>
      <c r="L570" s="18"/>
      <c r="M570" s="18"/>
      <c r="N570" s="18"/>
      <c r="O570" s="18"/>
      <c r="P570" s="18"/>
      <c r="S570" s="6"/>
      <c r="V570" s="18"/>
      <c r="W570" s="18"/>
      <c r="X570" s="18"/>
      <c r="Y570" s="6"/>
      <c r="Z570" s="6"/>
      <c r="AA570" s="6"/>
      <c r="AB570" s="18"/>
      <c r="AC570" s="18"/>
      <c r="AD570" s="18"/>
      <c r="AE570" s="18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</row>
    <row r="571" spans="1:50">
      <c r="A571" s="16"/>
      <c r="B571" s="30"/>
      <c r="C571" s="16"/>
      <c r="D571" s="16"/>
      <c r="E571" s="16"/>
      <c r="F571" s="22"/>
      <c r="G571" s="22"/>
      <c r="H571" s="22"/>
      <c r="I571" s="16"/>
      <c r="J571" s="16"/>
      <c r="K571" s="16"/>
      <c r="L571" s="18"/>
      <c r="M571" s="18"/>
      <c r="N571" s="18"/>
      <c r="O571" s="18"/>
      <c r="P571" s="18"/>
      <c r="S571" s="6"/>
      <c r="V571" s="18"/>
      <c r="W571" s="18"/>
      <c r="X571" s="18"/>
      <c r="Y571" s="6"/>
      <c r="Z571" s="6"/>
      <c r="AA571" s="6"/>
      <c r="AB571" s="18"/>
      <c r="AC571" s="18"/>
      <c r="AD571" s="18"/>
      <c r="AE571" s="18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</row>
    <row r="572" spans="1:50">
      <c r="A572" s="16"/>
      <c r="B572" s="30"/>
      <c r="C572" s="16"/>
      <c r="D572" s="16"/>
      <c r="E572" s="16"/>
      <c r="F572" s="22"/>
      <c r="G572" s="22"/>
      <c r="H572" s="22"/>
      <c r="I572" s="16"/>
      <c r="J572" s="16"/>
      <c r="K572" s="16"/>
      <c r="L572" s="18"/>
      <c r="M572" s="18"/>
      <c r="N572" s="18"/>
      <c r="O572" s="18"/>
      <c r="P572" s="18"/>
      <c r="S572" s="6"/>
      <c r="V572" s="18"/>
      <c r="W572" s="18"/>
      <c r="X572" s="18"/>
      <c r="Y572" s="6"/>
      <c r="Z572" s="6"/>
      <c r="AA572" s="6"/>
      <c r="AB572" s="18"/>
      <c r="AC572" s="18"/>
      <c r="AD572" s="18"/>
      <c r="AE572" s="18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</row>
    <row r="573" spans="1:50">
      <c r="A573" s="16"/>
      <c r="B573" s="30"/>
      <c r="C573" s="16"/>
      <c r="D573" s="16"/>
      <c r="E573" s="16"/>
      <c r="F573" s="22"/>
      <c r="G573" s="22"/>
      <c r="H573" s="22"/>
      <c r="I573" s="16"/>
      <c r="J573" s="16"/>
      <c r="K573" s="16"/>
      <c r="L573" s="18"/>
      <c r="M573" s="18"/>
      <c r="N573" s="18"/>
      <c r="O573" s="18"/>
      <c r="P573" s="18"/>
      <c r="S573" s="6"/>
      <c r="V573" s="18"/>
      <c r="W573" s="18"/>
      <c r="X573" s="18"/>
      <c r="Y573" s="6"/>
      <c r="Z573" s="6"/>
      <c r="AA573" s="6"/>
      <c r="AB573" s="18"/>
      <c r="AC573" s="18"/>
      <c r="AD573" s="18"/>
      <c r="AE573" s="18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</row>
    <row r="574" spans="1:50">
      <c r="A574" s="16"/>
      <c r="B574" s="30"/>
      <c r="C574" s="16"/>
      <c r="D574" s="16"/>
      <c r="E574" s="16"/>
      <c r="F574" s="22"/>
      <c r="G574" s="22"/>
      <c r="H574" s="22"/>
      <c r="I574" s="16"/>
      <c r="J574" s="16"/>
      <c r="K574" s="16"/>
      <c r="L574" s="18"/>
      <c r="M574" s="18"/>
      <c r="N574" s="18"/>
      <c r="O574" s="18"/>
      <c r="P574" s="18"/>
      <c r="S574" s="6"/>
      <c r="V574" s="18"/>
      <c r="W574" s="18"/>
      <c r="X574" s="18"/>
      <c r="Y574" s="6"/>
      <c r="Z574" s="6"/>
      <c r="AA574" s="6"/>
      <c r="AB574" s="18"/>
      <c r="AC574" s="18"/>
      <c r="AD574" s="18"/>
      <c r="AE574" s="18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</row>
    <row r="575" spans="1:50">
      <c r="A575" s="16"/>
      <c r="B575" s="30"/>
      <c r="C575" s="16"/>
      <c r="D575" s="16"/>
      <c r="E575" s="16"/>
      <c r="F575" s="22"/>
      <c r="G575" s="22"/>
      <c r="H575" s="22"/>
      <c r="I575" s="16"/>
      <c r="J575" s="16"/>
      <c r="K575" s="16"/>
      <c r="L575" s="18"/>
      <c r="M575" s="18"/>
      <c r="N575" s="18"/>
      <c r="O575" s="18"/>
      <c r="P575" s="18"/>
      <c r="S575" s="6"/>
      <c r="V575" s="18"/>
      <c r="W575" s="18"/>
      <c r="X575" s="18"/>
      <c r="Y575" s="6"/>
      <c r="Z575" s="6"/>
      <c r="AA575" s="6"/>
      <c r="AB575" s="18"/>
      <c r="AC575" s="18"/>
      <c r="AD575" s="18"/>
      <c r="AE575" s="18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</row>
    <row r="576" spans="1:50">
      <c r="A576" s="16"/>
      <c r="B576" s="30"/>
      <c r="C576" s="16"/>
      <c r="D576" s="16"/>
      <c r="E576" s="16"/>
      <c r="F576" s="22"/>
      <c r="G576" s="22"/>
      <c r="H576" s="22"/>
      <c r="I576" s="16"/>
      <c r="J576" s="16"/>
      <c r="K576" s="16"/>
      <c r="L576" s="18"/>
      <c r="M576" s="18"/>
      <c r="N576" s="18"/>
      <c r="O576" s="18"/>
      <c r="P576" s="18"/>
      <c r="S576" s="6"/>
      <c r="V576" s="18"/>
      <c r="W576" s="18"/>
      <c r="X576" s="18"/>
      <c r="Y576" s="6"/>
      <c r="Z576" s="6"/>
      <c r="AA576" s="6"/>
      <c r="AB576" s="18"/>
      <c r="AC576" s="18"/>
      <c r="AD576" s="18"/>
      <c r="AE576" s="18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</row>
    <row r="577" spans="1:50">
      <c r="A577" s="16"/>
      <c r="B577" s="30"/>
      <c r="C577" s="16"/>
      <c r="D577" s="16"/>
      <c r="E577" s="16"/>
      <c r="F577" s="22"/>
      <c r="G577" s="22"/>
      <c r="H577" s="22"/>
      <c r="I577" s="16"/>
      <c r="J577" s="16"/>
      <c r="K577" s="16"/>
      <c r="L577" s="18"/>
      <c r="M577" s="18"/>
      <c r="N577" s="18"/>
      <c r="O577" s="18"/>
      <c r="P577" s="18"/>
      <c r="S577" s="6"/>
      <c r="V577" s="18"/>
      <c r="W577" s="18"/>
      <c r="X577" s="18"/>
      <c r="Y577" s="6"/>
      <c r="Z577" s="6"/>
      <c r="AA577" s="6"/>
      <c r="AB577" s="18"/>
      <c r="AC577" s="18"/>
      <c r="AD577" s="18"/>
      <c r="AE577" s="18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</row>
    <row r="578" spans="1:50">
      <c r="A578" s="16"/>
      <c r="B578" s="30"/>
      <c r="C578" s="16"/>
      <c r="D578" s="16"/>
      <c r="E578" s="16"/>
      <c r="F578" s="22"/>
      <c r="G578" s="22"/>
      <c r="H578" s="22"/>
      <c r="I578" s="16"/>
      <c r="J578" s="16"/>
      <c r="K578" s="16"/>
      <c r="L578" s="18"/>
      <c r="M578" s="18"/>
      <c r="N578" s="18"/>
      <c r="O578" s="18"/>
      <c r="P578" s="18"/>
      <c r="S578" s="6"/>
      <c r="V578" s="18"/>
      <c r="W578" s="18"/>
      <c r="X578" s="18"/>
      <c r="Y578" s="6"/>
      <c r="Z578" s="6"/>
      <c r="AA578" s="6"/>
      <c r="AB578" s="18"/>
      <c r="AC578" s="18"/>
      <c r="AD578" s="18"/>
      <c r="AE578" s="18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</row>
    <row r="579" spans="1:50">
      <c r="A579" s="16"/>
      <c r="B579" s="30"/>
      <c r="C579" s="16"/>
      <c r="D579" s="16"/>
      <c r="E579" s="16"/>
      <c r="F579" s="22"/>
      <c r="G579" s="22"/>
      <c r="H579" s="22"/>
      <c r="I579" s="16"/>
      <c r="J579" s="16"/>
      <c r="K579" s="16"/>
      <c r="L579" s="18"/>
      <c r="M579" s="18"/>
      <c r="N579" s="18"/>
      <c r="O579" s="18"/>
      <c r="P579" s="18"/>
      <c r="S579" s="6"/>
      <c r="V579" s="18"/>
      <c r="W579" s="18"/>
      <c r="X579" s="18"/>
      <c r="Y579" s="6"/>
      <c r="Z579" s="6"/>
      <c r="AA579" s="6"/>
      <c r="AB579" s="18"/>
      <c r="AC579" s="18"/>
      <c r="AD579" s="18"/>
      <c r="AE579" s="18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</row>
    <row r="580" spans="1:50">
      <c r="A580" s="16"/>
      <c r="B580" s="30"/>
      <c r="C580" s="16"/>
      <c r="D580" s="16"/>
      <c r="E580" s="16"/>
      <c r="F580" s="22"/>
      <c r="G580" s="22"/>
      <c r="H580" s="22"/>
      <c r="I580" s="16"/>
      <c r="J580" s="16"/>
      <c r="K580" s="16"/>
      <c r="L580" s="18"/>
      <c r="M580" s="18"/>
      <c r="N580" s="18"/>
      <c r="O580" s="18"/>
      <c r="P580" s="18"/>
      <c r="S580" s="6"/>
      <c r="V580" s="18"/>
      <c r="W580" s="18"/>
      <c r="X580" s="18"/>
      <c r="Y580" s="6"/>
      <c r="Z580" s="6"/>
      <c r="AA580" s="6"/>
      <c r="AB580" s="18"/>
      <c r="AC580" s="18"/>
      <c r="AD580" s="18"/>
      <c r="AE580" s="18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</row>
    <row r="581" spans="1:50">
      <c r="A581" s="16"/>
      <c r="B581" s="30"/>
      <c r="C581" s="16"/>
      <c r="D581" s="16"/>
      <c r="E581" s="16"/>
      <c r="F581" s="22"/>
      <c r="G581" s="22"/>
      <c r="H581" s="22"/>
      <c r="I581" s="16"/>
      <c r="J581" s="16"/>
      <c r="K581" s="16"/>
      <c r="L581" s="18"/>
      <c r="M581" s="18"/>
      <c r="N581" s="18"/>
      <c r="O581" s="18"/>
      <c r="P581" s="18"/>
      <c r="S581" s="6"/>
      <c r="V581" s="18"/>
      <c r="W581" s="18"/>
      <c r="X581" s="18"/>
      <c r="Y581" s="6"/>
      <c r="Z581" s="6"/>
      <c r="AA581" s="6"/>
      <c r="AB581" s="18"/>
      <c r="AC581" s="18"/>
      <c r="AD581" s="18"/>
      <c r="AE581" s="18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</row>
    <row r="582" spans="1:50">
      <c r="A582" s="16"/>
      <c r="B582" s="30"/>
      <c r="C582" s="16"/>
      <c r="D582" s="16"/>
      <c r="E582" s="16"/>
      <c r="F582" s="22"/>
      <c r="G582" s="22"/>
      <c r="H582" s="22"/>
      <c r="I582" s="16"/>
      <c r="J582" s="16"/>
      <c r="K582" s="16"/>
      <c r="L582" s="18"/>
      <c r="M582" s="18"/>
      <c r="N582" s="18"/>
      <c r="O582" s="18"/>
      <c r="P582" s="18"/>
      <c r="S582" s="6"/>
      <c r="V582" s="18"/>
      <c r="W582" s="18"/>
      <c r="X582" s="18"/>
      <c r="Y582" s="6"/>
      <c r="Z582" s="6"/>
      <c r="AA582" s="6"/>
      <c r="AB582" s="18"/>
      <c r="AC582" s="18"/>
      <c r="AD582" s="18"/>
      <c r="AE582" s="18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</row>
    <row r="583" spans="1:50">
      <c r="A583" s="16"/>
      <c r="B583" s="30"/>
      <c r="C583" s="16"/>
      <c r="D583" s="16"/>
      <c r="E583" s="16"/>
      <c r="F583" s="22"/>
      <c r="G583" s="22"/>
      <c r="H583" s="22"/>
      <c r="I583" s="16"/>
      <c r="J583" s="16"/>
      <c r="K583" s="16"/>
      <c r="L583" s="18"/>
      <c r="M583" s="18"/>
      <c r="N583" s="18"/>
      <c r="O583" s="18"/>
      <c r="P583" s="18"/>
      <c r="S583" s="6"/>
      <c r="V583" s="18"/>
      <c r="W583" s="18"/>
      <c r="X583" s="18"/>
      <c r="Y583" s="6"/>
      <c r="Z583" s="6"/>
      <c r="AA583" s="6"/>
      <c r="AB583" s="18"/>
      <c r="AC583" s="18"/>
      <c r="AD583" s="18"/>
      <c r="AE583" s="18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</row>
    <row r="584" spans="1:50">
      <c r="A584" s="16"/>
      <c r="B584" s="30"/>
      <c r="C584" s="16"/>
      <c r="D584" s="16"/>
      <c r="E584" s="16"/>
      <c r="F584" s="22"/>
      <c r="G584" s="22"/>
      <c r="H584" s="22"/>
      <c r="I584" s="16"/>
      <c r="J584" s="16"/>
      <c r="K584" s="16"/>
      <c r="L584" s="18"/>
      <c r="M584" s="18"/>
      <c r="N584" s="18"/>
      <c r="O584" s="18"/>
      <c r="P584" s="18"/>
      <c r="S584" s="6"/>
      <c r="V584" s="18"/>
      <c r="W584" s="18"/>
      <c r="X584" s="18"/>
      <c r="Y584" s="6"/>
      <c r="Z584" s="6"/>
      <c r="AA584" s="6"/>
      <c r="AB584" s="18"/>
      <c r="AC584" s="18"/>
      <c r="AD584" s="18"/>
      <c r="AE584" s="18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</row>
    <row r="585" spans="1:50">
      <c r="A585" s="16"/>
      <c r="B585" s="30"/>
      <c r="C585" s="16"/>
      <c r="D585" s="16"/>
      <c r="E585" s="16"/>
      <c r="F585" s="22"/>
      <c r="G585" s="22"/>
      <c r="H585" s="22"/>
      <c r="I585" s="16"/>
      <c r="J585" s="16"/>
      <c r="K585" s="16"/>
      <c r="L585" s="18"/>
      <c r="M585" s="18"/>
      <c r="N585" s="18"/>
      <c r="O585" s="18"/>
      <c r="P585" s="18"/>
      <c r="S585" s="6"/>
      <c r="V585" s="18"/>
      <c r="W585" s="18"/>
      <c r="X585" s="18"/>
      <c r="Y585" s="6"/>
      <c r="Z585" s="6"/>
      <c r="AA585" s="6"/>
      <c r="AB585" s="18"/>
      <c r="AC585" s="18"/>
      <c r="AD585" s="18"/>
      <c r="AE585" s="18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</row>
    <row r="586" spans="1:50">
      <c r="A586" s="16"/>
      <c r="B586" s="30"/>
      <c r="C586" s="16"/>
      <c r="D586" s="16"/>
      <c r="E586" s="16"/>
      <c r="F586" s="22"/>
      <c r="G586" s="22"/>
      <c r="H586" s="22"/>
      <c r="I586" s="16"/>
      <c r="J586" s="16"/>
      <c r="K586" s="16"/>
      <c r="L586" s="18"/>
      <c r="M586" s="18"/>
      <c r="N586" s="18"/>
      <c r="O586" s="18"/>
      <c r="P586" s="18"/>
      <c r="S586" s="6"/>
      <c r="V586" s="18"/>
      <c r="W586" s="18"/>
      <c r="X586" s="18"/>
      <c r="Y586" s="6"/>
      <c r="Z586" s="6"/>
      <c r="AA586" s="6"/>
      <c r="AB586" s="18"/>
      <c r="AC586" s="18"/>
      <c r="AD586" s="18"/>
      <c r="AE586" s="18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</row>
    <row r="587" spans="1:50">
      <c r="A587" s="16"/>
      <c r="B587" s="30"/>
      <c r="C587" s="16"/>
      <c r="D587" s="16"/>
      <c r="E587" s="16"/>
      <c r="F587" s="22"/>
      <c r="G587" s="22"/>
      <c r="H587" s="22"/>
      <c r="I587" s="16"/>
      <c r="J587" s="16"/>
      <c r="K587" s="16"/>
      <c r="L587" s="18"/>
      <c r="M587" s="18"/>
      <c r="N587" s="18"/>
      <c r="O587" s="18"/>
      <c r="P587" s="18"/>
      <c r="S587" s="6"/>
      <c r="V587" s="18"/>
      <c r="W587" s="18"/>
      <c r="X587" s="18"/>
      <c r="Y587" s="6"/>
      <c r="Z587" s="6"/>
      <c r="AA587" s="6"/>
      <c r="AB587" s="18"/>
      <c r="AC587" s="18"/>
      <c r="AD587" s="18"/>
      <c r="AE587" s="18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</row>
    <row r="588" spans="1:50">
      <c r="A588" s="16"/>
      <c r="B588" s="30"/>
      <c r="C588" s="16"/>
      <c r="D588" s="16"/>
      <c r="E588" s="16"/>
      <c r="F588" s="22"/>
      <c r="G588" s="22"/>
      <c r="H588" s="22"/>
      <c r="I588" s="16"/>
      <c r="J588" s="16"/>
      <c r="K588" s="16"/>
      <c r="L588" s="18"/>
      <c r="M588" s="18"/>
      <c r="N588" s="18"/>
      <c r="O588" s="18"/>
      <c r="P588" s="18"/>
      <c r="S588" s="6"/>
      <c r="V588" s="18"/>
      <c r="W588" s="18"/>
      <c r="X588" s="18"/>
      <c r="Y588" s="6"/>
      <c r="Z588" s="6"/>
      <c r="AA588" s="6"/>
      <c r="AB588" s="18"/>
      <c r="AC588" s="18"/>
      <c r="AD588" s="18"/>
      <c r="AE588" s="18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</row>
    <row r="589" spans="1:50">
      <c r="A589" s="16"/>
      <c r="B589" s="30"/>
      <c r="C589" s="16"/>
      <c r="D589" s="16"/>
      <c r="E589" s="16"/>
      <c r="F589" s="22"/>
      <c r="G589" s="22"/>
      <c r="H589" s="22"/>
      <c r="I589" s="16"/>
      <c r="J589" s="16"/>
      <c r="K589" s="16"/>
      <c r="L589" s="18"/>
      <c r="M589" s="18"/>
      <c r="N589" s="18"/>
      <c r="O589" s="18"/>
      <c r="P589" s="18"/>
      <c r="S589" s="6"/>
      <c r="V589" s="18"/>
      <c r="W589" s="18"/>
      <c r="X589" s="18"/>
      <c r="Y589" s="6"/>
      <c r="Z589" s="6"/>
      <c r="AA589" s="6"/>
      <c r="AB589" s="18"/>
      <c r="AC589" s="18"/>
      <c r="AD589" s="18"/>
      <c r="AE589" s="18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</row>
    <row r="590" spans="1:50">
      <c r="A590" s="16"/>
      <c r="B590" s="30"/>
      <c r="C590" s="16"/>
      <c r="D590" s="16"/>
      <c r="E590" s="16"/>
      <c r="F590" s="22"/>
      <c r="G590" s="22"/>
      <c r="H590" s="22"/>
      <c r="I590" s="16"/>
      <c r="J590" s="16"/>
      <c r="K590" s="16"/>
      <c r="L590" s="18"/>
      <c r="M590" s="18"/>
      <c r="N590" s="18"/>
      <c r="O590" s="18"/>
      <c r="P590" s="18"/>
      <c r="S590" s="6"/>
      <c r="V590" s="18"/>
      <c r="W590" s="18"/>
      <c r="X590" s="18"/>
      <c r="Y590" s="6"/>
      <c r="Z590" s="6"/>
      <c r="AA590" s="6"/>
      <c r="AB590" s="18"/>
      <c r="AC590" s="18"/>
      <c r="AD590" s="18"/>
      <c r="AE590" s="18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</row>
    <row r="591" spans="1:50">
      <c r="A591" s="16"/>
      <c r="B591" s="30"/>
      <c r="C591" s="16"/>
      <c r="D591" s="16"/>
      <c r="E591" s="16"/>
      <c r="F591" s="22"/>
      <c r="G591" s="22"/>
      <c r="H591" s="22"/>
      <c r="I591" s="16"/>
      <c r="J591" s="16"/>
      <c r="K591" s="16"/>
      <c r="L591" s="18"/>
      <c r="M591" s="18"/>
      <c r="N591" s="18"/>
      <c r="O591" s="18"/>
      <c r="P591" s="18"/>
      <c r="S591" s="6"/>
      <c r="V591" s="18"/>
      <c r="W591" s="18"/>
      <c r="X591" s="18"/>
      <c r="Y591" s="6"/>
      <c r="Z591" s="6"/>
      <c r="AA591" s="6"/>
      <c r="AB591" s="18"/>
      <c r="AC591" s="18"/>
      <c r="AD591" s="18"/>
      <c r="AE591" s="18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</row>
    <row r="592" spans="1:50">
      <c r="A592" s="16"/>
      <c r="B592" s="30"/>
      <c r="C592" s="16"/>
      <c r="D592" s="16"/>
      <c r="E592" s="16"/>
      <c r="F592" s="22"/>
      <c r="G592" s="22"/>
      <c r="H592" s="22"/>
      <c r="I592" s="16"/>
      <c r="J592" s="16"/>
      <c r="K592" s="16"/>
      <c r="L592" s="18"/>
      <c r="M592" s="18"/>
      <c r="N592" s="18"/>
      <c r="O592" s="18"/>
      <c r="P592" s="18"/>
      <c r="S592" s="6"/>
      <c r="V592" s="18"/>
      <c r="W592" s="18"/>
      <c r="X592" s="18"/>
      <c r="Y592" s="6"/>
      <c r="Z592" s="6"/>
      <c r="AA592" s="6"/>
      <c r="AB592" s="18"/>
      <c r="AC592" s="18"/>
      <c r="AD592" s="18"/>
      <c r="AE592" s="18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</row>
    <row r="593" spans="1:50">
      <c r="A593" s="16"/>
      <c r="B593" s="30"/>
      <c r="C593" s="16"/>
      <c r="D593" s="16"/>
      <c r="E593" s="16"/>
      <c r="F593" s="22"/>
      <c r="G593" s="22"/>
      <c r="H593" s="22"/>
      <c r="I593" s="16"/>
      <c r="J593" s="16"/>
      <c r="K593" s="16"/>
      <c r="L593" s="18"/>
      <c r="M593" s="18"/>
      <c r="N593" s="18"/>
      <c r="O593" s="18"/>
      <c r="P593" s="18"/>
      <c r="S593" s="6"/>
      <c r="V593" s="18"/>
      <c r="W593" s="18"/>
      <c r="X593" s="18"/>
      <c r="Y593" s="6"/>
      <c r="Z593" s="6"/>
      <c r="AA593" s="6"/>
      <c r="AB593" s="18"/>
      <c r="AC593" s="18"/>
      <c r="AD593" s="18"/>
      <c r="AE593" s="18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</row>
    <row r="594" spans="1:50">
      <c r="A594" s="16"/>
      <c r="B594" s="30"/>
      <c r="C594" s="16"/>
      <c r="D594" s="16"/>
      <c r="E594" s="16"/>
      <c r="F594" s="22"/>
      <c r="G594" s="22"/>
      <c r="H594" s="22"/>
      <c r="I594" s="16"/>
      <c r="J594" s="16"/>
      <c r="K594" s="16"/>
      <c r="L594" s="18"/>
      <c r="M594" s="18"/>
      <c r="N594" s="18"/>
      <c r="O594" s="18"/>
      <c r="P594" s="18"/>
      <c r="S594" s="6"/>
      <c r="V594" s="18"/>
      <c r="W594" s="18"/>
      <c r="X594" s="18"/>
      <c r="Y594" s="6"/>
      <c r="Z594" s="6"/>
      <c r="AA594" s="6"/>
      <c r="AB594" s="18"/>
      <c r="AC594" s="18"/>
      <c r="AD594" s="18"/>
      <c r="AE594" s="18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</row>
    <row r="595" spans="1:50">
      <c r="A595" s="16"/>
      <c r="B595" s="30"/>
      <c r="C595" s="16"/>
      <c r="D595" s="16"/>
      <c r="E595" s="16"/>
      <c r="F595" s="22"/>
      <c r="G595" s="22"/>
      <c r="H595" s="22"/>
      <c r="I595" s="16"/>
      <c r="J595" s="16"/>
      <c r="K595" s="16"/>
      <c r="L595" s="18"/>
      <c r="M595" s="18"/>
      <c r="N595" s="18"/>
      <c r="O595" s="18"/>
      <c r="P595" s="18"/>
      <c r="S595" s="6"/>
      <c r="V595" s="18"/>
      <c r="W595" s="18"/>
      <c r="X595" s="18"/>
      <c r="Y595" s="6"/>
      <c r="Z595" s="6"/>
      <c r="AA595" s="6"/>
      <c r="AB595" s="18"/>
      <c r="AC595" s="18"/>
      <c r="AD595" s="18"/>
      <c r="AE595" s="18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</row>
    <row r="596" spans="1:50">
      <c r="A596" s="16"/>
      <c r="B596" s="30"/>
      <c r="C596" s="16"/>
      <c r="D596" s="16"/>
      <c r="E596" s="16"/>
      <c r="F596" s="22"/>
      <c r="G596" s="22"/>
      <c r="H596" s="22"/>
      <c r="I596" s="16"/>
      <c r="J596" s="16"/>
      <c r="K596" s="16"/>
      <c r="L596" s="18"/>
      <c r="M596" s="18"/>
      <c r="N596" s="18"/>
      <c r="O596" s="18"/>
      <c r="P596" s="18"/>
      <c r="S596" s="6"/>
      <c r="V596" s="18"/>
      <c r="W596" s="18"/>
      <c r="X596" s="18"/>
      <c r="Y596" s="6"/>
      <c r="Z596" s="6"/>
      <c r="AA596" s="6"/>
      <c r="AB596" s="18"/>
      <c r="AC596" s="18"/>
      <c r="AD596" s="18"/>
      <c r="AE596" s="18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</row>
    <row r="597" spans="1:50">
      <c r="A597" s="16"/>
      <c r="B597" s="30"/>
      <c r="C597" s="16"/>
      <c r="D597" s="16"/>
      <c r="E597" s="16"/>
      <c r="F597" s="22"/>
      <c r="G597" s="22"/>
      <c r="H597" s="22"/>
      <c r="I597" s="16"/>
      <c r="J597" s="16"/>
      <c r="K597" s="16"/>
      <c r="L597" s="18"/>
      <c r="M597" s="18"/>
      <c r="N597" s="18"/>
      <c r="O597" s="18"/>
      <c r="P597" s="18"/>
      <c r="S597" s="6"/>
      <c r="V597" s="18"/>
      <c r="W597" s="18"/>
      <c r="X597" s="18"/>
      <c r="Y597" s="6"/>
      <c r="Z597" s="6"/>
      <c r="AA597" s="6"/>
      <c r="AB597" s="18"/>
      <c r="AC597" s="18"/>
      <c r="AD597" s="18"/>
      <c r="AE597" s="18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</row>
    <row r="598" spans="1:50">
      <c r="A598" s="16"/>
      <c r="B598" s="30"/>
      <c r="C598" s="16"/>
      <c r="D598" s="16"/>
      <c r="E598" s="16"/>
      <c r="F598" s="22"/>
      <c r="G598" s="22"/>
      <c r="H598" s="22"/>
      <c r="I598" s="16"/>
      <c r="J598" s="16"/>
      <c r="K598" s="16"/>
      <c r="L598" s="18"/>
      <c r="M598" s="18"/>
      <c r="N598" s="18"/>
      <c r="O598" s="18"/>
      <c r="P598" s="18"/>
      <c r="S598" s="6"/>
      <c r="V598" s="18"/>
      <c r="W598" s="18"/>
      <c r="X598" s="18"/>
      <c r="Y598" s="6"/>
      <c r="Z598" s="6"/>
      <c r="AA598" s="6"/>
      <c r="AB598" s="18"/>
      <c r="AC598" s="18"/>
      <c r="AD598" s="18"/>
      <c r="AE598" s="18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</row>
    <row r="599" spans="1:50">
      <c r="A599" s="16"/>
      <c r="B599" s="30"/>
      <c r="C599" s="16"/>
      <c r="D599" s="16"/>
      <c r="E599" s="16"/>
      <c r="F599" s="22"/>
      <c r="G599" s="22"/>
      <c r="H599" s="22"/>
      <c r="I599" s="16"/>
      <c r="J599" s="16"/>
      <c r="K599" s="16"/>
      <c r="L599" s="18"/>
      <c r="M599" s="18"/>
      <c r="N599" s="18"/>
      <c r="O599" s="18"/>
      <c r="P599" s="18"/>
      <c r="S599" s="6"/>
      <c r="V599" s="18"/>
      <c r="W599" s="18"/>
      <c r="X599" s="18"/>
      <c r="Y599" s="6"/>
      <c r="Z599" s="6"/>
      <c r="AA599" s="6"/>
      <c r="AB599" s="18"/>
      <c r="AC599" s="18"/>
      <c r="AD599" s="18"/>
      <c r="AE599" s="18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</row>
    <row r="600" spans="1:50">
      <c r="A600" s="16"/>
      <c r="B600" s="30"/>
      <c r="C600" s="16"/>
      <c r="D600" s="16"/>
      <c r="E600" s="16"/>
      <c r="F600" s="22"/>
      <c r="G600" s="22"/>
      <c r="H600" s="22"/>
      <c r="I600" s="16"/>
      <c r="J600" s="16"/>
      <c r="K600" s="16"/>
      <c r="L600" s="18"/>
      <c r="M600" s="18"/>
      <c r="N600" s="18"/>
      <c r="O600" s="18"/>
      <c r="P600" s="18"/>
      <c r="S600" s="6"/>
      <c r="V600" s="18"/>
      <c r="W600" s="18"/>
      <c r="X600" s="18"/>
      <c r="Y600" s="6"/>
      <c r="Z600" s="6"/>
      <c r="AA600" s="6"/>
      <c r="AB600" s="18"/>
      <c r="AC600" s="18"/>
      <c r="AD600" s="18"/>
      <c r="AE600" s="18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</row>
    <row r="601" spans="1:50">
      <c r="A601" s="16"/>
      <c r="B601" s="30"/>
      <c r="C601" s="16"/>
      <c r="D601" s="16"/>
      <c r="E601" s="16"/>
      <c r="F601" s="22"/>
      <c r="G601" s="22"/>
      <c r="H601" s="22"/>
      <c r="I601" s="16"/>
      <c r="J601" s="16"/>
      <c r="K601" s="16"/>
      <c r="L601" s="18"/>
      <c r="M601" s="18"/>
      <c r="N601" s="18"/>
      <c r="O601" s="18"/>
      <c r="P601" s="18"/>
      <c r="S601" s="6"/>
      <c r="V601" s="18"/>
      <c r="W601" s="18"/>
      <c r="X601" s="18"/>
      <c r="Y601" s="6"/>
      <c r="Z601" s="6"/>
      <c r="AA601" s="6"/>
      <c r="AB601" s="18"/>
      <c r="AC601" s="18"/>
      <c r="AD601" s="18"/>
      <c r="AE601" s="18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</row>
    <row r="602" spans="1:50">
      <c r="A602" s="16"/>
      <c r="B602" s="30"/>
      <c r="C602" s="16"/>
      <c r="D602" s="16"/>
      <c r="E602" s="16"/>
      <c r="F602" s="22"/>
      <c r="G602" s="22"/>
      <c r="H602" s="22"/>
      <c r="I602" s="16"/>
      <c r="J602" s="16"/>
      <c r="K602" s="16"/>
      <c r="L602" s="18"/>
      <c r="M602" s="18"/>
      <c r="N602" s="18"/>
      <c r="O602" s="18"/>
      <c r="P602" s="18"/>
      <c r="S602" s="6"/>
      <c r="V602" s="18"/>
      <c r="W602" s="18"/>
      <c r="X602" s="18"/>
      <c r="Y602" s="6"/>
      <c r="Z602" s="6"/>
      <c r="AA602" s="6"/>
      <c r="AB602" s="18"/>
      <c r="AC602" s="18"/>
      <c r="AD602" s="18"/>
      <c r="AE602" s="18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</row>
    <row r="603" spans="1:50">
      <c r="A603" s="16"/>
      <c r="B603" s="30"/>
      <c r="C603" s="16"/>
      <c r="D603" s="16"/>
      <c r="E603" s="16"/>
      <c r="F603" s="22"/>
      <c r="G603" s="22"/>
      <c r="H603" s="22"/>
      <c r="I603" s="16"/>
      <c r="J603" s="16"/>
      <c r="K603" s="16"/>
      <c r="L603" s="18"/>
      <c r="M603" s="18"/>
      <c r="N603" s="18"/>
      <c r="O603" s="18"/>
      <c r="P603" s="18"/>
      <c r="S603" s="6"/>
      <c r="V603" s="18"/>
      <c r="W603" s="18"/>
      <c r="X603" s="18"/>
      <c r="Y603" s="6"/>
      <c r="Z603" s="6"/>
      <c r="AA603" s="6"/>
      <c r="AB603" s="18"/>
      <c r="AC603" s="18"/>
      <c r="AD603" s="18"/>
      <c r="AE603" s="18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</row>
    <row r="604" spans="1:50">
      <c r="A604" s="16"/>
      <c r="B604" s="30"/>
      <c r="C604" s="16"/>
      <c r="D604" s="16"/>
      <c r="E604" s="16"/>
      <c r="F604" s="22"/>
      <c r="G604" s="22"/>
      <c r="H604" s="22"/>
      <c r="I604" s="16"/>
      <c r="J604" s="16"/>
      <c r="K604" s="16"/>
      <c r="L604" s="18"/>
      <c r="M604" s="18"/>
      <c r="N604" s="18"/>
      <c r="O604" s="18"/>
      <c r="P604" s="18"/>
      <c r="S604" s="6"/>
      <c r="V604" s="18"/>
      <c r="W604" s="18"/>
      <c r="X604" s="18"/>
      <c r="Y604" s="6"/>
      <c r="Z604" s="6"/>
      <c r="AA604" s="6"/>
      <c r="AB604" s="18"/>
      <c r="AC604" s="18"/>
      <c r="AD604" s="18"/>
      <c r="AE604" s="18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</row>
    <row r="605" spans="1:50">
      <c r="A605" s="16"/>
      <c r="B605" s="30"/>
      <c r="C605" s="16"/>
      <c r="D605" s="16"/>
      <c r="E605" s="16"/>
      <c r="F605" s="22"/>
      <c r="G605" s="22"/>
      <c r="H605" s="22"/>
      <c r="I605" s="16"/>
      <c r="J605" s="16"/>
      <c r="K605" s="16"/>
      <c r="L605" s="18"/>
      <c r="M605" s="18"/>
      <c r="N605" s="18"/>
      <c r="O605" s="18"/>
      <c r="P605" s="18"/>
      <c r="S605" s="6"/>
      <c r="V605" s="18"/>
      <c r="W605" s="18"/>
      <c r="X605" s="18"/>
      <c r="Y605" s="6"/>
      <c r="Z605" s="6"/>
      <c r="AA605" s="6"/>
      <c r="AB605" s="18"/>
      <c r="AC605" s="18"/>
      <c r="AD605" s="18"/>
      <c r="AE605" s="18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</row>
    <row r="606" spans="1:50">
      <c r="A606" s="16"/>
      <c r="B606" s="30"/>
      <c r="C606" s="16"/>
      <c r="D606" s="16"/>
      <c r="E606" s="16"/>
      <c r="F606" s="22"/>
      <c r="G606" s="22"/>
      <c r="H606" s="22"/>
      <c r="I606" s="16"/>
      <c r="J606" s="16"/>
      <c r="K606" s="16"/>
      <c r="L606" s="18"/>
      <c r="M606" s="18"/>
      <c r="N606" s="18"/>
      <c r="O606" s="18"/>
      <c r="P606" s="18"/>
      <c r="S606" s="6"/>
      <c r="V606" s="18"/>
      <c r="W606" s="18"/>
      <c r="X606" s="18"/>
      <c r="Y606" s="6"/>
      <c r="Z606" s="6"/>
      <c r="AA606" s="6"/>
      <c r="AB606" s="18"/>
      <c r="AC606" s="18"/>
      <c r="AD606" s="18"/>
      <c r="AE606" s="18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</row>
    <row r="607" spans="1:50">
      <c r="A607" s="16"/>
      <c r="B607" s="30"/>
      <c r="C607" s="16"/>
      <c r="D607" s="16"/>
      <c r="E607" s="16"/>
      <c r="F607" s="22"/>
      <c r="G607" s="22"/>
      <c r="H607" s="22"/>
      <c r="I607" s="16"/>
      <c r="J607" s="16"/>
      <c r="K607" s="16"/>
      <c r="L607" s="18"/>
      <c r="M607" s="18"/>
      <c r="N607" s="18"/>
      <c r="O607" s="18"/>
      <c r="P607" s="18"/>
      <c r="S607" s="6"/>
      <c r="V607" s="18"/>
      <c r="W607" s="18"/>
      <c r="X607" s="18"/>
      <c r="Y607" s="6"/>
      <c r="Z607" s="6"/>
      <c r="AA607" s="6"/>
      <c r="AB607" s="18"/>
      <c r="AC607" s="18"/>
      <c r="AD607" s="18"/>
      <c r="AE607" s="18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</row>
    <row r="608" spans="1:50">
      <c r="A608" s="16"/>
      <c r="B608" s="30"/>
      <c r="C608" s="16"/>
      <c r="D608" s="16"/>
      <c r="E608" s="16"/>
      <c r="F608" s="22"/>
      <c r="G608" s="22"/>
      <c r="H608" s="22"/>
      <c r="I608" s="16"/>
      <c r="J608" s="16"/>
      <c r="K608" s="16"/>
      <c r="L608" s="18"/>
      <c r="M608" s="18"/>
      <c r="N608" s="18"/>
      <c r="O608" s="18"/>
      <c r="P608" s="18"/>
      <c r="S608" s="6"/>
      <c r="V608" s="18"/>
      <c r="W608" s="18"/>
      <c r="X608" s="18"/>
      <c r="Y608" s="6"/>
      <c r="Z608" s="6"/>
      <c r="AA608" s="6"/>
      <c r="AB608" s="18"/>
      <c r="AC608" s="18"/>
      <c r="AD608" s="18"/>
      <c r="AE608" s="18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</row>
    <row r="609" spans="1:50">
      <c r="A609" s="16"/>
      <c r="B609" s="30"/>
      <c r="C609" s="16"/>
      <c r="D609" s="16"/>
      <c r="E609" s="16"/>
      <c r="F609" s="22"/>
      <c r="G609" s="22"/>
      <c r="H609" s="22"/>
      <c r="I609" s="16"/>
      <c r="J609" s="16"/>
      <c r="K609" s="16"/>
      <c r="L609" s="18"/>
      <c r="M609" s="18"/>
      <c r="N609" s="18"/>
      <c r="O609" s="18"/>
      <c r="P609" s="18"/>
      <c r="S609" s="6"/>
      <c r="V609" s="18"/>
      <c r="W609" s="18"/>
      <c r="X609" s="18"/>
      <c r="Y609" s="6"/>
      <c r="Z609" s="6"/>
      <c r="AA609" s="6"/>
      <c r="AB609" s="18"/>
      <c r="AC609" s="18"/>
      <c r="AD609" s="18"/>
      <c r="AE609" s="18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</row>
    <row r="610" spans="1:50">
      <c r="A610" s="16"/>
      <c r="B610" s="30"/>
      <c r="C610" s="16"/>
      <c r="D610" s="16"/>
      <c r="E610" s="16"/>
      <c r="F610" s="22"/>
      <c r="G610" s="22"/>
      <c r="H610" s="22"/>
      <c r="I610" s="16"/>
      <c r="J610" s="16"/>
      <c r="K610" s="16"/>
      <c r="L610" s="18"/>
      <c r="M610" s="18"/>
      <c r="N610" s="18"/>
      <c r="O610" s="18"/>
      <c r="P610" s="18"/>
      <c r="S610" s="6"/>
      <c r="V610" s="18"/>
      <c r="W610" s="18"/>
      <c r="X610" s="18"/>
      <c r="Y610" s="6"/>
      <c r="Z610" s="6"/>
      <c r="AA610" s="6"/>
      <c r="AB610" s="18"/>
      <c r="AC610" s="18"/>
      <c r="AD610" s="18"/>
      <c r="AE610" s="18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</row>
    <row r="611" spans="1:50">
      <c r="A611" s="16"/>
      <c r="B611" s="30"/>
      <c r="C611" s="16"/>
      <c r="D611" s="16"/>
      <c r="E611" s="16"/>
      <c r="F611" s="22"/>
      <c r="G611" s="22"/>
      <c r="H611" s="22"/>
      <c r="I611" s="16"/>
      <c r="J611" s="16"/>
      <c r="K611" s="16"/>
      <c r="L611" s="18"/>
      <c r="M611" s="18"/>
      <c r="N611" s="18"/>
      <c r="O611" s="18"/>
      <c r="P611" s="18"/>
      <c r="S611" s="6"/>
      <c r="V611" s="18"/>
      <c r="W611" s="18"/>
      <c r="X611" s="18"/>
      <c r="Y611" s="6"/>
      <c r="Z611" s="6"/>
      <c r="AA611" s="6"/>
      <c r="AB611" s="18"/>
      <c r="AC611" s="18"/>
      <c r="AD611" s="18"/>
      <c r="AE611" s="18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</row>
    <row r="612" spans="1:50">
      <c r="A612" s="16"/>
      <c r="B612" s="30"/>
      <c r="C612" s="16"/>
      <c r="D612" s="16"/>
      <c r="E612" s="16"/>
      <c r="F612" s="22"/>
      <c r="G612" s="22"/>
      <c r="H612" s="22"/>
      <c r="I612" s="16"/>
      <c r="J612" s="16"/>
      <c r="K612" s="16"/>
      <c r="L612" s="18"/>
      <c r="M612" s="18"/>
      <c r="N612" s="18"/>
      <c r="O612" s="18"/>
      <c r="P612" s="18"/>
      <c r="S612" s="6"/>
      <c r="V612" s="18"/>
      <c r="W612" s="18"/>
      <c r="X612" s="18"/>
      <c r="Y612" s="6"/>
      <c r="Z612" s="6"/>
      <c r="AA612" s="6"/>
      <c r="AB612" s="18"/>
      <c r="AC612" s="18"/>
      <c r="AD612" s="18"/>
      <c r="AE612" s="18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</row>
    <row r="613" spans="1:50">
      <c r="A613" s="16"/>
      <c r="B613" s="30"/>
      <c r="C613" s="16"/>
      <c r="D613" s="16"/>
      <c r="E613" s="16"/>
      <c r="F613" s="22"/>
      <c r="G613" s="22"/>
      <c r="H613" s="22"/>
      <c r="I613" s="16"/>
      <c r="J613" s="16"/>
      <c r="K613" s="16"/>
      <c r="L613" s="18"/>
      <c r="M613" s="18"/>
      <c r="N613" s="18"/>
      <c r="O613" s="18"/>
      <c r="P613" s="18"/>
      <c r="S613" s="6"/>
      <c r="V613" s="18"/>
      <c r="W613" s="18"/>
      <c r="X613" s="18"/>
      <c r="Y613" s="6"/>
      <c r="Z613" s="6"/>
      <c r="AA613" s="6"/>
      <c r="AB613" s="18"/>
      <c r="AC613" s="18"/>
      <c r="AD613" s="18"/>
      <c r="AE613" s="18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</row>
    <row r="614" spans="1:50">
      <c r="A614" s="16"/>
      <c r="B614" s="30"/>
      <c r="C614" s="16"/>
      <c r="D614" s="16"/>
      <c r="E614" s="16"/>
      <c r="F614" s="22"/>
      <c r="G614" s="22"/>
      <c r="H614" s="22"/>
      <c r="I614" s="16"/>
      <c r="J614" s="16"/>
      <c r="K614" s="16"/>
      <c r="L614" s="18"/>
      <c r="M614" s="18"/>
      <c r="N614" s="18"/>
      <c r="O614" s="18"/>
      <c r="P614" s="18"/>
      <c r="S614" s="6"/>
      <c r="V614" s="18"/>
      <c r="W614" s="18"/>
      <c r="X614" s="18"/>
      <c r="Y614" s="6"/>
      <c r="Z614" s="6"/>
      <c r="AA614" s="6"/>
      <c r="AB614" s="18"/>
      <c r="AC614" s="18"/>
      <c r="AD614" s="18"/>
      <c r="AE614" s="18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</row>
    <row r="615" spans="1:50">
      <c r="A615" s="16"/>
      <c r="B615" s="30"/>
      <c r="C615" s="16"/>
      <c r="D615" s="16"/>
      <c r="E615" s="16"/>
      <c r="F615" s="22"/>
      <c r="G615" s="22"/>
      <c r="H615" s="22"/>
      <c r="I615" s="16"/>
      <c r="J615" s="16"/>
      <c r="K615" s="16"/>
      <c r="L615" s="18"/>
      <c r="M615" s="18"/>
      <c r="N615" s="18"/>
      <c r="O615" s="18"/>
      <c r="P615" s="18"/>
      <c r="S615" s="6"/>
      <c r="V615" s="18"/>
      <c r="W615" s="18"/>
      <c r="X615" s="18"/>
      <c r="Y615" s="6"/>
      <c r="Z615" s="6"/>
      <c r="AA615" s="6"/>
      <c r="AB615" s="18"/>
      <c r="AC615" s="18"/>
      <c r="AD615" s="18"/>
      <c r="AE615" s="18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</row>
    <row r="616" spans="1:50">
      <c r="A616" s="16"/>
      <c r="B616" s="30"/>
      <c r="C616" s="16"/>
      <c r="D616" s="16"/>
      <c r="E616" s="16"/>
      <c r="F616" s="22"/>
      <c r="G616" s="22"/>
      <c r="H616" s="22"/>
      <c r="I616" s="16"/>
      <c r="J616" s="16"/>
      <c r="K616" s="16"/>
      <c r="L616" s="18"/>
      <c r="M616" s="18"/>
      <c r="N616" s="18"/>
      <c r="O616" s="18"/>
      <c r="P616" s="18"/>
      <c r="S616" s="6"/>
      <c r="V616" s="18"/>
      <c r="W616" s="18"/>
      <c r="X616" s="18"/>
      <c r="Y616" s="6"/>
      <c r="Z616" s="6"/>
      <c r="AA616" s="6"/>
      <c r="AB616" s="18"/>
      <c r="AC616" s="18"/>
      <c r="AD616" s="18"/>
      <c r="AE616" s="18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</row>
    <row r="617" spans="1:50">
      <c r="A617" s="16"/>
      <c r="B617" s="30"/>
      <c r="C617" s="16"/>
      <c r="D617" s="16"/>
      <c r="E617" s="16"/>
      <c r="F617" s="22"/>
      <c r="G617" s="22"/>
      <c r="H617" s="22"/>
      <c r="I617" s="16"/>
      <c r="J617" s="16"/>
      <c r="K617" s="16"/>
      <c r="L617" s="18"/>
      <c r="M617" s="18"/>
      <c r="N617" s="18"/>
      <c r="O617" s="18"/>
      <c r="P617" s="18"/>
      <c r="S617" s="6"/>
      <c r="V617" s="18"/>
      <c r="W617" s="18"/>
      <c r="X617" s="18"/>
      <c r="Y617" s="6"/>
      <c r="Z617" s="6"/>
      <c r="AA617" s="6"/>
      <c r="AB617" s="18"/>
      <c r="AC617" s="18"/>
      <c r="AD617" s="18"/>
      <c r="AE617" s="18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</row>
    <row r="618" spans="1:50">
      <c r="A618" s="16"/>
      <c r="B618" s="30"/>
      <c r="C618" s="16"/>
      <c r="D618" s="16"/>
      <c r="E618" s="16"/>
      <c r="F618" s="22"/>
      <c r="G618" s="22"/>
      <c r="H618" s="22"/>
      <c r="I618" s="16"/>
      <c r="J618" s="16"/>
      <c r="K618" s="16"/>
      <c r="L618" s="18"/>
      <c r="M618" s="18"/>
      <c r="N618" s="18"/>
      <c r="O618" s="18"/>
      <c r="P618" s="18"/>
      <c r="S618" s="6"/>
      <c r="V618" s="18"/>
      <c r="W618" s="18"/>
      <c r="X618" s="18"/>
      <c r="Y618" s="6"/>
      <c r="Z618" s="6"/>
      <c r="AA618" s="6"/>
      <c r="AB618" s="18"/>
      <c r="AC618" s="18"/>
      <c r="AD618" s="18"/>
      <c r="AE618" s="18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</row>
    <row r="619" spans="1:50">
      <c r="A619" s="16"/>
      <c r="B619" s="30"/>
      <c r="C619" s="16"/>
      <c r="D619" s="16"/>
      <c r="E619" s="16"/>
      <c r="F619" s="22"/>
      <c r="G619" s="22"/>
      <c r="H619" s="22"/>
      <c r="I619" s="16"/>
      <c r="J619" s="16"/>
      <c r="K619" s="16"/>
      <c r="L619" s="18"/>
      <c r="M619" s="18"/>
      <c r="N619" s="18"/>
      <c r="O619" s="18"/>
      <c r="P619" s="18"/>
      <c r="S619" s="6"/>
      <c r="V619" s="18"/>
      <c r="W619" s="18"/>
      <c r="X619" s="18"/>
      <c r="Y619" s="6"/>
      <c r="Z619" s="6"/>
      <c r="AA619" s="6"/>
      <c r="AB619" s="18"/>
      <c r="AC619" s="18"/>
      <c r="AD619" s="18"/>
      <c r="AE619" s="18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</row>
    <row r="620" spans="1:50">
      <c r="A620" s="16"/>
      <c r="B620" s="30"/>
      <c r="C620" s="16"/>
      <c r="D620" s="16"/>
      <c r="E620" s="16"/>
      <c r="F620" s="22"/>
      <c r="G620" s="22"/>
      <c r="H620" s="22"/>
      <c r="I620" s="16"/>
      <c r="J620" s="16"/>
      <c r="K620" s="16"/>
      <c r="L620" s="18"/>
      <c r="M620" s="18"/>
      <c r="N620" s="18"/>
      <c r="O620" s="18"/>
      <c r="P620" s="18"/>
      <c r="S620" s="6"/>
      <c r="V620" s="18"/>
      <c r="W620" s="18"/>
      <c r="X620" s="18"/>
      <c r="Y620" s="6"/>
      <c r="Z620" s="6"/>
      <c r="AA620" s="6"/>
      <c r="AB620" s="18"/>
      <c r="AC620" s="18"/>
      <c r="AD620" s="18"/>
      <c r="AE620" s="18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</row>
    <row r="621" spans="1:50">
      <c r="A621" s="16"/>
      <c r="B621" s="30"/>
      <c r="C621" s="16"/>
      <c r="D621" s="16"/>
      <c r="E621" s="16"/>
      <c r="F621" s="22"/>
      <c r="G621" s="22"/>
      <c r="H621" s="22"/>
      <c r="I621" s="16"/>
      <c r="J621" s="16"/>
      <c r="K621" s="16"/>
      <c r="L621" s="18"/>
      <c r="M621" s="18"/>
      <c r="N621" s="18"/>
      <c r="O621" s="18"/>
      <c r="P621" s="18"/>
      <c r="S621" s="6"/>
      <c r="V621" s="18"/>
      <c r="W621" s="18"/>
      <c r="X621" s="18"/>
      <c r="Y621" s="6"/>
      <c r="Z621" s="6"/>
      <c r="AA621" s="6"/>
      <c r="AB621" s="18"/>
      <c r="AC621" s="18"/>
      <c r="AD621" s="18"/>
      <c r="AE621" s="18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</row>
    <row r="622" spans="1:50">
      <c r="A622" s="16"/>
      <c r="B622" s="30"/>
      <c r="C622" s="16"/>
      <c r="D622" s="16"/>
      <c r="E622" s="16"/>
      <c r="F622" s="22"/>
      <c r="G622" s="22"/>
      <c r="H622" s="22"/>
      <c r="I622" s="16"/>
      <c r="J622" s="16"/>
      <c r="K622" s="16"/>
      <c r="L622" s="18"/>
      <c r="M622" s="18"/>
      <c r="N622" s="18"/>
      <c r="O622" s="18"/>
      <c r="P622" s="18"/>
      <c r="S622" s="6"/>
      <c r="V622" s="18"/>
      <c r="W622" s="18"/>
      <c r="X622" s="18"/>
      <c r="Y622" s="6"/>
      <c r="Z622" s="6"/>
      <c r="AA622" s="6"/>
      <c r="AB622" s="18"/>
      <c r="AC622" s="18"/>
      <c r="AD622" s="18"/>
      <c r="AE622" s="18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</row>
    <row r="623" spans="1:50">
      <c r="A623" s="16"/>
      <c r="B623" s="30"/>
      <c r="C623" s="16"/>
      <c r="D623" s="16"/>
      <c r="E623" s="16"/>
      <c r="F623" s="22"/>
      <c r="G623" s="22"/>
      <c r="H623" s="22"/>
      <c r="I623" s="16"/>
      <c r="J623" s="16"/>
      <c r="K623" s="16"/>
      <c r="L623" s="18"/>
      <c r="M623" s="18"/>
      <c r="N623" s="18"/>
      <c r="O623" s="18"/>
      <c r="P623" s="18"/>
      <c r="S623" s="6"/>
      <c r="V623" s="18"/>
      <c r="W623" s="18"/>
      <c r="X623" s="18"/>
      <c r="Y623" s="6"/>
      <c r="Z623" s="6"/>
      <c r="AA623" s="6"/>
      <c r="AB623" s="18"/>
      <c r="AC623" s="18"/>
      <c r="AD623" s="18"/>
      <c r="AE623" s="18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</row>
    <row r="624" spans="1:50">
      <c r="A624" s="16"/>
      <c r="B624" s="30"/>
      <c r="C624" s="16"/>
      <c r="D624" s="16"/>
      <c r="E624" s="16"/>
      <c r="F624" s="22"/>
      <c r="G624" s="22"/>
      <c r="H624" s="22"/>
      <c r="I624" s="16"/>
      <c r="J624" s="16"/>
      <c r="K624" s="16"/>
      <c r="L624" s="18"/>
      <c r="M624" s="18"/>
      <c r="N624" s="18"/>
      <c r="O624" s="18"/>
      <c r="P624" s="18"/>
      <c r="S624" s="6"/>
      <c r="V624" s="18"/>
      <c r="W624" s="18"/>
      <c r="X624" s="18"/>
      <c r="Y624" s="6"/>
      <c r="Z624" s="6"/>
      <c r="AA624" s="6"/>
      <c r="AB624" s="18"/>
      <c r="AC624" s="18"/>
      <c r="AD624" s="18"/>
      <c r="AE624" s="18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</row>
    <row r="625" spans="1:50">
      <c r="A625" s="16"/>
      <c r="B625" s="30"/>
      <c r="C625" s="16"/>
      <c r="D625" s="16"/>
      <c r="E625" s="16"/>
      <c r="F625" s="22"/>
      <c r="G625" s="22"/>
      <c r="H625" s="22"/>
      <c r="I625" s="16"/>
      <c r="J625" s="16"/>
      <c r="K625" s="16"/>
      <c r="L625" s="18"/>
      <c r="M625" s="18"/>
      <c r="N625" s="18"/>
      <c r="O625" s="18"/>
      <c r="P625" s="18"/>
      <c r="S625" s="6"/>
      <c r="V625" s="18"/>
      <c r="W625" s="18"/>
      <c r="X625" s="18"/>
      <c r="Y625" s="6"/>
      <c r="Z625" s="6"/>
      <c r="AA625" s="6"/>
      <c r="AB625" s="18"/>
      <c r="AC625" s="18"/>
      <c r="AD625" s="18"/>
      <c r="AE625" s="18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</row>
    <row r="626" spans="1:50">
      <c r="A626" s="16"/>
      <c r="B626" s="30"/>
      <c r="C626" s="16"/>
      <c r="D626" s="16"/>
      <c r="E626" s="16"/>
      <c r="F626" s="22"/>
      <c r="G626" s="22"/>
      <c r="H626" s="22"/>
      <c r="I626" s="16"/>
      <c r="J626" s="16"/>
      <c r="K626" s="16"/>
      <c r="L626" s="18"/>
      <c r="M626" s="18"/>
      <c r="N626" s="18"/>
      <c r="O626" s="18"/>
      <c r="P626" s="18"/>
      <c r="S626" s="6"/>
      <c r="V626" s="18"/>
      <c r="W626" s="18"/>
      <c r="X626" s="18"/>
      <c r="Y626" s="6"/>
      <c r="Z626" s="6"/>
      <c r="AA626" s="6"/>
      <c r="AB626" s="18"/>
      <c r="AC626" s="18"/>
      <c r="AD626" s="18"/>
      <c r="AE626" s="18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</row>
    <row r="627" spans="1:50">
      <c r="A627" s="16"/>
      <c r="B627" s="30"/>
      <c r="C627" s="16"/>
      <c r="D627" s="16"/>
      <c r="E627" s="16"/>
      <c r="F627" s="22"/>
      <c r="G627" s="22"/>
      <c r="H627" s="22"/>
      <c r="I627" s="16"/>
      <c r="J627" s="16"/>
      <c r="K627" s="16"/>
      <c r="L627" s="18"/>
      <c r="M627" s="18"/>
      <c r="N627" s="18"/>
      <c r="O627" s="18"/>
      <c r="P627" s="18"/>
      <c r="S627" s="6"/>
      <c r="V627" s="18"/>
      <c r="W627" s="18"/>
      <c r="X627" s="18"/>
      <c r="Y627" s="6"/>
      <c r="Z627" s="6"/>
      <c r="AA627" s="6"/>
      <c r="AB627" s="18"/>
      <c r="AC627" s="18"/>
      <c r="AD627" s="18"/>
      <c r="AE627" s="18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</row>
    <row r="628" spans="1:50">
      <c r="A628" s="16"/>
      <c r="B628" s="30"/>
      <c r="C628" s="16"/>
      <c r="D628" s="16"/>
      <c r="E628" s="16"/>
      <c r="F628" s="22"/>
      <c r="G628" s="22"/>
      <c r="H628" s="22"/>
      <c r="I628" s="16"/>
      <c r="J628" s="16"/>
      <c r="K628" s="16"/>
      <c r="L628" s="18"/>
      <c r="M628" s="18"/>
      <c r="N628" s="18"/>
      <c r="O628" s="18"/>
      <c r="P628" s="18"/>
      <c r="S628" s="6"/>
      <c r="V628" s="18"/>
      <c r="W628" s="18"/>
      <c r="X628" s="18"/>
      <c r="Y628" s="6"/>
      <c r="Z628" s="6"/>
      <c r="AA628" s="6"/>
      <c r="AB628" s="18"/>
      <c r="AC628" s="18"/>
      <c r="AD628" s="18"/>
      <c r="AE628" s="18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</row>
    <row r="629" spans="1:50">
      <c r="A629" s="16"/>
      <c r="B629" s="30"/>
      <c r="C629" s="16"/>
      <c r="D629" s="16"/>
      <c r="E629" s="16"/>
      <c r="F629" s="22"/>
      <c r="G629" s="22"/>
      <c r="H629" s="22"/>
      <c r="I629" s="16"/>
      <c r="J629" s="16"/>
      <c r="K629" s="16"/>
      <c r="L629" s="18"/>
      <c r="M629" s="18"/>
      <c r="N629" s="18"/>
      <c r="O629" s="18"/>
      <c r="P629" s="18"/>
      <c r="S629" s="6"/>
      <c r="V629" s="18"/>
      <c r="W629" s="18"/>
      <c r="X629" s="18"/>
      <c r="Y629" s="6"/>
      <c r="Z629" s="6"/>
      <c r="AA629" s="6"/>
      <c r="AB629" s="18"/>
      <c r="AC629" s="18"/>
      <c r="AD629" s="18"/>
      <c r="AE629" s="18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</row>
    <row r="630" spans="1:50">
      <c r="A630" s="16"/>
      <c r="B630" s="30"/>
      <c r="C630" s="16"/>
      <c r="D630" s="16"/>
      <c r="E630" s="16"/>
      <c r="F630" s="22"/>
      <c r="G630" s="22"/>
      <c r="H630" s="22"/>
      <c r="I630" s="16"/>
      <c r="J630" s="16"/>
      <c r="K630" s="16"/>
      <c r="L630" s="18"/>
      <c r="M630" s="18"/>
      <c r="N630" s="18"/>
      <c r="O630" s="18"/>
      <c r="P630" s="18"/>
      <c r="S630" s="6"/>
      <c r="V630" s="18"/>
      <c r="W630" s="18"/>
      <c r="X630" s="18"/>
      <c r="Y630" s="6"/>
      <c r="Z630" s="6"/>
      <c r="AA630" s="6"/>
      <c r="AB630" s="18"/>
      <c r="AC630" s="18"/>
      <c r="AD630" s="18"/>
      <c r="AE630" s="18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</row>
    <row r="631" spans="1:50">
      <c r="A631" s="16"/>
      <c r="B631" s="30"/>
      <c r="C631" s="16"/>
      <c r="D631" s="16"/>
      <c r="E631" s="16"/>
      <c r="F631" s="22"/>
      <c r="G631" s="22"/>
      <c r="H631" s="22"/>
      <c r="I631" s="16"/>
      <c r="J631" s="16"/>
      <c r="K631" s="16"/>
      <c r="L631" s="18"/>
      <c r="M631" s="18"/>
      <c r="N631" s="18"/>
      <c r="O631" s="18"/>
      <c r="P631" s="18"/>
      <c r="S631" s="6"/>
      <c r="V631" s="18"/>
      <c r="W631" s="18"/>
      <c r="X631" s="18"/>
      <c r="Y631" s="6"/>
      <c r="Z631" s="6"/>
      <c r="AA631" s="6"/>
      <c r="AB631" s="18"/>
      <c r="AC631" s="18"/>
      <c r="AD631" s="18"/>
      <c r="AE631" s="18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</row>
    <row r="632" spans="1:50">
      <c r="A632" s="16"/>
      <c r="B632" s="30"/>
      <c r="C632" s="16"/>
      <c r="D632" s="16"/>
      <c r="E632" s="16"/>
      <c r="F632" s="22"/>
      <c r="G632" s="22"/>
      <c r="H632" s="22"/>
      <c r="I632" s="16"/>
      <c r="J632" s="16"/>
      <c r="K632" s="16"/>
      <c r="L632" s="18"/>
      <c r="M632" s="18"/>
      <c r="N632" s="18"/>
      <c r="O632" s="18"/>
      <c r="P632" s="18"/>
      <c r="S632" s="6"/>
      <c r="V632" s="18"/>
      <c r="W632" s="18"/>
      <c r="X632" s="18"/>
      <c r="Y632" s="6"/>
      <c r="Z632" s="6"/>
      <c r="AA632" s="6"/>
      <c r="AB632" s="18"/>
      <c r="AC632" s="18"/>
      <c r="AD632" s="18"/>
      <c r="AE632" s="18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</row>
    <row r="633" spans="1:50">
      <c r="A633" s="16"/>
      <c r="B633" s="30"/>
      <c r="C633" s="16"/>
      <c r="D633" s="16"/>
      <c r="E633" s="16"/>
      <c r="F633" s="22"/>
      <c r="G633" s="22"/>
      <c r="H633" s="22"/>
      <c r="I633" s="16"/>
      <c r="J633" s="16"/>
      <c r="K633" s="16"/>
      <c r="L633" s="18"/>
      <c r="M633" s="18"/>
      <c r="N633" s="18"/>
      <c r="O633" s="18"/>
      <c r="P633" s="18"/>
      <c r="S633" s="6"/>
      <c r="V633" s="18"/>
      <c r="W633" s="18"/>
      <c r="X633" s="18"/>
      <c r="Y633" s="6"/>
      <c r="Z633" s="6"/>
      <c r="AA633" s="6"/>
      <c r="AB633" s="18"/>
      <c r="AC633" s="18"/>
      <c r="AD633" s="18"/>
      <c r="AE633" s="18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</row>
    <row r="634" spans="1:50">
      <c r="A634" s="16"/>
      <c r="B634" s="30"/>
      <c r="C634" s="16"/>
      <c r="D634" s="16"/>
      <c r="E634" s="16"/>
      <c r="F634" s="22"/>
      <c r="G634" s="22"/>
      <c r="H634" s="22"/>
      <c r="I634" s="16"/>
      <c r="J634" s="16"/>
      <c r="K634" s="16"/>
      <c r="L634" s="18"/>
      <c r="M634" s="18"/>
      <c r="N634" s="18"/>
      <c r="O634" s="18"/>
      <c r="P634" s="18"/>
      <c r="S634" s="6"/>
      <c r="V634" s="18"/>
      <c r="W634" s="18"/>
      <c r="X634" s="18"/>
      <c r="Y634" s="6"/>
      <c r="Z634" s="6"/>
      <c r="AA634" s="6"/>
      <c r="AB634" s="18"/>
      <c r="AC634" s="18"/>
      <c r="AD634" s="18"/>
      <c r="AE634" s="18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</row>
    <row r="635" spans="1:50">
      <c r="A635" s="16"/>
      <c r="B635" s="30"/>
      <c r="C635" s="16"/>
      <c r="D635" s="16"/>
      <c r="E635" s="16"/>
      <c r="F635" s="22"/>
      <c r="G635" s="22"/>
      <c r="H635" s="22"/>
      <c r="I635" s="16"/>
      <c r="J635" s="16"/>
      <c r="K635" s="16"/>
      <c r="L635" s="18"/>
      <c r="M635" s="18"/>
      <c r="N635" s="18"/>
      <c r="O635" s="18"/>
      <c r="P635" s="18"/>
      <c r="S635" s="6"/>
      <c r="V635" s="18"/>
      <c r="W635" s="18"/>
      <c r="X635" s="18"/>
      <c r="Y635" s="6"/>
      <c r="Z635" s="6"/>
      <c r="AA635" s="6"/>
      <c r="AB635" s="18"/>
      <c r="AC635" s="18"/>
      <c r="AD635" s="18"/>
      <c r="AE635" s="18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</row>
    <row r="636" spans="1:50">
      <c r="A636" s="16"/>
      <c r="B636" s="30"/>
      <c r="C636" s="16"/>
      <c r="D636" s="16"/>
      <c r="E636" s="16"/>
      <c r="F636" s="22"/>
      <c r="G636" s="22"/>
      <c r="H636" s="22"/>
      <c r="I636" s="16"/>
      <c r="J636" s="16"/>
      <c r="K636" s="16"/>
      <c r="L636" s="18"/>
      <c r="M636" s="18"/>
      <c r="N636" s="18"/>
      <c r="O636" s="18"/>
      <c r="P636" s="18"/>
      <c r="S636" s="6"/>
      <c r="V636" s="18"/>
      <c r="W636" s="18"/>
      <c r="X636" s="18"/>
      <c r="Y636" s="6"/>
      <c r="Z636" s="6"/>
      <c r="AA636" s="6"/>
      <c r="AB636" s="18"/>
      <c r="AC636" s="18"/>
      <c r="AD636" s="18"/>
      <c r="AE636" s="18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</row>
    <row r="637" spans="1:50">
      <c r="A637" s="16"/>
      <c r="B637" s="30"/>
      <c r="C637" s="16"/>
      <c r="D637" s="16"/>
      <c r="E637" s="16"/>
      <c r="F637" s="22"/>
      <c r="G637" s="22"/>
      <c r="H637" s="22"/>
      <c r="I637" s="16"/>
      <c r="J637" s="16"/>
      <c r="K637" s="16"/>
      <c r="L637" s="18"/>
      <c r="M637" s="18"/>
      <c r="N637" s="18"/>
      <c r="O637" s="18"/>
      <c r="P637" s="18"/>
      <c r="S637" s="6"/>
      <c r="V637" s="18"/>
      <c r="W637" s="18"/>
      <c r="X637" s="18"/>
      <c r="Y637" s="6"/>
      <c r="Z637" s="6"/>
      <c r="AA637" s="6"/>
      <c r="AB637" s="18"/>
      <c r="AC637" s="18"/>
      <c r="AD637" s="18"/>
      <c r="AE637" s="18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</row>
    <row r="638" spans="1:50">
      <c r="A638" s="16"/>
      <c r="B638" s="30"/>
      <c r="C638" s="16"/>
      <c r="D638" s="16"/>
      <c r="E638" s="16"/>
      <c r="F638" s="22"/>
      <c r="G638" s="22"/>
      <c r="H638" s="22"/>
      <c r="I638" s="16"/>
      <c r="J638" s="16"/>
      <c r="K638" s="16"/>
      <c r="L638" s="18"/>
      <c r="M638" s="18"/>
      <c r="N638" s="18"/>
      <c r="O638" s="18"/>
      <c r="P638" s="18"/>
      <c r="S638" s="6"/>
      <c r="V638" s="18"/>
      <c r="W638" s="18"/>
      <c r="X638" s="18"/>
      <c r="Y638" s="6"/>
      <c r="Z638" s="6"/>
      <c r="AA638" s="6"/>
      <c r="AB638" s="18"/>
      <c r="AC638" s="18"/>
      <c r="AD638" s="18"/>
      <c r="AE638" s="18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</row>
    <row r="639" spans="1:50">
      <c r="A639" s="16"/>
      <c r="B639" s="30"/>
      <c r="C639" s="16"/>
      <c r="D639" s="16"/>
      <c r="E639" s="16"/>
      <c r="F639" s="22"/>
      <c r="G639" s="22"/>
      <c r="H639" s="22"/>
      <c r="I639" s="16"/>
      <c r="J639" s="16"/>
      <c r="K639" s="16"/>
      <c r="L639" s="18"/>
      <c r="M639" s="18"/>
      <c r="N639" s="18"/>
      <c r="O639" s="18"/>
      <c r="P639" s="18"/>
      <c r="S639" s="6"/>
      <c r="V639" s="18"/>
      <c r="W639" s="18"/>
      <c r="X639" s="18"/>
      <c r="Y639" s="6"/>
      <c r="Z639" s="6"/>
      <c r="AA639" s="6"/>
      <c r="AB639" s="18"/>
      <c r="AC639" s="18"/>
      <c r="AD639" s="18"/>
      <c r="AE639" s="18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</row>
    <row r="640" spans="1:50">
      <c r="A640" s="16"/>
      <c r="B640" s="30"/>
      <c r="C640" s="16"/>
      <c r="D640" s="16"/>
      <c r="E640" s="16"/>
      <c r="F640" s="22"/>
      <c r="G640" s="22"/>
      <c r="H640" s="22"/>
      <c r="I640" s="16"/>
      <c r="J640" s="16"/>
      <c r="K640" s="16"/>
      <c r="L640" s="18"/>
      <c r="M640" s="18"/>
      <c r="N640" s="18"/>
      <c r="O640" s="18"/>
      <c r="P640" s="18"/>
      <c r="S640" s="6"/>
      <c r="V640" s="18"/>
      <c r="W640" s="18"/>
      <c r="X640" s="18"/>
      <c r="Y640" s="6"/>
      <c r="Z640" s="6"/>
      <c r="AA640" s="6"/>
      <c r="AB640" s="18"/>
      <c r="AC640" s="18"/>
      <c r="AD640" s="18"/>
      <c r="AE640" s="18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</row>
    <row r="641" spans="1:50">
      <c r="A641" s="16"/>
      <c r="B641" s="30"/>
      <c r="C641" s="16"/>
      <c r="D641" s="16"/>
      <c r="E641" s="16"/>
      <c r="F641" s="22"/>
      <c r="G641" s="22"/>
      <c r="H641" s="22"/>
      <c r="I641" s="16"/>
      <c r="J641" s="16"/>
      <c r="K641" s="16"/>
      <c r="L641" s="18"/>
      <c r="M641" s="18"/>
      <c r="N641" s="18"/>
      <c r="O641" s="18"/>
      <c r="P641" s="18"/>
      <c r="S641" s="6"/>
      <c r="V641" s="18"/>
      <c r="W641" s="18"/>
      <c r="X641" s="18"/>
      <c r="Y641" s="6"/>
      <c r="Z641" s="6"/>
      <c r="AA641" s="6"/>
      <c r="AB641" s="18"/>
      <c r="AC641" s="18"/>
      <c r="AD641" s="18"/>
      <c r="AE641" s="18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</row>
    <row r="642" spans="1:50">
      <c r="A642" s="16"/>
      <c r="B642" s="30"/>
      <c r="C642" s="16"/>
      <c r="D642" s="16"/>
      <c r="E642" s="16"/>
      <c r="F642" s="22"/>
      <c r="G642" s="22"/>
      <c r="H642" s="22"/>
      <c r="I642" s="16"/>
      <c r="J642" s="16"/>
      <c r="K642" s="16"/>
      <c r="L642" s="18"/>
      <c r="M642" s="18"/>
      <c r="N642" s="18"/>
      <c r="O642" s="18"/>
      <c r="P642" s="18"/>
      <c r="S642" s="6"/>
      <c r="V642" s="18"/>
      <c r="W642" s="18"/>
      <c r="X642" s="18"/>
      <c r="Y642" s="6"/>
      <c r="Z642" s="6"/>
      <c r="AA642" s="6"/>
      <c r="AB642" s="18"/>
      <c r="AC642" s="18"/>
      <c r="AD642" s="18"/>
      <c r="AE642" s="18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</row>
    <row r="643" spans="1:50">
      <c r="A643" s="16"/>
      <c r="B643" s="30"/>
      <c r="C643" s="16"/>
      <c r="D643" s="16"/>
      <c r="E643" s="16"/>
      <c r="F643" s="22"/>
      <c r="G643" s="22"/>
      <c r="H643" s="22"/>
      <c r="I643" s="16"/>
      <c r="J643" s="16"/>
      <c r="K643" s="16"/>
      <c r="L643" s="18"/>
      <c r="M643" s="18"/>
      <c r="N643" s="18"/>
      <c r="O643" s="18"/>
      <c r="P643" s="18"/>
      <c r="S643" s="6"/>
      <c r="V643" s="18"/>
      <c r="W643" s="18"/>
      <c r="X643" s="18"/>
      <c r="Y643" s="6"/>
      <c r="Z643" s="6"/>
      <c r="AA643" s="6"/>
      <c r="AB643" s="18"/>
      <c r="AC643" s="18"/>
      <c r="AD643" s="18"/>
      <c r="AE643" s="18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</row>
    <row r="644" spans="1:50">
      <c r="A644" s="16"/>
      <c r="B644" s="30"/>
      <c r="C644" s="16"/>
      <c r="D644" s="16"/>
      <c r="E644" s="16"/>
      <c r="F644" s="22"/>
      <c r="G644" s="22"/>
      <c r="H644" s="22"/>
      <c r="I644" s="16"/>
      <c r="J644" s="16"/>
      <c r="K644" s="16"/>
      <c r="L644" s="18"/>
      <c r="M644" s="18"/>
      <c r="N644" s="18"/>
      <c r="O644" s="18"/>
      <c r="P644" s="18"/>
      <c r="S644" s="6"/>
      <c r="V644" s="18"/>
      <c r="W644" s="18"/>
      <c r="X644" s="18"/>
      <c r="Y644" s="6"/>
      <c r="Z644" s="6"/>
      <c r="AA644" s="6"/>
      <c r="AB644" s="18"/>
      <c r="AC644" s="18"/>
      <c r="AD644" s="18"/>
      <c r="AE644" s="18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</row>
    <row r="645" spans="1:50">
      <c r="A645" s="16"/>
      <c r="B645" s="30"/>
      <c r="C645" s="16"/>
      <c r="D645" s="16"/>
      <c r="E645" s="16"/>
      <c r="F645" s="22"/>
      <c r="G645" s="22"/>
      <c r="H645" s="22"/>
      <c r="I645" s="16"/>
      <c r="J645" s="16"/>
      <c r="K645" s="16"/>
      <c r="L645" s="18"/>
      <c r="M645" s="18"/>
      <c r="N645" s="18"/>
      <c r="O645" s="18"/>
      <c r="P645" s="18"/>
      <c r="S645" s="6"/>
      <c r="V645" s="18"/>
      <c r="W645" s="18"/>
      <c r="X645" s="18"/>
      <c r="Y645" s="6"/>
      <c r="Z645" s="6"/>
      <c r="AA645" s="6"/>
      <c r="AB645" s="18"/>
      <c r="AC645" s="18"/>
      <c r="AD645" s="18"/>
      <c r="AE645" s="18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</row>
    <row r="646" spans="1:50">
      <c r="A646" s="16"/>
      <c r="B646" s="30"/>
      <c r="C646" s="16"/>
      <c r="D646" s="16"/>
      <c r="E646" s="16"/>
      <c r="F646" s="22"/>
      <c r="G646" s="22"/>
      <c r="H646" s="22"/>
      <c r="I646" s="16"/>
      <c r="J646" s="16"/>
      <c r="K646" s="16"/>
      <c r="L646" s="18"/>
      <c r="M646" s="18"/>
      <c r="N646" s="18"/>
      <c r="O646" s="18"/>
      <c r="P646" s="18"/>
      <c r="S646" s="6"/>
      <c r="V646" s="18"/>
      <c r="W646" s="18"/>
      <c r="X646" s="18"/>
      <c r="Y646" s="6"/>
      <c r="Z646" s="6"/>
      <c r="AA646" s="6"/>
      <c r="AB646" s="18"/>
      <c r="AC646" s="18"/>
      <c r="AD646" s="18"/>
      <c r="AE646" s="18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</row>
    <row r="647" spans="1:50">
      <c r="A647" s="16"/>
      <c r="B647" s="30"/>
      <c r="C647" s="16"/>
      <c r="D647" s="16"/>
      <c r="E647" s="16"/>
      <c r="F647" s="22"/>
      <c r="G647" s="22"/>
      <c r="H647" s="22"/>
      <c r="I647" s="16"/>
      <c r="J647" s="16"/>
      <c r="K647" s="16"/>
      <c r="L647" s="18"/>
      <c r="M647" s="18"/>
      <c r="N647" s="18"/>
      <c r="O647" s="18"/>
      <c r="P647" s="18"/>
      <c r="S647" s="6"/>
      <c r="V647" s="18"/>
      <c r="W647" s="18"/>
      <c r="X647" s="18"/>
      <c r="Y647" s="6"/>
      <c r="Z647" s="6"/>
      <c r="AA647" s="6"/>
      <c r="AB647" s="18"/>
      <c r="AC647" s="18"/>
      <c r="AD647" s="18"/>
      <c r="AE647" s="18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</row>
    <row r="648" spans="1:50">
      <c r="A648" s="16"/>
      <c r="B648" s="30"/>
      <c r="C648" s="16"/>
      <c r="D648" s="16"/>
      <c r="E648" s="16"/>
      <c r="F648" s="22"/>
      <c r="G648" s="22"/>
      <c r="H648" s="22"/>
      <c r="I648" s="16"/>
      <c r="J648" s="16"/>
      <c r="K648" s="16"/>
      <c r="L648" s="18"/>
      <c r="M648" s="18"/>
      <c r="N648" s="18"/>
      <c r="O648" s="18"/>
      <c r="P648" s="18"/>
      <c r="S648" s="6"/>
      <c r="V648" s="18"/>
      <c r="W648" s="18"/>
      <c r="X648" s="18"/>
      <c r="Y648" s="6"/>
      <c r="Z648" s="6"/>
      <c r="AA648" s="6"/>
      <c r="AB648" s="18"/>
      <c r="AC648" s="18"/>
      <c r="AD648" s="18"/>
      <c r="AE648" s="18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</row>
    <row r="649" spans="1:50">
      <c r="A649" s="16"/>
      <c r="B649" s="30"/>
      <c r="C649" s="16"/>
      <c r="D649" s="16"/>
      <c r="E649" s="16"/>
      <c r="F649" s="22"/>
      <c r="G649" s="22"/>
      <c r="H649" s="22"/>
      <c r="I649" s="16"/>
      <c r="J649" s="16"/>
      <c r="K649" s="16"/>
      <c r="L649" s="18"/>
      <c r="M649" s="18"/>
      <c r="N649" s="18"/>
      <c r="O649" s="18"/>
      <c r="P649" s="18"/>
      <c r="S649" s="6"/>
      <c r="V649" s="18"/>
      <c r="W649" s="18"/>
      <c r="X649" s="18"/>
      <c r="Y649" s="6"/>
      <c r="Z649" s="6"/>
      <c r="AA649" s="6"/>
      <c r="AB649" s="18"/>
      <c r="AC649" s="18"/>
      <c r="AD649" s="18"/>
      <c r="AE649" s="18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</row>
    <row r="650" spans="1:50">
      <c r="A650" s="16"/>
      <c r="B650" s="30"/>
      <c r="C650" s="16"/>
      <c r="D650" s="16"/>
      <c r="E650" s="16"/>
      <c r="F650" s="22"/>
      <c r="G650" s="22"/>
      <c r="H650" s="22"/>
      <c r="I650" s="16"/>
      <c r="J650" s="16"/>
      <c r="K650" s="16"/>
      <c r="L650" s="18"/>
      <c r="M650" s="18"/>
      <c r="N650" s="18"/>
      <c r="O650" s="18"/>
      <c r="P650" s="18"/>
      <c r="S650" s="6"/>
      <c r="V650" s="18"/>
      <c r="W650" s="18"/>
      <c r="X650" s="18"/>
      <c r="Y650" s="6"/>
      <c r="Z650" s="6"/>
      <c r="AA650" s="6"/>
      <c r="AB650" s="18"/>
      <c r="AC650" s="18"/>
      <c r="AD650" s="18"/>
      <c r="AE650" s="18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</row>
    <row r="651" spans="1:50">
      <c r="A651" s="16"/>
      <c r="B651" s="30"/>
      <c r="C651" s="16"/>
      <c r="D651" s="16"/>
      <c r="E651" s="16"/>
      <c r="F651" s="22"/>
      <c r="G651" s="22"/>
      <c r="H651" s="22"/>
      <c r="I651" s="16"/>
      <c r="J651" s="16"/>
      <c r="K651" s="16"/>
      <c r="L651" s="18"/>
      <c r="M651" s="18"/>
      <c r="N651" s="18"/>
      <c r="O651" s="18"/>
      <c r="P651" s="18"/>
      <c r="S651" s="6"/>
      <c r="V651" s="18"/>
      <c r="W651" s="18"/>
      <c r="X651" s="18"/>
      <c r="Y651" s="6"/>
      <c r="Z651" s="6"/>
      <c r="AA651" s="6"/>
      <c r="AB651" s="18"/>
      <c r="AC651" s="18"/>
      <c r="AD651" s="18"/>
      <c r="AE651" s="18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</row>
    <row r="652" spans="1:50">
      <c r="A652" s="16"/>
      <c r="B652" s="30"/>
      <c r="C652" s="16"/>
      <c r="D652" s="16"/>
      <c r="E652" s="16"/>
      <c r="F652" s="22"/>
      <c r="G652" s="22"/>
      <c r="H652" s="22"/>
      <c r="I652" s="16"/>
      <c r="J652" s="16"/>
      <c r="K652" s="16"/>
      <c r="L652" s="18"/>
      <c r="M652" s="18"/>
      <c r="N652" s="18"/>
      <c r="O652" s="18"/>
      <c r="P652" s="18"/>
      <c r="S652" s="6"/>
      <c r="V652" s="18"/>
      <c r="W652" s="18"/>
      <c r="X652" s="18"/>
      <c r="Y652" s="6"/>
      <c r="Z652" s="6"/>
      <c r="AA652" s="6"/>
      <c r="AB652" s="18"/>
      <c r="AC652" s="18"/>
      <c r="AD652" s="18"/>
      <c r="AE652" s="18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</row>
    <row r="653" spans="1:50">
      <c r="A653" s="16"/>
      <c r="B653" s="30"/>
      <c r="C653" s="16"/>
      <c r="D653" s="16"/>
      <c r="E653" s="16"/>
      <c r="F653" s="22"/>
      <c r="G653" s="22"/>
      <c r="H653" s="22"/>
      <c r="I653" s="16"/>
      <c r="J653" s="16"/>
      <c r="K653" s="16"/>
      <c r="L653" s="18"/>
      <c r="M653" s="18"/>
      <c r="N653" s="18"/>
      <c r="O653" s="18"/>
      <c r="P653" s="18"/>
      <c r="S653" s="6"/>
      <c r="V653" s="18"/>
      <c r="W653" s="18"/>
      <c r="X653" s="18"/>
      <c r="Y653" s="6"/>
      <c r="Z653" s="6"/>
      <c r="AA653" s="6"/>
      <c r="AB653" s="18"/>
      <c r="AC653" s="18"/>
      <c r="AD653" s="18"/>
      <c r="AE653" s="18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</row>
    <row r="654" spans="1:50">
      <c r="A654" s="16"/>
      <c r="B654" s="30"/>
      <c r="C654" s="16"/>
      <c r="D654" s="16"/>
      <c r="E654" s="16"/>
      <c r="F654" s="22"/>
      <c r="G654" s="22"/>
      <c r="H654" s="22"/>
      <c r="I654" s="16"/>
      <c r="J654" s="16"/>
      <c r="K654" s="16"/>
      <c r="L654" s="18"/>
      <c r="M654" s="18"/>
      <c r="N654" s="18"/>
      <c r="O654" s="18"/>
      <c r="P654" s="18"/>
      <c r="S654" s="6"/>
      <c r="V654" s="18"/>
      <c r="W654" s="18"/>
      <c r="X654" s="18"/>
      <c r="Y654" s="6"/>
      <c r="Z654" s="6"/>
      <c r="AA654" s="6"/>
      <c r="AB654" s="18"/>
      <c r="AC654" s="18"/>
      <c r="AD654" s="18"/>
      <c r="AE654" s="18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</row>
    <row r="655" spans="1:50">
      <c r="A655" s="16"/>
      <c r="B655" s="30"/>
      <c r="C655" s="16"/>
      <c r="D655" s="16"/>
      <c r="E655" s="16"/>
      <c r="F655" s="22"/>
      <c r="G655" s="22"/>
      <c r="H655" s="22"/>
      <c r="I655" s="16"/>
      <c r="J655" s="16"/>
      <c r="K655" s="16"/>
      <c r="L655" s="18"/>
      <c r="M655" s="18"/>
      <c r="N655" s="18"/>
      <c r="O655" s="18"/>
      <c r="P655" s="18"/>
      <c r="S655" s="6"/>
      <c r="V655" s="18"/>
      <c r="W655" s="18"/>
      <c r="X655" s="18"/>
      <c r="Y655" s="6"/>
      <c r="Z655" s="6"/>
      <c r="AA655" s="6"/>
      <c r="AB655" s="18"/>
      <c r="AC655" s="18"/>
      <c r="AD655" s="18"/>
      <c r="AE655" s="18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</row>
    <row r="656" spans="1:50">
      <c r="A656" s="16"/>
      <c r="B656" s="30"/>
      <c r="C656" s="16"/>
      <c r="D656" s="16"/>
      <c r="E656" s="16"/>
      <c r="F656" s="22"/>
      <c r="G656" s="22"/>
      <c r="H656" s="22"/>
      <c r="I656" s="16"/>
      <c r="J656" s="16"/>
      <c r="K656" s="16"/>
      <c r="L656" s="18"/>
      <c r="M656" s="18"/>
      <c r="N656" s="18"/>
      <c r="O656" s="18"/>
      <c r="P656" s="18"/>
      <c r="S656" s="6"/>
      <c r="V656" s="18"/>
      <c r="W656" s="18"/>
      <c r="X656" s="18"/>
      <c r="Y656" s="6"/>
      <c r="Z656" s="6"/>
      <c r="AA656" s="6"/>
      <c r="AB656" s="18"/>
      <c r="AC656" s="18"/>
      <c r="AD656" s="18"/>
      <c r="AE656" s="18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</row>
    <row r="657" spans="1:50">
      <c r="A657" s="16"/>
      <c r="B657" s="30"/>
      <c r="C657" s="16"/>
      <c r="D657" s="16"/>
      <c r="E657" s="16"/>
      <c r="F657" s="22"/>
      <c r="G657" s="22"/>
      <c r="H657" s="22"/>
      <c r="I657" s="16"/>
      <c r="J657" s="16"/>
      <c r="K657" s="16"/>
      <c r="L657" s="18"/>
      <c r="M657" s="18"/>
      <c r="N657" s="18"/>
      <c r="O657" s="18"/>
      <c r="P657" s="18"/>
      <c r="S657" s="6"/>
      <c r="V657" s="18"/>
      <c r="W657" s="18"/>
      <c r="X657" s="18"/>
      <c r="Y657" s="6"/>
      <c r="Z657" s="6"/>
      <c r="AA657" s="6"/>
      <c r="AB657" s="18"/>
      <c r="AC657" s="18"/>
      <c r="AD657" s="18"/>
      <c r="AE657" s="18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</row>
    <row r="658" spans="1:50">
      <c r="A658" s="16"/>
      <c r="B658" s="30"/>
      <c r="C658" s="16"/>
      <c r="D658" s="16"/>
      <c r="E658" s="16"/>
      <c r="F658" s="22"/>
      <c r="G658" s="22"/>
      <c r="H658" s="22"/>
      <c r="I658" s="16"/>
      <c r="J658" s="16"/>
      <c r="K658" s="16"/>
      <c r="L658" s="18"/>
      <c r="M658" s="18"/>
      <c r="N658" s="18"/>
      <c r="O658" s="18"/>
      <c r="P658" s="18"/>
      <c r="S658" s="6"/>
      <c r="V658" s="18"/>
      <c r="W658" s="18"/>
      <c r="X658" s="18"/>
      <c r="Y658" s="6"/>
      <c r="Z658" s="6"/>
      <c r="AA658" s="6"/>
      <c r="AB658" s="18"/>
      <c r="AC658" s="18"/>
      <c r="AD658" s="18"/>
      <c r="AE658" s="18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</row>
    <row r="659" spans="1:50">
      <c r="A659" s="16"/>
      <c r="B659" s="30"/>
      <c r="C659" s="16"/>
      <c r="D659" s="16"/>
      <c r="E659" s="16"/>
      <c r="F659" s="22"/>
      <c r="G659" s="22"/>
      <c r="H659" s="22"/>
      <c r="I659" s="16"/>
      <c r="J659" s="16"/>
      <c r="K659" s="16"/>
      <c r="L659" s="18"/>
      <c r="M659" s="18"/>
      <c r="N659" s="18"/>
      <c r="O659" s="18"/>
      <c r="P659" s="18"/>
      <c r="S659" s="6"/>
      <c r="V659" s="18"/>
      <c r="W659" s="18"/>
      <c r="X659" s="18"/>
      <c r="Y659" s="6"/>
      <c r="Z659" s="6"/>
      <c r="AA659" s="6"/>
      <c r="AB659" s="18"/>
      <c r="AC659" s="18"/>
      <c r="AD659" s="18"/>
      <c r="AE659" s="18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</row>
    <row r="660" spans="1:50">
      <c r="A660" s="16"/>
      <c r="B660" s="30"/>
      <c r="C660" s="16"/>
      <c r="D660" s="16"/>
      <c r="E660" s="16"/>
      <c r="F660" s="22"/>
      <c r="G660" s="22"/>
      <c r="H660" s="22"/>
      <c r="I660" s="16"/>
      <c r="J660" s="16"/>
      <c r="K660" s="16"/>
      <c r="L660" s="18"/>
      <c r="M660" s="18"/>
      <c r="N660" s="18"/>
      <c r="O660" s="18"/>
      <c r="P660" s="18"/>
      <c r="S660" s="6"/>
      <c r="V660" s="18"/>
      <c r="W660" s="18"/>
      <c r="X660" s="18"/>
      <c r="Y660" s="6"/>
      <c r="Z660" s="6"/>
      <c r="AA660" s="6"/>
      <c r="AB660" s="18"/>
      <c r="AC660" s="18"/>
      <c r="AD660" s="18"/>
      <c r="AE660" s="18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</row>
    <row r="661" spans="1:50">
      <c r="A661" s="16"/>
      <c r="B661" s="30"/>
      <c r="C661" s="16"/>
      <c r="D661" s="16"/>
      <c r="E661" s="16"/>
      <c r="F661" s="22"/>
      <c r="G661" s="22"/>
      <c r="H661" s="22"/>
      <c r="I661" s="16"/>
      <c r="J661" s="16"/>
      <c r="K661" s="16"/>
      <c r="L661" s="18"/>
      <c r="M661" s="18"/>
      <c r="N661" s="18"/>
      <c r="O661" s="18"/>
      <c r="P661" s="18"/>
      <c r="S661" s="6"/>
      <c r="V661" s="18"/>
      <c r="W661" s="18"/>
      <c r="X661" s="18"/>
      <c r="Y661" s="6"/>
      <c r="Z661" s="6"/>
      <c r="AA661" s="6"/>
      <c r="AB661" s="18"/>
      <c r="AC661" s="18"/>
      <c r="AD661" s="18"/>
      <c r="AE661" s="18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</row>
    <row r="662" spans="1:50">
      <c r="A662" s="16"/>
      <c r="B662" s="30"/>
      <c r="C662" s="16"/>
      <c r="D662" s="16"/>
      <c r="E662" s="16"/>
      <c r="F662" s="22"/>
      <c r="G662" s="22"/>
      <c r="H662" s="22"/>
      <c r="I662" s="16"/>
      <c r="J662" s="16"/>
      <c r="K662" s="16"/>
      <c r="L662" s="18"/>
      <c r="M662" s="18"/>
      <c r="N662" s="18"/>
      <c r="O662" s="18"/>
      <c r="P662" s="18"/>
      <c r="S662" s="6"/>
      <c r="V662" s="18"/>
      <c r="W662" s="18"/>
      <c r="X662" s="18"/>
      <c r="Y662" s="6"/>
      <c r="Z662" s="6"/>
      <c r="AA662" s="6"/>
      <c r="AB662" s="18"/>
      <c r="AC662" s="18"/>
      <c r="AD662" s="18"/>
      <c r="AE662" s="18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</row>
    <row r="663" spans="1:50">
      <c r="A663" s="16"/>
      <c r="B663" s="30"/>
      <c r="C663" s="16"/>
      <c r="D663" s="16"/>
      <c r="E663" s="16"/>
      <c r="F663" s="22"/>
      <c r="G663" s="22"/>
      <c r="H663" s="22"/>
      <c r="I663" s="16"/>
      <c r="J663" s="16"/>
      <c r="K663" s="16"/>
      <c r="L663" s="18"/>
      <c r="M663" s="18"/>
      <c r="N663" s="18"/>
      <c r="O663" s="18"/>
      <c r="P663" s="18"/>
      <c r="S663" s="6"/>
      <c r="V663" s="18"/>
      <c r="W663" s="18"/>
      <c r="X663" s="18"/>
      <c r="Y663" s="6"/>
      <c r="Z663" s="6"/>
      <c r="AA663" s="6"/>
      <c r="AB663" s="18"/>
      <c r="AC663" s="18"/>
      <c r="AD663" s="18"/>
      <c r="AE663" s="18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</row>
    <row r="664" spans="1:50">
      <c r="A664" s="16"/>
      <c r="B664" s="30"/>
      <c r="C664" s="16"/>
      <c r="D664" s="16"/>
      <c r="E664" s="16"/>
      <c r="F664" s="22"/>
      <c r="G664" s="22"/>
      <c r="H664" s="22"/>
      <c r="I664" s="16"/>
      <c r="J664" s="16"/>
      <c r="K664" s="16"/>
      <c r="L664" s="18"/>
      <c r="M664" s="18"/>
      <c r="N664" s="18"/>
      <c r="O664" s="18"/>
      <c r="P664" s="18"/>
      <c r="S664" s="6"/>
      <c r="V664" s="18"/>
      <c r="W664" s="18"/>
      <c r="X664" s="18"/>
      <c r="Y664" s="6"/>
      <c r="Z664" s="6"/>
      <c r="AA664" s="6"/>
      <c r="AB664" s="18"/>
      <c r="AC664" s="18"/>
      <c r="AD664" s="18"/>
      <c r="AE664" s="18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</row>
    <row r="665" spans="1:50">
      <c r="A665" s="16"/>
      <c r="B665" s="30"/>
      <c r="C665" s="16"/>
      <c r="D665" s="16"/>
      <c r="E665" s="16"/>
      <c r="F665" s="22"/>
      <c r="G665" s="22"/>
      <c r="H665" s="22"/>
      <c r="I665" s="16"/>
      <c r="J665" s="16"/>
      <c r="K665" s="16"/>
      <c r="L665" s="18"/>
      <c r="M665" s="18"/>
      <c r="N665" s="18"/>
      <c r="O665" s="18"/>
      <c r="P665" s="18"/>
      <c r="S665" s="6"/>
      <c r="V665" s="18"/>
      <c r="W665" s="18"/>
      <c r="X665" s="18"/>
      <c r="Y665" s="6"/>
      <c r="Z665" s="6"/>
      <c r="AA665" s="6"/>
      <c r="AB665" s="18"/>
      <c r="AC665" s="18"/>
      <c r="AD665" s="18"/>
      <c r="AE665" s="18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</row>
    <row r="666" spans="1:50">
      <c r="A666" s="16"/>
      <c r="B666" s="30"/>
      <c r="C666" s="16"/>
      <c r="D666" s="16"/>
      <c r="E666" s="16"/>
      <c r="F666" s="22"/>
      <c r="G666" s="22"/>
      <c r="H666" s="22"/>
      <c r="I666" s="16"/>
      <c r="J666" s="16"/>
      <c r="K666" s="16"/>
      <c r="L666" s="18"/>
      <c r="M666" s="18"/>
      <c r="N666" s="18"/>
      <c r="O666" s="18"/>
      <c r="P666" s="18"/>
      <c r="S666" s="6"/>
      <c r="V666" s="18"/>
      <c r="W666" s="18"/>
      <c r="X666" s="18"/>
      <c r="Y666" s="6"/>
      <c r="Z666" s="6"/>
      <c r="AA666" s="6"/>
      <c r="AB666" s="18"/>
      <c r="AC666" s="18"/>
      <c r="AD666" s="18"/>
      <c r="AE666" s="18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</row>
    <row r="667" spans="1:50">
      <c r="A667" s="16"/>
      <c r="B667" s="30"/>
      <c r="C667" s="16"/>
      <c r="D667" s="16"/>
      <c r="E667" s="16"/>
      <c r="F667" s="22"/>
      <c r="G667" s="22"/>
      <c r="H667" s="22"/>
      <c r="I667" s="16"/>
      <c r="J667" s="16"/>
      <c r="K667" s="16"/>
      <c r="L667" s="18"/>
      <c r="M667" s="18"/>
      <c r="N667" s="18"/>
      <c r="O667" s="18"/>
      <c r="P667" s="18"/>
      <c r="S667" s="6"/>
      <c r="V667" s="18"/>
      <c r="W667" s="18"/>
      <c r="X667" s="18"/>
      <c r="Y667" s="6"/>
      <c r="Z667" s="6"/>
      <c r="AA667" s="6"/>
      <c r="AB667" s="18"/>
      <c r="AC667" s="18"/>
      <c r="AD667" s="18"/>
      <c r="AE667" s="18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</row>
    <row r="668" spans="1:50">
      <c r="A668" s="16"/>
      <c r="B668" s="30"/>
      <c r="C668" s="16"/>
      <c r="D668" s="16"/>
      <c r="E668" s="16"/>
      <c r="F668" s="22"/>
      <c r="G668" s="22"/>
      <c r="H668" s="22"/>
      <c r="I668" s="16"/>
      <c r="J668" s="16"/>
      <c r="K668" s="16"/>
      <c r="L668" s="18"/>
      <c r="M668" s="18"/>
      <c r="N668" s="18"/>
      <c r="O668" s="18"/>
      <c r="P668" s="18"/>
      <c r="S668" s="6"/>
      <c r="V668" s="18"/>
      <c r="W668" s="18"/>
      <c r="X668" s="18"/>
      <c r="Y668" s="6"/>
      <c r="Z668" s="6"/>
      <c r="AA668" s="6"/>
      <c r="AB668" s="18"/>
      <c r="AC668" s="18"/>
      <c r="AD668" s="18"/>
      <c r="AE668" s="18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</row>
    <row r="669" spans="1:50">
      <c r="A669" s="16"/>
      <c r="B669" s="30"/>
      <c r="C669" s="16"/>
      <c r="D669" s="16"/>
      <c r="E669" s="16"/>
      <c r="F669" s="22"/>
      <c r="G669" s="22"/>
      <c r="H669" s="22"/>
      <c r="I669" s="16"/>
      <c r="J669" s="16"/>
      <c r="K669" s="16"/>
      <c r="L669" s="18"/>
      <c r="M669" s="18"/>
      <c r="N669" s="18"/>
      <c r="O669" s="18"/>
      <c r="P669" s="18"/>
      <c r="S669" s="6"/>
      <c r="V669" s="18"/>
      <c r="W669" s="18"/>
      <c r="X669" s="18"/>
      <c r="Y669" s="6"/>
      <c r="Z669" s="6"/>
      <c r="AA669" s="6"/>
      <c r="AB669" s="18"/>
      <c r="AC669" s="18"/>
      <c r="AD669" s="18"/>
      <c r="AE669" s="18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</row>
    <row r="670" spans="1:50">
      <c r="A670" s="16"/>
      <c r="B670" s="30"/>
      <c r="C670" s="16"/>
      <c r="D670" s="16"/>
      <c r="E670" s="16"/>
      <c r="F670" s="22"/>
      <c r="G670" s="22"/>
      <c r="H670" s="22"/>
      <c r="I670" s="16"/>
      <c r="J670" s="16"/>
      <c r="K670" s="16"/>
      <c r="L670" s="18"/>
      <c r="M670" s="18"/>
      <c r="N670" s="18"/>
      <c r="O670" s="18"/>
      <c r="P670" s="18"/>
      <c r="S670" s="6"/>
      <c r="V670" s="18"/>
      <c r="W670" s="18"/>
      <c r="X670" s="18"/>
      <c r="Y670" s="6"/>
      <c r="Z670" s="6"/>
      <c r="AA670" s="6"/>
      <c r="AB670" s="18"/>
      <c r="AC670" s="18"/>
      <c r="AD670" s="18"/>
      <c r="AE670" s="18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</row>
    <row r="671" spans="1:50">
      <c r="A671" s="16"/>
      <c r="B671" s="30"/>
      <c r="C671" s="16"/>
      <c r="D671" s="16"/>
      <c r="E671" s="16"/>
      <c r="F671" s="22"/>
      <c r="G671" s="22"/>
      <c r="H671" s="22"/>
      <c r="I671" s="16"/>
      <c r="J671" s="16"/>
      <c r="K671" s="16"/>
      <c r="L671" s="18"/>
      <c r="M671" s="18"/>
      <c r="N671" s="18"/>
      <c r="O671" s="18"/>
      <c r="P671" s="18"/>
      <c r="S671" s="6"/>
      <c r="V671" s="18"/>
      <c r="W671" s="18"/>
      <c r="X671" s="18"/>
      <c r="Y671" s="6"/>
      <c r="Z671" s="6"/>
      <c r="AA671" s="6"/>
      <c r="AB671" s="18"/>
      <c r="AC671" s="18"/>
      <c r="AD671" s="18"/>
      <c r="AE671" s="18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</row>
    <row r="672" spans="1:50">
      <c r="A672" s="16"/>
      <c r="B672" s="30"/>
      <c r="C672" s="16"/>
      <c r="D672" s="16"/>
      <c r="E672" s="16"/>
      <c r="F672" s="22"/>
      <c r="G672" s="22"/>
      <c r="H672" s="22"/>
      <c r="I672" s="16"/>
      <c r="J672" s="16"/>
      <c r="K672" s="16"/>
      <c r="L672" s="18"/>
      <c r="M672" s="18"/>
      <c r="N672" s="18"/>
      <c r="O672" s="18"/>
      <c r="P672" s="18"/>
      <c r="S672" s="6"/>
      <c r="V672" s="18"/>
      <c r="W672" s="18"/>
      <c r="X672" s="18"/>
      <c r="Y672" s="6"/>
      <c r="Z672" s="6"/>
      <c r="AA672" s="6"/>
      <c r="AB672" s="18"/>
      <c r="AC672" s="18"/>
      <c r="AD672" s="18"/>
      <c r="AE672" s="18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</row>
    <row r="673" spans="1:50">
      <c r="A673" s="16"/>
      <c r="B673" s="30"/>
      <c r="C673" s="16"/>
      <c r="D673" s="16"/>
      <c r="E673" s="16"/>
      <c r="F673" s="22"/>
      <c r="G673" s="22"/>
      <c r="H673" s="22"/>
      <c r="I673" s="16"/>
      <c r="J673" s="16"/>
      <c r="K673" s="16"/>
      <c r="L673" s="18"/>
      <c r="M673" s="18"/>
      <c r="N673" s="18"/>
      <c r="O673" s="18"/>
      <c r="P673" s="18"/>
      <c r="S673" s="6"/>
      <c r="V673" s="18"/>
      <c r="W673" s="18"/>
      <c r="X673" s="18"/>
      <c r="Y673" s="6"/>
      <c r="Z673" s="6"/>
      <c r="AA673" s="6"/>
      <c r="AB673" s="18"/>
      <c r="AC673" s="18"/>
      <c r="AD673" s="18"/>
      <c r="AE673" s="18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</row>
    <row r="674" spans="1:50">
      <c r="A674" s="16"/>
      <c r="B674" s="30"/>
      <c r="C674" s="16"/>
      <c r="D674" s="16"/>
      <c r="E674" s="16"/>
      <c r="F674" s="22"/>
      <c r="G674" s="22"/>
      <c r="H674" s="22"/>
      <c r="I674" s="16"/>
      <c r="J674" s="16"/>
      <c r="K674" s="16"/>
      <c r="L674" s="18"/>
      <c r="M674" s="18"/>
      <c r="N674" s="18"/>
      <c r="O674" s="18"/>
      <c r="P674" s="18"/>
      <c r="S674" s="6"/>
      <c r="V674" s="18"/>
      <c r="W674" s="18"/>
      <c r="X674" s="18"/>
      <c r="Y674" s="6"/>
      <c r="Z674" s="6"/>
      <c r="AA674" s="6"/>
      <c r="AB674" s="18"/>
      <c r="AC674" s="18"/>
      <c r="AD674" s="18"/>
      <c r="AE674" s="18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</row>
    <row r="675" spans="1:50">
      <c r="A675" s="16"/>
      <c r="B675" s="30"/>
      <c r="C675" s="16"/>
      <c r="D675" s="16"/>
      <c r="E675" s="16"/>
      <c r="F675" s="22"/>
      <c r="G675" s="22"/>
      <c r="H675" s="22"/>
      <c r="I675" s="16"/>
      <c r="J675" s="16"/>
      <c r="K675" s="16"/>
      <c r="L675" s="18"/>
      <c r="M675" s="18"/>
      <c r="N675" s="18"/>
      <c r="O675" s="18"/>
      <c r="P675" s="18"/>
      <c r="S675" s="6"/>
      <c r="V675" s="18"/>
      <c r="W675" s="18"/>
      <c r="X675" s="18"/>
      <c r="Y675" s="6"/>
      <c r="Z675" s="6"/>
      <c r="AA675" s="6"/>
      <c r="AB675" s="18"/>
      <c r="AC675" s="18"/>
      <c r="AD675" s="18"/>
      <c r="AE675" s="18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</row>
    <row r="676" spans="1:50">
      <c r="A676" s="16"/>
      <c r="B676" s="30"/>
      <c r="C676" s="16"/>
      <c r="D676" s="16"/>
      <c r="E676" s="16"/>
      <c r="F676" s="22"/>
      <c r="G676" s="22"/>
      <c r="H676" s="22"/>
      <c r="I676" s="16"/>
      <c r="J676" s="16"/>
      <c r="K676" s="16"/>
      <c r="L676" s="18"/>
      <c r="M676" s="18"/>
      <c r="N676" s="18"/>
      <c r="O676" s="18"/>
      <c r="P676" s="18"/>
      <c r="S676" s="6"/>
      <c r="V676" s="18"/>
      <c r="W676" s="18"/>
      <c r="X676" s="18"/>
      <c r="Y676" s="6"/>
      <c r="Z676" s="6"/>
      <c r="AA676" s="6"/>
      <c r="AB676" s="18"/>
      <c r="AC676" s="18"/>
      <c r="AD676" s="18"/>
      <c r="AE676" s="18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</row>
    <row r="677" spans="1:50">
      <c r="A677" s="16"/>
      <c r="B677" s="30"/>
      <c r="C677" s="16"/>
      <c r="D677" s="16"/>
      <c r="E677" s="16"/>
      <c r="F677" s="22"/>
      <c r="G677" s="22"/>
      <c r="H677" s="22"/>
      <c r="I677" s="16"/>
      <c r="J677" s="16"/>
      <c r="K677" s="16"/>
      <c r="L677" s="18"/>
      <c r="M677" s="18"/>
      <c r="N677" s="18"/>
      <c r="O677" s="18"/>
      <c r="P677" s="18"/>
      <c r="S677" s="6"/>
      <c r="V677" s="18"/>
      <c r="W677" s="18"/>
      <c r="X677" s="18"/>
      <c r="Y677" s="6"/>
      <c r="Z677" s="6"/>
      <c r="AA677" s="6"/>
      <c r="AB677" s="18"/>
      <c r="AC677" s="18"/>
      <c r="AD677" s="18"/>
      <c r="AE677" s="18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</row>
    <row r="678" spans="1:50">
      <c r="A678" s="16"/>
      <c r="B678" s="30"/>
      <c r="C678" s="16"/>
      <c r="D678" s="16"/>
      <c r="E678" s="16"/>
      <c r="F678" s="22"/>
      <c r="G678" s="22"/>
      <c r="H678" s="22"/>
      <c r="I678" s="16"/>
      <c r="J678" s="16"/>
      <c r="K678" s="16"/>
      <c r="L678" s="18"/>
      <c r="M678" s="18"/>
      <c r="N678" s="18"/>
      <c r="O678" s="18"/>
      <c r="P678" s="18"/>
      <c r="S678" s="6"/>
      <c r="V678" s="18"/>
      <c r="W678" s="18"/>
      <c r="X678" s="18"/>
      <c r="Y678" s="6"/>
      <c r="Z678" s="6"/>
      <c r="AA678" s="6"/>
      <c r="AB678" s="18"/>
      <c r="AC678" s="18"/>
      <c r="AD678" s="18"/>
      <c r="AE678" s="18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</row>
    <row r="679" spans="1:50">
      <c r="A679" s="16"/>
      <c r="B679" s="30"/>
      <c r="C679" s="16"/>
      <c r="D679" s="16"/>
      <c r="E679" s="16"/>
      <c r="F679" s="22"/>
      <c r="G679" s="22"/>
      <c r="H679" s="22"/>
      <c r="I679" s="16"/>
      <c r="J679" s="16"/>
      <c r="K679" s="16"/>
      <c r="L679" s="18"/>
      <c r="M679" s="18"/>
      <c r="N679" s="18"/>
      <c r="O679" s="18"/>
      <c r="P679" s="18"/>
      <c r="S679" s="6"/>
      <c r="V679" s="18"/>
      <c r="W679" s="18"/>
      <c r="X679" s="18"/>
      <c r="Y679" s="6"/>
      <c r="Z679" s="6"/>
      <c r="AA679" s="6"/>
      <c r="AB679" s="18"/>
      <c r="AC679" s="18"/>
      <c r="AD679" s="18"/>
      <c r="AE679" s="18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</row>
    <row r="680" spans="1:50">
      <c r="A680" s="16"/>
      <c r="B680" s="30"/>
      <c r="C680" s="16"/>
      <c r="D680" s="16"/>
      <c r="E680" s="16"/>
      <c r="F680" s="22"/>
      <c r="G680" s="22"/>
      <c r="H680" s="22"/>
      <c r="I680" s="16"/>
      <c r="J680" s="16"/>
      <c r="K680" s="16"/>
      <c r="L680" s="18"/>
      <c r="M680" s="18"/>
      <c r="N680" s="18"/>
      <c r="O680" s="18"/>
      <c r="P680" s="18"/>
      <c r="S680" s="6"/>
      <c r="V680" s="18"/>
      <c r="W680" s="18"/>
      <c r="X680" s="18"/>
      <c r="Y680" s="6"/>
      <c r="Z680" s="6"/>
      <c r="AA680" s="6"/>
      <c r="AB680" s="18"/>
      <c r="AC680" s="18"/>
      <c r="AD680" s="18"/>
      <c r="AE680" s="18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</row>
    <row r="681" spans="1:50">
      <c r="A681" s="16"/>
      <c r="B681" s="30"/>
      <c r="C681" s="16"/>
      <c r="D681" s="16"/>
      <c r="E681" s="16"/>
      <c r="F681" s="22"/>
      <c r="G681" s="22"/>
      <c r="H681" s="22"/>
      <c r="I681" s="16"/>
      <c r="J681" s="16"/>
      <c r="K681" s="16"/>
      <c r="L681" s="18"/>
      <c r="M681" s="18"/>
      <c r="N681" s="18"/>
      <c r="O681" s="18"/>
      <c r="P681" s="18"/>
      <c r="S681" s="6"/>
      <c r="V681" s="18"/>
      <c r="W681" s="18"/>
      <c r="X681" s="18"/>
      <c r="Y681" s="6"/>
      <c r="Z681" s="6"/>
      <c r="AA681" s="6"/>
      <c r="AB681" s="18"/>
      <c r="AC681" s="18"/>
      <c r="AD681" s="18"/>
      <c r="AE681" s="18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</row>
    <row r="682" spans="1:50">
      <c r="A682" s="16"/>
      <c r="B682" s="30"/>
      <c r="C682" s="16"/>
      <c r="D682" s="16"/>
      <c r="E682" s="16"/>
      <c r="F682" s="22"/>
      <c r="G682" s="22"/>
      <c r="H682" s="22"/>
      <c r="I682" s="16"/>
      <c r="J682" s="16"/>
      <c r="K682" s="16"/>
      <c r="L682" s="18"/>
      <c r="M682" s="18"/>
      <c r="N682" s="18"/>
      <c r="O682" s="18"/>
      <c r="P682" s="18"/>
      <c r="S682" s="6"/>
      <c r="V682" s="18"/>
      <c r="W682" s="18"/>
      <c r="X682" s="18"/>
      <c r="Y682" s="6"/>
      <c r="Z682" s="6"/>
      <c r="AA682" s="6"/>
      <c r="AB682" s="18"/>
      <c r="AC682" s="18"/>
      <c r="AD682" s="18"/>
      <c r="AE682" s="18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</row>
    <row r="683" spans="1:50">
      <c r="A683" s="16"/>
      <c r="B683" s="30"/>
      <c r="C683" s="16"/>
      <c r="D683" s="16"/>
      <c r="E683" s="16"/>
      <c r="F683" s="22"/>
      <c r="G683" s="22"/>
      <c r="H683" s="22"/>
      <c r="I683" s="16"/>
      <c r="J683" s="16"/>
      <c r="K683" s="16"/>
      <c r="L683" s="18"/>
      <c r="M683" s="18"/>
      <c r="N683" s="18"/>
      <c r="O683" s="18"/>
      <c r="P683" s="18"/>
      <c r="S683" s="6"/>
      <c r="V683" s="18"/>
      <c r="W683" s="18"/>
      <c r="X683" s="18"/>
      <c r="Y683" s="6"/>
      <c r="Z683" s="6"/>
      <c r="AA683" s="6"/>
      <c r="AB683" s="18"/>
      <c r="AC683" s="18"/>
      <c r="AD683" s="18"/>
      <c r="AE683" s="18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</row>
    <row r="684" spans="1:50">
      <c r="A684" s="16"/>
      <c r="B684" s="30"/>
      <c r="C684" s="16"/>
      <c r="D684" s="16"/>
      <c r="E684" s="16"/>
      <c r="F684" s="22"/>
      <c r="G684" s="22"/>
      <c r="H684" s="22"/>
      <c r="I684" s="16"/>
      <c r="J684" s="16"/>
      <c r="K684" s="16"/>
      <c r="L684" s="18"/>
      <c r="M684" s="18"/>
      <c r="N684" s="18"/>
      <c r="O684" s="18"/>
      <c r="P684" s="18"/>
      <c r="S684" s="6"/>
      <c r="V684" s="18"/>
      <c r="W684" s="18"/>
      <c r="X684" s="18"/>
      <c r="Y684" s="6"/>
      <c r="Z684" s="6"/>
      <c r="AA684" s="6"/>
      <c r="AB684" s="18"/>
      <c r="AC684" s="18"/>
      <c r="AD684" s="18"/>
      <c r="AE684" s="18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</row>
    <row r="685" spans="1:50">
      <c r="A685" s="16"/>
      <c r="B685" s="30"/>
      <c r="C685" s="16"/>
      <c r="D685" s="16"/>
      <c r="E685" s="16"/>
      <c r="F685" s="22"/>
      <c r="G685" s="22"/>
      <c r="H685" s="22"/>
      <c r="I685" s="16"/>
      <c r="J685" s="16"/>
      <c r="K685" s="16"/>
      <c r="L685" s="18"/>
      <c r="M685" s="18"/>
      <c r="N685" s="18"/>
      <c r="O685" s="18"/>
      <c r="P685" s="18"/>
      <c r="S685" s="6"/>
      <c r="V685" s="18"/>
      <c r="W685" s="18"/>
      <c r="X685" s="18"/>
      <c r="Y685" s="6"/>
      <c r="Z685" s="6"/>
      <c r="AA685" s="6"/>
      <c r="AB685" s="18"/>
      <c r="AC685" s="18"/>
      <c r="AD685" s="18"/>
      <c r="AE685" s="18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</row>
    <row r="686" spans="1:50">
      <c r="A686" s="16"/>
      <c r="B686" s="30"/>
      <c r="C686" s="16"/>
      <c r="D686" s="16"/>
      <c r="E686" s="16"/>
      <c r="F686" s="22"/>
      <c r="G686" s="22"/>
      <c r="H686" s="22"/>
      <c r="I686" s="16"/>
      <c r="J686" s="16"/>
      <c r="K686" s="16"/>
      <c r="L686" s="18"/>
      <c r="M686" s="18"/>
      <c r="N686" s="18"/>
      <c r="O686" s="18"/>
      <c r="P686" s="18"/>
      <c r="S686" s="6"/>
      <c r="V686" s="18"/>
      <c r="W686" s="18"/>
      <c r="X686" s="18"/>
      <c r="Y686" s="6"/>
      <c r="Z686" s="6"/>
      <c r="AA686" s="6"/>
      <c r="AB686" s="18"/>
      <c r="AC686" s="18"/>
      <c r="AD686" s="18"/>
      <c r="AE686" s="18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</row>
    <row r="687" spans="1:50">
      <c r="A687" s="16"/>
      <c r="B687" s="30"/>
      <c r="C687" s="16"/>
      <c r="D687" s="16"/>
      <c r="E687" s="16"/>
      <c r="F687" s="22"/>
      <c r="G687" s="22"/>
      <c r="H687" s="22"/>
      <c r="I687" s="16"/>
      <c r="J687" s="16"/>
      <c r="K687" s="16"/>
      <c r="L687" s="18"/>
      <c r="M687" s="18"/>
      <c r="N687" s="18"/>
      <c r="O687" s="18"/>
      <c r="P687" s="18"/>
      <c r="S687" s="6"/>
      <c r="V687" s="18"/>
      <c r="W687" s="18"/>
      <c r="X687" s="18"/>
      <c r="Y687" s="6"/>
      <c r="Z687" s="6"/>
      <c r="AA687" s="6"/>
      <c r="AB687" s="18"/>
      <c r="AC687" s="18"/>
      <c r="AD687" s="18"/>
      <c r="AE687" s="18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</row>
    <row r="688" spans="1:50">
      <c r="A688" s="16"/>
      <c r="B688" s="30"/>
      <c r="C688" s="16"/>
      <c r="D688" s="16"/>
      <c r="E688" s="16"/>
      <c r="F688" s="22"/>
      <c r="G688" s="22"/>
      <c r="H688" s="22"/>
      <c r="I688" s="16"/>
      <c r="J688" s="16"/>
      <c r="K688" s="16"/>
      <c r="L688" s="18"/>
      <c r="M688" s="18"/>
      <c r="N688" s="18"/>
      <c r="O688" s="18"/>
      <c r="P688" s="18"/>
      <c r="S688" s="6"/>
      <c r="V688" s="18"/>
      <c r="W688" s="18"/>
      <c r="X688" s="18"/>
      <c r="Y688" s="6"/>
      <c r="Z688" s="6"/>
      <c r="AA688" s="6"/>
      <c r="AB688" s="18"/>
      <c r="AC688" s="18"/>
      <c r="AD688" s="18"/>
      <c r="AE688" s="18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</row>
    <row r="689" spans="1:50">
      <c r="A689" s="16"/>
      <c r="B689" s="30"/>
      <c r="C689" s="16"/>
      <c r="D689" s="16"/>
      <c r="E689" s="16"/>
      <c r="F689" s="22"/>
      <c r="G689" s="22"/>
      <c r="H689" s="22"/>
      <c r="I689" s="16"/>
      <c r="J689" s="16"/>
      <c r="K689" s="16"/>
      <c r="L689" s="18"/>
      <c r="M689" s="18"/>
      <c r="N689" s="18"/>
      <c r="O689" s="18"/>
      <c r="P689" s="18"/>
      <c r="S689" s="6"/>
      <c r="V689" s="18"/>
      <c r="W689" s="18"/>
      <c r="X689" s="18"/>
      <c r="Y689" s="6"/>
      <c r="Z689" s="6"/>
      <c r="AA689" s="6"/>
      <c r="AB689" s="18"/>
      <c r="AC689" s="18"/>
      <c r="AD689" s="18"/>
      <c r="AE689" s="18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</row>
    <row r="690" spans="1:50">
      <c r="A690" s="16"/>
      <c r="B690" s="30"/>
      <c r="C690" s="16"/>
      <c r="D690" s="16"/>
      <c r="E690" s="16"/>
      <c r="F690" s="22"/>
      <c r="G690" s="22"/>
      <c r="H690" s="22"/>
      <c r="I690" s="16"/>
      <c r="J690" s="16"/>
      <c r="K690" s="16"/>
      <c r="L690" s="18"/>
      <c r="M690" s="18"/>
      <c r="N690" s="18"/>
      <c r="O690" s="18"/>
      <c r="P690" s="18"/>
      <c r="S690" s="6"/>
      <c r="V690" s="18"/>
      <c r="W690" s="18"/>
      <c r="X690" s="18"/>
      <c r="Y690" s="6"/>
      <c r="Z690" s="6"/>
      <c r="AA690" s="6"/>
      <c r="AB690" s="18"/>
      <c r="AC690" s="18"/>
      <c r="AD690" s="18"/>
      <c r="AE690" s="18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</row>
    <row r="691" spans="1:50">
      <c r="A691" s="16"/>
      <c r="B691" s="30"/>
      <c r="C691" s="16"/>
      <c r="D691" s="16"/>
      <c r="E691" s="16"/>
      <c r="F691" s="22"/>
      <c r="G691" s="22"/>
      <c r="H691" s="22"/>
      <c r="I691" s="16"/>
      <c r="J691" s="16"/>
      <c r="K691" s="16"/>
      <c r="L691" s="18"/>
      <c r="M691" s="18"/>
      <c r="N691" s="18"/>
      <c r="O691" s="18"/>
      <c r="P691" s="18"/>
      <c r="S691" s="6"/>
      <c r="V691" s="18"/>
      <c r="W691" s="18"/>
      <c r="X691" s="18"/>
      <c r="Y691" s="6"/>
      <c r="Z691" s="6"/>
      <c r="AA691" s="6"/>
      <c r="AB691" s="18"/>
      <c r="AC691" s="18"/>
      <c r="AD691" s="18"/>
      <c r="AE691" s="18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</row>
    <row r="692" spans="1:50">
      <c r="A692" s="16"/>
      <c r="B692" s="30"/>
      <c r="C692" s="16"/>
      <c r="D692" s="16"/>
      <c r="E692" s="16"/>
      <c r="F692" s="22"/>
      <c r="G692" s="22"/>
      <c r="H692" s="22"/>
      <c r="I692" s="16"/>
      <c r="J692" s="16"/>
      <c r="K692" s="16"/>
      <c r="L692" s="18"/>
      <c r="M692" s="18"/>
      <c r="N692" s="18"/>
      <c r="O692" s="18"/>
      <c r="P692" s="18"/>
      <c r="S692" s="6"/>
      <c r="V692" s="18"/>
      <c r="W692" s="18"/>
      <c r="X692" s="18"/>
      <c r="Y692" s="6"/>
      <c r="Z692" s="6"/>
      <c r="AA692" s="6"/>
      <c r="AB692" s="18"/>
      <c r="AC692" s="18"/>
      <c r="AD692" s="18"/>
      <c r="AE692" s="18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</row>
    <row r="693" spans="1:50">
      <c r="A693" s="16"/>
      <c r="B693" s="30"/>
      <c r="C693" s="16"/>
      <c r="D693" s="16"/>
      <c r="E693" s="16"/>
      <c r="F693" s="22"/>
      <c r="G693" s="22"/>
      <c r="H693" s="22"/>
      <c r="I693" s="16"/>
      <c r="J693" s="16"/>
      <c r="K693" s="16"/>
      <c r="L693" s="18"/>
      <c r="M693" s="18"/>
      <c r="N693" s="18"/>
      <c r="O693" s="18"/>
      <c r="P693" s="18"/>
      <c r="S693" s="6"/>
      <c r="V693" s="18"/>
      <c r="W693" s="18"/>
      <c r="X693" s="18"/>
      <c r="Y693" s="6"/>
      <c r="Z693" s="6"/>
      <c r="AA693" s="6"/>
      <c r="AB693" s="18"/>
      <c r="AC693" s="18"/>
      <c r="AD693" s="18"/>
      <c r="AE693" s="18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</row>
    <row r="694" spans="1:50">
      <c r="A694" s="16"/>
      <c r="B694" s="30"/>
      <c r="C694" s="16"/>
      <c r="D694" s="16"/>
      <c r="E694" s="16"/>
      <c r="F694" s="22"/>
      <c r="G694" s="22"/>
      <c r="H694" s="22"/>
      <c r="I694" s="16"/>
      <c r="J694" s="16"/>
      <c r="K694" s="16"/>
      <c r="L694" s="18"/>
      <c r="M694" s="18"/>
      <c r="N694" s="18"/>
      <c r="O694" s="18"/>
      <c r="P694" s="18"/>
      <c r="S694" s="6"/>
      <c r="V694" s="18"/>
      <c r="W694" s="18"/>
      <c r="X694" s="18"/>
      <c r="Y694" s="6"/>
      <c r="Z694" s="6"/>
      <c r="AA694" s="6"/>
      <c r="AB694" s="18"/>
      <c r="AC694" s="18"/>
      <c r="AD694" s="18"/>
      <c r="AE694" s="18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</row>
    <row r="695" spans="1:50">
      <c r="A695" s="16"/>
      <c r="B695" s="30"/>
      <c r="C695" s="16"/>
      <c r="D695" s="16"/>
      <c r="E695" s="16"/>
      <c r="F695" s="22"/>
      <c r="G695" s="22"/>
      <c r="H695" s="22"/>
      <c r="I695" s="16"/>
      <c r="J695" s="16"/>
      <c r="K695" s="16"/>
      <c r="L695" s="18"/>
      <c r="M695" s="18"/>
      <c r="N695" s="18"/>
      <c r="O695" s="18"/>
      <c r="P695" s="18"/>
      <c r="S695" s="6"/>
      <c r="V695" s="18"/>
      <c r="W695" s="18"/>
      <c r="X695" s="18"/>
      <c r="Y695" s="6"/>
      <c r="Z695" s="6"/>
      <c r="AA695" s="6"/>
      <c r="AB695" s="18"/>
      <c r="AC695" s="18"/>
      <c r="AD695" s="18"/>
      <c r="AE695" s="18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</row>
    <row r="696" spans="1:50">
      <c r="A696" s="16"/>
      <c r="B696" s="30"/>
      <c r="C696" s="16"/>
      <c r="D696" s="16"/>
      <c r="E696" s="16"/>
      <c r="F696" s="22"/>
      <c r="G696" s="22"/>
      <c r="H696" s="22"/>
      <c r="I696" s="16"/>
      <c r="J696" s="16"/>
      <c r="K696" s="16"/>
      <c r="L696" s="18"/>
      <c r="M696" s="18"/>
      <c r="N696" s="18"/>
      <c r="O696" s="18"/>
      <c r="P696" s="18"/>
      <c r="S696" s="6"/>
      <c r="V696" s="18"/>
      <c r="W696" s="18"/>
      <c r="X696" s="18"/>
      <c r="Y696" s="6"/>
      <c r="Z696" s="6"/>
      <c r="AA696" s="6"/>
      <c r="AB696" s="18"/>
      <c r="AC696" s="18"/>
      <c r="AD696" s="18"/>
      <c r="AE696" s="18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</row>
    <row r="697" spans="1:50">
      <c r="A697" s="16"/>
      <c r="B697" s="30"/>
      <c r="C697" s="16"/>
      <c r="D697" s="16"/>
      <c r="E697" s="16"/>
      <c r="F697" s="22"/>
      <c r="G697" s="22"/>
      <c r="H697" s="22"/>
      <c r="I697" s="16"/>
      <c r="J697" s="16"/>
      <c r="K697" s="16"/>
      <c r="L697" s="18"/>
      <c r="M697" s="18"/>
      <c r="N697" s="18"/>
      <c r="O697" s="18"/>
      <c r="P697" s="18"/>
      <c r="S697" s="6"/>
      <c r="V697" s="18"/>
      <c r="W697" s="18"/>
      <c r="X697" s="18"/>
      <c r="Y697" s="6"/>
      <c r="Z697" s="6"/>
      <c r="AA697" s="6"/>
      <c r="AB697" s="18"/>
      <c r="AC697" s="18"/>
      <c r="AD697" s="18"/>
      <c r="AE697" s="18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</row>
    <row r="698" spans="1:50">
      <c r="A698" s="16"/>
      <c r="B698" s="30"/>
      <c r="C698" s="16"/>
      <c r="D698" s="16"/>
      <c r="E698" s="16"/>
      <c r="F698" s="22"/>
      <c r="G698" s="22"/>
      <c r="H698" s="22"/>
      <c r="I698" s="16"/>
      <c r="J698" s="16"/>
      <c r="K698" s="16"/>
      <c r="L698" s="18"/>
      <c r="M698" s="18"/>
      <c r="N698" s="18"/>
      <c r="O698" s="18"/>
      <c r="P698" s="18"/>
      <c r="S698" s="6"/>
      <c r="V698" s="18"/>
      <c r="W698" s="18"/>
      <c r="X698" s="18"/>
      <c r="Y698" s="6"/>
      <c r="Z698" s="6"/>
      <c r="AA698" s="6"/>
      <c r="AB698" s="18"/>
      <c r="AC698" s="18"/>
      <c r="AD698" s="18"/>
      <c r="AE698" s="18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</row>
    <row r="699" spans="1:50">
      <c r="A699" s="16"/>
      <c r="B699" s="30"/>
      <c r="C699" s="16"/>
      <c r="D699" s="16"/>
      <c r="E699" s="16"/>
      <c r="F699" s="22"/>
      <c r="G699" s="22"/>
      <c r="H699" s="22"/>
      <c r="I699" s="16"/>
      <c r="J699" s="16"/>
      <c r="K699" s="16"/>
      <c r="L699" s="18"/>
      <c r="M699" s="18"/>
      <c r="N699" s="18"/>
      <c r="O699" s="18"/>
      <c r="P699" s="18"/>
      <c r="S699" s="6"/>
      <c r="V699" s="18"/>
      <c r="W699" s="18"/>
      <c r="X699" s="18"/>
      <c r="Y699" s="6"/>
      <c r="Z699" s="6"/>
      <c r="AA699" s="6"/>
      <c r="AB699" s="18"/>
      <c r="AC699" s="18"/>
      <c r="AD699" s="18"/>
      <c r="AE699" s="18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</row>
    <row r="700" spans="1:50">
      <c r="A700" s="16"/>
      <c r="B700" s="30"/>
      <c r="C700" s="16"/>
      <c r="D700" s="16"/>
      <c r="E700" s="16"/>
      <c r="F700" s="22"/>
      <c r="G700" s="22"/>
      <c r="H700" s="22"/>
      <c r="I700" s="16"/>
      <c r="J700" s="16"/>
      <c r="K700" s="16"/>
      <c r="L700" s="18"/>
      <c r="M700" s="18"/>
      <c r="N700" s="18"/>
      <c r="O700" s="18"/>
      <c r="P700" s="18"/>
      <c r="S700" s="6"/>
      <c r="V700" s="18"/>
      <c r="W700" s="18"/>
      <c r="X700" s="18"/>
      <c r="Y700" s="6"/>
      <c r="Z700" s="6"/>
      <c r="AA700" s="6"/>
      <c r="AB700" s="18"/>
      <c r="AC700" s="18"/>
      <c r="AD700" s="18"/>
      <c r="AE700" s="18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</row>
    <row r="701" spans="1:50">
      <c r="A701" s="16"/>
      <c r="B701" s="30"/>
      <c r="C701" s="16"/>
      <c r="D701" s="16"/>
      <c r="E701" s="16"/>
      <c r="F701" s="22"/>
      <c r="G701" s="22"/>
      <c r="H701" s="22"/>
      <c r="I701" s="16"/>
      <c r="J701" s="16"/>
      <c r="K701" s="16"/>
      <c r="L701" s="18"/>
      <c r="M701" s="18"/>
      <c r="N701" s="18"/>
      <c r="O701" s="18"/>
      <c r="P701" s="18"/>
      <c r="S701" s="6"/>
      <c r="V701" s="18"/>
      <c r="W701" s="18"/>
      <c r="X701" s="18"/>
      <c r="Y701" s="6"/>
      <c r="Z701" s="6"/>
      <c r="AA701" s="6"/>
      <c r="AB701" s="18"/>
      <c r="AC701" s="18"/>
      <c r="AD701" s="18"/>
      <c r="AE701" s="18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</row>
    <row r="702" spans="1:50">
      <c r="A702" s="16"/>
      <c r="B702" s="30"/>
      <c r="C702" s="16"/>
      <c r="D702" s="16"/>
      <c r="E702" s="16"/>
      <c r="F702" s="22"/>
      <c r="G702" s="22"/>
      <c r="H702" s="22"/>
      <c r="I702" s="16"/>
      <c r="J702" s="16"/>
      <c r="K702" s="16"/>
      <c r="L702" s="18"/>
      <c r="M702" s="18"/>
      <c r="N702" s="18"/>
      <c r="O702" s="18"/>
      <c r="P702" s="18"/>
      <c r="S702" s="6"/>
      <c r="V702" s="18"/>
      <c r="W702" s="18"/>
      <c r="X702" s="18"/>
      <c r="Y702" s="6"/>
      <c r="Z702" s="6"/>
      <c r="AA702" s="6"/>
      <c r="AB702" s="18"/>
      <c r="AC702" s="18"/>
      <c r="AD702" s="18"/>
      <c r="AE702" s="18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</row>
    <row r="703" spans="1:50">
      <c r="A703" s="16"/>
      <c r="B703" s="30"/>
      <c r="C703" s="16"/>
      <c r="D703" s="16"/>
      <c r="E703" s="16"/>
      <c r="F703" s="22"/>
      <c r="G703" s="22"/>
      <c r="H703" s="22"/>
      <c r="I703" s="16"/>
      <c r="J703" s="16"/>
      <c r="K703" s="16"/>
      <c r="L703" s="18"/>
      <c r="M703" s="18"/>
      <c r="N703" s="18"/>
      <c r="O703" s="18"/>
      <c r="P703" s="18"/>
      <c r="S703" s="6"/>
      <c r="V703" s="18"/>
      <c r="W703" s="18"/>
      <c r="X703" s="18"/>
      <c r="Y703" s="6"/>
      <c r="Z703" s="6"/>
      <c r="AA703" s="6"/>
      <c r="AB703" s="18"/>
      <c r="AC703" s="18"/>
      <c r="AD703" s="18"/>
      <c r="AE703" s="18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</row>
    <row r="704" spans="1:50">
      <c r="A704" s="16"/>
      <c r="B704" s="30"/>
      <c r="C704" s="16"/>
      <c r="D704" s="16"/>
      <c r="E704" s="16"/>
      <c r="F704" s="22"/>
      <c r="G704" s="22"/>
      <c r="H704" s="22"/>
      <c r="I704" s="16"/>
      <c r="J704" s="16"/>
      <c r="K704" s="16"/>
      <c r="L704" s="18"/>
      <c r="M704" s="18"/>
      <c r="N704" s="18"/>
      <c r="O704" s="18"/>
      <c r="P704" s="18"/>
      <c r="S704" s="6"/>
      <c r="V704" s="18"/>
      <c r="W704" s="18"/>
      <c r="X704" s="18"/>
      <c r="Y704" s="6"/>
      <c r="Z704" s="6"/>
      <c r="AA704" s="6"/>
      <c r="AB704" s="18"/>
      <c r="AC704" s="18"/>
      <c r="AD704" s="18"/>
      <c r="AE704" s="18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</row>
    <row r="705" spans="1:50">
      <c r="A705" s="16"/>
      <c r="B705" s="30"/>
      <c r="C705" s="16"/>
      <c r="D705" s="16"/>
      <c r="E705" s="16"/>
      <c r="F705" s="22"/>
      <c r="G705" s="22"/>
      <c r="H705" s="22"/>
      <c r="I705" s="16"/>
      <c r="J705" s="16"/>
      <c r="K705" s="16"/>
      <c r="L705" s="18"/>
      <c r="M705" s="18"/>
      <c r="N705" s="18"/>
      <c r="O705" s="18"/>
      <c r="P705" s="18"/>
      <c r="S705" s="6"/>
      <c r="V705" s="18"/>
      <c r="W705" s="18"/>
      <c r="X705" s="18"/>
      <c r="Y705" s="6"/>
      <c r="Z705" s="6"/>
      <c r="AA705" s="6"/>
      <c r="AB705" s="18"/>
      <c r="AC705" s="18"/>
      <c r="AD705" s="18"/>
      <c r="AE705" s="18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</row>
    <row r="706" spans="1:50">
      <c r="A706" s="16"/>
      <c r="B706" s="30"/>
      <c r="C706" s="16"/>
      <c r="D706" s="16"/>
      <c r="E706" s="16"/>
      <c r="F706" s="22"/>
      <c r="G706" s="22"/>
      <c r="H706" s="22"/>
      <c r="I706" s="16"/>
      <c r="J706" s="16"/>
      <c r="K706" s="16"/>
      <c r="L706" s="18"/>
      <c r="M706" s="18"/>
      <c r="N706" s="18"/>
      <c r="O706" s="18"/>
      <c r="P706" s="18"/>
      <c r="S706" s="6"/>
      <c r="V706" s="18"/>
      <c r="W706" s="18"/>
      <c r="X706" s="18"/>
      <c r="Y706" s="6"/>
      <c r="Z706" s="6"/>
      <c r="AA706" s="6"/>
      <c r="AB706" s="18"/>
      <c r="AC706" s="18"/>
      <c r="AD706" s="18"/>
      <c r="AE706" s="18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</row>
    <row r="707" spans="1:50">
      <c r="A707" s="16"/>
      <c r="B707" s="30"/>
      <c r="C707" s="16"/>
      <c r="D707" s="16"/>
      <c r="E707" s="16"/>
      <c r="F707" s="22"/>
      <c r="G707" s="22"/>
      <c r="H707" s="22"/>
      <c r="I707" s="16"/>
      <c r="J707" s="16"/>
      <c r="K707" s="16"/>
      <c r="L707" s="18"/>
      <c r="M707" s="18"/>
      <c r="N707" s="18"/>
      <c r="O707" s="18"/>
      <c r="P707" s="18"/>
      <c r="S707" s="6"/>
      <c r="V707" s="18"/>
      <c r="W707" s="18"/>
      <c r="X707" s="18"/>
      <c r="Y707" s="6"/>
      <c r="Z707" s="6"/>
      <c r="AA707" s="6"/>
      <c r="AB707" s="18"/>
      <c r="AC707" s="18"/>
      <c r="AD707" s="18"/>
      <c r="AE707" s="18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</row>
    <row r="708" spans="1:50">
      <c r="A708" s="16"/>
      <c r="B708" s="30"/>
      <c r="C708" s="16"/>
      <c r="D708" s="16"/>
      <c r="E708" s="16"/>
      <c r="F708" s="22"/>
      <c r="G708" s="22"/>
      <c r="H708" s="22"/>
      <c r="I708" s="16"/>
      <c r="J708" s="16"/>
      <c r="K708" s="16"/>
      <c r="L708" s="18"/>
      <c r="M708" s="18"/>
      <c r="N708" s="18"/>
      <c r="O708" s="18"/>
      <c r="P708" s="18"/>
      <c r="S708" s="6"/>
      <c r="V708" s="18"/>
      <c r="W708" s="18"/>
      <c r="X708" s="18"/>
      <c r="Y708" s="6"/>
      <c r="Z708" s="6"/>
      <c r="AA708" s="6"/>
      <c r="AB708" s="18"/>
      <c r="AC708" s="18"/>
      <c r="AD708" s="18"/>
      <c r="AE708" s="18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</row>
    <row r="709" spans="1:50">
      <c r="A709" s="16"/>
      <c r="B709" s="30"/>
      <c r="C709" s="16"/>
      <c r="D709" s="16"/>
      <c r="E709" s="16"/>
      <c r="F709" s="22"/>
      <c r="G709" s="22"/>
      <c r="H709" s="22"/>
      <c r="I709" s="16"/>
      <c r="J709" s="16"/>
      <c r="K709" s="16"/>
      <c r="L709" s="18"/>
      <c r="M709" s="18"/>
      <c r="N709" s="18"/>
      <c r="O709" s="18"/>
      <c r="P709" s="18"/>
      <c r="S709" s="6"/>
      <c r="V709" s="18"/>
      <c r="W709" s="18"/>
      <c r="X709" s="18"/>
      <c r="Y709" s="6"/>
      <c r="Z709" s="6"/>
      <c r="AA709" s="6"/>
      <c r="AB709" s="18"/>
      <c r="AC709" s="18"/>
      <c r="AD709" s="18"/>
      <c r="AE709" s="18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</row>
    <row r="710" spans="1:50">
      <c r="A710" s="16"/>
      <c r="B710" s="30"/>
      <c r="C710" s="16"/>
      <c r="D710" s="16"/>
      <c r="E710" s="16"/>
      <c r="F710" s="22"/>
      <c r="G710" s="22"/>
      <c r="H710" s="22"/>
      <c r="I710" s="16"/>
      <c r="J710" s="16"/>
      <c r="K710" s="16"/>
      <c r="L710" s="18"/>
      <c r="M710" s="18"/>
      <c r="N710" s="18"/>
      <c r="O710" s="18"/>
      <c r="P710" s="18"/>
      <c r="S710" s="6"/>
      <c r="V710" s="18"/>
      <c r="W710" s="18"/>
      <c r="X710" s="18"/>
      <c r="Y710" s="6"/>
      <c r="Z710" s="6"/>
      <c r="AA710" s="6"/>
      <c r="AB710" s="18"/>
      <c r="AC710" s="18"/>
      <c r="AD710" s="18"/>
      <c r="AE710" s="18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</row>
    <row r="711" spans="1:50">
      <c r="A711" s="16"/>
      <c r="B711" s="30"/>
      <c r="C711" s="16"/>
      <c r="D711" s="16"/>
      <c r="E711" s="16"/>
      <c r="F711" s="22"/>
      <c r="G711" s="22"/>
      <c r="H711" s="22"/>
      <c r="I711" s="16"/>
      <c r="J711" s="16"/>
      <c r="K711" s="16"/>
      <c r="L711" s="18"/>
      <c r="M711" s="18"/>
      <c r="N711" s="18"/>
      <c r="O711" s="18"/>
      <c r="P711" s="18"/>
      <c r="S711" s="6"/>
      <c r="V711" s="18"/>
      <c r="W711" s="18"/>
      <c r="X711" s="18"/>
      <c r="Y711" s="6"/>
      <c r="Z711" s="6"/>
      <c r="AA711" s="6"/>
      <c r="AB711" s="18"/>
      <c r="AC711" s="18"/>
      <c r="AD711" s="18"/>
      <c r="AE711" s="18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</row>
    <row r="712" spans="1:50">
      <c r="A712" s="16"/>
      <c r="B712" s="30"/>
      <c r="C712" s="16"/>
      <c r="D712" s="16"/>
      <c r="E712" s="16"/>
      <c r="F712" s="22"/>
      <c r="G712" s="22"/>
      <c r="H712" s="22"/>
      <c r="I712" s="16"/>
      <c r="J712" s="16"/>
      <c r="K712" s="16"/>
      <c r="L712" s="18"/>
      <c r="M712" s="18"/>
      <c r="N712" s="18"/>
      <c r="O712" s="18"/>
      <c r="P712" s="18"/>
      <c r="S712" s="6"/>
      <c r="V712" s="18"/>
      <c r="W712" s="18"/>
      <c r="X712" s="18"/>
      <c r="Y712" s="6"/>
      <c r="Z712" s="6"/>
      <c r="AA712" s="6"/>
      <c r="AB712" s="18"/>
      <c r="AC712" s="18"/>
      <c r="AD712" s="18"/>
      <c r="AE712" s="18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</row>
    <row r="713" spans="1:50">
      <c r="A713" s="16"/>
      <c r="B713" s="30"/>
      <c r="C713" s="16"/>
      <c r="D713" s="16"/>
      <c r="E713" s="16"/>
      <c r="F713" s="22"/>
      <c r="G713" s="22"/>
      <c r="H713" s="22"/>
      <c r="I713" s="16"/>
      <c r="J713" s="16"/>
      <c r="K713" s="16"/>
      <c r="L713" s="18"/>
      <c r="M713" s="18"/>
      <c r="N713" s="18"/>
      <c r="O713" s="18"/>
      <c r="P713" s="18"/>
      <c r="S713" s="6"/>
      <c r="V713" s="18"/>
      <c r="W713" s="18"/>
      <c r="X713" s="18"/>
      <c r="Y713" s="6"/>
      <c r="Z713" s="6"/>
      <c r="AA713" s="6"/>
      <c r="AB713" s="18"/>
      <c r="AC713" s="18"/>
      <c r="AD713" s="18"/>
      <c r="AE713" s="18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</row>
    <row r="714" spans="1:50">
      <c r="A714" s="16"/>
      <c r="B714" s="30"/>
      <c r="C714" s="16"/>
      <c r="D714" s="16"/>
      <c r="E714" s="16"/>
      <c r="F714" s="22"/>
      <c r="G714" s="22"/>
      <c r="H714" s="22"/>
      <c r="I714" s="16"/>
      <c r="J714" s="16"/>
      <c r="K714" s="16"/>
      <c r="L714" s="18"/>
      <c r="M714" s="18"/>
      <c r="N714" s="18"/>
      <c r="O714" s="18"/>
      <c r="P714" s="18"/>
      <c r="S714" s="6"/>
      <c r="V714" s="18"/>
      <c r="W714" s="18"/>
      <c r="X714" s="18"/>
      <c r="Y714" s="6"/>
      <c r="Z714" s="6"/>
      <c r="AA714" s="6"/>
      <c r="AB714" s="18"/>
      <c r="AC714" s="18"/>
      <c r="AD714" s="18"/>
      <c r="AE714" s="18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</row>
    <row r="715" spans="1:50">
      <c r="A715" s="16"/>
      <c r="B715" s="30"/>
      <c r="C715" s="16"/>
      <c r="D715" s="16"/>
      <c r="E715" s="16"/>
      <c r="F715" s="22"/>
      <c r="G715" s="22"/>
      <c r="H715" s="22"/>
      <c r="I715" s="16"/>
      <c r="J715" s="16"/>
      <c r="K715" s="16"/>
      <c r="L715" s="18"/>
      <c r="M715" s="18"/>
      <c r="N715" s="18"/>
      <c r="O715" s="18"/>
      <c r="P715" s="18"/>
      <c r="S715" s="6"/>
      <c r="V715" s="18"/>
      <c r="W715" s="18"/>
      <c r="X715" s="18"/>
      <c r="Y715" s="6"/>
      <c r="Z715" s="6"/>
      <c r="AA715" s="6"/>
      <c r="AB715" s="18"/>
      <c r="AC715" s="18"/>
      <c r="AD715" s="18"/>
      <c r="AE715" s="18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</row>
    <row r="716" spans="1:50">
      <c r="A716" s="16"/>
      <c r="B716" s="30"/>
      <c r="C716" s="16"/>
      <c r="D716" s="16"/>
      <c r="E716" s="16"/>
      <c r="F716" s="22"/>
      <c r="G716" s="22"/>
      <c r="H716" s="22"/>
      <c r="I716" s="16"/>
      <c r="J716" s="16"/>
      <c r="K716" s="16"/>
      <c r="L716" s="18"/>
      <c r="M716" s="18"/>
      <c r="N716" s="18"/>
      <c r="O716" s="18"/>
      <c r="P716" s="18"/>
      <c r="S716" s="6"/>
      <c r="V716" s="18"/>
      <c r="W716" s="18"/>
      <c r="X716" s="18"/>
      <c r="Y716" s="6"/>
      <c r="Z716" s="6"/>
      <c r="AA716" s="6"/>
      <c r="AB716" s="18"/>
      <c r="AC716" s="18"/>
      <c r="AD716" s="18"/>
      <c r="AE716" s="18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</row>
    <row r="717" spans="1:50">
      <c r="A717" s="16"/>
      <c r="B717" s="30"/>
      <c r="C717" s="16"/>
      <c r="D717" s="16"/>
      <c r="E717" s="16"/>
      <c r="F717" s="22"/>
      <c r="G717" s="22"/>
      <c r="H717" s="22"/>
      <c r="I717" s="16"/>
      <c r="J717" s="16"/>
      <c r="K717" s="16"/>
      <c r="L717" s="18"/>
      <c r="M717" s="18"/>
      <c r="N717" s="18"/>
      <c r="O717" s="18"/>
      <c r="P717" s="18"/>
      <c r="S717" s="6"/>
      <c r="V717" s="18"/>
      <c r="W717" s="18"/>
      <c r="X717" s="18"/>
      <c r="Y717" s="6"/>
      <c r="Z717" s="6"/>
      <c r="AA717" s="6"/>
      <c r="AB717" s="18"/>
      <c r="AC717" s="18"/>
      <c r="AD717" s="18"/>
      <c r="AE717" s="18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</row>
    <row r="718" spans="1:50">
      <c r="A718" s="16"/>
      <c r="B718" s="30"/>
      <c r="C718" s="16"/>
      <c r="D718" s="16"/>
      <c r="E718" s="16"/>
      <c r="F718" s="22"/>
      <c r="G718" s="22"/>
      <c r="H718" s="22"/>
      <c r="I718" s="16"/>
      <c r="J718" s="16"/>
      <c r="K718" s="16"/>
      <c r="L718" s="18"/>
      <c r="M718" s="18"/>
      <c r="N718" s="18"/>
      <c r="O718" s="18"/>
      <c r="P718" s="18"/>
      <c r="S718" s="6"/>
      <c r="V718" s="18"/>
      <c r="W718" s="18"/>
      <c r="X718" s="18"/>
      <c r="Y718" s="6"/>
      <c r="Z718" s="6"/>
      <c r="AA718" s="6"/>
      <c r="AB718" s="18"/>
      <c r="AC718" s="18"/>
      <c r="AD718" s="18"/>
      <c r="AE718" s="18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</row>
    <row r="719" spans="1:50">
      <c r="A719" s="16"/>
      <c r="B719" s="30"/>
      <c r="C719" s="16"/>
      <c r="D719" s="16"/>
      <c r="E719" s="16"/>
      <c r="F719" s="22"/>
      <c r="G719" s="22"/>
      <c r="H719" s="22"/>
      <c r="I719" s="16"/>
      <c r="J719" s="16"/>
      <c r="K719" s="16"/>
      <c r="L719" s="18"/>
      <c r="M719" s="18"/>
      <c r="N719" s="18"/>
      <c r="O719" s="18"/>
      <c r="P719" s="18"/>
      <c r="S719" s="6"/>
      <c r="V719" s="18"/>
      <c r="W719" s="18"/>
      <c r="X719" s="18"/>
      <c r="Y719" s="6"/>
      <c r="Z719" s="6"/>
      <c r="AA719" s="6"/>
      <c r="AB719" s="18"/>
      <c r="AC719" s="18"/>
      <c r="AD719" s="18"/>
      <c r="AE719" s="18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</row>
    <row r="720" spans="1:50">
      <c r="A720" s="16"/>
      <c r="B720" s="30"/>
      <c r="C720" s="16"/>
      <c r="D720" s="16"/>
      <c r="E720" s="16"/>
      <c r="F720" s="22"/>
      <c r="G720" s="22"/>
      <c r="H720" s="22"/>
      <c r="I720" s="16"/>
      <c r="J720" s="16"/>
      <c r="K720" s="16"/>
      <c r="L720" s="18"/>
      <c r="M720" s="18"/>
      <c r="N720" s="18"/>
      <c r="O720" s="18"/>
      <c r="P720" s="18"/>
      <c r="S720" s="6"/>
      <c r="V720" s="18"/>
      <c r="W720" s="18"/>
      <c r="X720" s="18"/>
      <c r="Y720" s="6"/>
      <c r="Z720" s="6"/>
      <c r="AA720" s="6"/>
      <c r="AB720" s="18"/>
      <c r="AC720" s="18"/>
      <c r="AD720" s="18"/>
      <c r="AE720" s="18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</row>
    <row r="721" spans="1:50">
      <c r="A721" s="16"/>
      <c r="B721" s="30"/>
      <c r="C721" s="16"/>
      <c r="D721" s="16"/>
      <c r="E721" s="16"/>
      <c r="F721" s="22"/>
      <c r="G721" s="22"/>
      <c r="H721" s="22"/>
      <c r="I721" s="16"/>
      <c r="J721" s="16"/>
      <c r="K721" s="16"/>
      <c r="L721" s="18"/>
      <c r="M721" s="18"/>
      <c r="N721" s="18"/>
      <c r="O721" s="18"/>
      <c r="P721" s="18"/>
      <c r="S721" s="6"/>
      <c r="V721" s="18"/>
      <c r="W721" s="18"/>
      <c r="X721" s="18"/>
      <c r="Y721" s="6"/>
      <c r="Z721" s="6"/>
      <c r="AA721" s="6"/>
      <c r="AB721" s="18"/>
      <c r="AC721" s="18"/>
      <c r="AD721" s="18"/>
      <c r="AE721" s="18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</row>
    <row r="722" spans="1:50">
      <c r="A722" s="16"/>
      <c r="B722" s="30"/>
      <c r="C722" s="16"/>
      <c r="D722" s="16"/>
      <c r="E722" s="16"/>
      <c r="F722" s="22"/>
      <c r="G722" s="22"/>
      <c r="H722" s="22"/>
      <c r="I722" s="16"/>
      <c r="J722" s="16"/>
      <c r="K722" s="16"/>
      <c r="L722" s="18"/>
      <c r="M722" s="18"/>
      <c r="N722" s="18"/>
      <c r="O722" s="18"/>
      <c r="P722" s="18"/>
      <c r="S722" s="6"/>
      <c r="V722" s="18"/>
      <c r="W722" s="18"/>
      <c r="X722" s="18"/>
      <c r="Y722" s="6"/>
      <c r="Z722" s="6"/>
      <c r="AA722" s="6"/>
      <c r="AB722" s="18"/>
      <c r="AC722" s="18"/>
      <c r="AD722" s="18"/>
      <c r="AE722" s="18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</row>
    <row r="723" spans="1:50">
      <c r="A723" s="16"/>
      <c r="B723" s="30"/>
      <c r="C723" s="16"/>
      <c r="D723" s="16"/>
      <c r="E723" s="16"/>
      <c r="F723" s="22"/>
      <c r="G723" s="22"/>
      <c r="H723" s="22"/>
      <c r="I723" s="16"/>
      <c r="J723" s="16"/>
      <c r="K723" s="16"/>
      <c r="L723" s="18"/>
      <c r="M723" s="18"/>
      <c r="N723" s="18"/>
      <c r="O723" s="18"/>
      <c r="P723" s="18"/>
      <c r="S723" s="6"/>
      <c r="V723" s="18"/>
      <c r="W723" s="18"/>
      <c r="X723" s="18"/>
      <c r="Y723" s="6"/>
      <c r="Z723" s="6"/>
      <c r="AA723" s="6"/>
      <c r="AB723" s="18"/>
      <c r="AC723" s="18"/>
      <c r="AD723" s="18"/>
      <c r="AE723" s="18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</row>
    <row r="724" spans="1:50">
      <c r="A724" s="16"/>
      <c r="B724" s="30"/>
      <c r="C724" s="16"/>
      <c r="D724" s="16"/>
      <c r="E724" s="16"/>
      <c r="F724" s="22"/>
      <c r="G724" s="22"/>
      <c r="H724" s="22"/>
      <c r="I724" s="16"/>
      <c r="J724" s="16"/>
      <c r="K724" s="16"/>
      <c r="L724" s="18"/>
      <c r="M724" s="18"/>
      <c r="N724" s="18"/>
      <c r="O724" s="18"/>
      <c r="P724" s="18"/>
      <c r="S724" s="6"/>
      <c r="V724" s="18"/>
      <c r="W724" s="18"/>
      <c r="X724" s="18"/>
      <c r="Y724" s="6"/>
      <c r="Z724" s="6"/>
      <c r="AA724" s="6"/>
      <c r="AB724" s="18"/>
      <c r="AC724" s="18"/>
      <c r="AD724" s="18"/>
      <c r="AE724" s="18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</row>
    <row r="725" spans="1:50">
      <c r="A725" s="16"/>
      <c r="B725" s="30"/>
      <c r="C725" s="16"/>
      <c r="D725" s="16"/>
      <c r="E725" s="16"/>
      <c r="F725" s="22"/>
      <c r="G725" s="22"/>
      <c r="H725" s="22"/>
      <c r="I725" s="16"/>
      <c r="J725" s="16"/>
      <c r="K725" s="16"/>
      <c r="L725" s="18"/>
      <c r="M725" s="18"/>
      <c r="N725" s="18"/>
      <c r="O725" s="18"/>
      <c r="P725" s="18"/>
      <c r="S725" s="6"/>
      <c r="V725" s="18"/>
      <c r="W725" s="18"/>
      <c r="X725" s="18"/>
      <c r="Y725" s="6"/>
      <c r="Z725" s="6"/>
      <c r="AA725" s="6"/>
      <c r="AB725" s="18"/>
      <c r="AC725" s="18"/>
      <c r="AD725" s="18"/>
      <c r="AE725" s="18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</row>
    <row r="726" spans="1:50">
      <c r="A726" s="16"/>
      <c r="B726" s="30"/>
      <c r="C726" s="16"/>
      <c r="D726" s="16"/>
      <c r="E726" s="16"/>
      <c r="F726" s="22"/>
      <c r="G726" s="22"/>
      <c r="H726" s="22"/>
      <c r="I726" s="16"/>
      <c r="J726" s="16"/>
      <c r="K726" s="16"/>
      <c r="L726" s="18"/>
      <c r="M726" s="18"/>
      <c r="N726" s="18"/>
      <c r="O726" s="18"/>
      <c r="P726" s="18"/>
      <c r="S726" s="6"/>
      <c r="V726" s="18"/>
      <c r="W726" s="18"/>
      <c r="X726" s="18"/>
      <c r="Y726" s="6"/>
      <c r="Z726" s="6"/>
      <c r="AA726" s="6"/>
      <c r="AB726" s="18"/>
      <c r="AC726" s="18"/>
      <c r="AD726" s="18"/>
      <c r="AE726" s="18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</row>
    <row r="727" spans="1:50">
      <c r="A727" s="16"/>
      <c r="B727" s="30"/>
      <c r="C727" s="16"/>
      <c r="D727" s="16"/>
      <c r="E727" s="16"/>
      <c r="F727" s="22"/>
      <c r="G727" s="22"/>
      <c r="H727" s="22"/>
      <c r="I727" s="16"/>
      <c r="J727" s="16"/>
      <c r="K727" s="16"/>
      <c r="L727" s="18"/>
      <c r="M727" s="18"/>
      <c r="N727" s="18"/>
      <c r="O727" s="18"/>
      <c r="P727" s="18"/>
      <c r="S727" s="6"/>
      <c r="V727" s="18"/>
      <c r="W727" s="18"/>
      <c r="X727" s="18"/>
      <c r="Y727" s="6"/>
      <c r="Z727" s="6"/>
      <c r="AA727" s="6"/>
      <c r="AB727" s="18"/>
      <c r="AC727" s="18"/>
      <c r="AD727" s="18"/>
      <c r="AE727" s="18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</row>
    <row r="728" spans="1:50">
      <c r="A728" s="16"/>
      <c r="B728" s="30"/>
      <c r="C728" s="16"/>
      <c r="D728" s="16"/>
      <c r="E728" s="16"/>
      <c r="F728" s="22"/>
      <c r="G728" s="22"/>
      <c r="H728" s="22"/>
      <c r="I728" s="16"/>
      <c r="J728" s="16"/>
      <c r="K728" s="16"/>
      <c r="L728" s="18"/>
      <c r="M728" s="18"/>
      <c r="N728" s="18"/>
      <c r="O728" s="18"/>
      <c r="P728" s="18"/>
      <c r="S728" s="6"/>
      <c r="V728" s="18"/>
      <c r="W728" s="18"/>
      <c r="X728" s="18"/>
      <c r="Y728" s="6"/>
      <c r="Z728" s="6"/>
      <c r="AA728" s="6"/>
      <c r="AB728" s="18"/>
      <c r="AC728" s="18"/>
      <c r="AD728" s="18"/>
      <c r="AE728" s="18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</row>
    <row r="729" spans="1:50">
      <c r="A729" s="16"/>
      <c r="B729" s="30"/>
      <c r="C729" s="16"/>
      <c r="D729" s="16"/>
      <c r="E729" s="16"/>
      <c r="F729" s="22"/>
      <c r="G729" s="22"/>
      <c r="H729" s="22"/>
      <c r="I729" s="16"/>
      <c r="J729" s="16"/>
      <c r="K729" s="16"/>
      <c r="L729" s="18"/>
      <c r="M729" s="18"/>
      <c r="N729" s="18"/>
      <c r="O729" s="18"/>
      <c r="P729" s="18"/>
      <c r="S729" s="6"/>
      <c r="V729" s="18"/>
      <c r="W729" s="18"/>
      <c r="X729" s="18"/>
      <c r="Y729" s="6"/>
      <c r="Z729" s="6"/>
      <c r="AA729" s="6"/>
      <c r="AB729" s="18"/>
      <c r="AC729" s="18"/>
      <c r="AD729" s="18"/>
      <c r="AE729" s="18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</row>
    <row r="730" spans="1:50">
      <c r="A730" s="16"/>
      <c r="B730" s="30"/>
      <c r="C730" s="16"/>
      <c r="D730" s="16"/>
      <c r="E730" s="16"/>
      <c r="F730" s="22"/>
      <c r="G730" s="22"/>
      <c r="H730" s="22"/>
      <c r="I730" s="16"/>
      <c r="J730" s="16"/>
      <c r="K730" s="16"/>
      <c r="L730" s="18"/>
      <c r="M730" s="18"/>
      <c r="N730" s="18"/>
      <c r="O730" s="18"/>
      <c r="P730" s="18"/>
      <c r="S730" s="6"/>
      <c r="V730" s="18"/>
      <c r="W730" s="18"/>
      <c r="X730" s="18"/>
      <c r="Y730" s="6"/>
      <c r="Z730" s="6"/>
      <c r="AA730" s="6"/>
      <c r="AB730" s="18"/>
      <c r="AC730" s="18"/>
      <c r="AD730" s="18"/>
      <c r="AE730" s="18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</row>
    <row r="731" spans="1:50">
      <c r="A731" s="16"/>
      <c r="B731" s="30"/>
      <c r="C731" s="16"/>
      <c r="D731" s="16"/>
      <c r="E731" s="16"/>
      <c r="F731" s="22"/>
      <c r="G731" s="22"/>
      <c r="H731" s="22"/>
      <c r="I731" s="16"/>
      <c r="J731" s="16"/>
      <c r="K731" s="16"/>
      <c r="L731" s="18"/>
      <c r="M731" s="18"/>
      <c r="N731" s="18"/>
      <c r="O731" s="18"/>
      <c r="P731" s="18"/>
      <c r="S731" s="6"/>
      <c r="V731" s="18"/>
      <c r="W731" s="18"/>
      <c r="X731" s="18"/>
      <c r="Y731" s="6"/>
      <c r="Z731" s="6"/>
      <c r="AA731" s="6"/>
      <c r="AB731" s="18"/>
      <c r="AC731" s="18"/>
      <c r="AD731" s="18"/>
      <c r="AE731" s="18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</row>
    <row r="732" spans="1:50">
      <c r="A732" s="16"/>
      <c r="B732" s="30"/>
      <c r="C732" s="16"/>
      <c r="D732" s="16"/>
      <c r="E732" s="16"/>
      <c r="F732" s="22"/>
      <c r="G732" s="22"/>
      <c r="H732" s="22"/>
      <c r="I732" s="16"/>
      <c r="J732" s="16"/>
      <c r="K732" s="16"/>
      <c r="L732" s="18"/>
      <c r="M732" s="18"/>
      <c r="N732" s="18"/>
      <c r="O732" s="18"/>
      <c r="P732" s="18"/>
      <c r="S732" s="6"/>
      <c r="V732" s="18"/>
      <c r="W732" s="18"/>
      <c r="X732" s="18"/>
      <c r="Y732" s="6"/>
      <c r="Z732" s="6"/>
      <c r="AA732" s="6"/>
      <c r="AB732" s="18"/>
      <c r="AC732" s="18"/>
      <c r="AD732" s="18"/>
      <c r="AE732" s="18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</row>
    <row r="733" spans="1:50">
      <c r="A733" s="16"/>
      <c r="B733" s="30"/>
      <c r="C733" s="16"/>
      <c r="D733" s="16"/>
      <c r="E733" s="16"/>
      <c r="F733" s="22"/>
      <c r="G733" s="22"/>
      <c r="H733" s="22"/>
      <c r="I733" s="16"/>
      <c r="J733" s="16"/>
      <c r="K733" s="16"/>
      <c r="L733" s="18"/>
      <c r="M733" s="18"/>
      <c r="N733" s="18"/>
      <c r="O733" s="18"/>
      <c r="P733" s="18"/>
      <c r="S733" s="6"/>
      <c r="V733" s="18"/>
      <c r="W733" s="18"/>
      <c r="X733" s="18"/>
      <c r="Y733" s="6"/>
      <c r="Z733" s="6"/>
      <c r="AA733" s="6"/>
      <c r="AB733" s="18"/>
      <c r="AC733" s="18"/>
      <c r="AD733" s="18"/>
      <c r="AE733" s="18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</row>
    <row r="734" spans="1:50">
      <c r="A734" s="16"/>
      <c r="B734" s="30"/>
      <c r="C734" s="16"/>
      <c r="D734" s="16"/>
      <c r="E734" s="16"/>
      <c r="F734" s="22"/>
      <c r="G734" s="22"/>
      <c r="H734" s="22"/>
      <c r="I734" s="16"/>
      <c r="J734" s="16"/>
      <c r="K734" s="16"/>
      <c r="L734" s="18"/>
      <c r="M734" s="18"/>
      <c r="N734" s="18"/>
      <c r="O734" s="18"/>
      <c r="P734" s="18"/>
      <c r="S734" s="6"/>
      <c r="V734" s="18"/>
      <c r="W734" s="18"/>
      <c r="X734" s="18"/>
      <c r="Y734" s="6"/>
      <c r="Z734" s="6"/>
      <c r="AA734" s="6"/>
      <c r="AB734" s="18"/>
      <c r="AC734" s="18"/>
      <c r="AD734" s="18"/>
      <c r="AE734" s="18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</row>
    <row r="735" spans="1:50">
      <c r="A735" s="16"/>
      <c r="B735" s="30"/>
      <c r="C735" s="16"/>
      <c r="D735" s="16"/>
      <c r="E735" s="16"/>
      <c r="F735" s="22"/>
      <c r="G735" s="22"/>
      <c r="H735" s="22"/>
      <c r="I735" s="16"/>
      <c r="J735" s="16"/>
      <c r="K735" s="16"/>
      <c r="L735" s="18"/>
      <c r="M735" s="18"/>
      <c r="N735" s="18"/>
      <c r="O735" s="18"/>
      <c r="P735" s="18"/>
      <c r="S735" s="6"/>
      <c r="V735" s="18"/>
      <c r="W735" s="18"/>
      <c r="X735" s="18"/>
      <c r="Y735" s="6"/>
      <c r="Z735" s="6"/>
      <c r="AA735" s="6"/>
      <c r="AB735" s="18"/>
      <c r="AC735" s="18"/>
      <c r="AD735" s="18"/>
      <c r="AE735" s="18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</row>
    <row r="736" spans="1:50">
      <c r="A736" s="16"/>
      <c r="B736" s="30"/>
      <c r="C736" s="16"/>
      <c r="D736" s="16"/>
      <c r="E736" s="16"/>
      <c r="F736" s="22"/>
      <c r="G736" s="22"/>
      <c r="H736" s="22"/>
      <c r="I736" s="16"/>
      <c r="J736" s="16"/>
      <c r="K736" s="16"/>
      <c r="L736" s="18"/>
      <c r="M736" s="18"/>
      <c r="N736" s="18"/>
      <c r="O736" s="18"/>
      <c r="P736" s="18"/>
      <c r="S736" s="6"/>
      <c r="V736" s="18"/>
      <c r="W736" s="18"/>
      <c r="X736" s="18"/>
      <c r="Y736" s="6"/>
      <c r="Z736" s="6"/>
      <c r="AA736" s="6"/>
      <c r="AB736" s="18"/>
      <c r="AC736" s="18"/>
      <c r="AD736" s="18"/>
      <c r="AE736" s="18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</row>
    <row r="737" spans="1:50">
      <c r="A737" s="16"/>
      <c r="B737" s="30"/>
      <c r="C737" s="16"/>
      <c r="D737" s="16"/>
      <c r="E737" s="16"/>
      <c r="F737" s="22"/>
      <c r="G737" s="22"/>
      <c r="H737" s="22"/>
      <c r="I737" s="16"/>
      <c r="J737" s="16"/>
      <c r="K737" s="16"/>
      <c r="L737" s="18"/>
      <c r="M737" s="18"/>
      <c r="N737" s="18"/>
      <c r="O737" s="18"/>
      <c r="P737" s="18"/>
      <c r="S737" s="6"/>
      <c r="V737" s="18"/>
      <c r="W737" s="18"/>
      <c r="X737" s="18"/>
      <c r="Y737" s="6"/>
      <c r="Z737" s="6"/>
      <c r="AA737" s="6"/>
      <c r="AB737" s="18"/>
      <c r="AC737" s="18"/>
      <c r="AD737" s="18"/>
      <c r="AE737" s="18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</row>
    <row r="738" spans="1:50">
      <c r="A738" s="16"/>
      <c r="B738" s="30"/>
      <c r="C738" s="16"/>
      <c r="D738" s="16"/>
      <c r="E738" s="16"/>
      <c r="F738" s="22"/>
      <c r="G738" s="22"/>
      <c r="H738" s="22"/>
      <c r="I738" s="16"/>
      <c r="J738" s="16"/>
      <c r="K738" s="16"/>
      <c r="L738" s="18"/>
      <c r="M738" s="18"/>
      <c r="N738" s="18"/>
      <c r="O738" s="18"/>
      <c r="P738" s="18"/>
      <c r="S738" s="6"/>
      <c r="V738" s="18"/>
      <c r="W738" s="18"/>
      <c r="X738" s="18"/>
      <c r="Y738" s="6"/>
      <c r="Z738" s="6"/>
      <c r="AA738" s="6"/>
      <c r="AB738" s="18"/>
      <c r="AC738" s="18"/>
      <c r="AD738" s="18"/>
      <c r="AE738" s="18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</row>
    <row r="739" spans="1:50">
      <c r="A739" s="16"/>
      <c r="B739" s="30"/>
      <c r="C739" s="16"/>
      <c r="D739" s="16"/>
      <c r="E739" s="16"/>
      <c r="F739" s="22"/>
      <c r="G739" s="22"/>
      <c r="H739" s="22"/>
      <c r="I739" s="16"/>
      <c r="J739" s="16"/>
      <c r="K739" s="16"/>
      <c r="L739" s="18"/>
      <c r="M739" s="18"/>
      <c r="N739" s="18"/>
      <c r="O739" s="18"/>
      <c r="P739" s="18"/>
      <c r="S739" s="6"/>
      <c r="V739" s="18"/>
      <c r="W739" s="18"/>
      <c r="X739" s="18"/>
      <c r="Y739" s="6"/>
      <c r="Z739" s="6"/>
      <c r="AA739" s="6"/>
      <c r="AB739" s="18"/>
      <c r="AC739" s="18"/>
      <c r="AD739" s="18"/>
      <c r="AE739" s="18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</row>
    <row r="740" spans="1:50">
      <c r="A740" s="16"/>
      <c r="B740" s="30"/>
      <c r="C740" s="16"/>
      <c r="D740" s="16"/>
      <c r="E740" s="16"/>
      <c r="F740" s="22"/>
      <c r="G740" s="22"/>
      <c r="H740" s="22"/>
      <c r="I740" s="16"/>
      <c r="J740" s="16"/>
      <c r="K740" s="16"/>
      <c r="L740" s="18"/>
      <c r="M740" s="18"/>
      <c r="N740" s="18"/>
      <c r="O740" s="18"/>
      <c r="P740" s="18"/>
      <c r="S740" s="6"/>
      <c r="V740" s="18"/>
      <c r="W740" s="18"/>
      <c r="X740" s="18"/>
      <c r="Y740" s="6"/>
      <c r="Z740" s="6"/>
      <c r="AA740" s="6"/>
      <c r="AB740" s="18"/>
      <c r="AC740" s="18"/>
      <c r="AD740" s="18"/>
      <c r="AE740" s="18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</row>
    <row r="741" spans="1:50">
      <c r="A741" s="16"/>
      <c r="B741" s="30"/>
      <c r="C741" s="16"/>
      <c r="D741" s="16"/>
      <c r="E741" s="16"/>
      <c r="F741" s="22"/>
      <c r="G741" s="22"/>
      <c r="H741" s="22"/>
      <c r="I741" s="16"/>
      <c r="J741" s="16"/>
      <c r="K741" s="16"/>
      <c r="L741" s="18"/>
      <c r="M741" s="18"/>
      <c r="N741" s="18"/>
      <c r="O741" s="18"/>
      <c r="P741" s="18"/>
      <c r="S741" s="6"/>
      <c r="V741" s="18"/>
      <c r="W741" s="18"/>
      <c r="X741" s="18"/>
      <c r="Y741" s="6"/>
      <c r="Z741" s="6"/>
      <c r="AA741" s="6"/>
      <c r="AB741" s="18"/>
      <c r="AC741" s="18"/>
      <c r="AD741" s="18"/>
      <c r="AE741" s="18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</row>
    <row r="742" spans="1:50">
      <c r="A742" s="16"/>
      <c r="B742" s="30"/>
      <c r="C742" s="16"/>
      <c r="D742" s="16"/>
      <c r="E742" s="16"/>
      <c r="F742" s="22"/>
      <c r="G742" s="22"/>
      <c r="H742" s="22"/>
      <c r="I742" s="16"/>
      <c r="J742" s="16"/>
      <c r="K742" s="16"/>
      <c r="L742" s="18"/>
      <c r="M742" s="18"/>
      <c r="N742" s="18"/>
      <c r="O742" s="18"/>
      <c r="P742" s="18"/>
      <c r="S742" s="6"/>
      <c r="V742" s="18"/>
      <c r="W742" s="18"/>
      <c r="X742" s="18"/>
      <c r="Y742" s="6"/>
      <c r="Z742" s="6"/>
      <c r="AA742" s="6"/>
      <c r="AB742" s="18"/>
      <c r="AC742" s="18"/>
      <c r="AD742" s="18"/>
      <c r="AE742" s="18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</row>
    <row r="743" spans="1:50">
      <c r="A743" s="16"/>
      <c r="B743" s="30"/>
      <c r="C743" s="16"/>
      <c r="D743" s="16"/>
      <c r="E743" s="16"/>
      <c r="F743" s="22"/>
      <c r="G743" s="22"/>
      <c r="H743" s="22"/>
      <c r="I743" s="16"/>
      <c r="J743" s="16"/>
      <c r="K743" s="16"/>
      <c r="L743" s="18"/>
      <c r="M743" s="18"/>
      <c r="N743" s="18"/>
      <c r="O743" s="18"/>
      <c r="P743" s="18"/>
      <c r="S743" s="6"/>
      <c r="V743" s="18"/>
      <c r="W743" s="18"/>
      <c r="X743" s="18"/>
      <c r="Y743" s="6"/>
      <c r="Z743" s="6"/>
      <c r="AA743" s="6"/>
      <c r="AB743" s="18"/>
      <c r="AC743" s="18"/>
      <c r="AD743" s="18"/>
      <c r="AE743" s="18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</row>
    <row r="744" spans="1:50">
      <c r="A744" s="16"/>
      <c r="B744" s="30"/>
      <c r="C744" s="16"/>
      <c r="D744" s="16"/>
      <c r="E744" s="16"/>
      <c r="F744" s="22"/>
      <c r="G744" s="22"/>
      <c r="H744" s="22"/>
      <c r="I744" s="16"/>
      <c r="J744" s="16"/>
      <c r="K744" s="16"/>
      <c r="L744" s="18"/>
      <c r="M744" s="18"/>
      <c r="N744" s="18"/>
      <c r="O744" s="18"/>
      <c r="P744" s="18"/>
      <c r="S744" s="6"/>
      <c r="V744" s="18"/>
      <c r="W744" s="18"/>
      <c r="X744" s="18"/>
      <c r="Y744" s="6"/>
      <c r="Z744" s="6"/>
      <c r="AA744" s="6"/>
      <c r="AB744" s="18"/>
      <c r="AC744" s="18"/>
      <c r="AD744" s="18"/>
      <c r="AE744" s="18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</row>
    <row r="745" spans="1:50">
      <c r="A745" s="16"/>
      <c r="B745" s="30"/>
      <c r="C745" s="16"/>
      <c r="D745" s="16"/>
      <c r="E745" s="16"/>
      <c r="F745" s="22"/>
      <c r="G745" s="22"/>
      <c r="H745" s="22"/>
      <c r="I745" s="16"/>
      <c r="J745" s="16"/>
      <c r="K745" s="16"/>
      <c r="L745" s="18"/>
      <c r="M745" s="18"/>
      <c r="N745" s="18"/>
      <c r="O745" s="18"/>
      <c r="P745" s="18"/>
      <c r="S745" s="6"/>
      <c r="V745" s="18"/>
      <c r="W745" s="18"/>
      <c r="X745" s="18"/>
      <c r="Y745" s="6"/>
      <c r="Z745" s="6"/>
      <c r="AA745" s="6"/>
      <c r="AB745" s="18"/>
      <c r="AC745" s="18"/>
      <c r="AD745" s="18"/>
      <c r="AE745" s="18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</row>
    <row r="746" spans="1:50">
      <c r="A746" s="16"/>
      <c r="B746" s="30"/>
      <c r="C746" s="16"/>
      <c r="D746" s="16"/>
      <c r="E746" s="16"/>
      <c r="F746" s="22"/>
      <c r="G746" s="22"/>
      <c r="H746" s="22"/>
      <c r="I746" s="16"/>
      <c r="J746" s="16"/>
      <c r="K746" s="16"/>
      <c r="L746" s="18"/>
      <c r="M746" s="18"/>
      <c r="N746" s="18"/>
      <c r="O746" s="18"/>
      <c r="P746" s="18"/>
      <c r="S746" s="6"/>
      <c r="V746" s="18"/>
      <c r="W746" s="18"/>
      <c r="X746" s="18"/>
      <c r="Y746" s="6"/>
      <c r="Z746" s="6"/>
      <c r="AA746" s="6"/>
      <c r="AB746" s="18"/>
      <c r="AC746" s="18"/>
      <c r="AD746" s="18"/>
      <c r="AE746" s="18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</row>
    <row r="747" spans="1:50">
      <c r="A747" s="16"/>
      <c r="B747" s="30"/>
      <c r="C747" s="16"/>
      <c r="D747" s="16"/>
      <c r="E747" s="16"/>
      <c r="F747" s="22"/>
      <c r="G747" s="22"/>
      <c r="H747" s="22"/>
      <c r="I747" s="16"/>
      <c r="J747" s="16"/>
      <c r="K747" s="16"/>
      <c r="L747" s="18"/>
      <c r="M747" s="18"/>
      <c r="N747" s="18"/>
      <c r="O747" s="18"/>
      <c r="P747" s="18"/>
      <c r="S747" s="6"/>
      <c r="V747" s="18"/>
      <c r="W747" s="18"/>
      <c r="X747" s="18"/>
      <c r="Y747" s="6"/>
      <c r="Z747" s="6"/>
      <c r="AA747" s="6"/>
      <c r="AB747" s="18"/>
      <c r="AC747" s="18"/>
      <c r="AD747" s="18"/>
      <c r="AE747" s="18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</row>
    <row r="748" spans="1:50">
      <c r="A748" s="16"/>
      <c r="B748" s="30"/>
      <c r="C748" s="16"/>
      <c r="D748" s="16"/>
      <c r="E748" s="16"/>
      <c r="F748" s="22"/>
      <c r="G748" s="22"/>
      <c r="H748" s="22"/>
      <c r="I748" s="16"/>
      <c r="J748" s="16"/>
      <c r="K748" s="16"/>
      <c r="L748" s="18"/>
      <c r="M748" s="18"/>
      <c r="N748" s="18"/>
      <c r="O748" s="18"/>
      <c r="P748" s="18"/>
      <c r="S748" s="6"/>
      <c r="V748" s="18"/>
      <c r="W748" s="18"/>
      <c r="X748" s="18"/>
      <c r="Y748" s="6"/>
      <c r="Z748" s="6"/>
      <c r="AA748" s="6"/>
      <c r="AB748" s="18"/>
      <c r="AC748" s="18"/>
      <c r="AD748" s="18"/>
      <c r="AE748" s="18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</row>
    <row r="749" spans="1:50">
      <c r="A749" s="16"/>
      <c r="B749" s="30"/>
      <c r="C749" s="16"/>
      <c r="D749" s="16"/>
      <c r="E749" s="16"/>
      <c r="F749" s="22"/>
      <c r="G749" s="22"/>
      <c r="H749" s="22"/>
      <c r="I749" s="16"/>
      <c r="J749" s="16"/>
      <c r="K749" s="16"/>
      <c r="L749" s="18"/>
      <c r="M749" s="18"/>
      <c r="N749" s="18"/>
      <c r="O749" s="18"/>
      <c r="P749" s="18"/>
      <c r="S749" s="6"/>
      <c r="V749" s="18"/>
      <c r="W749" s="18"/>
      <c r="X749" s="18"/>
      <c r="Y749" s="6"/>
      <c r="Z749" s="6"/>
      <c r="AA749" s="6"/>
      <c r="AB749" s="18"/>
      <c r="AC749" s="18"/>
      <c r="AD749" s="18"/>
      <c r="AE749" s="18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</row>
    <row r="750" spans="1:50">
      <c r="A750" s="16"/>
      <c r="B750" s="30"/>
      <c r="C750" s="16"/>
      <c r="D750" s="16"/>
      <c r="E750" s="16"/>
      <c r="F750" s="22"/>
      <c r="G750" s="22"/>
      <c r="H750" s="22"/>
      <c r="I750" s="16"/>
      <c r="J750" s="16"/>
      <c r="K750" s="16"/>
      <c r="L750" s="18"/>
      <c r="M750" s="18"/>
      <c r="N750" s="18"/>
      <c r="O750" s="18"/>
      <c r="P750" s="18"/>
      <c r="S750" s="6"/>
      <c r="V750" s="18"/>
      <c r="W750" s="18"/>
      <c r="X750" s="18"/>
      <c r="Y750" s="6"/>
      <c r="Z750" s="6"/>
      <c r="AA750" s="6"/>
      <c r="AB750" s="18"/>
      <c r="AC750" s="18"/>
      <c r="AD750" s="18"/>
      <c r="AE750" s="18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</row>
    <row r="751" spans="1:50">
      <c r="A751" s="16"/>
      <c r="B751" s="30"/>
      <c r="C751" s="16"/>
      <c r="D751" s="16"/>
      <c r="E751" s="16"/>
      <c r="F751" s="22"/>
      <c r="G751" s="22"/>
      <c r="H751" s="22"/>
      <c r="I751" s="16"/>
      <c r="J751" s="16"/>
      <c r="K751" s="16"/>
      <c r="L751" s="18"/>
      <c r="M751" s="18"/>
      <c r="N751" s="18"/>
      <c r="O751" s="18"/>
      <c r="P751" s="18"/>
      <c r="S751" s="6"/>
      <c r="V751" s="18"/>
      <c r="W751" s="18"/>
      <c r="X751" s="18"/>
      <c r="Y751" s="6"/>
      <c r="Z751" s="6"/>
      <c r="AA751" s="6"/>
      <c r="AB751" s="18"/>
      <c r="AC751" s="18"/>
      <c r="AD751" s="18"/>
      <c r="AE751" s="18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</row>
    <row r="752" spans="1:50">
      <c r="A752" s="16"/>
      <c r="B752" s="30"/>
      <c r="C752" s="16"/>
      <c r="D752" s="16"/>
      <c r="E752" s="16"/>
      <c r="F752" s="22"/>
      <c r="G752" s="22"/>
      <c r="H752" s="22"/>
      <c r="I752" s="16"/>
      <c r="J752" s="16"/>
      <c r="K752" s="16"/>
      <c r="L752" s="18"/>
      <c r="M752" s="18"/>
      <c r="N752" s="18"/>
      <c r="O752" s="18"/>
      <c r="P752" s="18"/>
      <c r="S752" s="6"/>
      <c r="V752" s="18"/>
      <c r="W752" s="18"/>
      <c r="X752" s="18"/>
      <c r="Y752" s="6"/>
      <c r="Z752" s="6"/>
      <c r="AA752" s="6"/>
      <c r="AB752" s="18"/>
      <c r="AC752" s="18"/>
      <c r="AD752" s="18"/>
      <c r="AE752" s="18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</row>
    <row r="753" spans="1:50">
      <c r="A753" s="16"/>
      <c r="B753" s="30"/>
      <c r="C753" s="16"/>
      <c r="D753" s="16"/>
      <c r="E753" s="16"/>
      <c r="F753" s="22"/>
      <c r="G753" s="22"/>
      <c r="H753" s="22"/>
      <c r="I753" s="16"/>
      <c r="J753" s="16"/>
      <c r="K753" s="16"/>
      <c r="L753" s="18"/>
      <c r="M753" s="18"/>
      <c r="N753" s="18"/>
      <c r="O753" s="18"/>
      <c r="P753" s="18"/>
      <c r="S753" s="6"/>
      <c r="V753" s="18"/>
      <c r="W753" s="18"/>
      <c r="X753" s="18"/>
      <c r="Y753" s="6"/>
      <c r="Z753" s="6"/>
      <c r="AA753" s="6"/>
      <c r="AB753" s="18"/>
      <c r="AC753" s="18"/>
      <c r="AD753" s="18"/>
      <c r="AE753" s="18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</row>
    <row r="754" spans="1:50">
      <c r="A754" s="16"/>
      <c r="B754" s="30"/>
      <c r="C754" s="16"/>
      <c r="D754" s="16"/>
      <c r="E754" s="16"/>
      <c r="F754" s="22"/>
      <c r="G754" s="22"/>
      <c r="H754" s="22"/>
      <c r="I754" s="16"/>
      <c r="J754" s="16"/>
      <c r="K754" s="16"/>
      <c r="L754" s="18"/>
      <c r="M754" s="18"/>
      <c r="N754" s="18"/>
      <c r="O754" s="18"/>
      <c r="P754" s="18"/>
      <c r="S754" s="6"/>
      <c r="V754" s="18"/>
      <c r="W754" s="18"/>
      <c r="X754" s="18"/>
      <c r="Y754" s="6"/>
      <c r="Z754" s="6"/>
      <c r="AA754" s="6"/>
      <c r="AB754" s="18"/>
      <c r="AC754" s="18"/>
      <c r="AD754" s="18"/>
      <c r="AE754" s="18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</row>
    <row r="755" spans="1:50">
      <c r="A755" s="16"/>
      <c r="B755" s="30"/>
      <c r="C755" s="16"/>
      <c r="D755" s="16"/>
      <c r="E755" s="16"/>
      <c r="F755" s="22"/>
      <c r="G755" s="22"/>
      <c r="H755" s="22"/>
      <c r="I755" s="16"/>
      <c r="J755" s="16"/>
      <c r="K755" s="16"/>
      <c r="L755" s="18"/>
      <c r="M755" s="18"/>
      <c r="N755" s="18"/>
      <c r="O755" s="18"/>
      <c r="P755" s="18"/>
      <c r="S755" s="6"/>
      <c r="V755" s="18"/>
      <c r="W755" s="18"/>
      <c r="X755" s="18"/>
      <c r="Y755" s="6"/>
      <c r="Z755" s="6"/>
      <c r="AA755" s="6"/>
      <c r="AB755" s="18"/>
      <c r="AC755" s="18"/>
      <c r="AD755" s="18"/>
      <c r="AE755" s="18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</row>
    <row r="756" spans="1:50">
      <c r="A756" s="16"/>
      <c r="B756" s="30"/>
      <c r="C756" s="16"/>
      <c r="D756" s="16"/>
      <c r="E756" s="16"/>
      <c r="F756" s="22"/>
      <c r="G756" s="22"/>
      <c r="H756" s="22"/>
      <c r="I756" s="16"/>
      <c r="J756" s="16"/>
      <c r="K756" s="16"/>
      <c r="L756" s="18"/>
      <c r="M756" s="18"/>
      <c r="N756" s="18"/>
      <c r="O756" s="18"/>
      <c r="P756" s="18"/>
      <c r="S756" s="6"/>
      <c r="V756" s="18"/>
      <c r="W756" s="18"/>
      <c r="X756" s="18"/>
      <c r="Y756" s="6"/>
      <c r="Z756" s="6"/>
      <c r="AA756" s="6"/>
      <c r="AB756" s="18"/>
      <c r="AC756" s="18"/>
      <c r="AD756" s="18"/>
      <c r="AE756" s="18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</row>
    <row r="757" spans="1:50">
      <c r="A757" s="16"/>
      <c r="B757" s="30"/>
      <c r="C757" s="16"/>
      <c r="D757" s="16"/>
      <c r="E757" s="16"/>
      <c r="F757" s="22"/>
      <c r="G757" s="22"/>
      <c r="H757" s="22"/>
      <c r="I757" s="16"/>
      <c r="J757" s="16"/>
      <c r="K757" s="16"/>
      <c r="L757" s="18"/>
      <c r="M757" s="18"/>
      <c r="N757" s="18"/>
      <c r="O757" s="18"/>
      <c r="P757" s="18"/>
      <c r="S757" s="6"/>
      <c r="V757" s="18"/>
      <c r="W757" s="18"/>
      <c r="X757" s="18"/>
      <c r="Y757" s="6"/>
      <c r="Z757" s="6"/>
      <c r="AA757" s="6"/>
      <c r="AB757" s="18"/>
      <c r="AC757" s="18"/>
      <c r="AD757" s="18"/>
      <c r="AE757" s="18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</row>
    <row r="758" spans="1:50">
      <c r="A758" s="16"/>
      <c r="B758" s="30"/>
      <c r="C758" s="16"/>
      <c r="D758" s="16"/>
      <c r="E758" s="16"/>
      <c r="F758" s="22"/>
      <c r="G758" s="22"/>
      <c r="H758" s="22"/>
      <c r="I758" s="16"/>
      <c r="J758" s="16"/>
      <c r="K758" s="16"/>
      <c r="L758" s="18"/>
      <c r="M758" s="18"/>
      <c r="N758" s="18"/>
      <c r="O758" s="18"/>
      <c r="P758" s="18"/>
      <c r="S758" s="6"/>
      <c r="V758" s="18"/>
      <c r="W758" s="18"/>
      <c r="X758" s="18"/>
      <c r="Y758" s="6"/>
      <c r="Z758" s="6"/>
      <c r="AA758" s="6"/>
      <c r="AB758" s="18"/>
      <c r="AC758" s="18"/>
      <c r="AD758" s="18"/>
      <c r="AE758" s="18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</row>
    <row r="759" spans="1:50">
      <c r="A759" s="16"/>
      <c r="B759" s="30"/>
      <c r="C759" s="16"/>
      <c r="D759" s="16"/>
      <c r="E759" s="16"/>
      <c r="F759" s="22"/>
      <c r="G759" s="22"/>
      <c r="H759" s="22"/>
      <c r="I759" s="16"/>
      <c r="J759" s="16"/>
      <c r="K759" s="16"/>
      <c r="L759" s="18"/>
      <c r="M759" s="18"/>
      <c r="N759" s="18"/>
      <c r="O759" s="18"/>
      <c r="P759" s="18"/>
      <c r="S759" s="6"/>
      <c r="V759" s="18"/>
      <c r="W759" s="18"/>
      <c r="X759" s="18"/>
      <c r="Y759" s="6"/>
      <c r="Z759" s="6"/>
      <c r="AA759" s="6"/>
      <c r="AB759" s="18"/>
      <c r="AC759" s="18"/>
      <c r="AD759" s="18"/>
      <c r="AE759" s="18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</row>
    <row r="760" spans="1:50">
      <c r="A760" s="16"/>
      <c r="B760" s="30"/>
      <c r="C760" s="16"/>
      <c r="D760" s="16"/>
      <c r="E760" s="16"/>
      <c r="F760" s="22"/>
      <c r="G760" s="22"/>
      <c r="H760" s="22"/>
      <c r="I760" s="16"/>
      <c r="J760" s="16"/>
      <c r="K760" s="16"/>
      <c r="L760" s="18"/>
      <c r="M760" s="18"/>
      <c r="N760" s="18"/>
      <c r="O760" s="18"/>
      <c r="P760" s="18"/>
      <c r="S760" s="6"/>
      <c r="V760" s="18"/>
      <c r="W760" s="18"/>
      <c r="X760" s="18"/>
      <c r="Y760" s="6"/>
      <c r="Z760" s="6"/>
      <c r="AA760" s="6"/>
      <c r="AB760" s="18"/>
      <c r="AC760" s="18"/>
      <c r="AD760" s="18"/>
      <c r="AE760" s="18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</row>
    <row r="761" spans="1:50">
      <c r="A761" s="16"/>
      <c r="B761" s="30"/>
      <c r="C761" s="16"/>
      <c r="D761" s="16"/>
      <c r="E761" s="16"/>
      <c r="F761" s="22"/>
      <c r="G761" s="22"/>
      <c r="H761" s="22"/>
      <c r="I761" s="16"/>
      <c r="J761" s="16"/>
      <c r="K761" s="16"/>
      <c r="L761" s="18"/>
      <c r="M761" s="18"/>
      <c r="N761" s="18"/>
      <c r="O761" s="18"/>
      <c r="P761" s="18"/>
      <c r="S761" s="6"/>
      <c r="V761" s="18"/>
      <c r="W761" s="18"/>
      <c r="X761" s="18"/>
      <c r="Y761" s="6"/>
      <c r="Z761" s="6"/>
      <c r="AA761" s="6"/>
      <c r="AB761" s="18"/>
      <c r="AC761" s="18"/>
      <c r="AD761" s="18"/>
      <c r="AE761" s="18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</row>
    <row r="762" spans="1:50">
      <c r="A762" s="16"/>
      <c r="B762" s="30"/>
      <c r="C762" s="16"/>
      <c r="D762" s="16"/>
      <c r="E762" s="16"/>
      <c r="F762" s="22"/>
      <c r="G762" s="22"/>
      <c r="H762" s="22"/>
      <c r="I762" s="16"/>
      <c r="J762" s="16"/>
      <c r="K762" s="16"/>
      <c r="L762" s="18"/>
      <c r="M762" s="18"/>
      <c r="N762" s="18"/>
      <c r="O762" s="18"/>
      <c r="P762" s="18"/>
      <c r="S762" s="6"/>
      <c r="V762" s="18"/>
      <c r="W762" s="18"/>
      <c r="X762" s="18"/>
      <c r="Y762" s="6"/>
      <c r="Z762" s="6"/>
      <c r="AA762" s="6"/>
      <c r="AB762" s="18"/>
      <c r="AC762" s="18"/>
      <c r="AD762" s="18"/>
      <c r="AE762" s="18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</row>
    <row r="763" spans="1:50">
      <c r="A763" s="16"/>
      <c r="B763" s="30"/>
      <c r="C763" s="16"/>
      <c r="D763" s="16"/>
      <c r="E763" s="16"/>
      <c r="F763" s="22"/>
      <c r="G763" s="22"/>
      <c r="H763" s="22"/>
      <c r="I763" s="16"/>
      <c r="J763" s="16"/>
      <c r="K763" s="16"/>
      <c r="L763" s="18"/>
      <c r="M763" s="18"/>
      <c r="N763" s="18"/>
      <c r="O763" s="18"/>
      <c r="P763" s="18"/>
      <c r="S763" s="6"/>
      <c r="V763" s="18"/>
      <c r="W763" s="18"/>
      <c r="X763" s="18"/>
      <c r="Y763" s="6"/>
      <c r="Z763" s="6"/>
      <c r="AA763" s="6"/>
      <c r="AB763" s="18"/>
      <c r="AC763" s="18"/>
      <c r="AD763" s="18"/>
      <c r="AE763" s="18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</row>
    <row r="764" spans="1:50">
      <c r="A764" s="16"/>
      <c r="B764" s="30"/>
      <c r="C764" s="16"/>
      <c r="D764" s="16"/>
      <c r="E764" s="16"/>
      <c r="F764" s="22"/>
      <c r="G764" s="22"/>
      <c r="H764" s="22"/>
      <c r="I764" s="16"/>
      <c r="J764" s="16"/>
      <c r="K764" s="16"/>
      <c r="L764" s="18"/>
      <c r="M764" s="18"/>
      <c r="N764" s="18"/>
      <c r="O764" s="18"/>
      <c r="P764" s="18"/>
      <c r="S764" s="6"/>
      <c r="V764" s="18"/>
      <c r="W764" s="18"/>
      <c r="X764" s="18"/>
      <c r="Y764" s="6"/>
      <c r="Z764" s="6"/>
      <c r="AA764" s="6"/>
      <c r="AB764" s="18"/>
      <c r="AC764" s="18"/>
      <c r="AD764" s="18"/>
      <c r="AE764" s="18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</row>
    <row r="765" spans="1:50">
      <c r="A765" s="16"/>
      <c r="B765" s="30"/>
      <c r="C765" s="16"/>
      <c r="D765" s="16"/>
      <c r="E765" s="16"/>
      <c r="F765" s="22"/>
      <c r="G765" s="22"/>
      <c r="H765" s="22"/>
      <c r="I765" s="16"/>
      <c r="J765" s="16"/>
      <c r="K765" s="16"/>
      <c r="L765" s="18"/>
      <c r="M765" s="18"/>
      <c r="N765" s="18"/>
      <c r="O765" s="18"/>
      <c r="P765" s="18"/>
      <c r="S765" s="6"/>
      <c r="V765" s="18"/>
      <c r="W765" s="18"/>
      <c r="X765" s="18"/>
      <c r="Y765" s="6"/>
      <c r="Z765" s="6"/>
      <c r="AA765" s="6"/>
      <c r="AB765" s="18"/>
      <c r="AC765" s="18"/>
      <c r="AD765" s="18"/>
      <c r="AE765" s="18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</row>
    <row r="766" spans="1:50">
      <c r="A766" s="16"/>
      <c r="B766" s="30"/>
      <c r="C766" s="16"/>
      <c r="D766" s="16"/>
      <c r="E766" s="16"/>
      <c r="F766" s="22"/>
      <c r="G766" s="22"/>
      <c r="H766" s="22"/>
      <c r="I766" s="16"/>
      <c r="J766" s="16"/>
      <c r="K766" s="16"/>
      <c r="L766" s="18"/>
      <c r="M766" s="18"/>
      <c r="N766" s="18"/>
      <c r="O766" s="18"/>
      <c r="P766" s="18"/>
      <c r="S766" s="6"/>
      <c r="V766" s="18"/>
      <c r="W766" s="18"/>
      <c r="X766" s="18"/>
      <c r="Y766" s="6"/>
      <c r="Z766" s="6"/>
      <c r="AA766" s="6"/>
      <c r="AB766" s="18"/>
      <c r="AC766" s="18"/>
      <c r="AD766" s="18"/>
      <c r="AE766" s="18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</row>
    <row r="767" spans="1:50">
      <c r="A767" s="16"/>
      <c r="B767" s="30"/>
      <c r="C767" s="16"/>
      <c r="D767" s="16"/>
      <c r="E767" s="16"/>
      <c r="F767" s="22"/>
      <c r="G767" s="22"/>
      <c r="H767" s="22"/>
      <c r="I767" s="16"/>
      <c r="J767" s="16"/>
      <c r="K767" s="16"/>
      <c r="L767" s="18"/>
      <c r="M767" s="18"/>
      <c r="N767" s="18"/>
      <c r="O767" s="18"/>
      <c r="P767" s="18"/>
      <c r="S767" s="6"/>
      <c r="V767" s="18"/>
      <c r="W767" s="18"/>
      <c r="X767" s="18"/>
      <c r="Y767" s="6"/>
      <c r="Z767" s="6"/>
      <c r="AA767" s="6"/>
      <c r="AB767" s="18"/>
      <c r="AC767" s="18"/>
      <c r="AD767" s="18"/>
      <c r="AE767" s="18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</row>
    <row r="768" spans="1:50">
      <c r="A768" s="16"/>
      <c r="B768" s="30"/>
      <c r="C768" s="16"/>
      <c r="D768" s="16"/>
      <c r="E768" s="16"/>
      <c r="F768" s="22"/>
      <c r="G768" s="22"/>
      <c r="H768" s="22"/>
      <c r="I768" s="16"/>
      <c r="J768" s="16"/>
      <c r="K768" s="16"/>
      <c r="L768" s="18"/>
      <c r="M768" s="18"/>
      <c r="N768" s="18"/>
      <c r="O768" s="18"/>
      <c r="P768" s="18"/>
      <c r="S768" s="6"/>
      <c r="V768" s="18"/>
      <c r="W768" s="18"/>
      <c r="X768" s="18"/>
      <c r="Y768" s="6"/>
      <c r="Z768" s="6"/>
      <c r="AA768" s="6"/>
      <c r="AB768" s="18"/>
      <c r="AC768" s="18"/>
      <c r="AD768" s="18"/>
      <c r="AE768" s="18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</row>
    <row r="769" spans="1:50">
      <c r="A769" s="16"/>
      <c r="B769" s="30"/>
      <c r="C769" s="16"/>
      <c r="D769" s="16"/>
      <c r="E769" s="16"/>
      <c r="F769" s="22"/>
      <c r="G769" s="22"/>
      <c r="H769" s="22"/>
      <c r="I769" s="16"/>
      <c r="J769" s="16"/>
      <c r="K769" s="16"/>
      <c r="L769" s="18"/>
      <c r="M769" s="18"/>
      <c r="N769" s="18"/>
      <c r="O769" s="18"/>
      <c r="P769" s="18"/>
      <c r="S769" s="6"/>
      <c r="V769" s="18"/>
      <c r="W769" s="18"/>
      <c r="X769" s="18"/>
      <c r="Y769" s="6"/>
      <c r="Z769" s="6"/>
      <c r="AA769" s="6"/>
      <c r="AB769" s="18"/>
      <c r="AC769" s="18"/>
      <c r="AD769" s="18"/>
      <c r="AE769" s="18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</row>
    <row r="770" spans="1:50">
      <c r="A770" s="16"/>
      <c r="B770" s="30"/>
      <c r="C770" s="16"/>
      <c r="D770" s="16"/>
      <c r="E770" s="16"/>
      <c r="F770" s="22"/>
      <c r="G770" s="22"/>
      <c r="H770" s="22"/>
      <c r="I770" s="16"/>
      <c r="J770" s="16"/>
      <c r="K770" s="16"/>
      <c r="L770" s="18"/>
      <c r="M770" s="18"/>
      <c r="N770" s="18"/>
      <c r="O770" s="18"/>
      <c r="P770" s="18"/>
      <c r="S770" s="6"/>
      <c r="V770" s="18"/>
      <c r="W770" s="18"/>
      <c r="X770" s="18"/>
      <c r="Y770" s="6"/>
      <c r="Z770" s="6"/>
      <c r="AA770" s="6"/>
      <c r="AB770" s="18"/>
      <c r="AC770" s="18"/>
      <c r="AD770" s="18"/>
      <c r="AE770" s="18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</row>
    <row r="771" spans="1:50">
      <c r="A771" s="16"/>
      <c r="B771" s="30"/>
      <c r="C771" s="16"/>
      <c r="D771" s="16"/>
      <c r="E771" s="16"/>
      <c r="F771" s="22"/>
      <c r="G771" s="22"/>
      <c r="H771" s="22"/>
      <c r="I771" s="16"/>
      <c r="J771" s="16"/>
      <c r="K771" s="16"/>
      <c r="L771" s="18"/>
      <c r="M771" s="18"/>
      <c r="N771" s="18"/>
      <c r="O771" s="18"/>
      <c r="P771" s="18"/>
      <c r="S771" s="6"/>
      <c r="V771" s="18"/>
      <c r="W771" s="18"/>
      <c r="X771" s="18"/>
      <c r="Y771" s="6"/>
      <c r="Z771" s="6"/>
      <c r="AA771" s="6"/>
      <c r="AB771" s="18"/>
      <c r="AC771" s="18"/>
      <c r="AD771" s="18"/>
      <c r="AE771" s="18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</row>
    <row r="772" spans="1:50">
      <c r="A772" s="16"/>
      <c r="B772" s="30"/>
      <c r="C772" s="16"/>
      <c r="D772" s="16"/>
      <c r="E772" s="16"/>
      <c r="F772" s="22"/>
      <c r="G772" s="22"/>
      <c r="H772" s="22"/>
      <c r="I772" s="16"/>
      <c r="J772" s="16"/>
      <c r="K772" s="16"/>
      <c r="L772" s="18"/>
      <c r="M772" s="18"/>
      <c r="N772" s="18"/>
      <c r="O772" s="18"/>
      <c r="P772" s="18"/>
      <c r="S772" s="6"/>
      <c r="V772" s="18"/>
      <c r="W772" s="18"/>
      <c r="X772" s="18"/>
      <c r="Y772" s="6"/>
      <c r="Z772" s="6"/>
      <c r="AA772" s="6"/>
      <c r="AB772" s="18"/>
      <c r="AC772" s="18"/>
      <c r="AD772" s="18"/>
      <c r="AE772" s="18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</row>
    <row r="773" spans="1:50">
      <c r="A773" s="16"/>
      <c r="B773" s="30"/>
      <c r="C773" s="16"/>
      <c r="D773" s="16"/>
      <c r="E773" s="16"/>
      <c r="F773" s="22"/>
      <c r="G773" s="22"/>
      <c r="H773" s="22"/>
      <c r="I773" s="16"/>
      <c r="J773" s="16"/>
      <c r="K773" s="16"/>
      <c r="L773" s="18"/>
      <c r="M773" s="18"/>
      <c r="N773" s="18"/>
      <c r="O773" s="18"/>
      <c r="P773" s="18"/>
      <c r="S773" s="6"/>
      <c r="V773" s="18"/>
      <c r="W773" s="18"/>
      <c r="X773" s="18"/>
      <c r="Y773" s="6"/>
      <c r="Z773" s="6"/>
      <c r="AA773" s="6"/>
      <c r="AB773" s="18"/>
      <c r="AC773" s="18"/>
      <c r="AD773" s="18"/>
      <c r="AE773" s="18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</row>
    <row r="774" spans="1:50">
      <c r="A774" s="16"/>
      <c r="B774" s="30"/>
      <c r="C774" s="16"/>
      <c r="D774" s="16"/>
      <c r="E774" s="16"/>
      <c r="F774" s="22"/>
      <c r="G774" s="22"/>
      <c r="H774" s="22"/>
      <c r="I774" s="16"/>
      <c r="J774" s="16"/>
      <c r="K774" s="16"/>
      <c r="L774" s="18"/>
      <c r="M774" s="18"/>
      <c r="N774" s="18"/>
      <c r="O774" s="18"/>
      <c r="P774" s="18"/>
      <c r="S774" s="6"/>
      <c r="V774" s="18"/>
      <c r="W774" s="18"/>
      <c r="X774" s="18"/>
      <c r="Y774" s="6"/>
      <c r="Z774" s="6"/>
      <c r="AA774" s="6"/>
      <c r="AB774" s="18"/>
      <c r="AC774" s="18"/>
      <c r="AD774" s="18"/>
      <c r="AE774" s="18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</row>
    <row r="775" spans="1:50">
      <c r="A775" s="16"/>
      <c r="B775" s="30"/>
      <c r="C775" s="16"/>
      <c r="D775" s="16"/>
      <c r="E775" s="16"/>
      <c r="F775" s="22"/>
      <c r="G775" s="22"/>
      <c r="H775" s="22"/>
      <c r="I775" s="16"/>
      <c r="J775" s="16"/>
      <c r="K775" s="16"/>
      <c r="L775" s="18"/>
      <c r="M775" s="18"/>
      <c r="N775" s="18"/>
      <c r="O775" s="18"/>
      <c r="P775" s="18"/>
      <c r="S775" s="6"/>
      <c r="V775" s="18"/>
      <c r="W775" s="18"/>
      <c r="X775" s="18"/>
      <c r="Y775" s="6"/>
      <c r="Z775" s="6"/>
      <c r="AA775" s="6"/>
      <c r="AB775" s="18"/>
      <c r="AC775" s="18"/>
      <c r="AD775" s="18"/>
      <c r="AE775" s="18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</row>
    <row r="776" spans="1:50">
      <c r="A776" s="16"/>
      <c r="B776" s="30"/>
      <c r="C776" s="16"/>
      <c r="D776" s="16"/>
      <c r="E776" s="16"/>
      <c r="F776" s="22"/>
      <c r="G776" s="22"/>
      <c r="H776" s="22"/>
      <c r="I776" s="16"/>
      <c r="J776" s="16"/>
      <c r="K776" s="16"/>
      <c r="L776" s="18"/>
      <c r="M776" s="18"/>
      <c r="N776" s="18"/>
      <c r="O776" s="18"/>
      <c r="P776" s="18"/>
      <c r="S776" s="6"/>
      <c r="V776" s="18"/>
      <c r="W776" s="18"/>
      <c r="X776" s="18"/>
      <c r="Y776" s="6"/>
      <c r="Z776" s="6"/>
      <c r="AA776" s="6"/>
      <c r="AB776" s="18"/>
      <c r="AC776" s="18"/>
      <c r="AD776" s="18"/>
      <c r="AE776" s="18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</row>
    <row r="777" spans="1:50">
      <c r="A777" s="16"/>
      <c r="B777" s="30"/>
      <c r="C777" s="16"/>
      <c r="D777" s="16"/>
      <c r="E777" s="16"/>
      <c r="F777" s="22"/>
      <c r="G777" s="22"/>
      <c r="H777" s="22"/>
      <c r="I777" s="16"/>
      <c r="J777" s="16"/>
      <c r="K777" s="16"/>
      <c r="L777" s="18"/>
      <c r="M777" s="18"/>
      <c r="N777" s="18"/>
      <c r="O777" s="18"/>
      <c r="P777" s="18"/>
      <c r="S777" s="6"/>
      <c r="V777" s="18"/>
      <c r="W777" s="18"/>
      <c r="X777" s="18"/>
      <c r="Y777" s="6"/>
      <c r="Z777" s="6"/>
      <c r="AA777" s="6"/>
      <c r="AB777" s="18"/>
      <c r="AC777" s="18"/>
      <c r="AD777" s="18"/>
      <c r="AE777" s="18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</row>
    <row r="778" spans="1:50">
      <c r="A778" s="16"/>
      <c r="B778" s="30"/>
      <c r="C778" s="16"/>
      <c r="D778" s="16"/>
      <c r="E778" s="16"/>
      <c r="F778" s="22"/>
      <c r="G778" s="22"/>
      <c r="H778" s="22"/>
      <c r="I778" s="16"/>
      <c r="J778" s="16"/>
      <c r="K778" s="16"/>
      <c r="L778" s="18"/>
      <c r="M778" s="18"/>
      <c r="N778" s="18"/>
      <c r="O778" s="18"/>
      <c r="P778" s="18"/>
      <c r="S778" s="6"/>
      <c r="V778" s="18"/>
      <c r="W778" s="18"/>
      <c r="X778" s="18"/>
      <c r="Y778" s="6"/>
      <c r="Z778" s="6"/>
      <c r="AA778" s="6"/>
      <c r="AB778" s="18"/>
      <c r="AC778" s="18"/>
      <c r="AD778" s="18"/>
      <c r="AE778" s="18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</row>
    <row r="779" spans="1:50">
      <c r="A779" s="16"/>
      <c r="B779" s="30"/>
      <c r="C779" s="16"/>
      <c r="D779" s="16"/>
      <c r="E779" s="16"/>
      <c r="F779" s="22"/>
      <c r="G779" s="22"/>
      <c r="H779" s="22"/>
      <c r="I779" s="16"/>
      <c r="J779" s="16"/>
      <c r="K779" s="16"/>
      <c r="L779" s="18"/>
      <c r="M779" s="18"/>
      <c r="N779" s="18"/>
      <c r="O779" s="18"/>
      <c r="P779" s="18"/>
      <c r="S779" s="6"/>
      <c r="V779" s="18"/>
      <c r="W779" s="18"/>
      <c r="X779" s="18"/>
      <c r="Y779" s="6"/>
      <c r="Z779" s="6"/>
      <c r="AA779" s="6"/>
      <c r="AB779" s="18"/>
      <c r="AC779" s="18"/>
      <c r="AD779" s="18"/>
      <c r="AE779" s="18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</row>
    <row r="780" spans="1:50">
      <c r="A780" s="16"/>
      <c r="B780" s="30"/>
      <c r="C780" s="16"/>
      <c r="D780" s="16"/>
      <c r="E780" s="16"/>
      <c r="F780" s="22"/>
      <c r="G780" s="22"/>
      <c r="H780" s="22"/>
      <c r="I780" s="16"/>
      <c r="J780" s="16"/>
      <c r="K780" s="16"/>
      <c r="L780" s="18"/>
      <c r="M780" s="18"/>
      <c r="N780" s="18"/>
      <c r="O780" s="18"/>
      <c r="P780" s="18"/>
      <c r="S780" s="6"/>
      <c r="V780" s="18"/>
      <c r="W780" s="18"/>
      <c r="X780" s="18"/>
      <c r="Y780" s="6"/>
      <c r="Z780" s="6"/>
      <c r="AA780" s="6"/>
      <c r="AB780" s="18"/>
      <c r="AC780" s="18"/>
      <c r="AD780" s="18"/>
      <c r="AE780" s="18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</row>
    <row r="781" spans="1:50">
      <c r="A781" s="16"/>
      <c r="B781" s="30"/>
      <c r="C781" s="16"/>
      <c r="D781" s="16"/>
      <c r="E781" s="16"/>
      <c r="F781" s="22"/>
      <c r="G781" s="22"/>
      <c r="H781" s="22"/>
      <c r="I781" s="16"/>
      <c r="J781" s="16"/>
      <c r="K781" s="16"/>
      <c r="L781" s="18"/>
      <c r="M781" s="18"/>
      <c r="N781" s="18"/>
      <c r="O781" s="18"/>
      <c r="P781" s="18"/>
      <c r="S781" s="6"/>
      <c r="V781" s="18"/>
      <c r="W781" s="18"/>
      <c r="X781" s="18"/>
      <c r="Y781" s="6"/>
      <c r="Z781" s="6"/>
      <c r="AA781" s="6"/>
      <c r="AB781" s="18"/>
      <c r="AC781" s="18"/>
      <c r="AD781" s="18"/>
      <c r="AE781" s="18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</row>
    <row r="782" spans="1:50">
      <c r="A782" s="16"/>
      <c r="B782" s="30"/>
      <c r="C782" s="16"/>
      <c r="D782" s="16"/>
      <c r="E782" s="16"/>
      <c r="F782" s="22"/>
      <c r="G782" s="22"/>
      <c r="H782" s="22"/>
      <c r="I782" s="16"/>
      <c r="J782" s="16"/>
      <c r="K782" s="16"/>
      <c r="L782" s="18"/>
      <c r="M782" s="18"/>
      <c r="N782" s="18"/>
      <c r="O782" s="18"/>
      <c r="P782" s="18"/>
      <c r="S782" s="6"/>
      <c r="V782" s="18"/>
      <c r="W782" s="18"/>
      <c r="X782" s="18"/>
      <c r="Y782" s="6"/>
      <c r="Z782" s="6"/>
      <c r="AA782" s="6"/>
      <c r="AB782" s="18"/>
      <c r="AC782" s="18"/>
      <c r="AD782" s="18"/>
      <c r="AE782" s="18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</row>
    <row r="783" spans="1:50">
      <c r="A783" s="16"/>
      <c r="B783" s="30"/>
      <c r="C783" s="16"/>
      <c r="D783" s="16"/>
      <c r="E783" s="16"/>
      <c r="F783" s="22"/>
      <c r="G783" s="22"/>
      <c r="H783" s="22"/>
      <c r="I783" s="16"/>
      <c r="J783" s="16"/>
      <c r="K783" s="16"/>
      <c r="L783" s="18"/>
      <c r="M783" s="18"/>
      <c r="N783" s="18"/>
      <c r="O783" s="18"/>
      <c r="P783" s="18"/>
      <c r="S783" s="6"/>
      <c r="V783" s="18"/>
      <c r="W783" s="18"/>
      <c r="X783" s="18"/>
      <c r="Y783" s="6"/>
      <c r="Z783" s="6"/>
      <c r="AA783" s="6"/>
      <c r="AB783" s="18"/>
      <c r="AC783" s="18"/>
      <c r="AD783" s="18"/>
      <c r="AE783" s="18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</row>
    <row r="784" spans="1:50">
      <c r="A784" s="16"/>
      <c r="B784" s="30"/>
      <c r="C784" s="16"/>
      <c r="D784" s="16"/>
      <c r="E784" s="16"/>
      <c r="F784" s="22"/>
      <c r="G784" s="22"/>
      <c r="H784" s="22"/>
      <c r="I784" s="16"/>
      <c r="J784" s="16"/>
      <c r="K784" s="16"/>
      <c r="L784" s="18"/>
      <c r="M784" s="18"/>
      <c r="N784" s="18"/>
      <c r="O784" s="18"/>
      <c r="P784" s="18"/>
      <c r="S784" s="6"/>
      <c r="V784" s="18"/>
      <c r="W784" s="18"/>
      <c r="X784" s="18"/>
      <c r="Y784" s="6"/>
      <c r="Z784" s="6"/>
      <c r="AA784" s="6"/>
      <c r="AB784" s="18"/>
      <c r="AC784" s="18"/>
      <c r="AD784" s="18"/>
      <c r="AE784" s="18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</row>
    <row r="785" spans="1:50">
      <c r="A785" s="16"/>
      <c r="B785" s="30"/>
      <c r="C785" s="16"/>
      <c r="D785" s="16"/>
      <c r="E785" s="16"/>
      <c r="F785" s="22"/>
      <c r="G785" s="22"/>
      <c r="H785" s="22"/>
      <c r="I785" s="16"/>
      <c r="J785" s="16"/>
      <c r="K785" s="16"/>
      <c r="L785" s="18"/>
      <c r="M785" s="18"/>
      <c r="N785" s="18"/>
      <c r="O785" s="18"/>
      <c r="P785" s="18"/>
      <c r="S785" s="6"/>
      <c r="V785" s="18"/>
      <c r="W785" s="18"/>
      <c r="X785" s="18"/>
      <c r="Y785" s="6"/>
      <c r="Z785" s="6"/>
      <c r="AA785" s="6"/>
      <c r="AB785" s="18"/>
      <c r="AC785" s="18"/>
      <c r="AD785" s="18"/>
      <c r="AE785" s="18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</row>
    <row r="786" spans="1:50">
      <c r="A786" s="16"/>
      <c r="B786" s="30"/>
      <c r="C786" s="16"/>
      <c r="D786" s="16"/>
      <c r="E786" s="16"/>
      <c r="F786" s="22"/>
      <c r="G786" s="22"/>
      <c r="H786" s="22"/>
      <c r="I786" s="16"/>
      <c r="J786" s="16"/>
      <c r="K786" s="16"/>
      <c r="L786" s="18"/>
      <c r="M786" s="18"/>
      <c r="N786" s="18"/>
      <c r="O786" s="18"/>
      <c r="P786" s="18"/>
      <c r="S786" s="6"/>
      <c r="V786" s="18"/>
      <c r="W786" s="18"/>
      <c r="X786" s="18"/>
      <c r="Y786" s="6"/>
      <c r="Z786" s="6"/>
      <c r="AA786" s="6"/>
      <c r="AB786" s="18"/>
      <c r="AC786" s="18"/>
      <c r="AD786" s="18"/>
      <c r="AE786" s="18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</row>
    <row r="787" spans="1:50">
      <c r="A787" s="16"/>
      <c r="B787" s="30"/>
      <c r="C787" s="16"/>
      <c r="D787" s="16"/>
      <c r="E787" s="16"/>
      <c r="F787" s="22"/>
      <c r="G787" s="22"/>
      <c r="H787" s="22"/>
      <c r="I787" s="16"/>
      <c r="J787" s="16"/>
      <c r="K787" s="16"/>
      <c r="L787" s="18"/>
      <c r="M787" s="18"/>
      <c r="N787" s="18"/>
      <c r="O787" s="18"/>
      <c r="P787" s="18"/>
      <c r="S787" s="6"/>
      <c r="V787" s="18"/>
      <c r="W787" s="18"/>
      <c r="X787" s="18"/>
      <c r="Y787" s="6"/>
      <c r="Z787" s="6"/>
      <c r="AA787" s="6"/>
      <c r="AB787" s="18"/>
      <c r="AC787" s="18"/>
      <c r="AD787" s="18"/>
      <c r="AE787" s="18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</row>
    <row r="788" spans="1:50">
      <c r="A788" s="16"/>
      <c r="B788" s="30"/>
      <c r="C788" s="16"/>
      <c r="D788" s="16"/>
      <c r="E788" s="16"/>
      <c r="F788" s="22"/>
      <c r="G788" s="22"/>
      <c r="H788" s="22"/>
      <c r="I788" s="16"/>
      <c r="J788" s="16"/>
      <c r="K788" s="16"/>
      <c r="L788" s="18"/>
      <c r="M788" s="18"/>
      <c r="N788" s="18"/>
      <c r="O788" s="18"/>
      <c r="P788" s="18"/>
      <c r="S788" s="6"/>
      <c r="V788" s="18"/>
      <c r="W788" s="18"/>
      <c r="X788" s="18"/>
      <c r="Y788" s="6"/>
      <c r="Z788" s="6"/>
      <c r="AA788" s="6"/>
      <c r="AB788" s="18"/>
      <c r="AC788" s="18"/>
      <c r="AD788" s="18"/>
      <c r="AE788" s="18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</row>
    <row r="789" spans="1:50">
      <c r="A789" s="16"/>
      <c r="B789" s="30"/>
      <c r="C789" s="16"/>
      <c r="D789" s="16"/>
      <c r="E789" s="16"/>
      <c r="F789" s="22"/>
      <c r="G789" s="22"/>
      <c r="H789" s="22"/>
      <c r="I789" s="16"/>
      <c r="J789" s="16"/>
      <c r="K789" s="16"/>
      <c r="L789" s="18"/>
      <c r="M789" s="18"/>
      <c r="N789" s="18"/>
      <c r="O789" s="18"/>
      <c r="P789" s="18"/>
      <c r="S789" s="6"/>
      <c r="V789" s="18"/>
      <c r="W789" s="18"/>
      <c r="X789" s="18"/>
      <c r="Y789" s="6"/>
      <c r="Z789" s="6"/>
      <c r="AA789" s="6"/>
      <c r="AB789" s="18"/>
      <c r="AC789" s="18"/>
      <c r="AD789" s="18"/>
      <c r="AE789" s="18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</row>
    <row r="790" spans="1:50">
      <c r="A790" s="16"/>
      <c r="B790" s="30"/>
      <c r="C790" s="16"/>
      <c r="D790" s="16"/>
      <c r="E790" s="16"/>
      <c r="F790" s="22"/>
      <c r="G790" s="22"/>
      <c r="H790" s="22"/>
      <c r="I790" s="16"/>
      <c r="J790" s="16"/>
      <c r="K790" s="16"/>
      <c r="L790" s="18"/>
      <c r="M790" s="18"/>
      <c r="N790" s="18"/>
      <c r="O790" s="18"/>
      <c r="P790" s="18"/>
      <c r="S790" s="6"/>
      <c r="V790" s="18"/>
      <c r="W790" s="18"/>
      <c r="X790" s="18"/>
      <c r="Y790" s="6"/>
      <c r="Z790" s="6"/>
      <c r="AA790" s="6"/>
      <c r="AB790" s="18"/>
      <c r="AC790" s="18"/>
      <c r="AD790" s="18"/>
      <c r="AE790" s="18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</row>
    <row r="791" spans="1:50">
      <c r="A791" s="16"/>
      <c r="B791" s="30"/>
      <c r="C791" s="16"/>
      <c r="D791" s="16"/>
      <c r="E791" s="16"/>
      <c r="F791" s="22"/>
      <c r="G791" s="22"/>
      <c r="H791" s="22"/>
      <c r="I791" s="16"/>
      <c r="J791" s="16"/>
      <c r="K791" s="16"/>
      <c r="L791" s="18"/>
      <c r="M791" s="18"/>
      <c r="N791" s="18"/>
      <c r="O791" s="18"/>
      <c r="P791" s="18"/>
      <c r="S791" s="6"/>
      <c r="V791" s="18"/>
      <c r="W791" s="18"/>
      <c r="X791" s="18"/>
      <c r="Y791" s="6"/>
      <c r="Z791" s="6"/>
      <c r="AA791" s="6"/>
      <c r="AB791" s="18"/>
      <c r="AC791" s="18"/>
      <c r="AD791" s="18"/>
      <c r="AE791" s="18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</row>
    <row r="792" spans="1:50">
      <c r="A792" s="16"/>
      <c r="B792" s="30"/>
      <c r="C792" s="16"/>
      <c r="D792" s="16"/>
      <c r="E792" s="16"/>
      <c r="F792" s="22"/>
      <c r="G792" s="22"/>
      <c r="H792" s="22"/>
      <c r="I792" s="16"/>
      <c r="J792" s="16"/>
      <c r="K792" s="16"/>
      <c r="L792" s="18"/>
      <c r="M792" s="18"/>
      <c r="N792" s="18"/>
      <c r="O792" s="18"/>
      <c r="P792" s="18"/>
      <c r="S792" s="6"/>
      <c r="V792" s="18"/>
      <c r="W792" s="18"/>
      <c r="X792" s="18"/>
      <c r="Y792" s="6"/>
      <c r="Z792" s="6"/>
      <c r="AA792" s="6"/>
      <c r="AB792" s="18"/>
      <c r="AC792" s="18"/>
      <c r="AD792" s="18"/>
      <c r="AE792" s="18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</row>
    <row r="793" spans="1:50">
      <c r="A793" s="16"/>
      <c r="B793" s="30"/>
      <c r="C793" s="16"/>
      <c r="D793" s="16"/>
      <c r="E793" s="16"/>
      <c r="F793" s="22"/>
      <c r="G793" s="22"/>
      <c r="H793" s="22"/>
      <c r="I793" s="16"/>
      <c r="J793" s="16"/>
      <c r="K793" s="16"/>
      <c r="L793" s="18"/>
      <c r="M793" s="18"/>
      <c r="N793" s="18"/>
      <c r="O793" s="18"/>
      <c r="P793" s="18"/>
      <c r="S793" s="6"/>
      <c r="V793" s="18"/>
      <c r="W793" s="18"/>
      <c r="X793" s="18"/>
      <c r="Y793" s="6"/>
      <c r="Z793" s="6"/>
      <c r="AA793" s="6"/>
      <c r="AB793" s="18"/>
      <c r="AC793" s="18"/>
      <c r="AD793" s="18"/>
      <c r="AE793" s="18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</row>
    <row r="794" spans="1:50">
      <c r="A794" s="16"/>
      <c r="B794" s="30"/>
      <c r="C794" s="16"/>
      <c r="D794" s="16"/>
      <c r="E794" s="16"/>
      <c r="F794" s="22"/>
      <c r="G794" s="22"/>
      <c r="H794" s="22"/>
      <c r="I794" s="16"/>
      <c r="J794" s="16"/>
      <c r="K794" s="16"/>
      <c r="L794" s="18"/>
      <c r="M794" s="18"/>
      <c r="N794" s="18"/>
      <c r="O794" s="18"/>
      <c r="P794" s="18"/>
      <c r="S794" s="6"/>
      <c r="V794" s="18"/>
      <c r="W794" s="18"/>
      <c r="X794" s="18"/>
      <c r="Y794" s="6"/>
      <c r="Z794" s="6"/>
      <c r="AA794" s="6"/>
      <c r="AB794" s="18"/>
      <c r="AC794" s="18"/>
      <c r="AD794" s="18"/>
      <c r="AE794" s="18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</row>
    <row r="795" spans="1:50">
      <c r="A795" s="16"/>
      <c r="B795" s="30"/>
      <c r="C795" s="16"/>
      <c r="D795" s="16"/>
      <c r="E795" s="16"/>
      <c r="F795" s="22"/>
      <c r="G795" s="22"/>
      <c r="H795" s="22"/>
      <c r="I795" s="16"/>
      <c r="J795" s="16"/>
      <c r="K795" s="16"/>
      <c r="L795" s="18"/>
      <c r="M795" s="18"/>
      <c r="N795" s="18"/>
      <c r="O795" s="18"/>
      <c r="P795" s="18"/>
      <c r="S795" s="6"/>
      <c r="V795" s="18"/>
      <c r="W795" s="18"/>
      <c r="X795" s="18"/>
      <c r="Y795" s="6"/>
      <c r="Z795" s="6"/>
      <c r="AA795" s="6"/>
      <c r="AB795" s="18"/>
      <c r="AC795" s="18"/>
      <c r="AD795" s="18"/>
      <c r="AE795" s="18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</row>
    <row r="796" spans="1:50">
      <c r="A796" s="16"/>
      <c r="B796" s="30"/>
      <c r="C796" s="16"/>
      <c r="D796" s="16"/>
      <c r="E796" s="16"/>
      <c r="F796" s="22"/>
      <c r="G796" s="22"/>
      <c r="H796" s="22"/>
      <c r="I796" s="16"/>
      <c r="J796" s="16"/>
      <c r="K796" s="16"/>
      <c r="L796" s="18"/>
      <c r="M796" s="18"/>
      <c r="N796" s="18"/>
      <c r="O796" s="18"/>
      <c r="P796" s="18"/>
      <c r="S796" s="6"/>
      <c r="V796" s="18"/>
      <c r="W796" s="18"/>
      <c r="X796" s="18"/>
      <c r="Y796" s="6"/>
      <c r="Z796" s="6"/>
      <c r="AA796" s="6"/>
      <c r="AB796" s="18"/>
      <c r="AC796" s="18"/>
      <c r="AD796" s="18"/>
      <c r="AE796" s="18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</row>
    <row r="797" spans="1:50">
      <c r="A797" s="16"/>
      <c r="B797" s="30"/>
      <c r="C797" s="16"/>
      <c r="D797" s="16"/>
      <c r="E797" s="16"/>
      <c r="F797" s="22"/>
      <c r="G797" s="22"/>
      <c r="H797" s="22"/>
      <c r="I797" s="16"/>
      <c r="J797" s="16"/>
      <c r="K797" s="16"/>
      <c r="L797" s="18"/>
      <c r="M797" s="18"/>
      <c r="N797" s="18"/>
      <c r="O797" s="18"/>
      <c r="P797" s="18"/>
      <c r="S797" s="6"/>
      <c r="V797" s="18"/>
      <c r="W797" s="18"/>
      <c r="X797" s="18"/>
      <c r="Y797" s="6"/>
      <c r="Z797" s="6"/>
      <c r="AA797" s="6"/>
      <c r="AB797" s="18"/>
      <c r="AC797" s="18"/>
      <c r="AD797" s="18"/>
      <c r="AE797" s="18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</row>
    <row r="798" spans="1:50">
      <c r="A798" s="16"/>
      <c r="B798" s="30"/>
      <c r="C798" s="16"/>
      <c r="D798" s="16"/>
      <c r="E798" s="16"/>
      <c r="F798" s="22"/>
      <c r="G798" s="22"/>
      <c r="H798" s="22"/>
      <c r="I798" s="16"/>
      <c r="J798" s="16"/>
      <c r="K798" s="16"/>
      <c r="L798" s="18"/>
      <c r="M798" s="18"/>
      <c r="N798" s="18"/>
      <c r="O798" s="18"/>
      <c r="P798" s="18"/>
      <c r="S798" s="6"/>
      <c r="V798" s="18"/>
      <c r="W798" s="18"/>
      <c r="X798" s="18"/>
      <c r="Y798" s="6"/>
      <c r="Z798" s="6"/>
      <c r="AA798" s="6"/>
      <c r="AB798" s="18"/>
      <c r="AC798" s="18"/>
      <c r="AD798" s="18"/>
      <c r="AE798" s="18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</row>
    <row r="799" spans="1:50">
      <c r="A799" s="16"/>
      <c r="B799" s="30"/>
      <c r="C799" s="16"/>
      <c r="D799" s="16"/>
      <c r="E799" s="16"/>
      <c r="F799" s="22"/>
      <c r="G799" s="22"/>
      <c r="H799" s="22"/>
      <c r="I799" s="16"/>
      <c r="J799" s="16"/>
      <c r="K799" s="16"/>
      <c r="L799" s="18"/>
      <c r="M799" s="18"/>
      <c r="N799" s="18"/>
      <c r="O799" s="18"/>
      <c r="P799" s="18"/>
      <c r="S799" s="6"/>
      <c r="V799" s="18"/>
      <c r="W799" s="18"/>
      <c r="X799" s="18"/>
      <c r="Y799" s="6"/>
      <c r="Z799" s="6"/>
      <c r="AA799" s="6"/>
      <c r="AB799" s="18"/>
      <c r="AC799" s="18"/>
      <c r="AD799" s="18"/>
      <c r="AE799" s="18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</row>
    <row r="800" spans="1:50">
      <c r="A800" s="16"/>
      <c r="B800" s="30"/>
      <c r="C800" s="16"/>
      <c r="D800" s="16"/>
      <c r="E800" s="16"/>
      <c r="F800" s="22"/>
      <c r="G800" s="22"/>
      <c r="H800" s="22"/>
      <c r="I800" s="16"/>
      <c r="J800" s="16"/>
      <c r="K800" s="16"/>
      <c r="L800" s="18"/>
      <c r="M800" s="18"/>
      <c r="N800" s="18"/>
      <c r="O800" s="18"/>
      <c r="P800" s="18"/>
      <c r="S800" s="6"/>
      <c r="V800" s="18"/>
      <c r="W800" s="18"/>
      <c r="X800" s="18"/>
      <c r="Y800" s="6"/>
      <c r="Z800" s="6"/>
      <c r="AA800" s="6"/>
      <c r="AB800" s="18"/>
      <c r="AC800" s="18"/>
      <c r="AD800" s="18"/>
      <c r="AE800" s="18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</row>
    <row r="801" spans="1:50">
      <c r="A801" s="16"/>
      <c r="B801" s="30"/>
      <c r="C801" s="16"/>
      <c r="D801" s="16"/>
      <c r="E801" s="16"/>
      <c r="F801" s="22"/>
      <c r="G801" s="22"/>
      <c r="H801" s="22"/>
      <c r="I801" s="16"/>
      <c r="J801" s="16"/>
      <c r="K801" s="16"/>
      <c r="L801" s="18"/>
      <c r="M801" s="18"/>
      <c r="N801" s="18"/>
      <c r="O801" s="18"/>
      <c r="P801" s="18"/>
      <c r="S801" s="6"/>
      <c r="V801" s="18"/>
      <c r="W801" s="18"/>
      <c r="X801" s="18"/>
      <c r="Y801" s="6"/>
      <c r="Z801" s="6"/>
      <c r="AA801" s="6"/>
      <c r="AB801" s="18"/>
      <c r="AC801" s="18"/>
      <c r="AD801" s="18"/>
      <c r="AE801" s="18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</row>
    <row r="802" spans="1:50">
      <c r="A802" s="16"/>
      <c r="B802" s="30"/>
      <c r="C802" s="16"/>
      <c r="D802" s="16"/>
      <c r="E802" s="16"/>
      <c r="F802" s="22"/>
      <c r="G802" s="22"/>
      <c r="H802" s="22"/>
      <c r="I802" s="16"/>
      <c r="J802" s="16"/>
      <c r="K802" s="16"/>
      <c r="L802" s="18"/>
      <c r="M802" s="18"/>
      <c r="N802" s="18"/>
      <c r="O802" s="18"/>
      <c r="P802" s="18"/>
      <c r="S802" s="6"/>
      <c r="V802" s="18"/>
      <c r="W802" s="18"/>
      <c r="X802" s="18"/>
      <c r="Y802" s="6"/>
      <c r="Z802" s="6"/>
      <c r="AA802" s="6"/>
      <c r="AB802" s="18"/>
      <c r="AC802" s="18"/>
      <c r="AD802" s="18"/>
      <c r="AE802" s="18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</row>
    <row r="803" spans="1:50">
      <c r="A803" s="16"/>
      <c r="B803" s="30"/>
      <c r="C803" s="16"/>
      <c r="D803" s="16"/>
      <c r="E803" s="16"/>
      <c r="F803" s="22"/>
      <c r="G803" s="22"/>
      <c r="H803" s="22"/>
      <c r="I803" s="16"/>
      <c r="J803" s="16"/>
      <c r="K803" s="16"/>
      <c r="L803" s="18"/>
      <c r="M803" s="18"/>
      <c r="N803" s="18"/>
      <c r="O803" s="18"/>
      <c r="P803" s="18"/>
      <c r="S803" s="6"/>
      <c r="V803" s="18"/>
      <c r="W803" s="18"/>
      <c r="X803" s="18"/>
      <c r="Y803" s="6"/>
      <c r="Z803" s="6"/>
      <c r="AA803" s="6"/>
      <c r="AB803" s="18"/>
      <c r="AC803" s="18"/>
      <c r="AD803" s="18"/>
      <c r="AE803" s="18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</row>
    <row r="804" spans="1:50">
      <c r="A804" s="16"/>
      <c r="B804" s="30"/>
      <c r="C804" s="16"/>
      <c r="D804" s="16"/>
      <c r="E804" s="16"/>
      <c r="F804" s="22"/>
      <c r="G804" s="22"/>
      <c r="H804" s="22"/>
      <c r="I804" s="16"/>
      <c r="J804" s="16"/>
      <c r="K804" s="16"/>
      <c r="L804" s="18"/>
      <c r="M804" s="18"/>
      <c r="N804" s="18"/>
      <c r="O804" s="18"/>
      <c r="P804" s="18"/>
      <c r="S804" s="6"/>
      <c r="V804" s="18"/>
      <c r="W804" s="18"/>
      <c r="X804" s="18"/>
      <c r="Y804" s="6"/>
      <c r="Z804" s="6"/>
      <c r="AA804" s="6"/>
      <c r="AB804" s="18"/>
      <c r="AC804" s="18"/>
      <c r="AD804" s="18"/>
      <c r="AE804" s="18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</row>
    <row r="805" spans="1:50">
      <c r="A805" s="16"/>
      <c r="B805" s="30"/>
      <c r="C805" s="16"/>
      <c r="D805" s="16"/>
      <c r="E805" s="16"/>
      <c r="F805" s="22"/>
      <c r="G805" s="22"/>
      <c r="H805" s="22"/>
      <c r="I805" s="16"/>
      <c r="J805" s="16"/>
      <c r="K805" s="16"/>
      <c r="L805" s="18"/>
      <c r="M805" s="18"/>
      <c r="N805" s="18"/>
      <c r="O805" s="18"/>
      <c r="P805" s="18"/>
      <c r="S805" s="6"/>
      <c r="V805" s="18"/>
      <c r="W805" s="18"/>
      <c r="X805" s="18"/>
      <c r="Y805" s="6"/>
      <c r="Z805" s="6"/>
      <c r="AA805" s="6"/>
      <c r="AB805" s="18"/>
      <c r="AC805" s="18"/>
      <c r="AD805" s="18"/>
      <c r="AE805" s="18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</row>
    <row r="806" spans="1:50">
      <c r="A806" s="16"/>
      <c r="B806" s="30"/>
      <c r="C806" s="16"/>
      <c r="D806" s="16"/>
      <c r="E806" s="16"/>
      <c r="F806" s="22"/>
      <c r="G806" s="22"/>
      <c r="H806" s="22"/>
      <c r="I806" s="16"/>
      <c r="J806" s="16"/>
      <c r="K806" s="16"/>
      <c r="L806" s="18"/>
      <c r="M806" s="18"/>
      <c r="N806" s="18"/>
      <c r="O806" s="18"/>
      <c r="P806" s="18"/>
      <c r="S806" s="6"/>
      <c r="V806" s="18"/>
      <c r="W806" s="18"/>
      <c r="X806" s="18"/>
      <c r="Y806" s="6"/>
      <c r="Z806" s="6"/>
      <c r="AA806" s="6"/>
      <c r="AB806" s="18"/>
      <c r="AC806" s="18"/>
      <c r="AD806" s="18"/>
      <c r="AE806" s="18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</row>
    <row r="807" spans="1:50">
      <c r="A807" s="16"/>
      <c r="B807" s="30"/>
      <c r="C807" s="16"/>
      <c r="D807" s="16"/>
      <c r="E807" s="16"/>
      <c r="F807" s="22"/>
      <c r="G807" s="22"/>
      <c r="H807" s="22"/>
      <c r="I807" s="16"/>
      <c r="J807" s="16"/>
      <c r="K807" s="16"/>
      <c r="L807" s="18"/>
      <c r="M807" s="18"/>
      <c r="N807" s="18"/>
      <c r="O807" s="18"/>
      <c r="P807" s="18"/>
      <c r="S807" s="6"/>
      <c r="V807" s="18"/>
      <c r="W807" s="18"/>
      <c r="X807" s="18"/>
      <c r="Y807" s="6"/>
      <c r="Z807" s="6"/>
      <c r="AA807" s="6"/>
      <c r="AB807" s="18"/>
      <c r="AC807" s="18"/>
      <c r="AD807" s="18"/>
      <c r="AE807" s="18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</row>
    <row r="808" spans="1:50">
      <c r="A808" s="16"/>
      <c r="B808" s="30"/>
      <c r="C808" s="16"/>
      <c r="D808" s="16"/>
      <c r="E808" s="16"/>
      <c r="F808" s="22"/>
      <c r="G808" s="22"/>
      <c r="H808" s="22"/>
      <c r="I808" s="16"/>
      <c r="J808" s="16"/>
      <c r="K808" s="16"/>
      <c r="L808" s="18"/>
      <c r="M808" s="18"/>
      <c r="N808" s="18"/>
      <c r="O808" s="18"/>
      <c r="P808" s="18"/>
      <c r="S808" s="6"/>
      <c r="V808" s="18"/>
      <c r="W808" s="18"/>
      <c r="X808" s="18"/>
      <c r="Y808" s="6"/>
      <c r="Z808" s="6"/>
      <c r="AA808" s="6"/>
      <c r="AB808" s="18"/>
      <c r="AC808" s="18"/>
      <c r="AD808" s="18"/>
      <c r="AE808" s="18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</row>
    <row r="809" spans="1:50">
      <c r="A809" s="16"/>
      <c r="B809" s="30"/>
      <c r="C809" s="16"/>
      <c r="D809" s="16"/>
      <c r="E809" s="16"/>
      <c r="F809" s="22"/>
      <c r="G809" s="22"/>
      <c r="H809" s="22"/>
      <c r="I809" s="16"/>
      <c r="J809" s="16"/>
      <c r="K809" s="16"/>
      <c r="L809" s="18"/>
      <c r="M809" s="18"/>
      <c r="N809" s="18"/>
      <c r="O809" s="18"/>
      <c r="P809" s="18"/>
      <c r="S809" s="6"/>
      <c r="V809" s="18"/>
      <c r="W809" s="18"/>
      <c r="X809" s="18"/>
      <c r="Y809" s="6"/>
      <c r="Z809" s="6"/>
      <c r="AA809" s="6"/>
      <c r="AB809" s="18"/>
      <c r="AC809" s="18"/>
      <c r="AD809" s="18"/>
      <c r="AE809" s="18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</row>
    <row r="810" spans="1:50">
      <c r="A810" s="16"/>
      <c r="B810" s="30"/>
      <c r="C810" s="16"/>
      <c r="D810" s="16"/>
      <c r="E810" s="16"/>
      <c r="F810" s="22"/>
      <c r="G810" s="22"/>
      <c r="H810" s="22"/>
      <c r="I810" s="16"/>
      <c r="J810" s="16"/>
      <c r="K810" s="16"/>
      <c r="L810" s="18"/>
      <c r="M810" s="18"/>
      <c r="N810" s="18"/>
      <c r="O810" s="18"/>
      <c r="P810" s="18"/>
      <c r="S810" s="6"/>
      <c r="V810" s="18"/>
      <c r="W810" s="18"/>
      <c r="X810" s="18"/>
      <c r="Y810" s="6"/>
      <c r="Z810" s="6"/>
      <c r="AA810" s="6"/>
      <c r="AB810" s="18"/>
      <c r="AC810" s="18"/>
      <c r="AD810" s="18"/>
      <c r="AE810" s="18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</row>
    <row r="811" spans="1:50">
      <c r="A811" s="16"/>
      <c r="B811" s="30"/>
      <c r="C811" s="16"/>
      <c r="D811" s="16"/>
      <c r="E811" s="16"/>
      <c r="F811" s="22"/>
      <c r="G811" s="22"/>
      <c r="H811" s="22"/>
      <c r="I811" s="16"/>
      <c r="J811" s="16"/>
      <c r="K811" s="16"/>
      <c r="L811" s="18"/>
      <c r="M811" s="18"/>
      <c r="N811" s="18"/>
      <c r="O811" s="18"/>
      <c r="P811" s="18"/>
      <c r="S811" s="6"/>
      <c r="V811" s="18"/>
      <c r="W811" s="18"/>
      <c r="X811" s="18"/>
      <c r="Y811" s="6"/>
      <c r="Z811" s="6"/>
      <c r="AA811" s="6"/>
      <c r="AB811" s="18"/>
      <c r="AC811" s="18"/>
      <c r="AD811" s="18"/>
      <c r="AE811" s="18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</row>
    <row r="812" spans="1:50">
      <c r="A812" s="16"/>
      <c r="B812" s="30"/>
      <c r="C812" s="16"/>
      <c r="D812" s="16"/>
      <c r="E812" s="16"/>
      <c r="F812" s="22"/>
      <c r="G812" s="22"/>
      <c r="H812" s="22"/>
      <c r="I812" s="16"/>
      <c r="J812" s="16"/>
      <c r="K812" s="16"/>
      <c r="L812" s="18"/>
      <c r="M812" s="18"/>
      <c r="N812" s="18"/>
      <c r="O812" s="18"/>
      <c r="P812" s="18"/>
      <c r="S812" s="6"/>
      <c r="V812" s="18"/>
      <c r="W812" s="18"/>
      <c r="X812" s="18"/>
      <c r="Y812" s="6"/>
      <c r="Z812" s="6"/>
      <c r="AA812" s="6"/>
      <c r="AB812" s="18"/>
      <c r="AC812" s="18"/>
      <c r="AD812" s="18"/>
      <c r="AE812" s="18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</row>
    <row r="813" spans="1:50">
      <c r="A813" s="16"/>
      <c r="B813" s="30"/>
      <c r="C813" s="16"/>
      <c r="D813" s="16"/>
      <c r="E813" s="16"/>
      <c r="F813" s="22"/>
      <c r="G813" s="22"/>
      <c r="H813" s="22"/>
      <c r="I813" s="16"/>
      <c r="J813" s="16"/>
      <c r="K813" s="16"/>
      <c r="L813" s="18"/>
      <c r="M813" s="18"/>
      <c r="N813" s="18"/>
      <c r="O813" s="18"/>
      <c r="P813" s="18"/>
      <c r="S813" s="6"/>
      <c r="V813" s="18"/>
      <c r="W813" s="18"/>
      <c r="X813" s="18"/>
      <c r="Y813" s="6"/>
      <c r="Z813" s="6"/>
      <c r="AA813" s="6"/>
      <c r="AB813" s="18"/>
      <c r="AC813" s="18"/>
      <c r="AD813" s="18"/>
      <c r="AE813" s="18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</row>
    <row r="814" spans="1:50">
      <c r="A814" s="16"/>
      <c r="B814" s="30"/>
      <c r="C814" s="16"/>
      <c r="D814" s="16"/>
      <c r="E814" s="16"/>
      <c r="F814" s="22"/>
      <c r="G814" s="22"/>
      <c r="H814" s="22"/>
      <c r="I814" s="16"/>
      <c r="J814" s="16"/>
      <c r="K814" s="16"/>
      <c r="L814" s="18"/>
      <c r="M814" s="18"/>
      <c r="N814" s="18"/>
      <c r="O814" s="18"/>
      <c r="P814" s="18"/>
      <c r="S814" s="6"/>
      <c r="V814" s="18"/>
      <c r="W814" s="18"/>
      <c r="X814" s="18"/>
      <c r="Y814" s="6"/>
      <c r="Z814" s="6"/>
      <c r="AA814" s="6"/>
      <c r="AB814" s="18"/>
      <c r="AC814" s="18"/>
      <c r="AD814" s="18"/>
      <c r="AE814" s="18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</row>
    <row r="815" spans="1:50">
      <c r="A815" s="16"/>
      <c r="B815" s="30"/>
      <c r="C815" s="16"/>
      <c r="D815" s="16"/>
      <c r="E815" s="16"/>
      <c r="F815" s="22"/>
      <c r="G815" s="22"/>
      <c r="H815" s="22"/>
      <c r="I815" s="16"/>
      <c r="J815" s="16"/>
      <c r="K815" s="16"/>
      <c r="L815" s="18"/>
      <c r="M815" s="18"/>
      <c r="N815" s="18"/>
      <c r="O815" s="18"/>
      <c r="P815" s="18"/>
      <c r="S815" s="6"/>
      <c r="V815" s="18"/>
      <c r="W815" s="18"/>
      <c r="X815" s="18"/>
      <c r="Y815" s="6"/>
      <c r="Z815" s="6"/>
      <c r="AA815" s="6"/>
      <c r="AB815" s="18"/>
      <c r="AC815" s="18"/>
      <c r="AD815" s="18"/>
      <c r="AE815" s="18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</row>
    <row r="816" spans="1:50">
      <c r="A816" s="16"/>
      <c r="B816" s="30"/>
      <c r="C816" s="16"/>
      <c r="D816" s="16"/>
      <c r="E816" s="16"/>
      <c r="F816" s="22"/>
      <c r="G816" s="22"/>
      <c r="H816" s="22"/>
      <c r="I816" s="16"/>
      <c r="J816" s="16"/>
      <c r="K816" s="16"/>
      <c r="L816" s="18"/>
      <c r="M816" s="18"/>
      <c r="N816" s="18"/>
      <c r="O816" s="18"/>
      <c r="P816" s="18"/>
      <c r="S816" s="6"/>
      <c r="V816" s="18"/>
      <c r="W816" s="18"/>
      <c r="X816" s="18"/>
      <c r="Y816" s="6"/>
      <c r="Z816" s="6"/>
      <c r="AA816" s="6"/>
      <c r="AB816" s="18"/>
      <c r="AC816" s="18"/>
      <c r="AD816" s="18"/>
      <c r="AE816" s="18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</row>
    <row r="817" spans="1:50">
      <c r="A817" s="16"/>
      <c r="B817" s="30"/>
      <c r="C817" s="16"/>
      <c r="D817" s="16"/>
      <c r="E817" s="16"/>
      <c r="F817" s="22"/>
      <c r="G817" s="22"/>
      <c r="H817" s="22"/>
      <c r="I817" s="16"/>
      <c r="J817" s="16"/>
      <c r="K817" s="16"/>
      <c r="L817" s="18"/>
      <c r="M817" s="18"/>
      <c r="N817" s="18"/>
      <c r="O817" s="18"/>
      <c r="P817" s="18"/>
      <c r="S817" s="6"/>
      <c r="V817" s="18"/>
      <c r="W817" s="18"/>
      <c r="X817" s="18"/>
      <c r="Y817" s="6"/>
      <c r="Z817" s="6"/>
      <c r="AA817" s="6"/>
      <c r="AB817" s="18"/>
      <c r="AC817" s="18"/>
      <c r="AD817" s="18"/>
      <c r="AE817" s="18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</row>
    <row r="818" spans="1:50">
      <c r="A818" s="16"/>
      <c r="B818" s="30"/>
      <c r="C818" s="16"/>
      <c r="D818" s="16"/>
      <c r="E818" s="16"/>
      <c r="F818" s="22"/>
      <c r="G818" s="22"/>
      <c r="H818" s="22"/>
      <c r="I818" s="16"/>
      <c r="J818" s="16"/>
      <c r="K818" s="16"/>
      <c r="L818" s="18"/>
      <c r="M818" s="18"/>
      <c r="N818" s="18"/>
      <c r="O818" s="18"/>
      <c r="P818" s="18"/>
      <c r="S818" s="6"/>
      <c r="V818" s="18"/>
      <c r="W818" s="18"/>
      <c r="X818" s="18"/>
      <c r="Y818" s="6"/>
      <c r="Z818" s="6"/>
      <c r="AA818" s="6"/>
      <c r="AB818" s="18"/>
      <c r="AC818" s="18"/>
      <c r="AD818" s="18"/>
      <c r="AE818" s="18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</row>
    <row r="819" spans="1:50">
      <c r="A819" s="16"/>
      <c r="B819" s="30"/>
      <c r="C819" s="16"/>
      <c r="D819" s="16"/>
      <c r="E819" s="16"/>
      <c r="F819" s="22"/>
      <c r="G819" s="22"/>
      <c r="H819" s="22"/>
      <c r="I819" s="16"/>
      <c r="J819" s="16"/>
      <c r="K819" s="16"/>
      <c r="L819" s="18"/>
      <c r="M819" s="18"/>
      <c r="N819" s="18"/>
      <c r="O819" s="18"/>
      <c r="P819" s="18"/>
      <c r="S819" s="6"/>
      <c r="V819" s="18"/>
      <c r="W819" s="18"/>
      <c r="X819" s="18"/>
      <c r="Y819" s="6"/>
      <c r="Z819" s="6"/>
      <c r="AA819" s="6"/>
      <c r="AB819" s="18"/>
      <c r="AC819" s="18"/>
      <c r="AD819" s="18"/>
      <c r="AE819" s="18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</row>
    <row r="820" spans="1:50">
      <c r="A820" s="16"/>
      <c r="B820" s="30"/>
      <c r="C820" s="16"/>
      <c r="D820" s="16"/>
      <c r="E820" s="16"/>
      <c r="F820" s="22"/>
      <c r="G820" s="22"/>
      <c r="H820" s="22"/>
      <c r="I820" s="16"/>
      <c r="J820" s="16"/>
      <c r="K820" s="16"/>
      <c r="L820" s="18"/>
      <c r="M820" s="18"/>
      <c r="N820" s="18"/>
      <c r="O820" s="18"/>
      <c r="P820" s="18"/>
      <c r="S820" s="6"/>
      <c r="V820" s="18"/>
      <c r="W820" s="18"/>
      <c r="X820" s="18"/>
      <c r="Y820" s="6"/>
      <c r="Z820" s="6"/>
      <c r="AA820" s="6"/>
      <c r="AB820" s="18"/>
      <c r="AC820" s="18"/>
      <c r="AD820" s="18"/>
      <c r="AE820" s="18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</row>
    <row r="821" spans="1:50">
      <c r="A821" s="16"/>
      <c r="B821" s="30"/>
      <c r="C821" s="16"/>
      <c r="D821" s="16"/>
      <c r="E821" s="16"/>
      <c r="F821" s="22"/>
      <c r="G821" s="22"/>
      <c r="H821" s="22"/>
      <c r="I821" s="16"/>
      <c r="J821" s="16"/>
      <c r="K821" s="16"/>
      <c r="L821" s="18"/>
      <c r="M821" s="18"/>
      <c r="N821" s="18"/>
      <c r="O821" s="18"/>
      <c r="P821" s="18"/>
      <c r="S821" s="6"/>
      <c r="V821" s="18"/>
      <c r="W821" s="18"/>
      <c r="X821" s="18"/>
      <c r="Y821" s="6"/>
      <c r="Z821" s="6"/>
      <c r="AA821" s="6"/>
      <c r="AB821" s="18"/>
      <c r="AC821" s="18"/>
      <c r="AD821" s="18"/>
      <c r="AE821" s="18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</row>
    <row r="822" spans="1:50">
      <c r="A822" s="16"/>
      <c r="B822" s="30"/>
      <c r="C822" s="16"/>
      <c r="D822" s="16"/>
      <c r="E822" s="16"/>
      <c r="F822" s="22"/>
      <c r="G822" s="22"/>
      <c r="H822" s="22"/>
      <c r="I822" s="16"/>
      <c r="J822" s="16"/>
      <c r="K822" s="16"/>
      <c r="L822" s="18"/>
      <c r="M822" s="18"/>
      <c r="N822" s="18"/>
      <c r="O822" s="18"/>
      <c r="P822" s="18"/>
      <c r="S822" s="6"/>
      <c r="V822" s="18"/>
      <c r="W822" s="18"/>
      <c r="X822" s="18"/>
      <c r="Y822" s="6"/>
      <c r="Z822" s="6"/>
      <c r="AA822" s="6"/>
      <c r="AB822" s="18"/>
      <c r="AC822" s="18"/>
      <c r="AD822" s="18"/>
      <c r="AE822" s="18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</row>
    <row r="823" spans="1:50">
      <c r="A823" s="16"/>
      <c r="B823" s="30"/>
      <c r="C823" s="16"/>
      <c r="D823" s="16"/>
      <c r="E823" s="16"/>
      <c r="F823" s="22"/>
      <c r="G823" s="22"/>
      <c r="H823" s="22"/>
      <c r="I823" s="16"/>
      <c r="J823" s="16"/>
      <c r="K823" s="16"/>
      <c r="L823" s="18"/>
      <c r="M823" s="18"/>
      <c r="N823" s="18"/>
      <c r="O823" s="18"/>
      <c r="P823" s="18"/>
      <c r="S823" s="6"/>
      <c r="V823" s="18"/>
      <c r="W823" s="18"/>
      <c r="X823" s="18"/>
      <c r="Y823" s="6"/>
      <c r="Z823" s="6"/>
      <c r="AA823" s="6"/>
      <c r="AB823" s="18"/>
      <c r="AC823" s="18"/>
      <c r="AD823" s="18"/>
      <c r="AE823" s="18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</row>
    <row r="824" spans="1:50">
      <c r="A824" s="16"/>
      <c r="B824" s="30"/>
      <c r="C824" s="16"/>
      <c r="D824" s="16"/>
      <c r="E824" s="16"/>
      <c r="F824" s="22"/>
      <c r="G824" s="22"/>
      <c r="H824" s="22"/>
      <c r="I824" s="16"/>
      <c r="J824" s="16"/>
      <c r="K824" s="16"/>
      <c r="L824" s="18"/>
      <c r="M824" s="18"/>
      <c r="N824" s="18"/>
      <c r="O824" s="18"/>
      <c r="P824" s="18"/>
      <c r="S824" s="6"/>
      <c r="V824" s="18"/>
      <c r="W824" s="18"/>
      <c r="X824" s="18"/>
      <c r="Y824" s="6"/>
      <c r="Z824" s="6"/>
      <c r="AA824" s="6"/>
      <c r="AB824" s="18"/>
      <c r="AC824" s="18"/>
      <c r="AD824" s="18"/>
      <c r="AE824" s="18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</row>
    <row r="825" spans="1:50">
      <c r="A825" s="16"/>
      <c r="B825" s="30"/>
      <c r="C825" s="16"/>
      <c r="D825" s="16"/>
      <c r="E825" s="16"/>
      <c r="F825" s="22"/>
      <c r="G825" s="22"/>
      <c r="H825" s="22"/>
      <c r="I825" s="16"/>
      <c r="J825" s="16"/>
      <c r="K825" s="16"/>
      <c r="L825" s="18"/>
      <c r="M825" s="18"/>
      <c r="N825" s="18"/>
      <c r="O825" s="18"/>
      <c r="P825" s="18"/>
      <c r="S825" s="6"/>
      <c r="V825" s="18"/>
      <c r="W825" s="18"/>
      <c r="X825" s="18"/>
      <c r="Y825" s="6"/>
      <c r="Z825" s="6"/>
      <c r="AA825" s="6"/>
      <c r="AB825" s="18"/>
      <c r="AC825" s="18"/>
      <c r="AD825" s="18"/>
      <c r="AE825" s="18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</row>
    <row r="826" spans="1:50">
      <c r="A826" s="16"/>
      <c r="B826" s="30"/>
      <c r="C826" s="16"/>
      <c r="D826" s="16"/>
      <c r="E826" s="16"/>
      <c r="F826" s="22"/>
      <c r="G826" s="22"/>
      <c r="H826" s="22"/>
      <c r="I826" s="16"/>
      <c r="J826" s="16"/>
      <c r="K826" s="16"/>
      <c r="L826" s="18"/>
      <c r="M826" s="18"/>
      <c r="N826" s="18"/>
      <c r="O826" s="18"/>
      <c r="P826" s="18"/>
      <c r="S826" s="6"/>
      <c r="V826" s="18"/>
      <c r="W826" s="18"/>
      <c r="X826" s="18"/>
      <c r="Y826" s="6"/>
      <c r="Z826" s="6"/>
      <c r="AA826" s="6"/>
      <c r="AB826" s="18"/>
      <c r="AC826" s="18"/>
      <c r="AD826" s="18"/>
      <c r="AE826" s="18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</row>
    <row r="827" spans="1:50">
      <c r="A827" s="16"/>
      <c r="B827" s="30"/>
      <c r="C827" s="16"/>
      <c r="D827" s="16"/>
      <c r="E827" s="16"/>
      <c r="F827" s="22"/>
      <c r="G827" s="22"/>
      <c r="H827" s="22"/>
      <c r="I827" s="16"/>
      <c r="J827" s="16"/>
      <c r="K827" s="16"/>
      <c r="L827" s="18"/>
      <c r="M827" s="18"/>
      <c r="N827" s="18"/>
      <c r="O827" s="18"/>
      <c r="P827" s="18"/>
      <c r="S827" s="6"/>
      <c r="V827" s="18"/>
      <c r="W827" s="18"/>
      <c r="X827" s="18"/>
      <c r="Y827" s="6"/>
      <c r="Z827" s="6"/>
      <c r="AA827" s="6"/>
      <c r="AB827" s="18"/>
      <c r="AC827" s="18"/>
      <c r="AD827" s="18"/>
      <c r="AE827" s="18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</row>
    <row r="828" spans="1:50">
      <c r="A828" s="16"/>
      <c r="B828" s="30"/>
      <c r="C828" s="16"/>
      <c r="D828" s="16"/>
      <c r="E828" s="16"/>
      <c r="F828" s="22"/>
      <c r="G828" s="22"/>
      <c r="H828" s="22"/>
      <c r="I828" s="16"/>
      <c r="J828" s="16"/>
      <c r="K828" s="16"/>
      <c r="L828" s="18"/>
      <c r="M828" s="18"/>
      <c r="N828" s="18"/>
      <c r="O828" s="18"/>
      <c r="P828" s="18"/>
      <c r="S828" s="6"/>
      <c r="V828" s="18"/>
      <c r="W828" s="18"/>
      <c r="X828" s="18"/>
      <c r="Y828" s="6"/>
      <c r="Z828" s="6"/>
      <c r="AA828" s="6"/>
      <c r="AB828" s="18"/>
      <c r="AC828" s="18"/>
      <c r="AD828" s="18"/>
      <c r="AE828" s="18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</row>
    <row r="829" spans="1:50">
      <c r="A829" s="16"/>
      <c r="B829" s="30"/>
      <c r="C829" s="16"/>
      <c r="D829" s="16"/>
      <c r="E829" s="16"/>
      <c r="F829" s="22"/>
      <c r="G829" s="22"/>
      <c r="H829" s="22"/>
      <c r="I829" s="16"/>
      <c r="J829" s="16"/>
      <c r="K829" s="16"/>
      <c r="L829" s="18"/>
      <c r="M829" s="18"/>
      <c r="N829" s="18"/>
      <c r="O829" s="18"/>
      <c r="P829" s="18"/>
      <c r="S829" s="6"/>
      <c r="V829" s="18"/>
      <c r="W829" s="18"/>
      <c r="X829" s="18"/>
      <c r="Y829" s="6"/>
      <c r="Z829" s="6"/>
      <c r="AA829" s="6"/>
      <c r="AB829" s="18"/>
      <c r="AC829" s="18"/>
      <c r="AD829" s="18"/>
      <c r="AE829" s="18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</row>
    <row r="830" spans="1:50">
      <c r="A830" s="16"/>
      <c r="B830" s="30"/>
      <c r="C830" s="16"/>
      <c r="D830" s="16"/>
      <c r="E830" s="16"/>
      <c r="F830" s="22"/>
      <c r="G830" s="22"/>
      <c r="H830" s="22"/>
      <c r="I830" s="16"/>
      <c r="J830" s="16"/>
      <c r="K830" s="16"/>
      <c r="L830" s="18"/>
      <c r="M830" s="18"/>
      <c r="N830" s="18"/>
      <c r="O830" s="18"/>
      <c r="P830" s="18"/>
      <c r="S830" s="6"/>
      <c r="V830" s="18"/>
      <c r="W830" s="18"/>
      <c r="X830" s="18"/>
      <c r="Y830" s="6"/>
      <c r="Z830" s="6"/>
      <c r="AA830" s="6"/>
      <c r="AB830" s="18"/>
      <c r="AC830" s="18"/>
      <c r="AD830" s="18"/>
      <c r="AE830" s="18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</row>
    <row r="831" spans="1:50">
      <c r="A831" s="16"/>
      <c r="B831" s="30"/>
      <c r="C831" s="16"/>
      <c r="D831" s="16"/>
      <c r="E831" s="16"/>
      <c r="F831" s="22"/>
      <c r="G831" s="22"/>
      <c r="H831" s="22"/>
      <c r="I831" s="16"/>
      <c r="J831" s="16"/>
      <c r="K831" s="16"/>
      <c r="L831" s="18"/>
      <c r="M831" s="18"/>
      <c r="N831" s="18"/>
      <c r="O831" s="18"/>
      <c r="P831" s="18"/>
      <c r="S831" s="6"/>
      <c r="V831" s="18"/>
      <c r="W831" s="18"/>
      <c r="X831" s="18"/>
      <c r="Y831" s="6"/>
      <c r="Z831" s="6"/>
      <c r="AA831" s="6"/>
      <c r="AB831" s="18"/>
      <c r="AC831" s="18"/>
      <c r="AD831" s="18"/>
      <c r="AE831" s="18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</row>
    <row r="832" spans="1:50">
      <c r="A832" s="16"/>
      <c r="B832" s="30"/>
      <c r="C832" s="16"/>
      <c r="D832" s="16"/>
      <c r="E832" s="16"/>
      <c r="F832" s="22"/>
      <c r="G832" s="22"/>
      <c r="H832" s="22"/>
      <c r="I832" s="16"/>
      <c r="J832" s="16"/>
      <c r="K832" s="16"/>
      <c r="L832" s="18"/>
      <c r="M832" s="18"/>
      <c r="N832" s="18"/>
      <c r="O832" s="18"/>
      <c r="P832" s="18"/>
      <c r="S832" s="6"/>
      <c r="V832" s="18"/>
      <c r="W832" s="18"/>
      <c r="X832" s="18"/>
      <c r="Y832" s="6"/>
      <c r="Z832" s="6"/>
      <c r="AA832" s="6"/>
      <c r="AB832" s="18"/>
      <c r="AC832" s="18"/>
      <c r="AD832" s="18"/>
      <c r="AE832" s="18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</row>
    <row r="833" spans="1:50">
      <c r="A833" s="16"/>
      <c r="B833" s="30"/>
      <c r="C833" s="16"/>
      <c r="D833" s="16"/>
      <c r="E833" s="16"/>
      <c r="F833" s="22"/>
      <c r="G833" s="22"/>
      <c r="H833" s="22"/>
      <c r="I833" s="16"/>
      <c r="J833" s="16"/>
      <c r="K833" s="16"/>
      <c r="L833" s="18"/>
      <c r="M833" s="18"/>
      <c r="N833" s="18"/>
      <c r="O833" s="18"/>
      <c r="P833" s="18"/>
      <c r="S833" s="6"/>
      <c r="V833" s="18"/>
      <c r="W833" s="18"/>
      <c r="X833" s="18"/>
      <c r="Y833" s="6"/>
      <c r="Z833" s="6"/>
      <c r="AA833" s="6"/>
      <c r="AB833" s="18"/>
      <c r="AC833" s="18"/>
      <c r="AD833" s="18"/>
      <c r="AE833" s="18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</row>
    <row r="834" spans="1:50">
      <c r="A834" s="16"/>
      <c r="B834" s="30"/>
      <c r="C834" s="16"/>
      <c r="D834" s="16"/>
      <c r="E834" s="16"/>
      <c r="F834" s="22"/>
      <c r="G834" s="22"/>
      <c r="H834" s="22"/>
      <c r="I834" s="16"/>
      <c r="J834" s="16"/>
      <c r="K834" s="16"/>
      <c r="L834" s="18"/>
      <c r="M834" s="18"/>
      <c r="N834" s="18"/>
      <c r="O834" s="18"/>
      <c r="P834" s="18"/>
      <c r="S834" s="6"/>
      <c r="V834" s="18"/>
      <c r="W834" s="18"/>
      <c r="X834" s="18"/>
      <c r="Y834" s="6"/>
      <c r="Z834" s="6"/>
      <c r="AA834" s="6"/>
      <c r="AB834" s="18"/>
      <c r="AC834" s="18"/>
      <c r="AD834" s="18"/>
      <c r="AE834" s="18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</row>
    <row r="835" spans="1:50">
      <c r="A835" s="16"/>
      <c r="B835" s="30"/>
      <c r="C835" s="16"/>
      <c r="D835" s="16"/>
      <c r="E835" s="16"/>
      <c r="F835" s="22"/>
      <c r="G835" s="22"/>
      <c r="H835" s="22"/>
      <c r="I835" s="16"/>
      <c r="J835" s="16"/>
      <c r="K835" s="16"/>
      <c r="L835" s="18"/>
      <c r="M835" s="18"/>
      <c r="N835" s="18"/>
      <c r="O835" s="18"/>
      <c r="P835" s="18"/>
      <c r="S835" s="6"/>
      <c r="V835" s="18"/>
      <c r="W835" s="18"/>
      <c r="X835" s="18"/>
      <c r="Y835" s="6"/>
      <c r="Z835" s="6"/>
      <c r="AA835" s="6"/>
      <c r="AB835" s="18"/>
      <c r="AC835" s="18"/>
      <c r="AD835" s="18"/>
      <c r="AE835" s="18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</row>
    <row r="836" spans="1:50">
      <c r="A836" s="16"/>
      <c r="B836" s="30"/>
      <c r="C836" s="16"/>
      <c r="D836" s="16"/>
      <c r="E836" s="16"/>
      <c r="F836" s="22"/>
      <c r="G836" s="22"/>
      <c r="H836" s="22"/>
      <c r="I836" s="16"/>
      <c r="J836" s="16"/>
      <c r="K836" s="16"/>
      <c r="L836" s="18"/>
      <c r="M836" s="18"/>
      <c r="N836" s="18"/>
      <c r="O836" s="18"/>
      <c r="P836" s="18"/>
      <c r="S836" s="6"/>
      <c r="V836" s="18"/>
      <c r="W836" s="18"/>
      <c r="X836" s="18"/>
      <c r="Y836" s="6"/>
      <c r="Z836" s="6"/>
      <c r="AA836" s="6"/>
      <c r="AB836" s="18"/>
      <c r="AC836" s="18"/>
      <c r="AD836" s="18"/>
      <c r="AE836" s="18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</row>
    <row r="837" spans="1:50">
      <c r="A837" s="16"/>
      <c r="B837" s="30"/>
      <c r="C837" s="16"/>
      <c r="D837" s="16"/>
      <c r="E837" s="16"/>
      <c r="F837" s="22"/>
      <c r="G837" s="22"/>
      <c r="H837" s="22"/>
      <c r="I837" s="16"/>
      <c r="J837" s="16"/>
      <c r="K837" s="16"/>
      <c r="L837" s="18"/>
      <c r="M837" s="18"/>
      <c r="N837" s="18"/>
      <c r="O837" s="18"/>
      <c r="P837" s="18"/>
      <c r="S837" s="6"/>
      <c r="V837" s="18"/>
      <c r="W837" s="18"/>
      <c r="X837" s="18"/>
      <c r="Y837" s="6"/>
      <c r="Z837" s="6"/>
      <c r="AA837" s="6"/>
      <c r="AB837" s="18"/>
      <c r="AC837" s="18"/>
      <c r="AD837" s="18"/>
      <c r="AE837" s="18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</row>
    <row r="838" spans="1:50">
      <c r="A838" s="16"/>
      <c r="B838" s="30"/>
      <c r="C838" s="16"/>
      <c r="D838" s="16"/>
      <c r="E838" s="16"/>
      <c r="F838" s="22"/>
      <c r="G838" s="22"/>
      <c r="H838" s="22"/>
      <c r="I838" s="16"/>
      <c r="J838" s="16"/>
      <c r="K838" s="16"/>
      <c r="L838" s="18"/>
      <c r="M838" s="18"/>
      <c r="N838" s="18"/>
      <c r="O838" s="18"/>
      <c r="P838" s="18"/>
      <c r="S838" s="6"/>
      <c r="V838" s="18"/>
      <c r="W838" s="18"/>
      <c r="X838" s="18"/>
      <c r="Y838" s="6"/>
      <c r="Z838" s="6"/>
      <c r="AA838" s="6"/>
      <c r="AB838" s="18"/>
      <c r="AC838" s="18"/>
      <c r="AD838" s="18"/>
      <c r="AE838" s="18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</row>
    <row r="839" spans="1:50">
      <c r="A839" s="16"/>
      <c r="B839" s="30"/>
      <c r="C839" s="16"/>
      <c r="D839" s="16"/>
      <c r="E839" s="16"/>
      <c r="F839" s="22"/>
      <c r="G839" s="22"/>
      <c r="H839" s="22"/>
      <c r="I839" s="16"/>
      <c r="J839" s="16"/>
      <c r="K839" s="16"/>
      <c r="L839" s="18"/>
      <c r="M839" s="18"/>
      <c r="N839" s="18"/>
      <c r="O839" s="18"/>
      <c r="P839" s="18"/>
      <c r="S839" s="6"/>
      <c r="V839" s="18"/>
      <c r="W839" s="18"/>
      <c r="X839" s="18"/>
      <c r="Y839" s="6"/>
      <c r="Z839" s="6"/>
      <c r="AA839" s="6"/>
      <c r="AB839" s="18"/>
      <c r="AC839" s="18"/>
      <c r="AD839" s="18"/>
      <c r="AE839" s="18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</row>
    <row r="840" spans="1:50">
      <c r="A840" s="16"/>
      <c r="B840" s="30"/>
      <c r="C840" s="16"/>
      <c r="D840" s="16"/>
      <c r="E840" s="16"/>
      <c r="F840" s="22"/>
      <c r="G840" s="22"/>
      <c r="H840" s="22"/>
      <c r="I840" s="16"/>
      <c r="J840" s="16"/>
      <c r="K840" s="16"/>
      <c r="L840" s="18"/>
      <c r="M840" s="18"/>
      <c r="N840" s="18"/>
      <c r="O840" s="18"/>
      <c r="P840" s="18"/>
      <c r="S840" s="6"/>
      <c r="V840" s="18"/>
      <c r="W840" s="18"/>
      <c r="X840" s="18"/>
      <c r="Y840" s="6"/>
      <c r="Z840" s="6"/>
      <c r="AA840" s="6"/>
      <c r="AB840" s="18"/>
      <c r="AC840" s="18"/>
      <c r="AD840" s="18"/>
      <c r="AE840" s="18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</row>
    <row r="841" spans="1:50">
      <c r="A841" s="16"/>
      <c r="B841" s="30"/>
      <c r="C841" s="16"/>
      <c r="D841" s="16"/>
      <c r="E841" s="16"/>
      <c r="F841" s="22"/>
      <c r="G841" s="22"/>
      <c r="H841" s="22"/>
      <c r="I841" s="16"/>
      <c r="J841" s="16"/>
      <c r="K841" s="16"/>
      <c r="L841" s="18"/>
      <c r="M841" s="18"/>
      <c r="N841" s="18"/>
      <c r="O841" s="18"/>
      <c r="P841" s="18"/>
      <c r="S841" s="6"/>
      <c r="V841" s="18"/>
      <c r="W841" s="18"/>
      <c r="X841" s="18"/>
      <c r="Y841" s="6"/>
      <c r="Z841" s="6"/>
      <c r="AA841" s="6"/>
      <c r="AB841" s="18"/>
      <c r="AC841" s="18"/>
      <c r="AD841" s="18"/>
      <c r="AE841" s="18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</row>
    <row r="842" spans="1:50">
      <c r="A842" s="16"/>
      <c r="B842" s="30"/>
      <c r="C842" s="16"/>
      <c r="D842" s="16"/>
      <c r="E842" s="16"/>
      <c r="F842" s="22"/>
      <c r="G842" s="22"/>
      <c r="H842" s="22"/>
      <c r="I842" s="16"/>
      <c r="J842" s="16"/>
      <c r="K842" s="16"/>
      <c r="L842" s="18"/>
      <c r="M842" s="18"/>
      <c r="N842" s="18"/>
      <c r="O842" s="18"/>
      <c r="P842" s="18"/>
      <c r="S842" s="6"/>
      <c r="V842" s="18"/>
      <c r="W842" s="18"/>
      <c r="X842" s="18"/>
      <c r="Y842" s="6"/>
      <c r="Z842" s="6"/>
      <c r="AA842" s="6"/>
      <c r="AB842" s="18"/>
      <c r="AC842" s="18"/>
      <c r="AD842" s="18"/>
      <c r="AE842" s="18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</row>
    <row r="843" spans="1:50">
      <c r="A843" s="16"/>
      <c r="B843" s="30"/>
      <c r="C843" s="16"/>
      <c r="D843" s="16"/>
      <c r="E843" s="16"/>
      <c r="F843" s="22"/>
      <c r="G843" s="22"/>
      <c r="H843" s="22"/>
      <c r="I843" s="16"/>
      <c r="J843" s="16"/>
      <c r="K843" s="16"/>
      <c r="L843" s="18"/>
      <c r="M843" s="18"/>
      <c r="N843" s="18"/>
      <c r="O843" s="18"/>
      <c r="P843" s="18"/>
      <c r="S843" s="6"/>
      <c r="V843" s="18"/>
      <c r="W843" s="18"/>
      <c r="X843" s="18"/>
      <c r="Y843" s="6"/>
      <c r="Z843" s="6"/>
      <c r="AA843" s="6"/>
      <c r="AB843" s="18"/>
      <c r="AC843" s="18"/>
      <c r="AD843" s="18"/>
      <c r="AE843" s="18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</row>
    <row r="844" spans="1:50">
      <c r="A844" s="16"/>
      <c r="B844" s="30"/>
      <c r="C844" s="16"/>
      <c r="D844" s="16"/>
      <c r="E844" s="16"/>
      <c r="F844" s="22"/>
      <c r="G844" s="22"/>
      <c r="H844" s="22"/>
      <c r="I844" s="16"/>
      <c r="J844" s="16"/>
      <c r="K844" s="16"/>
      <c r="L844" s="18"/>
      <c r="M844" s="18"/>
      <c r="N844" s="18"/>
      <c r="O844" s="18"/>
      <c r="P844" s="18"/>
      <c r="S844" s="6"/>
      <c r="V844" s="18"/>
      <c r="W844" s="18"/>
      <c r="X844" s="18"/>
      <c r="Y844" s="6"/>
      <c r="Z844" s="6"/>
      <c r="AA844" s="6"/>
      <c r="AB844" s="18"/>
      <c r="AC844" s="18"/>
      <c r="AD844" s="18"/>
      <c r="AE844" s="18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</row>
    <row r="845" spans="1:50">
      <c r="A845" s="16"/>
      <c r="B845" s="30"/>
      <c r="C845" s="16"/>
      <c r="D845" s="16"/>
      <c r="E845" s="16"/>
      <c r="F845" s="22"/>
      <c r="G845" s="22"/>
      <c r="H845" s="22"/>
      <c r="I845" s="16"/>
      <c r="J845" s="16"/>
      <c r="K845" s="16"/>
      <c r="L845" s="18"/>
      <c r="M845" s="18"/>
      <c r="N845" s="18"/>
      <c r="O845" s="18"/>
      <c r="P845" s="18"/>
      <c r="S845" s="6"/>
      <c r="V845" s="18"/>
      <c r="W845" s="18"/>
      <c r="X845" s="18"/>
      <c r="Y845" s="6"/>
      <c r="Z845" s="6"/>
      <c r="AA845" s="6"/>
      <c r="AB845" s="18"/>
      <c r="AC845" s="18"/>
      <c r="AD845" s="18"/>
      <c r="AE845" s="18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</row>
    <row r="846" spans="1:50">
      <c r="A846" s="16"/>
      <c r="B846" s="30"/>
      <c r="C846" s="16"/>
      <c r="D846" s="16"/>
      <c r="E846" s="16"/>
      <c r="F846" s="22"/>
      <c r="G846" s="22"/>
      <c r="H846" s="22"/>
      <c r="I846" s="16"/>
      <c r="J846" s="16"/>
      <c r="K846" s="16"/>
      <c r="L846" s="18"/>
      <c r="M846" s="18"/>
      <c r="N846" s="18"/>
      <c r="O846" s="18"/>
      <c r="P846" s="18"/>
      <c r="S846" s="6"/>
      <c r="V846" s="18"/>
      <c r="W846" s="18"/>
      <c r="X846" s="18"/>
      <c r="Y846" s="6"/>
      <c r="Z846" s="6"/>
      <c r="AA846" s="6"/>
      <c r="AB846" s="18"/>
      <c r="AC846" s="18"/>
      <c r="AD846" s="18"/>
      <c r="AE846" s="18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</row>
    <row r="847" spans="1:50">
      <c r="A847" s="16"/>
      <c r="B847" s="30"/>
      <c r="C847" s="16"/>
      <c r="D847" s="16"/>
      <c r="E847" s="16"/>
      <c r="F847" s="22"/>
      <c r="G847" s="22"/>
      <c r="H847" s="22"/>
      <c r="I847" s="16"/>
      <c r="J847" s="16"/>
      <c r="K847" s="16"/>
      <c r="L847" s="18"/>
      <c r="M847" s="18"/>
      <c r="N847" s="18"/>
      <c r="O847" s="18"/>
      <c r="P847" s="18"/>
      <c r="S847" s="6"/>
      <c r="V847" s="18"/>
      <c r="W847" s="18"/>
      <c r="X847" s="18"/>
      <c r="Y847" s="6"/>
      <c r="Z847" s="6"/>
      <c r="AA847" s="6"/>
      <c r="AB847" s="18"/>
      <c r="AC847" s="18"/>
      <c r="AD847" s="18"/>
      <c r="AE847" s="18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</row>
    <row r="848" spans="1:50">
      <c r="A848" s="16"/>
      <c r="B848" s="30"/>
      <c r="C848" s="16"/>
      <c r="D848" s="16"/>
      <c r="E848" s="16"/>
      <c r="F848" s="22"/>
      <c r="G848" s="22"/>
      <c r="H848" s="22"/>
      <c r="I848" s="16"/>
      <c r="J848" s="16"/>
      <c r="K848" s="16"/>
      <c r="L848" s="18"/>
      <c r="M848" s="18"/>
      <c r="N848" s="18"/>
      <c r="O848" s="18"/>
      <c r="P848" s="18"/>
      <c r="S848" s="6"/>
      <c r="V848" s="18"/>
      <c r="W848" s="18"/>
      <c r="X848" s="18"/>
      <c r="Y848" s="6"/>
      <c r="Z848" s="6"/>
      <c r="AA848" s="6"/>
      <c r="AB848" s="18"/>
      <c r="AC848" s="18"/>
      <c r="AD848" s="18"/>
      <c r="AE848" s="18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</row>
    <row r="849" spans="1:50">
      <c r="A849" s="16"/>
      <c r="B849" s="30"/>
      <c r="C849" s="16"/>
      <c r="D849" s="16"/>
      <c r="E849" s="16"/>
      <c r="F849" s="22"/>
      <c r="G849" s="22"/>
      <c r="H849" s="22"/>
      <c r="I849" s="16"/>
      <c r="J849" s="16"/>
      <c r="K849" s="16"/>
      <c r="L849" s="18"/>
      <c r="M849" s="18"/>
      <c r="N849" s="18"/>
      <c r="O849" s="18"/>
      <c r="P849" s="18"/>
      <c r="S849" s="6"/>
      <c r="V849" s="18"/>
      <c r="W849" s="18"/>
      <c r="X849" s="18"/>
      <c r="Y849" s="6"/>
      <c r="Z849" s="6"/>
      <c r="AA849" s="6"/>
      <c r="AB849" s="18"/>
      <c r="AC849" s="18"/>
      <c r="AD849" s="18"/>
      <c r="AE849" s="18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</row>
    <row r="850" spans="1:50">
      <c r="A850" s="16"/>
      <c r="B850" s="30"/>
      <c r="C850" s="16"/>
      <c r="D850" s="16"/>
      <c r="E850" s="16"/>
      <c r="F850" s="22"/>
      <c r="G850" s="22"/>
      <c r="H850" s="22"/>
      <c r="I850" s="16"/>
      <c r="J850" s="16"/>
      <c r="K850" s="16"/>
      <c r="L850" s="18"/>
      <c r="M850" s="18"/>
      <c r="N850" s="18"/>
      <c r="O850" s="18"/>
      <c r="P850" s="18"/>
      <c r="S850" s="6"/>
      <c r="V850" s="18"/>
      <c r="W850" s="18"/>
      <c r="X850" s="18"/>
      <c r="Y850" s="6"/>
      <c r="Z850" s="6"/>
      <c r="AA850" s="6"/>
      <c r="AB850" s="18"/>
      <c r="AC850" s="18"/>
      <c r="AD850" s="18"/>
      <c r="AE850" s="18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</row>
    <row r="851" spans="1:50">
      <c r="A851" s="16"/>
      <c r="B851" s="30"/>
      <c r="C851" s="16"/>
      <c r="D851" s="16"/>
      <c r="E851" s="16"/>
      <c r="F851" s="22"/>
      <c r="G851" s="22"/>
      <c r="H851" s="22"/>
      <c r="I851" s="16"/>
      <c r="J851" s="16"/>
      <c r="K851" s="16"/>
      <c r="L851" s="18"/>
      <c r="M851" s="18"/>
      <c r="N851" s="18"/>
      <c r="O851" s="18"/>
      <c r="P851" s="18"/>
      <c r="S851" s="6"/>
      <c r="V851" s="18"/>
      <c r="W851" s="18"/>
      <c r="X851" s="18"/>
      <c r="Y851" s="6"/>
      <c r="Z851" s="6"/>
      <c r="AA851" s="6"/>
      <c r="AB851" s="18"/>
      <c r="AC851" s="18"/>
      <c r="AD851" s="18"/>
      <c r="AE851" s="18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</row>
    <row r="852" spans="1:50">
      <c r="A852" s="16"/>
      <c r="B852" s="30"/>
      <c r="C852" s="16"/>
      <c r="D852" s="16"/>
      <c r="E852" s="16"/>
      <c r="F852" s="22"/>
      <c r="G852" s="22"/>
      <c r="H852" s="22"/>
      <c r="I852" s="16"/>
      <c r="J852" s="16"/>
      <c r="K852" s="16"/>
      <c r="L852" s="18"/>
      <c r="M852" s="18"/>
      <c r="N852" s="18"/>
      <c r="O852" s="18"/>
      <c r="P852" s="18"/>
      <c r="S852" s="6"/>
      <c r="V852" s="18"/>
      <c r="W852" s="18"/>
      <c r="X852" s="18"/>
      <c r="Y852" s="6"/>
      <c r="Z852" s="6"/>
      <c r="AA852" s="6"/>
      <c r="AB852" s="18"/>
      <c r="AC852" s="18"/>
      <c r="AD852" s="18"/>
      <c r="AE852" s="18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</row>
    <row r="853" spans="1:50">
      <c r="A853" s="16"/>
      <c r="B853" s="30"/>
      <c r="C853" s="16"/>
      <c r="D853" s="16"/>
      <c r="E853" s="16"/>
      <c r="F853" s="22"/>
      <c r="G853" s="22"/>
      <c r="H853" s="22"/>
      <c r="I853" s="16"/>
      <c r="J853" s="16"/>
      <c r="K853" s="16"/>
      <c r="L853" s="18"/>
      <c r="M853" s="18"/>
      <c r="N853" s="18"/>
      <c r="O853" s="18"/>
      <c r="P853" s="18"/>
      <c r="S853" s="6"/>
      <c r="V853" s="18"/>
      <c r="W853" s="18"/>
      <c r="X853" s="18"/>
      <c r="Y853" s="6"/>
      <c r="Z853" s="6"/>
      <c r="AA853" s="6"/>
      <c r="AB853" s="18"/>
      <c r="AC853" s="18"/>
      <c r="AD853" s="18"/>
      <c r="AE853" s="18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</row>
    <row r="854" spans="1:50">
      <c r="A854" s="16"/>
      <c r="B854" s="30"/>
      <c r="C854" s="16"/>
      <c r="D854" s="16"/>
      <c r="E854" s="16"/>
      <c r="F854" s="22"/>
      <c r="G854" s="22"/>
      <c r="H854" s="22"/>
      <c r="I854" s="16"/>
      <c r="J854" s="16"/>
      <c r="K854" s="16"/>
      <c r="L854" s="18"/>
      <c r="M854" s="18"/>
      <c r="N854" s="18"/>
      <c r="O854" s="18"/>
      <c r="P854" s="18"/>
      <c r="S854" s="6"/>
      <c r="V854" s="18"/>
      <c r="W854" s="18"/>
      <c r="X854" s="18"/>
      <c r="Y854" s="6"/>
      <c r="Z854" s="6"/>
      <c r="AA854" s="6"/>
      <c r="AB854" s="18"/>
      <c r="AC854" s="18"/>
      <c r="AD854" s="18"/>
      <c r="AE854" s="18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</row>
    <row r="855" spans="1:50">
      <c r="A855" s="16"/>
      <c r="B855" s="30"/>
      <c r="C855" s="16"/>
      <c r="D855" s="16"/>
      <c r="E855" s="16"/>
      <c r="F855" s="22"/>
      <c r="G855" s="22"/>
      <c r="H855" s="22"/>
      <c r="I855" s="16"/>
      <c r="J855" s="16"/>
      <c r="K855" s="16"/>
      <c r="L855" s="18"/>
      <c r="M855" s="18"/>
      <c r="N855" s="18"/>
      <c r="O855" s="18"/>
      <c r="P855" s="18"/>
      <c r="S855" s="6"/>
      <c r="V855" s="18"/>
      <c r="W855" s="18"/>
      <c r="X855" s="18"/>
      <c r="Y855" s="6"/>
      <c r="Z855" s="6"/>
      <c r="AA855" s="6"/>
      <c r="AB855" s="18"/>
      <c r="AC855" s="18"/>
      <c r="AD855" s="18"/>
      <c r="AE855" s="18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</row>
    <row r="856" spans="1:50">
      <c r="A856" s="16"/>
      <c r="B856" s="30"/>
      <c r="C856" s="16"/>
      <c r="D856" s="16"/>
      <c r="E856" s="16"/>
      <c r="F856" s="22"/>
      <c r="G856" s="22"/>
      <c r="H856" s="22"/>
      <c r="I856" s="16"/>
      <c r="J856" s="16"/>
      <c r="K856" s="16"/>
      <c r="L856" s="18"/>
      <c r="M856" s="18"/>
      <c r="N856" s="18"/>
      <c r="O856" s="18"/>
      <c r="P856" s="18"/>
      <c r="S856" s="6"/>
      <c r="V856" s="18"/>
      <c r="W856" s="18"/>
      <c r="X856" s="18"/>
      <c r="Y856" s="6"/>
      <c r="Z856" s="6"/>
      <c r="AA856" s="6"/>
      <c r="AB856" s="18"/>
      <c r="AC856" s="18"/>
      <c r="AD856" s="18"/>
      <c r="AE856" s="18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</row>
    <row r="857" spans="1:50">
      <c r="A857" s="16"/>
      <c r="B857" s="30"/>
      <c r="C857" s="16"/>
      <c r="D857" s="16"/>
      <c r="E857" s="16"/>
      <c r="F857" s="22"/>
      <c r="G857" s="22"/>
      <c r="H857" s="22"/>
      <c r="I857" s="16"/>
      <c r="J857" s="16"/>
      <c r="K857" s="16"/>
      <c r="L857" s="18"/>
      <c r="M857" s="18"/>
      <c r="N857" s="18"/>
      <c r="O857" s="18"/>
      <c r="P857" s="18"/>
      <c r="S857" s="6"/>
      <c r="V857" s="18"/>
      <c r="W857" s="18"/>
      <c r="X857" s="18"/>
      <c r="Y857" s="6"/>
      <c r="Z857" s="6"/>
      <c r="AA857" s="6"/>
      <c r="AB857" s="18"/>
      <c r="AC857" s="18"/>
      <c r="AD857" s="18"/>
      <c r="AE857" s="18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</row>
    <row r="858" spans="1:50">
      <c r="A858" s="16"/>
      <c r="B858" s="30"/>
      <c r="C858" s="16"/>
      <c r="D858" s="16"/>
      <c r="E858" s="16"/>
      <c r="F858" s="22"/>
      <c r="G858" s="22"/>
      <c r="H858" s="22"/>
      <c r="I858" s="16"/>
      <c r="J858" s="16"/>
      <c r="K858" s="16"/>
      <c r="L858" s="18"/>
      <c r="M858" s="18"/>
      <c r="N858" s="18"/>
      <c r="O858" s="18"/>
      <c r="P858" s="18"/>
      <c r="S858" s="6"/>
      <c r="V858" s="18"/>
      <c r="W858" s="18"/>
      <c r="X858" s="18"/>
      <c r="Y858" s="6"/>
      <c r="Z858" s="6"/>
      <c r="AA858" s="6"/>
      <c r="AB858" s="18"/>
      <c r="AC858" s="18"/>
      <c r="AD858" s="18"/>
      <c r="AE858" s="18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</row>
    <row r="859" spans="1:50">
      <c r="A859" s="16"/>
      <c r="B859" s="30"/>
      <c r="C859" s="16"/>
      <c r="D859" s="16"/>
      <c r="E859" s="16"/>
      <c r="F859" s="22"/>
      <c r="G859" s="22"/>
      <c r="H859" s="22"/>
      <c r="I859" s="16"/>
      <c r="J859" s="16"/>
      <c r="K859" s="16"/>
      <c r="L859" s="18"/>
      <c r="M859" s="18"/>
      <c r="N859" s="18"/>
      <c r="O859" s="18"/>
      <c r="P859" s="18"/>
      <c r="S859" s="6"/>
      <c r="V859" s="18"/>
      <c r="W859" s="18"/>
      <c r="X859" s="18"/>
      <c r="Y859" s="6"/>
      <c r="Z859" s="6"/>
      <c r="AA859" s="6"/>
      <c r="AB859" s="18"/>
      <c r="AC859" s="18"/>
      <c r="AD859" s="18"/>
      <c r="AE859" s="18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</row>
    <row r="860" spans="1:50">
      <c r="A860" s="16"/>
      <c r="B860" s="30"/>
      <c r="C860" s="16"/>
      <c r="D860" s="16"/>
      <c r="E860" s="16"/>
      <c r="F860" s="22"/>
      <c r="G860" s="22"/>
      <c r="H860" s="22"/>
      <c r="I860" s="16"/>
      <c r="J860" s="16"/>
      <c r="K860" s="16"/>
      <c r="L860" s="18"/>
      <c r="M860" s="18"/>
      <c r="N860" s="18"/>
      <c r="O860" s="18"/>
      <c r="P860" s="18"/>
      <c r="S860" s="6"/>
      <c r="V860" s="18"/>
      <c r="W860" s="18"/>
      <c r="X860" s="18"/>
      <c r="Y860" s="6"/>
      <c r="Z860" s="6"/>
      <c r="AA860" s="6"/>
      <c r="AB860" s="18"/>
      <c r="AC860" s="18"/>
      <c r="AD860" s="18"/>
      <c r="AE860" s="18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</row>
    <row r="861" spans="1:50">
      <c r="A861" s="16"/>
      <c r="B861" s="30"/>
      <c r="C861" s="16"/>
      <c r="D861" s="16"/>
      <c r="E861" s="16"/>
      <c r="F861" s="22"/>
      <c r="G861" s="22"/>
      <c r="H861" s="22"/>
      <c r="I861" s="16"/>
      <c r="J861" s="16"/>
      <c r="K861" s="16"/>
      <c r="L861" s="18"/>
      <c r="M861" s="18"/>
      <c r="N861" s="18"/>
      <c r="O861" s="18"/>
      <c r="P861" s="18"/>
      <c r="S861" s="6"/>
      <c r="V861" s="18"/>
      <c r="W861" s="18"/>
      <c r="X861" s="18"/>
      <c r="Y861" s="6"/>
      <c r="Z861" s="6"/>
      <c r="AA861" s="6"/>
      <c r="AB861" s="18"/>
      <c r="AC861" s="18"/>
      <c r="AD861" s="18"/>
      <c r="AE861" s="18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</row>
    <row r="862" spans="1:50">
      <c r="A862" s="16"/>
      <c r="B862" s="30"/>
      <c r="C862" s="16"/>
      <c r="D862" s="16"/>
      <c r="E862" s="16"/>
      <c r="F862" s="22"/>
      <c r="G862" s="22"/>
      <c r="H862" s="22"/>
      <c r="I862" s="16"/>
      <c r="J862" s="16"/>
      <c r="K862" s="16"/>
      <c r="L862" s="18"/>
      <c r="M862" s="18"/>
      <c r="N862" s="18"/>
      <c r="O862" s="18"/>
      <c r="P862" s="18"/>
      <c r="S862" s="6"/>
      <c r="V862" s="18"/>
      <c r="W862" s="18"/>
      <c r="X862" s="18"/>
      <c r="Y862" s="6"/>
      <c r="Z862" s="6"/>
      <c r="AA862" s="6"/>
      <c r="AB862" s="18"/>
      <c r="AC862" s="18"/>
      <c r="AD862" s="18"/>
      <c r="AE862" s="18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</row>
    <row r="863" spans="1:50">
      <c r="A863" s="16"/>
      <c r="B863" s="30"/>
      <c r="C863" s="16"/>
      <c r="D863" s="16"/>
      <c r="E863" s="16"/>
      <c r="F863" s="22"/>
      <c r="G863" s="22"/>
      <c r="H863" s="22"/>
      <c r="I863" s="16"/>
      <c r="J863" s="16"/>
      <c r="K863" s="16"/>
      <c r="L863" s="18"/>
      <c r="M863" s="18"/>
      <c r="N863" s="18"/>
      <c r="O863" s="18"/>
      <c r="P863" s="18"/>
      <c r="S863" s="6"/>
      <c r="V863" s="18"/>
      <c r="W863" s="18"/>
      <c r="X863" s="18"/>
      <c r="Y863" s="6"/>
      <c r="Z863" s="6"/>
      <c r="AA863" s="6"/>
      <c r="AB863" s="18"/>
      <c r="AC863" s="18"/>
      <c r="AD863" s="18"/>
      <c r="AE863" s="18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</row>
    <row r="864" spans="1:50">
      <c r="A864" s="16"/>
      <c r="B864" s="30"/>
      <c r="C864" s="16"/>
      <c r="D864" s="16"/>
      <c r="E864" s="16"/>
      <c r="F864" s="22"/>
      <c r="G864" s="22"/>
      <c r="H864" s="22"/>
      <c r="I864" s="16"/>
      <c r="J864" s="16"/>
      <c r="K864" s="16"/>
      <c r="L864" s="18"/>
      <c r="M864" s="18"/>
      <c r="N864" s="18"/>
      <c r="O864" s="18"/>
      <c r="P864" s="18"/>
      <c r="S864" s="6"/>
      <c r="V864" s="18"/>
      <c r="W864" s="18"/>
      <c r="X864" s="18"/>
      <c r="Y864" s="6"/>
      <c r="Z864" s="6"/>
      <c r="AA864" s="6"/>
      <c r="AB864" s="18"/>
      <c r="AC864" s="18"/>
      <c r="AD864" s="18"/>
      <c r="AE864" s="18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</row>
    <row r="865" spans="1:50">
      <c r="A865" s="16"/>
      <c r="B865" s="30"/>
      <c r="C865" s="16"/>
      <c r="D865" s="16"/>
      <c r="E865" s="16"/>
      <c r="F865" s="22"/>
      <c r="G865" s="22"/>
      <c r="H865" s="22"/>
      <c r="I865" s="16"/>
      <c r="J865" s="16"/>
      <c r="K865" s="16"/>
      <c r="L865" s="18"/>
      <c r="M865" s="18"/>
      <c r="N865" s="18"/>
      <c r="O865" s="18"/>
      <c r="P865" s="18"/>
      <c r="S865" s="6"/>
      <c r="V865" s="18"/>
      <c r="W865" s="18"/>
      <c r="X865" s="18"/>
      <c r="Y865" s="6"/>
      <c r="Z865" s="6"/>
      <c r="AA865" s="6"/>
      <c r="AB865" s="18"/>
      <c r="AC865" s="18"/>
      <c r="AD865" s="18"/>
      <c r="AE865" s="18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</row>
    <row r="866" spans="1:50">
      <c r="A866" s="16"/>
      <c r="B866" s="30"/>
      <c r="C866" s="16"/>
      <c r="D866" s="16"/>
      <c r="E866" s="16"/>
      <c r="F866" s="22"/>
      <c r="G866" s="22"/>
      <c r="H866" s="22"/>
      <c r="I866" s="16"/>
      <c r="J866" s="16"/>
      <c r="K866" s="16"/>
      <c r="L866" s="18"/>
      <c r="M866" s="18"/>
      <c r="N866" s="18"/>
      <c r="O866" s="18"/>
      <c r="P866" s="18"/>
      <c r="S866" s="6"/>
      <c r="V866" s="18"/>
      <c r="W866" s="18"/>
      <c r="X866" s="18"/>
      <c r="Y866" s="6"/>
      <c r="Z866" s="6"/>
      <c r="AA866" s="6"/>
      <c r="AB866" s="18"/>
      <c r="AC866" s="18"/>
      <c r="AD866" s="18"/>
      <c r="AE866" s="18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</row>
    <row r="867" spans="1:50">
      <c r="A867" s="16"/>
      <c r="B867" s="30"/>
      <c r="C867" s="16"/>
      <c r="D867" s="16"/>
      <c r="E867" s="16"/>
      <c r="F867" s="22"/>
      <c r="G867" s="22"/>
      <c r="H867" s="22"/>
      <c r="I867" s="16"/>
      <c r="J867" s="16"/>
      <c r="K867" s="16"/>
      <c r="L867" s="18"/>
      <c r="M867" s="18"/>
      <c r="N867" s="18"/>
      <c r="O867" s="18"/>
      <c r="P867" s="18"/>
      <c r="S867" s="6"/>
      <c r="V867" s="18"/>
      <c r="W867" s="18"/>
      <c r="X867" s="18"/>
      <c r="Y867" s="6"/>
      <c r="Z867" s="6"/>
      <c r="AA867" s="6"/>
      <c r="AB867" s="18"/>
      <c r="AC867" s="18"/>
      <c r="AD867" s="18"/>
      <c r="AE867" s="18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</row>
    <row r="868" spans="1:50">
      <c r="A868" s="16"/>
      <c r="B868" s="30"/>
      <c r="C868" s="16"/>
      <c r="D868" s="16"/>
      <c r="E868" s="16"/>
      <c r="F868" s="22"/>
      <c r="G868" s="22"/>
      <c r="H868" s="22"/>
      <c r="I868" s="16"/>
      <c r="J868" s="16"/>
      <c r="K868" s="16"/>
      <c r="L868" s="18"/>
      <c r="M868" s="18"/>
      <c r="N868" s="18"/>
      <c r="O868" s="18"/>
      <c r="P868" s="18"/>
      <c r="S868" s="6"/>
      <c r="V868" s="18"/>
      <c r="W868" s="18"/>
      <c r="X868" s="18"/>
      <c r="Y868" s="6"/>
      <c r="Z868" s="6"/>
      <c r="AA868" s="6"/>
      <c r="AB868" s="18"/>
      <c r="AC868" s="18"/>
      <c r="AD868" s="18"/>
      <c r="AE868" s="18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</row>
    <row r="869" spans="1:50">
      <c r="A869" s="16"/>
      <c r="B869" s="30"/>
      <c r="C869" s="16"/>
      <c r="D869" s="16"/>
      <c r="E869" s="16"/>
      <c r="F869" s="22"/>
      <c r="G869" s="22"/>
      <c r="H869" s="22"/>
      <c r="I869" s="16"/>
      <c r="J869" s="16"/>
      <c r="K869" s="16"/>
      <c r="L869" s="18"/>
      <c r="M869" s="18"/>
      <c r="N869" s="18"/>
      <c r="O869" s="18"/>
      <c r="P869" s="18"/>
      <c r="S869" s="6"/>
      <c r="V869" s="18"/>
      <c r="W869" s="18"/>
      <c r="X869" s="18"/>
      <c r="Y869" s="6"/>
      <c r="Z869" s="6"/>
      <c r="AA869" s="6"/>
      <c r="AB869" s="18"/>
      <c r="AC869" s="18"/>
      <c r="AD869" s="18"/>
      <c r="AE869" s="18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</row>
    <row r="870" spans="1:50">
      <c r="A870" s="16"/>
      <c r="B870" s="30"/>
      <c r="C870" s="16"/>
      <c r="D870" s="16"/>
      <c r="E870" s="16"/>
      <c r="F870" s="22"/>
      <c r="G870" s="22"/>
      <c r="H870" s="22"/>
      <c r="I870" s="16"/>
      <c r="J870" s="16"/>
      <c r="K870" s="16"/>
      <c r="L870" s="18"/>
      <c r="M870" s="18"/>
      <c r="N870" s="18"/>
      <c r="O870" s="18"/>
      <c r="P870" s="18"/>
      <c r="S870" s="6"/>
      <c r="V870" s="18"/>
      <c r="W870" s="18"/>
      <c r="X870" s="18"/>
      <c r="Y870" s="6"/>
      <c r="Z870" s="6"/>
      <c r="AA870" s="6"/>
      <c r="AB870" s="18"/>
      <c r="AC870" s="18"/>
      <c r="AD870" s="18"/>
      <c r="AE870" s="18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</row>
    <row r="871" spans="1:50">
      <c r="A871" s="16"/>
      <c r="B871" s="30"/>
      <c r="C871" s="16"/>
      <c r="D871" s="16"/>
      <c r="E871" s="16"/>
      <c r="F871" s="22"/>
      <c r="G871" s="22"/>
      <c r="H871" s="22"/>
      <c r="I871" s="16"/>
      <c r="J871" s="16"/>
      <c r="K871" s="16"/>
      <c r="L871" s="18"/>
      <c r="M871" s="18"/>
      <c r="N871" s="18"/>
      <c r="O871" s="18"/>
      <c r="P871" s="18"/>
      <c r="S871" s="6"/>
      <c r="V871" s="18"/>
      <c r="W871" s="18"/>
      <c r="X871" s="18"/>
      <c r="Y871" s="6"/>
      <c r="Z871" s="6"/>
      <c r="AA871" s="6"/>
      <c r="AB871" s="18"/>
      <c r="AC871" s="18"/>
      <c r="AD871" s="18"/>
      <c r="AE871" s="18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</row>
    <row r="872" spans="1:50">
      <c r="A872" s="16"/>
      <c r="B872" s="30"/>
      <c r="C872" s="16"/>
      <c r="D872" s="16"/>
      <c r="E872" s="16"/>
      <c r="F872" s="22"/>
      <c r="G872" s="22"/>
      <c r="H872" s="22"/>
      <c r="I872" s="16"/>
      <c r="J872" s="16"/>
      <c r="K872" s="16"/>
      <c r="L872" s="18"/>
      <c r="M872" s="18"/>
      <c r="N872" s="18"/>
      <c r="O872" s="18"/>
      <c r="P872" s="18"/>
      <c r="S872" s="6"/>
      <c r="V872" s="18"/>
      <c r="W872" s="18"/>
      <c r="X872" s="18"/>
      <c r="Y872" s="6"/>
      <c r="Z872" s="6"/>
      <c r="AA872" s="6"/>
      <c r="AB872" s="18"/>
      <c r="AC872" s="18"/>
      <c r="AD872" s="18"/>
      <c r="AE872" s="18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</row>
    <row r="873" spans="1:50">
      <c r="A873" s="16"/>
      <c r="B873" s="30"/>
      <c r="C873" s="16"/>
      <c r="D873" s="16"/>
      <c r="E873" s="16"/>
      <c r="F873" s="22"/>
      <c r="G873" s="22"/>
      <c r="H873" s="22"/>
      <c r="I873" s="16"/>
      <c r="J873" s="16"/>
      <c r="K873" s="16"/>
      <c r="L873" s="18"/>
      <c r="M873" s="18"/>
      <c r="N873" s="18"/>
      <c r="O873" s="18"/>
      <c r="P873" s="18"/>
      <c r="S873" s="6"/>
      <c r="V873" s="18"/>
      <c r="W873" s="18"/>
      <c r="X873" s="18"/>
      <c r="Y873" s="6"/>
      <c r="Z873" s="6"/>
      <c r="AA873" s="6"/>
      <c r="AB873" s="18"/>
      <c r="AC873" s="18"/>
      <c r="AD873" s="18"/>
      <c r="AE873" s="18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</row>
    <row r="874" spans="1:50">
      <c r="A874" s="16"/>
      <c r="B874" s="30"/>
      <c r="C874" s="16"/>
      <c r="D874" s="16"/>
      <c r="E874" s="16"/>
      <c r="F874" s="22"/>
      <c r="G874" s="22"/>
      <c r="H874" s="22"/>
      <c r="I874" s="16"/>
      <c r="J874" s="16"/>
      <c r="K874" s="16"/>
      <c r="L874" s="18"/>
      <c r="M874" s="18"/>
      <c r="N874" s="18"/>
      <c r="O874" s="18"/>
      <c r="P874" s="18"/>
      <c r="S874" s="6"/>
      <c r="V874" s="18"/>
      <c r="W874" s="18"/>
      <c r="X874" s="18"/>
      <c r="Y874" s="6"/>
      <c r="Z874" s="6"/>
      <c r="AA874" s="6"/>
      <c r="AB874" s="18"/>
      <c r="AC874" s="18"/>
      <c r="AD874" s="18"/>
      <c r="AE874" s="18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</row>
    <row r="875" spans="1:50">
      <c r="A875" s="16"/>
      <c r="B875" s="30"/>
      <c r="C875" s="16"/>
      <c r="D875" s="16"/>
      <c r="E875" s="16"/>
      <c r="F875" s="22"/>
      <c r="G875" s="22"/>
      <c r="H875" s="22"/>
      <c r="I875" s="16"/>
      <c r="J875" s="16"/>
      <c r="K875" s="16"/>
      <c r="L875" s="18"/>
      <c r="M875" s="18"/>
      <c r="N875" s="18"/>
      <c r="O875" s="18"/>
      <c r="P875" s="18"/>
      <c r="S875" s="6"/>
      <c r="V875" s="18"/>
      <c r="W875" s="18"/>
      <c r="X875" s="18"/>
      <c r="Y875" s="6"/>
      <c r="Z875" s="6"/>
      <c r="AA875" s="6"/>
      <c r="AB875" s="18"/>
      <c r="AC875" s="18"/>
      <c r="AD875" s="18"/>
      <c r="AE875" s="18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</row>
    <row r="876" spans="1:50">
      <c r="A876" s="16"/>
      <c r="B876" s="30"/>
      <c r="C876" s="16"/>
      <c r="D876" s="16"/>
      <c r="E876" s="16"/>
      <c r="F876" s="22"/>
      <c r="G876" s="22"/>
      <c r="H876" s="22"/>
      <c r="I876" s="16"/>
      <c r="J876" s="16"/>
      <c r="K876" s="16"/>
      <c r="L876" s="18"/>
      <c r="M876" s="18"/>
      <c r="N876" s="18"/>
      <c r="O876" s="18"/>
      <c r="P876" s="18"/>
      <c r="S876" s="6"/>
      <c r="V876" s="18"/>
      <c r="W876" s="18"/>
      <c r="X876" s="18"/>
      <c r="Y876" s="6"/>
      <c r="Z876" s="6"/>
      <c r="AA876" s="6"/>
      <c r="AB876" s="18"/>
      <c r="AC876" s="18"/>
      <c r="AD876" s="18"/>
      <c r="AE876" s="18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</row>
    <row r="877" spans="1:50">
      <c r="A877" s="16"/>
      <c r="B877" s="30"/>
      <c r="C877" s="16"/>
      <c r="D877" s="16"/>
      <c r="E877" s="16"/>
      <c r="F877" s="22"/>
      <c r="G877" s="22"/>
      <c r="H877" s="22"/>
      <c r="I877" s="16"/>
      <c r="J877" s="16"/>
      <c r="K877" s="16"/>
      <c r="L877" s="18"/>
      <c r="M877" s="18"/>
      <c r="N877" s="18"/>
      <c r="O877" s="18"/>
      <c r="P877" s="18"/>
      <c r="S877" s="6"/>
      <c r="V877" s="18"/>
      <c r="W877" s="18"/>
      <c r="X877" s="18"/>
      <c r="Y877" s="6"/>
      <c r="Z877" s="6"/>
      <c r="AA877" s="6"/>
      <c r="AB877" s="18"/>
      <c r="AC877" s="18"/>
      <c r="AD877" s="18"/>
      <c r="AE877" s="18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</row>
    <row r="878" spans="1:50">
      <c r="A878" s="16"/>
      <c r="B878" s="30"/>
      <c r="C878" s="16"/>
      <c r="D878" s="16"/>
      <c r="E878" s="16"/>
      <c r="F878" s="22"/>
      <c r="G878" s="22"/>
      <c r="H878" s="22"/>
      <c r="I878" s="16"/>
      <c r="J878" s="16"/>
      <c r="K878" s="16"/>
      <c r="L878" s="18"/>
      <c r="M878" s="18"/>
      <c r="N878" s="18"/>
      <c r="O878" s="18"/>
      <c r="P878" s="18"/>
      <c r="S878" s="6"/>
      <c r="V878" s="18"/>
      <c r="W878" s="18"/>
      <c r="X878" s="18"/>
      <c r="Y878" s="6"/>
      <c r="Z878" s="6"/>
      <c r="AA878" s="6"/>
      <c r="AB878" s="18"/>
      <c r="AC878" s="18"/>
      <c r="AD878" s="18"/>
      <c r="AE878" s="18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</row>
    <row r="879" spans="1:50">
      <c r="A879" s="16"/>
      <c r="B879" s="30"/>
      <c r="C879" s="16"/>
      <c r="D879" s="16"/>
      <c r="E879" s="16"/>
      <c r="F879" s="22"/>
      <c r="G879" s="22"/>
      <c r="H879" s="22"/>
      <c r="I879" s="16"/>
      <c r="J879" s="16"/>
      <c r="K879" s="16"/>
      <c r="L879" s="18"/>
      <c r="M879" s="18"/>
      <c r="N879" s="18"/>
      <c r="O879" s="18"/>
      <c r="P879" s="18"/>
      <c r="S879" s="6"/>
      <c r="V879" s="18"/>
      <c r="W879" s="18"/>
      <c r="X879" s="18"/>
      <c r="Y879" s="6"/>
      <c r="Z879" s="6"/>
      <c r="AA879" s="6"/>
      <c r="AB879" s="18"/>
      <c r="AC879" s="18"/>
      <c r="AD879" s="18"/>
      <c r="AE879" s="18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</row>
    <row r="880" spans="1:50">
      <c r="A880" s="16"/>
      <c r="B880" s="30"/>
      <c r="C880" s="16"/>
      <c r="D880" s="16"/>
      <c r="E880" s="16"/>
      <c r="F880" s="22"/>
      <c r="G880" s="22"/>
      <c r="H880" s="22"/>
      <c r="I880" s="16"/>
      <c r="J880" s="16"/>
      <c r="K880" s="16"/>
      <c r="L880" s="18"/>
      <c r="M880" s="18"/>
      <c r="N880" s="18"/>
      <c r="O880" s="18"/>
      <c r="P880" s="18"/>
      <c r="S880" s="6"/>
      <c r="V880" s="18"/>
      <c r="W880" s="18"/>
      <c r="X880" s="18"/>
      <c r="Y880" s="6"/>
      <c r="Z880" s="6"/>
      <c r="AA880" s="6"/>
      <c r="AB880" s="18"/>
      <c r="AC880" s="18"/>
      <c r="AD880" s="18"/>
      <c r="AE880" s="18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</row>
    <row r="881" spans="1:50">
      <c r="A881" s="16"/>
      <c r="B881" s="30"/>
      <c r="C881" s="16"/>
      <c r="D881" s="16"/>
      <c r="E881" s="16"/>
      <c r="F881" s="22"/>
      <c r="G881" s="22"/>
      <c r="H881" s="22"/>
      <c r="I881" s="16"/>
      <c r="J881" s="16"/>
      <c r="K881" s="16"/>
      <c r="L881" s="18"/>
      <c r="M881" s="18"/>
      <c r="N881" s="18"/>
      <c r="O881" s="18"/>
      <c r="P881" s="18"/>
      <c r="S881" s="6"/>
      <c r="V881" s="18"/>
      <c r="W881" s="18"/>
      <c r="X881" s="18"/>
      <c r="Y881" s="6"/>
      <c r="Z881" s="6"/>
      <c r="AA881" s="6"/>
      <c r="AB881" s="18"/>
      <c r="AC881" s="18"/>
      <c r="AD881" s="18"/>
      <c r="AE881" s="18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</row>
    <row r="882" spans="1:50">
      <c r="A882" s="16"/>
      <c r="B882" s="30"/>
      <c r="C882" s="16"/>
      <c r="D882" s="16"/>
      <c r="E882" s="16"/>
      <c r="F882" s="22"/>
      <c r="G882" s="22"/>
      <c r="H882" s="22"/>
      <c r="I882" s="16"/>
      <c r="J882" s="16"/>
      <c r="K882" s="16"/>
      <c r="L882" s="18"/>
      <c r="M882" s="18"/>
      <c r="N882" s="18"/>
      <c r="O882" s="18"/>
      <c r="P882" s="18"/>
      <c r="S882" s="6"/>
      <c r="V882" s="18"/>
      <c r="W882" s="18"/>
      <c r="X882" s="18"/>
      <c r="Y882" s="6"/>
      <c r="Z882" s="6"/>
      <c r="AA882" s="6"/>
      <c r="AB882" s="18"/>
      <c r="AC882" s="18"/>
      <c r="AD882" s="18"/>
      <c r="AE882" s="18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</row>
    <row r="883" spans="1:50">
      <c r="A883" s="16"/>
      <c r="B883" s="30"/>
      <c r="C883" s="16"/>
      <c r="D883" s="16"/>
      <c r="E883" s="16"/>
      <c r="F883" s="22"/>
      <c r="G883" s="22"/>
      <c r="H883" s="22"/>
      <c r="I883" s="16"/>
      <c r="J883" s="16"/>
      <c r="K883" s="16"/>
      <c r="L883" s="18"/>
      <c r="M883" s="18"/>
      <c r="N883" s="18"/>
      <c r="O883" s="18"/>
      <c r="P883" s="18"/>
      <c r="S883" s="6"/>
      <c r="V883" s="18"/>
      <c r="W883" s="18"/>
      <c r="X883" s="18"/>
      <c r="Y883" s="6"/>
      <c r="Z883" s="6"/>
      <c r="AA883" s="6"/>
      <c r="AB883" s="18"/>
      <c r="AC883" s="18"/>
      <c r="AD883" s="18"/>
      <c r="AE883" s="18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</row>
    <row r="884" spans="1:50">
      <c r="A884" s="16"/>
      <c r="B884" s="30"/>
      <c r="C884" s="16"/>
      <c r="D884" s="16"/>
      <c r="E884" s="16"/>
      <c r="F884" s="22"/>
      <c r="G884" s="22"/>
      <c r="H884" s="22"/>
      <c r="I884" s="16"/>
      <c r="J884" s="16"/>
      <c r="K884" s="16"/>
      <c r="L884" s="18"/>
      <c r="M884" s="18"/>
      <c r="N884" s="18"/>
      <c r="O884" s="18"/>
      <c r="P884" s="18"/>
      <c r="S884" s="6"/>
      <c r="V884" s="18"/>
      <c r="W884" s="18"/>
      <c r="X884" s="18"/>
      <c r="Y884" s="6"/>
      <c r="Z884" s="6"/>
      <c r="AA884" s="6"/>
      <c r="AB884" s="18"/>
      <c r="AC884" s="18"/>
      <c r="AD884" s="18"/>
      <c r="AE884" s="18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</row>
    <row r="885" spans="1:50">
      <c r="A885" s="16"/>
      <c r="B885" s="30"/>
      <c r="C885" s="16"/>
      <c r="D885" s="16"/>
      <c r="E885" s="16"/>
      <c r="F885" s="22"/>
      <c r="G885" s="22"/>
      <c r="H885" s="22"/>
      <c r="I885" s="16"/>
      <c r="J885" s="16"/>
      <c r="K885" s="16"/>
      <c r="L885" s="18"/>
      <c r="M885" s="18"/>
      <c r="N885" s="18"/>
      <c r="O885" s="18"/>
      <c r="P885" s="18"/>
      <c r="S885" s="6"/>
      <c r="V885" s="18"/>
      <c r="W885" s="18"/>
      <c r="X885" s="18"/>
      <c r="Y885" s="6"/>
      <c r="Z885" s="6"/>
      <c r="AA885" s="6"/>
      <c r="AB885" s="18"/>
      <c r="AC885" s="18"/>
      <c r="AD885" s="18"/>
      <c r="AE885" s="18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</row>
    <row r="886" spans="1:50">
      <c r="A886" s="16"/>
      <c r="B886" s="30"/>
      <c r="C886" s="16"/>
      <c r="D886" s="16"/>
      <c r="E886" s="16"/>
      <c r="F886" s="22"/>
      <c r="G886" s="22"/>
      <c r="H886" s="22"/>
      <c r="I886" s="16"/>
      <c r="J886" s="16"/>
      <c r="K886" s="16"/>
      <c r="L886" s="18"/>
      <c r="M886" s="18"/>
      <c r="N886" s="18"/>
      <c r="O886" s="18"/>
      <c r="P886" s="18"/>
      <c r="S886" s="6"/>
      <c r="V886" s="18"/>
      <c r="W886" s="18"/>
      <c r="X886" s="18"/>
      <c r="Y886" s="6"/>
      <c r="Z886" s="6"/>
      <c r="AA886" s="6"/>
      <c r="AB886" s="18"/>
      <c r="AC886" s="18"/>
      <c r="AD886" s="18"/>
      <c r="AE886" s="18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</row>
    <row r="887" spans="1:50">
      <c r="A887" s="16"/>
      <c r="B887" s="30"/>
      <c r="C887" s="16"/>
      <c r="D887" s="16"/>
      <c r="E887" s="16"/>
      <c r="F887" s="22"/>
      <c r="G887" s="22"/>
      <c r="H887" s="22"/>
      <c r="I887" s="16"/>
      <c r="J887" s="16"/>
      <c r="K887" s="16"/>
      <c r="L887" s="18"/>
      <c r="M887" s="18"/>
      <c r="N887" s="18"/>
      <c r="O887" s="18"/>
      <c r="P887" s="18"/>
      <c r="S887" s="6"/>
      <c r="V887" s="18"/>
      <c r="W887" s="18"/>
      <c r="X887" s="18"/>
      <c r="Y887" s="6"/>
      <c r="Z887" s="6"/>
      <c r="AA887" s="6"/>
      <c r="AB887" s="18"/>
      <c r="AC887" s="18"/>
      <c r="AD887" s="18"/>
      <c r="AE887" s="18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</row>
    <row r="888" spans="1:50">
      <c r="A888" s="16"/>
      <c r="B888" s="30"/>
      <c r="C888" s="16"/>
      <c r="D888" s="16"/>
      <c r="E888" s="16"/>
      <c r="F888" s="22"/>
      <c r="G888" s="22"/>
      <c r="H888" s="22"/>
      <c r="I888" s="16"/>
      <c r="J888" s="16"/>
      <c r="K888" s="16"/>
      <c r="L888" s="18"/>
      <c r="M888" s="18"/>
      <c r="N888" s="18"/>
      <c r="O888" s="18"/>
      <c r="P888" s="18"/>
      <c r="S888" s="6"/>
      <c r="V888" s="18"/>
      <c r="W888" s="18"/>
      <c r="X888" s="18"/>
      <c r="Y888" s="6"/>
      <c r="Z888" s="6"/>
      <c r="AA888" s="6"/>
      <c r="AB888" s="18"/>
      <c r="AC888" s="18"/>
      <c r="AD888" s="18"/>
      <c r="AE888" s="18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</row>
    <row r="889" spans="1:50">
      <c r="A889" s="16"/>
      <c r="B889" s="30"/>
      <c r="C889" s="16"/>
      <c r="D889" s="16"/>
      <c r="E889" s="16"/>
      <c r="F889" s="22"/>
      <c r="G889" s="22"/>
      <c r="H889" s="22"/>
      <c r="I889" s="16"/>
      <c r="J889" s="16"/>
      <c r="K889" s="16"/>
      <c r="L889" s="18"/>
      <c r="M889" s="18"/>
      <c r="N889" s="18"/>
      <c r="O889" s="18"/>
      <c r="P889" s="18"/>
      <c r="S889" s="6"/>
      <c r="V889" s="18"/>
      <c r="W889" s="18"/>
      <c r="X889" s="18"/>
      <c r="Y889" s="6"/>
      <c r="Z889" s="6"/>
      <c r="AA889" s="6"/>
      <c r="AB889" s="18"/>
      <c r="AC889" s="18"/>
      <c r="AD889" s="18"/>
      <c r="AE889" s="18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</row>
    <row r="890" spans="1:50">
      <c r="A890" s="16"/>
      <c r="B890" s="30"/>
      <c r="C890" s="16"/>
      <c r="D890" s="16"/>
      <c r="E890" s="16"/>
      <c r="F890" s="22"/>
      <c r="G890" s="22"/>
      <c r="H890" s="22"/>
      <c r="I890" s="16"/>
      <c r="J890" s="16"/>
      <c r="K890" s="16"/>
      <c r="L890" s="18"/>
      <c r="M890" s="18"/>
      <c r="N890" s="18"/>
      <c r="O890" s="18"/>
      <c r="P890" s="18"/>
      <c r="S890" s="6"/>
      <c r="V890" s="18"/>
      <c r="W890" s="18"/>
      <c r="X890" s="18"/>
      <c r="Y890" s="6"/>
      <c r="Z890" s="6"/>
      <c r="AA890" s="6"/>
      <c r="AB890" s="18"/>
      <c r="AC890" s="18"/>
      <c r="AD890" s="18"/>
      <c r="AE890" s="18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</row>
    <row r="891" spans="1:50">
      <c r="A891" s="16"/>
      <c r="B891" s="30"/>
      <c r="C891" s="16"/>
      <c r="D891" s="16"/>
      <c r="E891" s="16"/>
      <c r="F891" s="22"/>
      <c r="G891" s="22"/>
      <c r="H891" s="22"/>
      <c r="I891" s="16"/>
      <c r="J891" s="16"/>
      <c r="K891" s="16"/>
      <c r="L891" s="18"/>
      <c r="M891" s="18"/>
      <c r="N891" s="18"/>
      <c r="O891" s="18"/>
      <c r="P891" s="18"/>
      <c r="S891" s="6"/>
      <c r="V891" s="18"/>
      <c r="W891" s="18"/>
      <c r="X891" s="18"/>
      <c r="Y891" s="6"/>
      <c r="Z891" s="6"/>
      <c r="AA891" s="6"/>
      <c r="AB891" s="18"/>
      <c r="AC891" s="18"/>
      <c r="AD891" s="18"/>
      <c r="AE891" s="18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</row>
    <row r="892" spans="1:50">
      <c r="A892" s="16"/>
      <c r="B892" s="30"/>
      <c r="C892" s="16"/>
      <c r="D892" s="16"/>
      <c r="E892" s="16"/>
      <c r="F892" s="22"/>
      <c r="G892" s="22"/>
      <c r="H892" s="22"/>
      <c r="I892" s="16"/>
      <c r="J892" s="16"/>
      <c r="K892" s="16"/>
      <c r="L892" s="18"/>
      <c r="M892" s="18"/>
      <c r="N892" s="18"/>
      <c r="O892" s="18"/>
      <c r="P892" s="18"/>
      <c r="S892" s="6"/>
      <c r="V892" s="18"/>
      <c r="W892" s="18"/>
      <c r="X892" s="18"/>
      <c r="Y892" s="6"/>
      <c r="Z892" s="6"/>
      <c r="AA892" s="6"/>
      <c r="AB892" s="18"/>
      <c r="AC892" s="18"/>
      <c r="AD892" s="18"/>
      <c r="AE892" s="18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</row>
    <row r="893" spans="1:50">
      <c r="A893" s="16"/>
      <c r="B893" s="30"/>
      <c r="C893" s="16"/>
      <c r="D893" s="16"/>
      <c r="E893" s="16"/>
      <c r="F893" s="22"/>
      <c r="G893" s="22"/>
      <c r="H893" s="22"/>
      <c r="I893" s="16"/>
      <c r="J893" s="16"/>
      <c r="K893" s="16"/>
      <c r="L893" s="18"/>
      <c r="M893" s="18"/>
      <c r="N893" s="18"/>
      <c r="O893" s="18"/>
      <c r="P893" s="18"/>
      <c r="S893" s="6"/>
      <c r="V893" s="18"/>
      <c r="W893" s="18"/>
      <c r="X893" s="18"/>
      <c r="Y893" s="6"/>
      <c r="Z893" s="6"/>
      <c r="AA893" s="6"/>
      <c r="AB893" s="18"/>
      <c r="AC893" s="18"/>
      <c r="AD893" s="18"/>
      <c r="AE893" s="18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</row>
    <row r="894" spans="1:50">
      <c r="A894" s="16"/>
      <c r="B894" s="30"/>
      <c r="C894" s="16"/>
      <c r="D894" s="16"/>
      <c r="E894" s="16"/>
      <c r="F894" s="22"/>
      <c r="G894" s="22"/>
      <c r="H894" s="22"/>
      <c r="I894" s="16"/>
      <c r="J894" s="16"/>
      <c r="K894" s="16"/>
      <c r="L894" s="18"/>
      <c r="M894" s="18"/>
      <c r="N894" s="18"/>
      <c r="O894" s="18"/>
      <c r="P894" s="18"/>
      <c r="S894" s="6"/>
      <c r="V894" s="18"/>
      <c r="W894" s="18"/>
      <c r="X894" s="18"/>
      <c r="Y894" s="6"/>
      <c r="Z894" s="6"/>
      <c r="AA894" s="6"/>
      <c r="AB894" s="18"/>
      <c r="AC894" s="18"/>
      <c r="AD894" s="18"/>
      <c r="AE894" s="18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</row>
    <row r="895" spans="1:50">
      <c r="A895" s="16"/>
      <c r="B895" s="30"/>
      <c r="C895" s="16"/>
      <c r="D895" s="16"/>
      <c r="E895" s="16"/>
      <c r="F895" s="22"/>
      <c r="G895" s="22"/>
      <c r="H895" s="22"/>
      <c r="I895" s="16"/>
      <c r="J895" s="16"/>
      <c r="K895" s="16"/>
      <c r="L895" s="18"/>
      <c r="M895" s="18"/>
      <c r="N895" s="18"/>
      <c r="O895" s="18"/>
      <c r="P895" s="18"/>
      <c r="S895" s="6"/>
      <c r="V895" s="18"/>
      <c r="W895" s="18"/>
      <c r="X895" s="18"/>
      <c r="Y895" s="6"/>
      <c r="Z895" s="6"/>
      <c r="AA895" s="6"/>
      <c r="AB895" s="18"/>
      <c r="AC895" s="18"/>
      <c r="AD895" s="18"/>
      <c r="AE895" s="18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</row>
    <row r="896" spans="1:50">
      <c r="A896" s="16"/>
      <c r="B896" s="30"/>
      <c r="C896" s="16"/>
      <c r="D896" s="16"/>
      <c r="E896" s="16"/>
      <c r="F896" s="22"/>
      <c r="G896" s="22"/>
      <c r="H896" s="22"/>
      <c r="I896" s="16"/>
      <c r="J896" s="16"/>
      <c r="K896" s="16"/>
      <c r="L896" s="18"/>
      <c r="M896" s="18"/>
      <c r="N896" s="18"/>
      <c r="O896" s="18"/>
      <c r="P896" s="18"/>
      <c r="S896" s="6"/>
      <c r="V896" s="18"/>
      <c r="W896" s="18"/>
      <c r="X896" s="18"/>
      <c r="Y896" s="6"/>
      <c r="Z896" s="6"/>
      <c r="AA896" s="6"/>
      <c r="AB896" s="18"/>
      <c r="AC896" s="18"/>
      <c r="AD896" s="18"/>
      <c r="AE896" s="18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</row>
    <row r="897" spans="1:50">
      <c r="A897" s="16"/>
      <c r="B897" s="30"/>
      <c r="C897" s="16"/>
      <c r="D897" s="16"/>
      <c r="E897" s="16"/>
      <c r="F897" s="22"/>
      <c r="G897" s="22"/>
      <c r="H897" s="22"/>
      <c r="I897" s="16"/>
      <c r="J897" s="16"/>
      <c r="K897" s="16"/>
      <c r="L897" s="18"/>
      <c r="M897" s="18"/>
      <c r="N897" s="18"/>
      <c r="O897" s="18"/>
      <c r="P897" s="18"/>
      <c r="S897" s="6"/>
      <c r="V897" s="18"/>
      <c r="W897" s="18"/>
      <c r="X897" s="18"/>
      <c r="Y897" s="6"/>
      <c r="Z897" s="6"/>
      <c r="AA897" s="6"/>
      <c r="AB897" s="18"/>
      <c r="AC897" s="18"/>
      <c r="AD897" s="18"/>
      <c r="AE897" s="18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</row>
    <row r="898" spans="1:50">
      <c r="A898" s="16"/>
      <c r="B898" s="30"/>
      <c r="C898" s="16"/>
      <c r="D898" s="16"/>
      <c r="E898" s="16"/>
      <c r="F898" s="22"/>
      <c r="G898" s="22"/>
      <c r="H898" s="22"/>
      <c r="I898" s="16"/>
      <c r="J898" s="16"/>
      <c r="K898" s="16"/>
      <c r="L898" s="18"/>
      <c r="M898" s="18"/>
      <c r="N898" s="18"/>
      <c r="O898" s="18"/>
      <c r="P898" s="18"/>
      <c r="S898" s="6"/>
      <c r="V898" s="18"/>
      <c r="W898" s="18"/>
      <c r="X898" s="18"/>
      <c r="Y898" s="6"/>
      <c r="Z898" s="6"/>
      <c r="AA898" s="6"/>
      <c r="AB898" s="18"/>
      <c r="AC898" s="18"/>
      <c r="AD898" s="18"/>
      <c r="AE898" s="18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</row>
    <row r="899" spans="1:50">
      <c r="A899" s="16"/>
      <c r="B899" s="30"/>
      <c r="C899" s="16"/>
      <c r="D899" s="16"/>
      <c r="E899" s="16"/>
      <c r="F899" s="22"/>
      <c r="G899" s="22"/>
      <c r="H899" s="22"/>
      <c r="I899" s="16"/>
      <c r="J899" s="16"/>
      <c r="K899" s="16"/>
      <c r="L899" s="18"/>
      <c r="M899" s="18"/>
      <c r="N899" s="18"/>
      <c r="O899" s="18"/>
      <c r="P899" s="18"/>
      <c r="S899" s="6"/>
      <c r="V899" s="18"/>
      <c r="W899" s="18"/>
      <c r="X899" s="18"/>
      <c r="Y899" s="6"/>
      <c r="Z899" s="6"/>
      <c r="AA899" s="6"/>
      <c r="AB899" s="18"/>
      <c r="AC899" s="18"/>
      <c r="AD899" s="18"/>
      <c r="AE899" s="18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</row>
    <row r="900" spans="1:50">
      <c r="A900" s="16"/>
      <c r="B900" s="30"/>
      <c r="C900" s="16"/>
      <c r="D900" s="16"/>
      <c r="E900" s="16"/>
      <c r="F900" s="22"/>
      <c r="G900" s="22"/>
      <c r="H900" s="22"/>
      <c r="I900" s="16"/>
      <c r="J900" s="16"/>
      <c r="K900" s="16"/>
      <c r="L900" s="18"/>
      <c r="M900" s="18"/>
      <c r="N900" s="18"/>
      <c r="O900" s="18"/>
      <c r="P900" s="18"/>
      <c r="S900" s="6"/>
      <c r="V900" s="18"/>
      <c r="W900" s="18"/>
      <c r="X900" s="18"/>
      <c r="Y900" s="6"/>
      <c r="Z900" s="6"/>
      <c r="AA900" s="6"/>
      <c r="AB900" s="18"/>
      <c r="AC900" s="18"/>
      <c r="AD900" s="18"/>
      <c r="AE900" s="18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</row>
    <row r="901" spans="1:50">
      <c r="A901" s="16"/>
      <c r="B901" s="30"/>
      <c r="C901" s="16"/>
      <c r="D901" s="16"/>
      <c r="E901" s="16"/>
      <c r="F901" s="22"/>
      <c r="G901" s="22"/>
      <c r="H901" s="22"/>
      <c r="I901" s="16"/>
      <c r="J901" s="16"/>
      <c r="K901" s="16"/>
      <c r="L901" s="18"/>
      <c r="M901" s="18"/>
      <c r="N901" s="18"/>
      <c r="O901" s="18"/>
      <c r="P901" s="18"/>
      <c r="S901" s="6"/>
      <c r="V901" s="18"/>
      <c r="W901" s="18"/>
      <c r="X901" s="18"/>
      <c r="Y901" s="6"/>
      <c r="Z901" s="6"/>
      <c r="AA901" s="6"/>
      <c r="AB901" s="18"/>
      <c r="AC901" s="18"/>
      <c r="AD901" s="18"/>
      <c r="AE901" s="18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</row>
    <row r="902" spans="1:50">
      <c r="A902" s="16"/>
      <c r="B902" s="30"/>
      <c r="C902" s="16"/>
      <c r="D902" s="16"/>
      <c r="E902" s="16"/>
      <c r="F902" s="22"/>
      <c r="G902" s="22"/>
      <c r="H902" s="22"/>
      <c r="I902" s="16"/>
      <c r="J902" s="16"/>
      <c r="K902" s="16"/>
      <c r="L902" s="18"/>
      <c r="M902" s="18"/>
      <c r="N902" s="18"/>
      <c r="O902" s="18"/>
      <c r="P902" s="18"/>
      <c r="S902" s="6"/>
      <c r="V902" s="18"/>
      <c r="W902" s="18"/>
      <c r="X902" s="18"/>
      <c r="Y902" s="6"/>
      <c r="Z902" s="6"/>
      <c r="AA902" s="6"/>
      <c r="AB902" s="18"/>
      <c r="AC902" s="18"/>
      <c r="AD902" s="18"/>
      <c r="AE902" s="18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</row>
    <row r="903" spans="1:50">
      <c r="A903" s="16"/>
      <c r="B903" s="30"/>
      <c r="C903" s="16"/>
      <c r="D903" s="16"/>
      <c r="E903" s="16"/>
      <c r="F903" s="22"/>
      <c r="G903" s="22"/>
      <c r="H903" s="22"/>
      <c r="I903" s="16"/>
      <c r="J903" s="16"/>
      <c r="K903" s="16"/>
      <c r="L903" s="18"/>
      <c r="M903" s="18"/>
      <c r="N903" s="18"/>
      <c r="O903" s="18"/>
      <c r="P903" s="18"/>
      <c r="S903" s="6"/>
      <c r="V903" s="18"/>
      <c r="W903" s="18"/>
      <c r="X903" s="18"/>
      <c r="Y903" s="6"/>
      <c r="Z903" s="6"/>
      <c r="AA903" s="6"/>
      <c r="AB903" s="18"/>
      <c r="AC903" s="18"/>
      <c r="AD903" s="18"/>
      <c r="AE903" s="18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</row>
    <row r="904" spans="1:50">
      <c r="A904" s="16"/>
      <c r="B904" s="30"/>
      <c r="C904" s="16"/>
      <c r="D904" s="16"/>
      <c r="E904" s="16"/>
      <c r="F904" s="22"/>
      <c r="G904" s="22"/>
      <c r="H904" s="22"/>
      <c r="I904" s="16"/>
      <c r="J904" s="16"/>
      <c r="K904" s="16"/>
      <c r="L904" s="18"/>
      <c r="M904" s="18"/>
      <c r="N904" s="18"/>
      <c r="O904" s="18"/>
      <c r="P904" s="18"/>
      <c r="S904" s="6"/>
      <c r="V904" s="18"/>
      <c r="W904" s="18"/>
      <c r="X904" s="18"/>
      <c r="Y904" s="6"/>
      <c r="Z904" s="6"/>
      <c r="AA904" s="6"/>
      <c r="AB904" s="18"/>
      <c r="AC904" s="18"/>
      <c r="AD904" s="18"/>
      <c r="AE904" s="18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</row>
    <row r="905" spans="1:50">
      <c r="A905" s="16"/>
      <c r="B905" s="30"/>
      <c r="C905" s="16"/>
      <c r="D905" s="16"/>
      <c r="E905" s="16"/>
      <c r="F905" s="22"/>
      <c r="G905" s="22"/>
      <c r="H905" s="22"/>
      <c r="I905" s="16"/>
      <c r="J905" s="16"/>
      <c r="K905" s="16"/>
      <c r="L905" s="18"/>
      <c r="M905" s="18"/>
      <c r="N905" s="18"/>
      <c r="O905" s="18"/>
      <c r="P905" s="18"/>
      <c r="S905" s="6"/>
      <c r="V905" s="18"/>
      <c r="W905" s="18"/>
      <c r="X905" s="18"/>
      <c r="Y905" s="6"/>
      <c r="Z905" s="6"/>
      <c r="AA905" s="6"/>
      <c r="AB905" s="18"/>
      <c r="AC905" s="18"/>
      <c r="AD905" s="18"/>
      <c r="AE905" s="18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</row>
    <row r="906" spans="1:50">
      <c r="A906" s="16"/>
      <c r="B906" s="30"/>
      <c r="C906" s="16"/>
      <c r="D906" s="16"/>
      <c r="E906" s="16"/>
      <c r="F906" s="22"/>
      <c r="G906" s="22"/>
      <c r="H906" s="22"/>
      <c r="I906" s="16"/>
      <c r="J906" s="16"/>
      <c r="K906" s="16"/>
      <c r="L906" s="18"/>
      <c r="M906" s="18"/>
      <c r="N906" s="18"/>
      <c r="O906" s="18"/>
      <c r="P906" s="18"/>
      <c r="S906" s="6"/>
      <c r="V906" s="18"/>
      <c r="W906" s="18"/>
      <c r="X906" s="18"/>
      <c r="Y906" s="6"/>
      <c r="Z906" s="6"/>
      <c r="AA906" s="6"/>
      <c r="AB906" s="18"/>
      <c r="AC906" s="18"/>
      <c r="AD906" s="18"/>
      <c r="AE906" s="18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</row>
    <row r="907" spans="1:50">
      <c r="A907" s="16"/>
      <c r="B907" s="30"/>
      <c r="C907" s="16"/>
      <c r="D907" s="16"/>
      <c r="E907" s="16"/>
      <c r="F907" s="22"/>
      <c r="G907" s="22"/>
      <c r="H907" s="22"/>
      <c r="I907" s="16"/>
      <c r="J907" s="16"/>
      <c r="K907" s="16"/>
      <c r="L907" s="18"/>
      <c r="M907" s="18"/>
      <c r="N907" s="18"/>
      <c r="O907" s="18"/>
      <c r="P907" s="18"/>
      <c r="S907" s="6"/>
      <c r="V907" s="18"/>
      <c r="W907" s="18"/>
      <c r="X907" s="18"/>
      <c r="Y907" s="6"/>
      <c r="Z907" s="6"/>
      <c r="AA907" s="6"/>
      <c r="AB907" s="18"/>
      <c r="AC907" s="18"/>
      <c r="AD907" s="18"/>
      <c r="AE907" s="18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</row>
    <row r="908" spans="1:50">
      <c r="A908" s="16"/>
      <c r="B908" s="30"/>
      <c r="C908" s="16"/>
      <c r="D908" s="16"/>
      <c r="E908" s="16"/>
      <c r="F908" s="22"/>
      <c r="G908" s="22"/>
      <c r="H908" s="22"/>
      <c r="I908" s="16"/>
      <c r="J908" s="16"/>
      <c r="K908" s="16"/>
      <c r="L908" s="18"/>
      <c r="M908" s="18"/>
      <c r="N908" s="18"/>
      <c r="O908" s="18"/>
      <c r="P908" s="18"/>
      <c r="S908" s="6"/>
      <c r="V908" s="18"/>
      <c r="W908" s="18"/>
      <c r="X908" s="18"/>
      <c r="Y908" s="6"/>
      <c r="Z908" s="6"/>
      <c r="AA908" s="6"/>
      <c r="AB908" s="18"/>
      <c r="AC908" s="18"/>
      <c r="AD908" s="18"/>
      <c r="AE908" s="18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</row>
    <row r="909" spans="1:50">
      <c r="A909" s="16"/>
      <c r="B909" s="30"/>
      <c r="C909" s="16"/>
      <c r="D909" s="16"/>
      <c r="E909" s="16"/>
      <c r="F909" s="22"/>
      <c r="G909" s="22"/>
      <c r="H909" s="22"/>
      <c r="I909" s="16"/>
      <c r="J909" s="16"/>
      <c r="K909" s="16"/>
      <c r="L909" s="18"/>
      <c r="M909" s="18"/>
      <c r="N909" s="18"/>
      <c r="O909" s="18"/>
      <c r="P909" s="18"/>
      <c r="S909" s="6"/>
      <c r="V909" s="18"/>
      <c r="W909" s="18"/>
      <c r="X909" s="18"/>
      <c r="Y909" s="6"/>
      <c r="Z909" s="6"/>
      <c r="AA909" s="6"/>
      <c r="AB909" s="18"/>
      <c r="AC909" s="18"/>
      <c r="AD909" s="18"/>
      <c r="AE909" s="18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</row>
    <row r="910" spans="1:50">
      <c r="A910" s="16"/>
      <c r="B910" s="30"/>
      <c r="C910" s="16"/>
      <c r="D910" s="16"/>
      <c r="E910" s="16"/>
      <c r="F910" s="22"/>
      <c r="G910" s="22"/>
      <c r="H910" s="22"/>
      <c r="I910" s="16"/>
      <c r="J910" s="16"/>
      <c r="K910" s="16"/>
      <c r="L910" s="18"/>
      <c r="M910" s="18"/>
      <c r="N910" s="18"/>
      <c r="O910" s="18"/>
      <c r="P910" s="18"/>
      <c r="S910" s="6"/>
      <c r="V910" s="18"/>
      <c r="W910" s="18"/>
      <c r="X910" s="18"/>
      <c r="Y910" s="6"/>
      <c r="Z910" s="6"/>
      <c r="AA910" s="6"/>
      <c r="AB910" s="18"/>
      <c r="AC910" s="18"/>
      <c r="AD910" s="18"/>
      <c r="AE910" s="18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</row>
    <row r="911" spans="1:50">
      <c r="A911" s="16"/>
      <c r="B911" s="30"/>
      <c r="C911" s="16"/>
      <c r="D911" s="16"/>
      <c r="E911" s="16"/>
      <c r="F911" s="22"/>
      <c r="G911" s="22"/>
      <c r="H911" s="22"/>
      <c r="I911" s="16"/>
      <c r="J911" s="16"/>
      <c r="K911" s="16"/>
      <c r="L911" s="18"/>
      <c r="M911" s="18"/>
      <c r="N911" s="18"/>
      <c r="O911" s="18"/>
      <c r="P911" s="18"/>
      <c r="S911" s="6"/>
      <c r="V911" s="18"/>
      <c r="W911" s="18"/>
      <c r="X911" s="18"/>
      <c r="Y911" s="6"/>
      <c r="Z911" s="6"/>
      <c r="AA911" s="6"/>
      <c r="AB911" s="18"/>
      <c r="AC911" s="18"/>
      <c r="AD911" s="18"/>
      <c r="AE911" s="18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</row>
    <row r="912" spans="1:50">
      <c r="A912" s="16"/>
      <c r="B912" s="30"/>
      <c r="C912" s="16"/>
      <c r="D912" s="16"/>
      <c r="E912" s="16"/>
      <c r="F912" s="22"/>
      <c r="G912" s="22"/>
      <c r="H912" s="22"/>
      <c r="I912" s="16"/>
      <c r="J912" s="16"/>
      <c r="K912" s="16"/>
      <c r="L912" s="18"/>
      <c r="M912" s="18"/>
      <c r="N912" s="18"/>
      <c r="O912" s="18"/>
      <c r="P912" s="18"/>
      <c r="S912" s="6"/>
      <c r="V912" s="18"/>
      <c r="W912" s="18"/>
      <c r="X912" s="18"/>
      <c r="Y912" s="6"/>
      <c r="Z912" s="6"/>
      <c r="AA912" s="6"/>
      <c r="AB912" s="18"/>
      <c r="AC912" s="18"/>
      <c r="AD912" s="18"/>
      <c r="AE912" s="18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</row>
    <row r="913" spans="1:50">
      <c r="A913" s="16"/>
      <c r="B913" s="30"/>
      <c r="C913" s="16"/>
      <c r="D913" s="16"/>
      <c r="E913" s="16"/>
      <c r="F913" s="22"/>
      <c r="G913" s="22"/>
      <c r="H913" s="22"/>
      <c r="I913" s="16"/>
      <c r="J913" s="16"/>
      <c r="K913" s="16"/>
      <c r="L913" s="18"/>
      <c r="M913" s="18"/>
      <c r="N913" s="18"/>
      <c r="O913" s="18"/>
      <c r="P913" s="18"/>
      <c r="S913" s="6"/>
      <c r="V913" s="18"/>
      <c r="W913" s="18"/>
      <c r="X913" s="18"/>
      <c r="Y913" s="6"/>
      <c r="Z913" s="6"/>
      <c r="AA913" s="6"/>
      <c r="AB913" s="18"/>
      <c r="AC913" s="18"/>
      <c r="AD913" s="18"/>
      <c r="AE913" s="18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</row>
    <row r="914" spans="1:50">
      <c r="A914" s="16"/>
      <c r="B914" s="30"/>
      <c r="C914" s="16"/>
      <c r="D914" s="16"/>
      <c r="E914" s="16"/>
      <c r="F914" s="22"/>
      <c r="G914" s="22"/>
      <c r="H914" s="22"/>
      <c r="I914" s="16"/>
      <c r="J914" s="16"/>
      <c r="K914" s="16"/>
      <c r="L914" s="18"/>
      <c r="M914" s="18"/>
      <c r="N914" s="18"/>
      <c r="O914" s="18"/>
      <c r="P914" s="18"/>
      <c r="S914" s="6"/>
      <c r="V914" s="18"/>
      <c r="W914" s="18"/>
      <c r="X914" s="18"/>
      <c r="Y914" s="6"/>
      <c r="Z914" s="6"/>
      <c r="AA914" s="6"/>
      <c r="AB914" s="18"/>
      <c r="AC914" s="18"/>
      <c r="AD914" s="18"/>
      <c r="AE914" s="18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</row>
    <row r="915" spans="1:50">
      <c r="A915" s="16"/>
      <c r="B915" s="30"/>
      <c r="C915" s="16"/>
      <c r="D915" s="16"/>
      <c r="E915" s="16"/>
      <c r="F915" s="22"/>
      <c r="G915" s="22"/>
      <c r="H915" s="22"/>
      <c r="I915" s="16"/>
      <c r="J915" s="16"/>
      <c r="K915" s="16"/>
      <c r="L915" s="18"/>
      <c r="M915" s="18"/>
      <c r="N915" s="18"/>
      <c r="O915" s="18"/>
      <c r="P915" s="18"/>
      <c r="S915" s="6"/>
      <c r="V915" s="18"/>
      <c r="W915" s="18"/>
      <c r="X915" s="18"/>
      <c r="Y915" s="6"/>
      <c r="Z915" s="6"/>
      <c r="AA915" s="6"/>
      <c r="AB915" s="18"/>
      <c r="AC915" s="18"/>
      <c r="AD915" s="18"/>
      <c r="AE915" s="18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</row>
    <row r="916" spans="1:50">
      <c r="A916" s="16"/>
      <c r="B916" s="30"/>
      <c r="C916" s="16"/>
      <c r="D916" s="16"/>
      <c r="E916" s="16"/>
      <c r="F916" s="22"/>
      <c r="G916" s="22"/>
      <c r="H916" s="22"/>
      <c r="I916" s="16"/>
      <c r="J916" s="16"/>
      <c r="K916" s="16"/>
      <c r="L916" s="18"/>
      <c r="M916" s="18"/>
      <c r="N916" s="18"/>
      <c r="O916" s="18"/>
      <c r="P916" s="18"/>
      <c r="S916" s="6"/>
      <c r="V916" s="18"/>
      <c r="W916" s="18"/>
      <c r="X916" s="18"/>
      <c r="Y916" s="6"/>
      <c r="Z916" s="6"/>
      <c r="AA916" s="6"/>
      <c r="AB916" s="18"/>
      <c r="AC916" s="18"/>
      <c r="AD916" s="18"/>
      <c r="AE916" s="18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</row>
    <row r="917" spans="1:50">
      <c r="A917" s="16"/>
      <c r="B917" s="30"/>
      <c r="C917" s="16"/>
      <c r="D917" s="16"/>
      <c r="E917" s="16"/>
      <c r="F917" s="22"/>
      <c r="G917" s="22"/>
      <c r="H917" s="22"/>
      <c r="I917" s="16"/>
      <c r="J917" s="16"/>
      <c r="K917" s="16"/>
      <c r="L917" s="18"/>
      <c r="M917" s="18"/>
      <c r="N917" s="18"/>
      <c r="O917" s="18"/>
      <c r="P917" s="18"/>
      <c r="S917" s="6"/>
      <c r="V917" s="18"/>
      <c r="W917" s="18"/>
      <c r="X917" s="18"/>
      <c r="Y917" s="6"/>
      <c r="Z917" s="6"/>
      <c r="AA917" s="6"/>
      <c r="AB917" s="18"/>
      <c r="AC917" s="18"/>
      <c r="AD917" s="18"/>
      <c r="AE917" s="18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</row>
    <row r="918" spans="1:50">
      <c r="A918" s="16"/>
      <c r="B918" s="30"/>
      <c r="C918" s="16"/>
      <c r="D918" s="16"/>
      <c r="E918" s="16"/>
      <c r="F918" s="22"/>
      <c r="G918" s="22"/>
      <c r="H918" s="22"/>
      <c r="I918" s="16"/>
      <c r="J918" s="16"/>
      <c r="K918" s="16"/>
      <c r="L918" s="18"/>
      <c r="M918" s="18"/>
      <c r="N918" s="18"/>
      <c r="O918" s="18"/>
      <c r="P918" s="18"/>
      <c r="S918" s="6"/>
      <c r="V918" s="18"/>
      <c r="W918" s="18"/>
      <c r="X918" s="18"/>
      <c r="Y918" s="6"/>
      <c r="Z918" s="6"/>
      <c r="AA918" s="6"/>
      <c r="AB918" s="18"/>
      <c r="AC918" s="18"/>
      <c r="AD918" s="18"/>
      <c r="AE918" s="18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</row>
    <row r="919" spans="1:50">
      <c r="A919" s="16"/>
      <c r="B919" s="30"/>
      <c r="C919" s="16"/>
      <c r="D919" s="16"/>
      <c r="E919" s="16"/>
      <c r="F919" s="22"/>
      <c r="G919" s="22"/>
      <c r="H919" s="22"/>
      <c r="I919" s="16"/>
      <c r="J919" s="16"/>
      <c r="K919" s="16"/>
      <c r="L919" s="18"/>
      <c r="M919" s="18"/>
      <c r="N919" s="18"/>
      <c r="O919" s="18"/>
      <c r="P919" s="18"/>
      <c r="S919" s="6"/>
      <c r="V919" s="18"/>
      <c r="W919" s="18"/>
      <c r="X919" s="18"/>
      <c r="Y919" s="6"/>
      <c r="Z919" s="6"/>
      <c r="AA919" s="6"/>
      <c r="AB919" s="18"/>
      <c r="AC919" s="18"/>
      <c r="AD919" s="18"/>
      <c r="AE919" s="18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</row>
    <row r="920" spans="1:50">
      <c r="A920" s="16"/>
      <c r="B920" s="30"/>
      <c r="C920" s="16"/>
      <c r="D920" s="16"/>
      <c r="E920" s="16"/>
      <c r="F920" s="22"/>
      <c r="G920" s="22"/>
      <c r="H920" s="22"/>
      <c r="I920" s="16"/>
      <c r="J920" s="16"/>
      <c r="K920" s="16"/>
      <c r="L920" s="18"/>
      <c r="M920" s="18"/>
      <c r="N920" s="18"/>
      <c r="O920" s="18"/>
      <c r="P920" s="18"/>
      <c r="S920" s="6"/>
      <c r="V920" s="18"/>
      <c r="W920" s="18"/>
      <c r="X920" s="18"/>
      <c r="Y920" s="6"/>
      <c r="Z920" s="6"/>
      <c r="AA920" s="6"/>
      <c r="AB920" s="18"/>
      <c r="AC920" s="18"/>
      <c r="AD920" s="18"/>
      <c r="AE920" s="18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</row>
    <row r="921" spans="1:50">
      <c r="A921" s="16"/>
      <c r="B921" s="30"/>
      <c r="C921" s="16"/>
      <c r="D921" s="16"/>
      <c r="E921" s="16"/>
      <c r="F921" s="22"/>
      <c r="G921" s="22"/>
      <c r="H921" s="22"/>
      <c r="I921" s="16"/>
      <c r="J921" s="16"/>
      <c r="K921" s="16"/>
      <c r="L921" s="18"/>
      <c r="M921" s="18"/>
      <c r="N921" s="18"/>
      <c r="O921" s="18"/>
      <c r="P921" s="18"/>
      <c r="S921" s="6"/>
      <c r="V921" s="18"/>
      <c r="W921" s="18"/>
      <c r="X921" s="18"/>
      <c r="Y921" s="6"/>
      <c r="Z921" s="6"/>
      <c r="AA921" s="6"/>
      <c r="AB921" s="18"/>
      <c r="AC921" s="18"/>
      <c r="AD921" s="18"/>
      <c r="AE921" s="18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</row>
    <row r="922" spans="1:50">
      <c r="A922" s="16"/>
      <c r="B922" s="30"/>
      <c r="C922" s="16"/>
      <c r="D922" s="16"/>
      <c r="E922" s="16"/>
      <c r="F922" s="22"/>
      <c r="G922" s="22"/>
      <c r="H922" s="22"/>
      <c r="I922" s="16"/>
      <c r="J922" s="16"/>
      <c r="K922" s="16"/>
      <c r="L922" s="18"/>
      <c r="M922" s="18"/>
      <c r="N922" s="18"/>
      <c r="O922" s="18"/>
      <c r="P922" s="18"/>
      <c r="S922" s="6"/>
      <c r="V922" s="18"/>
      <c r="W922" s="18"/>
      <c r="X922" s="18"/>
      <c r="Y922" s="6"/>
      <c r="Z922" s="6"/>
      <c r="AA922" s="6"/>
      <c r="AB922" s="18"/>
      <c r="AC922" s="18"/>
      <c r="AD922" s="18"/>
      <c r="AE922" s="18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</row>
    <row r="923" spans="1:50">
      <c r="A923" s="16"/>
      <c r="B923" s="30"/>
      <c r="C923" s="16"/>
      <c r="D923" s="16"/>
      <c r="E923" s="16"/>
      <c r="F923" s="22"/>
      <c r="G923" s="22"/>
      <c r="H923" s="22"/>
      <c r="I923" s="16"/>
      <c r="J923" s="16"/>
      <c r="K923" s="16"/>
      <c r="L923" s="18"/>
      <c r="M923" s="18"/>
      <c r="N923" s="18"/>
      <c r="O923" s="18"/>
      <c r="P923" s="18"/>
      <c r="S923" s="6"/>
      <c r="V923" s="18"/>
      <c r="W923" s="18"/>
      <c r="X923" s="18"/>
      <c r="Y923" s="6"/>
      <c r="Z923" s="6"/>
      <c r="AA923" s="6"/>
      <c r="AB923" s="18"/>
      <c r="AC923" s="18"/>
      <c r="AD923" s="18"/>
      <c r="AE923" s="18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</row>
    <row r="924" spans="1:50">
      <c r="A924" s="16"/>
      <c r="B924" s="30"/>
      <c r="C924" s="16"/>
      <c r="D924" s="16"/>
      <c r="E924" s="16"/>
      <c r="F924" s="22"/>
      <c r="G924" s="22"/>
      <c r="H924" s="22"/>
      <c r="I924" s="16"/>
      <c r="J924" s="16"/>
      <c r="K924" s="16"/>
      <c r="L924" s="18"/>
      <c r="M924" s="18"/>
      <c r="N924" s="18"/>
      <c r="O924" s="18"/>
      <c r="P924" s="18"/>
      <c r="S924" s="6"/>
      <c r="V924" s="18"/>
      <c r="W924" s="18"/>
      <c r="X924" s="18"/>
      <c r="Y924" s="6"/>
      <c r="Z924" s="6"/>
      <c r="AA924" s="6"/>
      <c r="AB924" s="18"/>
      <c r="AC924" s="18"/>
      <c r="AD924" s="18"/>
      <c r="AE924" s="18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</row>
    <row r="925" spans="1:50">
      <c r="A925" s="16"/>
      <c r="B925" s="30"/>
      <c r="C925" s="16"/>
      <c r="D925" s="16"/>
      <c r="E925" s="16"/>
      <c r="F925" s="22"/>
      <c r="G925" s="22"/>
      <c r="H925" s="22"/>
      <c r="I925" s="16"/>
      <c r="J925" s="16"/>
      <c r="K925" s="16"/>
      <c r="L925" s="18"/>
      <c r="M925" s="18"/>
      <c r="N925" s="18"/>
      <c r="O925" s="18"/>
      <c r="P925" s="18"/>
      <c r="S925" s="6"/>
      <c r="V925" s="18"/>
      <c r="W925" s="18"/>
      <c r="X925" s="18"/>
      <c r="Y925" s="6"/>
      <c r="Z925" s="6"/>
      <c r="AA925" s="6"/>
      <c r="AB925" s="18"/>
      <c r="AC925" s="18"/>
      <c r="AD925" s="18"/>
      <c r="AE925" s="18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</row>
    <row r="926" spans="1:50">
      <c r="A926" s="16"/>
      <c r="B926" s="30"/>
      <c r="C926" s="16"/>
      <c r="D926" s="16"/>
      <c r="E926" s="16"/>
      <c r="F926" s="22"/>
      <c r="G926" s="22"/>
      <c r="H926" s="22"/>
      <c r="I926" s="16"/>
      <c r="J926" s="16"/>
      <c r="K926" s="16"/>
      <c r="L926" s="18"/>
      <c r="M926" s="18"/>
      <c r="N926" s="18"/>
      <c r="O926" s="18"/>
      <c r="P926" s="18"/>
      <c r="S926" s="6"/>
      <c r="V926" s="18"/>
      <c r="W926" s="18"/>
      <c r="X926" s="18"/>
      <c r="Y926" s="6"/>
      <c r="Z926" s="6"/>
      <c r="AA926" s="6"/>
      <c r="AB926" s="18"/>
      <c r="AC926" s="18"/>
      <c r="AD926" s="18"/>
      <c r="AE926" s="18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</row>
    <row r="927" spans="1:50">
      <c r="A927" s="16"/>
      <c r="B927" s="30"/>
      <c r="C927" s="16"/>
      <c r="D927" s="16"/>
      <c r="E927" s="16"/>
      <c r="F927" s="22"/>
      <c r="G927" s="22"/>
      <c r="H927" s="22"/>
      <c r="I927" s="16"/>
      <c r="J927" s="16"/>
      <c r="K927" s="16"/>
      <c r="L927" s="18"/>
      <c r="M927" s="18"/>
      <c r="N927" s="18"/>
      <c r="O927" s="18"/>
      <c r="P927" s="18"/>
      <c r="S927" s="6"/>
      <c r="V927" s="18"/>
      <c r="W927" s="18"/>
      <c r="X927" s="18"/>
      <c r="Y927" s="6"/>
      <c r="Z927" s="6"/>
      <c r="AA927" s="6"/>
      <c r="AB927" s="18"/>
      <c r="AC927" s="18"/>
      <c r="AD927" s="18"/>
      <c r="AE927" s="18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</row>
    <row r="928" spans="1:50">
      <c r="A928" s="16"/>
      <c r="B928" s="30"/>
      <c r="C928" s="16"/>
      <c r="D928" s="16"/>
      <c r="E928" s="16"/>
      <c r="F928" s="22"/>
      <c r="G928" s="22"/>
      <c r="H928" s="22"/>
      <c r="I928" s="16"/>
      <c r="J928" s="16"/>
      <c r="K928" s="16"/>
      <c r="L928" s="18"/>
      <c r="M928" s="18"/>
      <c r="N928" s="18"/>
      <c r="O928" s="18"/>
      <c r="P928" s="18"/>
      <c r="S928" s="6"/>
      <c r="V928" s="18"/>
      <c r="W928" s="18"/>
      <c r="X928" s="18"/>
      <c r="Y928" s="6"/>
      <c r="Z928" s="6"/>
      <c r="AA928" s="6"/>
      <c r="AB928" s="18"/>
      <c r="AC928" s="18"/>
      <c r="AD928" s="18"/>
      <c r="AE928" s="18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</row>
    <row r="929" spans="1:50">
      <c r="A929" s="16"/>
      <c r="B929" s="30"/>
      <c r="C929" s="16"/>
      <c r="D929" s="16"/>
      <c r="E929" s="16"/>
      <c r="F929" s="22"/>
      <c r="G929" s="22"/>
      <c r="H929" s="22"/>
      <c r="I929" s="16"/>
      <c r="J929" s="16"/>
      <c r="K929" s="16"/>
      <c r="L929" s="18"/>
      <c r="M929" s="18"/>
      <c r="N929" s="18"/>
      <c r="O929" s="18"/>
      <c r="P929" s="18"/>
      <c r="S929" s="6"/>
      <c r="V929" s="18"/>
      <c r="W929" s="18"/>
      <c r="X929" s="18"/>
      <c r="Y929" s="6"/>
      <c r="Z929" s="6"/>
      <c r="AA929" s="6"/>
      <c r="AB929" s="18"/>
      <c r="AC929" s="18"/>
      <c r="AD929" s="18"/>
      <c r="AE929" s="18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</row>
    <row r="930" spans="1:50">
      <c r="A930" s="16"/>
      <c r="B930" s="30"/>
      <c r="C930" s="16"/>
      <c r="D930" s="16"/>
      <c r="E930" s="16"/>
      <c r="F930" s="22"/>
      <c r="G930" s="22"/>
      <c r="H930" s="22"/>
      <c r="I930" s="16"/>
      <c r="J930" s="16"/>
      <c r="K930" s="16"/>
      <c r="L930" s="18"/>
      <c r="M930" s="18"/>
      <c r="N930" s="18"/>
      <c r="O930" s="18"/>
      <c r="P930" s="18"/>
      <c r="S930" s="6"/>
      <c r="V930" s="18"/>
      <c r="W930" s="18"/>
      <c r="X930" s="18"/>
      <c r="Y930" s="6"/>
      <c r="Z930" s="6"/>
      <c r="AA930" s="6"/>
      <c r="AB930" s="18"/>
      <c r="AC930" s="18"/>
      <c r="AD930" s="18"/>
      <c r="AE930" s="18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</row>
    <row r="931" spans="1:50">
      <c r="A931" s="16"/>
      <c r="B931" s="30"/>
      <c r="C931" s="16"/>
      <c r="D931" s="16"/>
      <c r="E931" s="16"/>
      <c r="F931" s="22"/>
      <c r="G931" s="22"/>
      <c r="H931" s="22"/>
      <c r="I931" s="16"/>
      <c r="J931" s="16"/>
      <c r="K931" s="16"/>
      <c r="L931" s="18"/>
      <c r="M931" s="18"/>
      <c r="N931" s="18"/>
      <c r="O931" s="18"/>
      <c r="P931" s="18"/>
      <c r="S931" s="6"/>
      <c r="V931" s="18"/>
      <c r="W931" s="18"/>
      <c r="X931" s="18"/>
      <c r="Y931" s="6"/>
      <c r="Z931" s="6"/>
      <c r="AA931" s="6"/>
      <c r="AB931" s="18"/>
      <c r="AC931" s="18"/>
      <c r="AD931" s="18"/>
      <c r="AE931" s="18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</row>
    <row r="932" spans="1:50">
      <c r="A932" s="16"/>
      <c r="B932" s="30"/>
      <c r="C932" s="16"/>
      <c r="D932" s="16"/>
      <c r="E932" s="16"/>
      <c r="F932" s="22"/>
      <c r="G932" s="22"/>
      <c r="H932" s="22"/>
      <c r="I932" s="16"/>
      <c r="J932" s="16"/>
      <c r="K932" s="16"/>
      <c r="L932" s="18"/>
      <c r="M932" s="18"/>
      <c r="N932" s="18"/>
      <c r="O932" s="18"/>
      <c r="P932" s="18"/>
      <c r="S932" s="6"/>
      <c r="V932" s="18"/>
      <c r="W932" s="18"/>
      <c r="X932" s="18"/>
      <c r="Y932" s="6"/>
      <c r="Z932" s="6"/>
      <c r="AA932" s="6"/>
      <c r="AB932" s="18"/>
      <c r="AC932" s="18"/>
      <c r="AD932" s="18"/>
      <c r="AE932" s="18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</row>
    <row r="933" spans="1:50">
      <c r="A933" s="16"/>
      <c r="B933" s="30"/>
      <c r="C933" s="16"/>
      <c r="D933" s="16"/>
      <c r="E933" s="16"/>
      <c r="F933" s="22"/>
      <c r="G933" s="22"/>
      <c r="H933" s="22"/>
      <c r="I933" s="16"/>
      <c r="J933" s="16"/>
      <c r="K933" s="16"/>
      <c r="L933" s="18"/>
      <c r="M933" s="18"/>
      <c r="N933" s="18"/>
      <c r="O933" s="18"/>
      <c r="P933" s="18"/>
      <c r="S933" s="6"/>
      <c r="V933" s="18"/>
      <c r="W933" s="18"/>
      <c r="X933" s="18"/>
      <c r="Y933" s="6"/>
      <c r="Z933" s="6"/>
      <c r="AA933" s="6"/>
      <c r="AB933" s="18"/>
      <c r="AC933" s="18"/>
      <c r="AD933" s="18"/>
      <c r="AE933" s="18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</row>
    <row r="934" spans="1:50">
      <c r="A934" s="16"/>
      <c r="B934" s="30"/>
      <c r="C934" s="16"/>
      <c r="D934" s="16"/>
      <c r="E934" s="16"/>
      <c r="F934" s="22"/>
      <c r="G934" s="22"/>
      <c r="H934" s="22"/>
      <c r="I934" s="16"/>
      <c r="J934" s="16"/>
      <c r="K934" s="16"/>
      <c r="L934" s="18"/>
      <c r="M934" s="18"/>
      <c r="N934" s="18"/>
      <c r="O934" s="18"/>
      <c r="P934" s="18"/>
      <c r="S934" s="6"/>
      <c r="V934" s="18"/>
      <c r="W934" s="18"/>
      <c r="X934" s="18"/>
      <c r="Y934" s="6"/>
      <c r="Z934" s="6"/>
      <c r="AA934" s="6"/>
      <c r="AB934" s="18"/>
      <c r="AC934" s="18"/>
      <c r="AD934" s="18"/>
      <c r="AE934" s="18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</row>
    <row r="935" spans="1:50">
      <c r="A935" s="16"/>
      <c r="B935" s="30"/>
      <c r="C935" s="16"/>
      <c r="D935" s="16"/>
      <c r="E935" s="16"/>
      <c r="F935" s="22"/>
      <c r="G935" s="22"/>
      <c r="H935" s="22"/>
      <c r="I935" s="16"/>
      <c r="J935" s="16"/>
      <c r="K935" s="16"/>
      <c r="L935" s="18"/>
      <c r="M935" s="18"/>
      <c r="N935" s="18"/>
      <c r="O935" s="18"/>
      <c r="P935" s="18"/>
      <c r="S935" s="6"/>
      <c r="V935" s="18"/>
      <c r="W935" s="18"/>
      <c r="X935" s="18"/>
      <c r="Y935" s="6"/>
      <c r="Z935" s="6"/>
      <c r="AA935" s="6"/>
      <c r="AB935" s="18"/>
      <c r="AC935" s="18"/>
      <c r="AD935" s="18"/>
      <c r="AE935" s="18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</row>
    <row r="936" spans="1:50">
      <c r="A936" s="16"/>
      <c r="B936" s="30"/>
      <c r="C936" s="16"/>
      <c r="D936" s="16"/>
      <c r="E936" s="16"/>
      <c r="F936" s="22"/>
      <c r="G936" s="22"/>
      <c r="H936" s="22"/>
      <c r="I936" s="16"/>
      <c r="J936" s="16"/>
      <c r="K936" s="16"/>
      <c r="L936" s="18"/>
      <c r="M936" s="18"/>
      <c r="N936" s="18"/>
      <c r="O936" s="18"/>
      <c r="P936" s="18"/>
      <c r="S936" s="6"/>
      <c r="V936" s="18"/>
      <c r="W936" s="18"/>
      <c r="X936" s="18"/>
      <c r="Y936" s="6"/>
      <c r="Z936" s="6"/>
      <c r="AA936" s="6"/>
      <c r="AB936" s="18"/>
      <c r="AC936" s="18"/>
      <c r="AD936" s="18"/>
      <c r="AE936" s="18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</row>
    <row r="937" spans="1:50">
      <c r="A937" s="16"/>
      <c r="B937" s="30"/>
      <c r="C937" s="16"/>
      <c r="D937" s="16"/>
      <c r="E937" s="16"/>
      <c r="F937" s="22"/>
      <c r="G937" s="22"/>
      <c r="H937" s="22"/>
      <c r="I937" s="16"/>
      <c r="J937" s="16"/>
      <c r="K937" s="16"/>
      <c r="L937" s="18"/>
      <c r="M937" s="18"/>
      <c r="N937" s="18"/>
      <c r="O937" s="18"/>
      <c r="P937" s="18"/>
      <c r="S937" s="6"/>
      <c r="V937" s="18"/>
      <c r="W937" s="18"/>
      <c r="X937" s="18"/>
      <c r="Y937" s="6"/>
      <c r="Z937" s="6"/>
      <c r="AA937" s="6"/>
      <c r="AB937" s="18"/>
      <c r="AC937" s="18"/>
      <c r="AD937" s="18"/>
      <c r="AE937" s="18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</row>
    <row r="938" spans="1:50">
      <c r="A938" s="16"/>
      <c r="B938" s="30"/>
      <c r="C938" s="16"/>
      <c r="D938" s="16"/>
      <c r="E938" s="16"/>
      <c r="F938" s="22"/>
      <c r="G938" s="22"/>
      <c r="H938" s="22"/>
      <c r="I938" s="16"/>
      <c r="J938" s="16"/>
      <c r="K938" s="16"/>
      <c r="L938" s="18"/>
      <c r="M938" s="18"/>
      <c r="N938" s="18"/>
      <c r="O938" s="18"/>
      <c r="P938" s="18"/>
      <c r="S938" s="6"/>
      <c r="V938" s="18"/>
      <c r="W938" s="18"/>
      <c r="X938" s="18"/>
      <c r="Y938" s="6"/>
      <c r="Z938" s="6"/>
      <c r="AA938" s="6"/>
      <c r="AB938" s="18"/>
      <c r="AC938" s="18"/>
      <c r="AD938" s="18"/>
      <c r="AE938" s="18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</row>
    <row r="939" spans="1:50">
      <c r="A939" s="16"/>
      <c r="B939" s="30"/>
      <c r="C939" s="16"/>
      <c r="D939" s="16"/>
      <c r="E939" s="16"/>
      <c r="F939" s="22"/>
      <c r="G939" s="22"/>
      <c r="H939" s="22"/>
      <c r="I939" s="16"/>
      <c r="J939" s="16"/>
      <c r="K939" s="16"/>
      <c r="L939" s="18"/>
      <c r="M939" s="18"/>
      <c r="N939" s="18"/>
      <c r="O939" s="18"/>
      <c r="P939" s="18"/>
      <c r="S939" s="6"/>
      <c r="V939" s="18"/>
      <c r="W939" s="18"/>
      <c r="X939" s="18"/>
      <c r="Y939" s="6"/>
      <c r="Z939" s="6"/>
      <c r="AA939" s="6"/>
      <c r="AB939" s="18"/>
      <c r="AC939" s="18"/>
      <c r="AD939" s="18"/>
      <c r="AE939" s="18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</row>
    <row r="940" spans="1:50">
      <c r="A940" s="16"/>
      <c r="B940" s="30"/>
      <c r="C940" s="16"/>
      <c r="D940" s="16"/>
      <c r="E940" s="16"/>
      <c r="F940" s="22"/>
      <c r="G940" s="22"/>
      <c r="H940" s="22"/>
      <c r="I940" s="16"/>
      <c r="J940" s="16"/>
      <c r="K940" s="16"/>
      <c r="L940" s="18"/>
      <c r="M940" s="18"/>
      <c r="N940" s="18"/>
      <c r="O940" s="18"/>
      <c r="P940" s="18"/>
      <c r="S940" s="6"/>
      <c r="V940" s="18"/>
      <c r="W940" s="18"/>
      <c r="X940" s="18"/>
      <c r="Y940" s="6"/>
      <c r="Z940" s="6"/>
      <c r="AA940" s="6"/>
      <c r="AB940" s="18"/>
      <c r="AC940" s="18"/>
      <c r="AD940" s="18"/>
      <c r="AE940" s="18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</row>
    <row r="941" spans="1:50">
      <c r="A941" s="16"/>
      <c r="B941" s="30"/>
      <c r="C941" s="16"/>
      <c r="D941" s="16"/>
      <c r="E941" s="16"/>
      <c r="F941" s="22"/>
      <c r="G941" s="22"/>
      <c r="H941" s="22"/>
      <c r="I941" s="16"/>
      <c r="J941" s="16"/>
      <c r="K941" s="16"/>
      <c r="L941" s="18"/>
      <c r="M941" s="18"/>
      <c r="N941" s="18"/>
      <c r="O941" s="18"/>
      <c r="P941" s="18"/>
      <c r="S941" s="6"/>
      <c r="V941" s="18"/>
      <c r="W941" s="18"/>
      <c r="X941" s="18"/>
      <c r="Y941" s="6"/>
      <c r="Z941" s="6"/>
      <c r="AA941" s="6"/>
      <c r="AB941" s="18"/>
      <c r="AC941" s="18"/>
      <c r="AD941" s="18"/>
      <c r="AE941" s="18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</row>
    <row r="942" spans="1:50">
      <c r="A942" s="16"/>
      <c r="B942" s="30"/>
      <c r="C942" s="16"/>
      <c r="D942" s="16"/>
      <c r="E942" s="16"/>
      <c r="F942" s="22"/>
      <c r="G942" s="22"/>
      <c r="H942" s="22"/>
      <c r="I942" s="16"/>
      <c r="J942" s="16"/>
      <c r="K942" s="16"/>
      <c r="L942" s="18"/>
      <c r="M942" s="18"/>
      <c r="N942" s="18"/>
      <c r="O942" s="18"/>
      <c r="P942" s="18"/>
      <c r="S942" s="6"/>
      <c r="V942" s="18"/>
      <c r="W942" s="18"/>
      <c r="X942" s="18"/>
      <c r="Y942" s="6"/>
      <c r="Z942" s="6"/>
      <c r="AA942" s="6"/>
      <c r="AB942" s="18"/>
      <c r="AC942" s="18"/>
      <c r="AD942" s="18"/>
      <c r="AE942" s="18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</row>
    <row r="943" spans="1:50">
      <c r="A943" s="16"/>
      <c r="B943" s="30"/>
      <c r="C943" s="16"/>
      <c r="D943" s="16"/>
      <c r="E943" s="16"/>
      <c r="F943" s="22"/>
      <c r="G943" s="22"/>
      <c r="H943" s="22"/>
      <c r="I943" s="16"/>
      <c r="J943" s="16"/>
      <c r="K943" s="16"/>
      <c r="L943" s="18"/>
      <c r="M943" s="18"/>
      <c r="N943" s="18"/>
      <c r="O943" s="18"/>
      <c r="P943" s="18"/>
      <c r="S943" s="6"/>
      <c r="V943" s="18"/>
      <c r="W943" s="18"/>
      <c r="X943" s="18"/>
      <c r="Y943" s="6"/>
      <c r="Z943" s="6"/>
      <c r="AA943" s="6"/>
      <c r="AB943" s="18"/>
      <c r="AC943" s="18"/>
      <c r="AD943" s="18"/>
      <c r="AE943" s="18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</row>
    <row r="944" spans="1:50">
      <c r="A944" s="16"/>
      <c r="B944" s="30"/>
      <c r="C944" s="16"/>
      <c r="D944" s="16"/>
      <c r="E944" s="16"/>
      <c r="F944" s="22"/>
      <c r="G944" s="22"/>
      <c r="H944" s="22"/>
      <c r="I944" s="16"/>
      <c r="J944" s="16"/>
      <c r="K944" s="16"/>
      <c r="L944" s="18"/>
      <c r="M944" s="18"/>
      <c r="N944" s="18"/>
      <c r="O944" s="18"/>
      <c r="P944" s="18"/>
      <c r="S944" s="6"/>
      <c r="V944" s="18"/>
      <c r="W944" s="18"/>
      <c r="X944" s="18"/>
      <c r="Y944" s="6"/>
      <c r="Z944" s="6"/>
      <c r="AA944" s="6"/>
      <c r="AB944" s="18"/>
      <c r="AC944" s="18"/>
      <c r="AD944" s="18"/>
      <c r="AE944" s="18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</row>
    <row r="945" spans="1:50">
      <c r="A945" s="16"/>
      <c r="B945" s="30"/>
      <c r="C945" s="16"/>
      <c r="D945" s="16"/>
      <c r="E945" s="16"/>
      <c r="F945" s="22"/>
      <c r="G945" s="22"/>
      <c r="H945" s="22"/>
      <c r="I945" s="16"/>
      <c r="J945" s="16"/>
      <c r="K945" s="16"/>
      <c r="L945" s="18"/>
      <c r="M945" s="18"/>
      <c r="N945" s="18"/>
      <c r="O945" s="18"/>
      <c r="P945" s="18"/>
      <c r="S945" s="6"/>
      <c r="V945" s="18"/>
      <c r="W945" s="18"/>
      <c r="X945" s="18"/>
      <c r="Y945" s="6"/>
      <c r="Z945" s="6"/>
      <c r="AA945" s="6"/>
      <c r="AB945" s="18"/>
      <c r="AC945" s="18"/>
      <c r="AD945" s="18"/>
      <c r="AE945" s="18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</row>
    <row r="946" spans="1:50">
      <c r="A946" s="16"/>
      <c r="B946" s="30"/>
      <c r="C946" s="16"/>
      <c r="D946" s="16"/>
      <c r="E946" s="16"/>
      <c r="F946" s="22"/>
      <c r="G946" s="22"/>
      <c r="H946" s="22"/>
      <c r="I946" s="16"/>
      <c r="J946" s="16"/>
      <c r="K946" s="16"/>
      <c r="L946" s="18"/>
      <c r="M946" s="18"/>
      <c r="N946" s="18"/>
      <c r="O946" s="18"/>
      <c r="P946" s="18"/>
      <c r="S946" s="6"/>
      <c r="V946" s="18"/>
      <c r="W946" s="18"/>
      <c r="X946" s="18"/>
      <c r="Y946" s="6"/>
      <c r="Z946" s="6"/>
      <c r="AA946" s="6"/>
      <c r="AB946" s="18"/>
      <c r="AC946" s="18"/>
      <c r="AD946" s="18"/>
      <c r="AE946" s="18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</row>
    <row r="947" spans="1:50">
      <c r="A947" s="16"/>
      <c r="B947" s="30"/>
      <c r="C947" s="16"/>
      <c r="D947" s="16"/>
      <c r="E947" s="16"/>
      <c r="F947" s="22"/>
      <c r="G947" s="22"/>
      <c r="H947" s="22"/>
      <c r="I947" s="16"/>
      <c r="J947" s="16"/>
      <c r="K947" s="16"/>
      <c r="L947" s="18"/>
      <c r="M947" s="18"/>
      <c r="N947" s="18"/>
      <c r="O947" s="18"/>
      <c r="P947" s="18"/>
      <c r="S947" s="6"/>
      <c r="V947" s="18"/>
      <c r="W947" s="18"/>
      <c r="X947" s="18"/>
      <c r="Y947" s="6"/>
      <c r="Z947" s="6"/>
      <c r="AA947" s="6"/>
      <c r="AB947" s="18"/>
      <c r="AC947" s="18"/>
      <c r="AD947" s="18"/>
      <c r="AE947" s="18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</row>
    <row r="948" spans="1:50">
      <c r="A948" s="16"/>
      <c r="B948" s="30"/>
      <c r="C948" s="16"/>
      <c r="D948" s="16"/>
      <c r="E948" s="16"/>
      <c r="F948" s="22"/>
      <c r="G948" s="22"/>
      <c r="H948" s="22"/>
      <c r="I948" s="16"/>
      <c r="J948" s="16"/>
      <c r="K948" s="16"/>
      <c r="L948" s="18"/>
      <c r="M948" s="18"/>
      <c r="N948" s="18"/>
      <c r="O948" s="18"/>
      <c r="P948" s="18"/>
      <c r="S948" s="6"/>
      <c r="V948" s="18"/>
      <c r="W948" s="18"/>
      <c r="X948" s="18"/>
      <c r="Y948" s="6"/>
      <c r="Z948" s="6"/>
      <c r="AA948" s="6"/>
      <c r="AB948" s="18"/>
      <c r="AC948" s="18"/>
      <c r="AD948" s="18"/>
      <c r="AE948" s="18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</row>
    <row r="949" spans="1:50">
      <c r="A949" s="16"/>
      <c r="B949" s="30"/>
      <c r="C949" s="16"/>
      <c r="D949" s="16"/>
      <c r="E949" s="16"/>
      <c r="F949" s="22"/>
      <c r="G949" s="22"/>
      <c r="H949" s="22"/>
      <c r="I949" s="16"/>
      <c r="J949" s="16"/>
      <c r="K949" s="16"/>
      <c r="L949" s="18"/>
      <c r="M949" s="18"/>
      <c r="N949" s="18"/>
      <c r="O949" s="18"/>
      <c r="P949" s="18"/>
      <c r="S949" s="6"/>
      <c r="V949" s="18"/>
      <c r="W949" s="18"/>
      <c r="X949" s="18"/>
      <c r="Y949" s="6"/>
      <c r="Z949" s="6"/>
      <c r="AA949" s="6"/>
      <c r="AB949" s="18"/>
      <c r="AC949" s="18"/>
      <c r="AD949" s="18"/>
      <c r="AE949" s="18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</row>
    <row r="950" spans="1:50">
      <c r="A950" s="16"/>
      <c r="B950" s="30"/>
      <c r="C950" s="16"/>
      <c r="D950" s="16"/>
      <c r="E950" s="16"/>
      <c r="F950" s="22"/>
      <c r="G950" s="22"/>
      <c r="H950" s="22"/>
      <c r="I950" s="16"/>
      <c r="J950" s="16"/>
      <c r="K950" s="16"/>
      <c r="L950" s="18"/>
      <c r="M950" s="18"/>
      <c r="N950" s="18"/>
      <c r="O950" s="18"/>
      <c r="P950" s="18"/>
      <c r="S950" s="6"/>
      <c r="V950" s="18"/>
      <c r="W950" s="18"/>
      <c r="X950" s="18"/>
      <c r="Y950" s="6"/>
      <c r="Z950" s="6"/>
      <c r="AA950" s="6"/>
      <c r="AB950" s="18"/>
      <c r="AC950" s="18"/>
      <c r="AD950" s="18"/>
      <c r="AE950" s="18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</row>
    <row r="951" spans="1:50">
      <c r="A951" s="16"/>
      <c r="B951" s="30"/>
      <c r="C951" s="16"/>
      <c r="D951" s="16"/>
      <c r="E951" s="16"/>
      <c r="F951" s="22"/>
      <c r="G951" s="22"/>
      <c r="H951" s="22"/>
      <c r="I951" s="16"/>
      <c r="J951" s="16"/>
      <c r="K951" s="16"/>
      <c r="L951" s="18"/>
      <c r="M951" s="18"/>
      <c r="N951" s="18"/>
      <c r="O951" s="18"/>
      <c r="P951" s="18"/>
      <c r="S951" s="6"/>
      <c r="V951" s="18"/>
      <c r="W951" s="18"/>
      <c r="X951" s="18"/>
      <c r="Y951" s="6"/>
      <c r="Z951" s="6"/>
      <c r="AA951" s="6"/>
      <c r="AB951" s="18"/>
      <c r="AC951" s="18"/>
      <c r="AD951" s="18"/>
      <c r="AE951" s="18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</row>
    <row r="952" spans="1:50">
      <c r="A952" s="16"/>
      <c r="B952" s="30"/>
      <c r="C952" s="16"/>
      <c r="D952" s="16"/>
      <c r="E952" s="16"/>
      <c r="F952" s="22"/>
      <c r="G952" s="22"/>
      <c r="H952" s="22"/>
      <c r="I952" s="16"/>
      <c r="J952" s="16"/>
      <c r="K952" s="16"/>
      <c r="L952" s="18"/>
      <c r="M952" s="18"/>
      <c r="N952" s="18"/>
      <c r="O952" s="18"/>
      <c r="P952" s="18"/>
      <c r="S952" s="6"/>
      <c r="V952" s="18"/>
      <c r="W952" s="18"/>
      <c r="X952" s="18"/>
      <c r="Y952" s="6"/>
      <c r="Z952" s="6"/>
      <c r="AA952" s="6"/>
      <c r="AB952" s="18"/>
      <c r="AC952" s="18"/>
      <c r="AD952" s="18"/>
      <c r="AE952" s="18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</row>
    <row r="953" spans="1:50">
      <c r="A953" s="16"/>
      <c r="B953" s="30"/>
      <c r="C953" s="16"/>
      <c r="D953" s="16"/>
      <c r="E953" s="16"/>
      <c r="F953" s="22"/>
      <c r="G953" s="22"/>
      <c r="H953" s="22"/>
      <c r="I953" s="16"/>
      <c r="J953" s="16"/>
      <c r="K953" s="16"/>
      <c r="L953" s="18"/>
      <c r="M953" s="18"/>
      <c r="N953" s="18"/>
      <c r="O953" s="18"/>
      <c r="P953" s="18"/>
      <c r="S953" s="6"/>
      <c r="V953" s="18"/>
      <c r="W953" s="18"/>
      <c r="X953" s="18"/>
      <c r="Y953" s="6"/>
      <c r="Z953" s="6"/>
      <c r="AA953" s="6"/>
      <c r="AB953" s="18"/>
      <c r="AC953" s="18"/>
      <c r="AD953" s="18"/>
      <c r="AE953" s="18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</row>
    <row r="954" spans="1:50">
      <c r="A954" s="16"/>
      <c r="B954" s="30"/>
      <c r="C954" s="16"/>
      <c r="D954" s="16"/>
      <c r="E954" s="16"/>
      <c r="F954" s="22"/>
      <c r="G954" s="22"/>
      <c r="H954" s="22"/>
      <c r="I954" s="16"/>
      <c r="J954" s="16"/>
      <c r="K954" s="16"/>
      <c r="L954" s="18"/>
      <c r="M954" s="18"/>
      <c r="N954" s="18"/>
      <c r="O954" s="18"/>
      <c r="P954" s="18"/>
      <c r="S954" s="6"/>
      <c r="V954" s="18"/>
      <c r="W954" s="18"/>
      <c r="X954" s="18"/>
      <c r="Y954" s="6"/>
      <c r="Z954" s="6"/>
      <c r="AA954" s="6"/>
      <c r="AB954" s="18"/>
      <c r="AC954" s="18"/>
      <c r="AD954" s="18"/>
      <c r="AE954" s="18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</row>
    <row r="955" spans="1:50">
      <c r="A955" s="16"/>
      <c r="B955" s="30"/>
      <c r="C955" s="16"/>
      <c r="D955" s="16"/>
      <c r="E955" s="16"/>
      <c r="F955" s="22"/>
      <c r="G955" s="22"/>
      <c r="H955" s="22"/>
      <c r="I955" s="16"/>
      <c r="J955" s="16"/>
      <c r="K955" s="16"/>
      <c r="L955" s="18"/>
      <c r="M955" s="18"/>
      <c r="N955" s="18"/>
      <c r="O955" s="18"/>
      <c r="P955" s="18"/>
      <c r="S955" s="6"/>
      <c r="V955" s="18"/>
      <c r="W955" s="18"/>
      <c r="X955" s="18"/>
      <c r="Y955" s="6"/>
      <c r="Z955" s="6"/>
      <c r="AA955" s="6"/>
      <c r="AB955" s="18"/>
      <c r="AC955" s="18"/>
      <c r="AD955" s="18"/>
      <c r="AE955" s="18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</row>
    <row r="956" spans="1:50">
      <c r="A956" s="16"/>
      <c r="B956" s="30"/>
      <c r="C956" s="16"/>
      <c r="D956" s="16"/>
      <c r="E956" s="16"/>
      <c r="F956" s="22"/>
      <c r="G956" s="22"/>
      <c r="H956" s="22"/>
      <c r="I956" s="16"/>
      <c r="J956" s="16"/>
      <c r="K956" s="16"/>
      <c r="L956" s="18"/>
      <c r="M956" s="18"/>
      <c r="N956" s="18"/>
      <c r="O956" s="18"/>
      <c r="P956" s="18"/>
      <c r="S956" s="6"/>
      <c r="V956" s="18"/>
      <c r="W956" s="18"/>
      <c r="X956" s="18"/>
      <c r="Y956" s="6"/>
      <c r="Z956" s="6"/>
      <c r="AA956" s="6"/>
      <c r="AB956" s="18"/>
      <c r="AC956" s="18"/>
      <c r="AD956" s="18"/>
      <c r="AE956" s="18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</row>
    <row r="957" spans="1:50">
      <c r="A957" s="16"/>
      <c r="B957" s="30"/>
      <c r="C957" s="16"/>
      <c r="D957" s="16"/>
      <c r="E957" s="16"/>
      <c r="F957" s="22"/>
      <c r="G957" s="22"/>
      <c r="H957" s="22"/>
      <c r="I957" s="16"/>
      <c r="J957" s="16"/>
      <c r="K957" s="16"/>
      <c r="L957" s="18"/>
      <c r="M957" s="18"/>
      <c r="N957" s="18"/>
      <c r="O957" s="18"/>
      <c r="P957" s="18"/>
      <c r="S957" s="6"/>
      <c r="V957" s="18"/>
      <c r="W957" s="18"/>
      <c r="X957" s="18"/>
      <c r="Y957" s="6"/>
      <c r="Z957" s="6"/>
      <c r="AA957" s="6"/>
      <c r="AB957" s="18"/>
      <c r="AC957" s="18"/>
      <c r="AD957" s="18"/>
      <c r="AE957" s="18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</row>
    <row r="958" spans="1:50">
      <c r="A958" s="16"/>
      <c r="B958" s="30"/>
      <c r="C958" s="16"/>
      <c r="D958" s="16"/>
      <c r="E958" s="16"/>
      <c r="F958" s="22"/>
      <c r="G958" s="22"/>
      <c r="H958" s="22"/>
      <c r="I958" s="16"/>
      <c r="J958" s="16"/>
      <c r="K958" s="16"/>
      <c r="L958" s="18"/>
      <c r="M958" s="18"/>
      <c r="N958" s="18"/>
      <c r="O958" s="18"/>
      <c r="P958" s="18"/>
      <c r="S958" s="6"/>
      <c r="V958" s="18"/>
      <c r="W958" s="18"/>
      <c r="X958" s="18"/>
      <c r="Y958" s="6"/>
      <c r="Z958" s="6"/>
      <c r="AA958" s="6"/>
      <c r="AB958" s="18"/>
      <c r="AC958" s="18"/>
      <c r="AD958" s="18"/>
      <c r="AE958" s="18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</row>
    <row r="959" spans="1:50">
      <c r="A959" s="16"/>
      <c r="B959" s="30"/>
      <c r="C959" s="16"/>
      <c r="D959" s="16"/>
      <c r="E959" s="16"/>
      <c r="F959" s="22"/>
      <c r="G959" s="22"/>
      <c r="H959" s="22"/>
      <c r="I959" s="16"/>
      <c r="J959" s="16"/>
      <c r="K959" s="16"/>
      <c r="L959" s="18"/>
      <c r="M959" s="18"/>
      <c r="N959" s="18"/>
      <c r="O959" s="18"/>
      <c r="P959" s="18"/>
      <c r="S959" s="6"/>
      <c r="V959" s="18"/>
      <c r="W959" s="18"/>
      <c r="X959" s="18"/>
      <c r="Y959" s="6"/>
      <c r="Z959" s="6"/>
      <c r="AA959" s="6"/>
      <c r="AB959" s="18"/>
      <c r="AC959" s="18"/>
      <c r="AD959" s="18"/>
      <c r="AE959" s="18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</row>
    <row r="960" spans="1:50">
      <c r="A960" s="16"/>
      <c r="B960" s="30"/>
      <c r="C960" s="16"/>
      <c r="D960" s="16"/>
      <c r="E960" s="16"/>
      <c r="F960" s="22"/>
      <c r="G960" s="22"/>
      <c r="H960" s="22"/>
      <c r="I960" s="16"/>
      <c r="J960" s="16"/>
      <c r="K960" s="16"/>
      <c r="L960" s="18"/>
      <c r="M960" s="18"/>
      <c r="N960" s="18"/>
      <c r="O960" s="18"/>
      <c r="P960" s="18"/>
      <c r="S960" s="6"/>
      <c r="V960" s="18"/>
      <c r="W960" s="18"/>
      <c r="X960" s="18"/>
      <c r="Y960" s="6"/>
      <c r="Z960" s="6"/>
      <c r="AA960" s="6"/>
      <c r="AB960" s="18"/>
      <c r="AC960" s="18"/>
      <c r="AD960" s="18"/>
      <c r="AE960" s="18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</row>
    <row r="961" spans="1:50">
      <c r="A961" s="16"/>
      <c r="B961" s="30"/>
      <c r="C961" s="16"/>
      <c r="D961" s="16"/>
      <c r="E961" s="16"/>
      <c r="F961" s="22"/>
      <c r="G961" s="22"/>
      <c r="H961" s="22"/>
      <c r="I961" s="16"/>
      <c r="J961" s="16"/>
      <c r="K961" s="16"/>
      <c r="L961" s="18"/>
      <c r="M961" s="18"/>
      <c r="N961" s="18"/>
      <c r="O961" s="18"/>
      <c r="P961" s="18"/>
      <c r="S961" s="6"/>
      <c r="V961" s="18"/>
      <c r="W961" s="18"/>
      <c r="X961" s="18"/>
      <c r="Y961" s="6"/>
      <c r="Z961" s="6"/>
      <c r="AA961" s="6"/>
      <c r="AB961" s="18"/>
      <c r="AC961" s="18"/>
      <c r="AD961" s="18"/>
      <c r="AE961" s="18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</row>
    <row r="962" spans="1:50">
      <c r="A962" s="16"/>
      <c r="B962" s="30"/>
      <c r="C962" s="16"/>
      <c r="D962" s="16"/>
      <c r="E962" s="16"/>
      <c r="F962" s="22"/>
      <c r="G962" s="22"/>
      <c r="H962" s="22"/>
      <c r="I962" s="16"/>
      <c r="J962" s="16"/>
      <c r="K962" s="16"/>
      <c r="L962" s="18"/>
      <c r="M962" s="18"/>
      <c r="N962" s="18"/>
      <c r="O962" s="18"/>
      <c r="P962" s="18"/>
      <c r="S962" s="6"/>
      <c r="V962" s="18"/>
      <c r="W962" s="18"/>
      <c r="X962" s="18"/>
      <c r="Y962" s="6"/>
      <c r="Z962" s="6"/>
      <c r="AA962" s="6"/>
      <c r="AB962" s="18"/>
      <c r="AC962" s="18"/>
      <c r="AD962" s="18"/>
      <c r="AE962" s="18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</row>
    <row r="963" spans="1:50">
      <c r="A963" s="16"/>
      <c r="B963" s="30"/>
      <c r="C963" s="16"/>
      <c r="D963" s="16"/>
      <c r="E963" s="16"/>
      <c r="F963" s="22"/>
      <c r="G963" s="22"/>
      <c r="H963" s="22"/>
      <c r="I963" s="16"/>
      <c r="J963" s="16"/>
      <c r="K963" s="16"/>
      <c r="L963" s="18"/>
      <c r="M963" s="18"/>
      <c r="N963" s="18"/>
      <c r="O963" s="18"/>
      <c r="P963" s="18"/>
      <c r="S963" s="6"/>
      <c r="V963" s="18"/>
      <c r="W963" s="18"/>
      <c r="X963" s="18"/>
      <c r="Y963" s="6"/>
      <c r="Z963" s="6"/>
      <c r="AA963" s="6"/>
      <c r="AB963" s="18"/>
      <c r="AC963" s="18"/>
      <c r="AD963" s="18"/>
      <c r="AE963" s="18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</row>
    <row r="964" spans="1:50">
      <c r="A964" s="16"/>
      <c r="B964" s="30"/>
      <c r="C964" s="16"/>
      <c r="D964" s="16"/>
      <c r="E964" s="16"/>
      <c r="F964" s="22"/>
      <c r="G964" s="22"/>
      <c r="H964" s="22"/>
      <c r="I964" s="16"/>
      <c r="J964" s="16"/>
      <c r="K964" s="16"/>
      <c r="L964" s="18"/>
      <c r="M964" s="18"/>
      <c r="N964" s="18"/>
      <c r="O964" s="18"/>
      <c r="P964" s="18"/>
      <c r="S964" s="6"/>
      <c r="V964" s="18"/>
      <c r="W964" s="18"/>
      <c r="X964" s="18"/>
      <c r="Y964" s="6"/>
      <c r="Z964" s="6"/>
      <c r="AA964" s="6"/>
      <c r="AB964" s="18"/>
      <c r="AC964" s="18"/>
      <c r="AD964" s="18"/>
      <c r="AE964" s="18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</row>
    <row r="965" spans="1:50">
      <c r="A965" s="16"/>
      <c r="B965" s="30"/>
      <c r="C965" s="16"/>
      <c r="D965" s="16"/>
      <c r="E965" s="16"/>
      <c r="F965" s="22"/>
      <c r="G965" s="22"/>
      <c r="H965" s="22"/>
      <c r="I965" s="16"/>
      <c r="J965" s="16"/>
      <c r="K965" s="16"/>
      <c r="L965" s="18"/>
      <c r="M965" s="18"/>
      <c r="N965" s="18"/>
      <c r="O965" s="18"/>
      <c r="P965" s="18"/>
      <c r="S965" s="6"/>
      <c r="V965" s="18"/>
      <c r="W965" s="18"/>
      <c r="X965" s="18"/>
      <c r="Y965" s="6"/>
      <c r="Z965" s="6"/>
      <c r="AA965" s="6"/>
      <c r="AB965" s="18"/>
      <c r="AC965" s="18"/>
      <c r="AD965" s="18"/>
      <c r="AE965" s="18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</row>
    <row r="966" spans="1:50">
      <c r="A966" s="16"/>
      <c r="B966" s="30"/>
      <c r="C966" s="16"/>
      <c r="D966" s="16"/>
      <c r="E966" s="16"/>
      <c r="F966" s="22"/>
      <c r="G966" s="22"/>
      <c r="H966" s="22"/>
      <c r="I966" s="16"/>
      <c r="J966" s="16"/>
      <c r="K966" s="16"/>
      <c r="L966" s="18"/>
      <c r="M966" s="18"/>
      <c r="N966" s="18"/>
      <c r="O966" s="18"/>
      <c r="P966" s="18"/>
      <c r="S966" s="6"/>
      <c r="V966" s="18"/>
      <c r="W966" s="18"/>
      <c r="X966" s="18"/>
      <c r="Y966" s="6"/>
      <c r="Z966" s="6"/>
      <c r="AA966" s="6"/>
      <c r="AB966" s="18"/>
      <c r="AC966" s="18"/>
      <c r="AD966" s="18"/>
      <c r="AE966" s="18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</row>
    <row r="967" spans="1:50">
      <c r="A967" s="16"/>
      <c r="B967" s="30"/>
      <c r="C967" s="16"/>
      <c r="D967" s="16"/>
      <c r="E967" s="16"/>
      <c r="F967" s="22"/>
      <c r="G967" s="22"/>
      <c r="H967" s="22"/>
      <c r="I967" s="16"/>
      <c r="J967" s="16"/>
      <c r="K967" s="16"/>
      <c r="L967" s="18"/>
      <c r="M967" s="18"/>
      <c r="N967" s="18"/>
      <c r="O967" s="18"/>
      <c r="P967" s="18"/>
      <c r="S967" s="6"/>
      <c r="V967" s="18"/>
      <c r="W967" s="18"/>
      <c r="X967" s="18"/>
      <c r="Y967" s="6"/>
      <c r="Z967" s="6"/>
      <c r="AA967" s="6"/>
      <c r="AB967" s="18"/>
      <c r="AC967" s="18"/>
      <c r="AD967" s="18"/>
      <c r="AE967" s="18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</row>
    <row r="968" spans="1:50">
      <c r="A968" s="16"/>
      <c r="B968" s="30"/>
      <c r="C968" s="16"/>
      <c r="D968" s="16"/>
      <c r="E968" s="16"/>
      <c r="F968" s="22"/>
      <c r="G968" s="22"/>
      <c r="H968" s="22"/>
      <c r="I968" s="16"/>
      <c r="J968" s="16"/>
      <c r="K968" s="16"/>
      <c r="L968" s="18"/>
      <c r="M968" s="18"/>
      <c r="N968" s="18"/>
      <c r="O968" s="18"/>
      <c r="P968" s="18"/>
      <c r="S968" s="6"/>
      <c r="V968" s="18"/>
      <c r="W968" s="18"/>
      <c r="X968" s="18"/>
      <c r="Y968" s="6"/>
      <c r="Z968" s="6"/>
      <c r="AA968" s="6"/>
      <c r="AB968" s="18"/>
      <c r="AC968" s="18"/>
      <c r="AD968" s="18"/>
      <c r="AE968" s="18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</row>
    <row r="969" spans="1:50">
      <c r="A969" s="16"/>
      <c r="B969" s="30"/>
      <c r="C969" s="16"/>
      <c r="D969" s="16"/>
      <c r="E969" s="16"/>
      <c r="F969" s="22"/>
      <c r="G969" s="22"/>
      <c r="H969" s="22"/>
      <c r="I969" s="16"/>
      <c r="J969" s="16"/>
      <c r="K969" s="16"/>
      <c r="L969" s="18"/>
      <c r="M969" s="18"/>
      <c r="N969" s="18"/>
      <c r="O969" s="18"/>
      <c r="P969" s="18"/>
      <c r="S969" s="6"/>
      <c r="V969" s="18"/>
      <c r="W969" s="18"/>
      <c r="X969" s="18"/>
      <c r="Y969" s="6"/>
      <c r="Z969" s="6"/>
      <c r="AA969" s="6"/>
      <c r="AB969" s="18"/>
      <c r="AC969" s="18"/>
      <c r="AD969" s="18"/>
      <c r="AE969" s="18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</row>
    <row r="970" spans="1:50">
      <c r="A970" s="16"/>
      <c r="B970" s="30"/>
      <c r="C970" s="16"/>
      <c r="D970" s="16"/>
      <c r="E970" s="16"/>
      <c r="F970" s="22"/>
      <c r="G970" s="22"/>
      <c r="H970" s="22"/>
      <c r="I970" s="16"/>
      <c r="J970" s="16"/>
      <c r="K970" s="16"/>
      <c r="L970" s="18"/>
      <c r="M970" s="18"/>
      <c r="N970" s="18"/>
      <c r="O970" s="18"/>
      <c r="P970" s="18"/>
      <c r="S970" s="6"/>
      <c r="V970" s="18"/>
      <c r="W970" s="18"/>
      <c r="X970" s="18"/>
      <c r="Y970" s="6"/>
      <c r="Z970" s="6"/>
      <c r="AA970" s="6"/>
      <c r="AB970" s="18"/>
      <c r="AC970" s="18"/>
      <c r="AD970" s="18"/>
      <c r="AE970" s="18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</row>
    <row r="971" spans="1:50">
      <c r="A971" s="16"/>
      <c r="B971" s="30"/>
      <c r="C971" s="16"/>
      <c r="D971" s="16"/>
      <c r="E971" s="16"/>
      <c r="F971" s="22"/>
      <c r="G971" s="22"/>
      <c r="H971" s="22"/>
      <c r="I971" s="16"/>
      <c r="J971" s="16"/>
      <c r="K971" s="16"/>
      <c r="L971" s="18"/>
      <c r="M971" s="18"/>
      <c r="N971" s="18"/>
      <c r="O971" s="18"/>
      <c r="P971" s="18"/>
      <c r="S971" s="6"/>
      <c r="V971" s="18"/>
      <c r="W971" s="18"/>
      <c r="X971" s="18"/>
      <c r="Y971" s="6"/>
      <c r="Z971" s="6"/>
      <c r="AA971" s="6"/>
      <c r="AB971" s="18"/>
      <c r="AC971" s="18"/>
      <c r="AD971" s="18"/>
      <c r="AE971" s="18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</row>
    <row r="972" spans="1:50">
      <c r="A972" s="16"/>
      <c r="B972" s="30"/>
      <c r="C972" s="16"/>
      <c r="D972" s="16"/>
      <c r="E972" s="16"/>
      <c r="F972" s="22"/>
      <c r="G972" s="22"/>
      <c r="H972" s="22"/>
      <c r="I972" s="16"/>
      <c r="J972" s="16"/>
      <c r="K972" s="16"/>
      <c r="L972" s="18"/>
      <c r="M972" s="18"/>
      <c r="N972" s="18"/>
      <c r="O972" s="18"/>
      <c r="P972" s="18"/>
      <c r="S972" s="6"/>
      <c r="V972" s="18"/>
      <c r="W972" s="18"/>
      <c r="X972" s="18"/>
      <c r="Y972" s="6"/>
      <c r="Z972" s="6"/>
      <c r="AA972" s="6"/>
      <c r="AB972" s="18"/>
      <c r="AC972" s="18"/>
      <c r="AD972" s="18"/>
      <c r="AE972" s="18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</row>
    <row r="973" spans="1:50">
      <c r="A973" s="16"/>
      <c r="B973" s="30"/>
      <c r="C973" s="16"/>
      <c r="D973" s="16"/>
      <c r="E973" s="16"/>
      <c r="F973" s="22"/>
      <c r="G973" s="22"/>
      <c r="H973" s="22"/>
      <c r="I973" s="16"/>
      <c r="J973" s="16"/>
      <c r="K973" s="16"/>
      <c r="L973" s="18"/>
      <c r="M973" s="18"/>
      <c r="N973" s="18"/>
      <c r="O973" s="18"/>
      <c r="P973" s="18"/>
      <c r="S973" s="6"/>
      <c r="V973" s="18"/>
      <c r="W973" s="18"/>
      <c r="X973" s="18"/>
      <c r="Y973" s="6"/>
      <c r="Z973" s="6"/>
      <c r="AA973" s="6"/>
      <c r="AB973" s="18"/>
      <c r="AC973" s="18"/>
      <c r="AD973" s="18"/>
      <c r="AE973" s="18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</row>
    <row r="974" spans="1:50">
      <c r="A974" s="16"/>
      <c r="B974" s="30"/>
      <c r="C974" s="16"/>
      <c r="D974" s="16"/>
      <c r="E974" s="16"/>
      <c r="F974" s="22"/>
      <c r="G974" s="22"/>
      <c r="H974" s="22"/>
      <c r="I974" s="16"/>
      <c r="J974" s="16"/>
      <c r="K974" s="16"/>
      <c r="L974" s="18"/>
      <c r="M974" s="18"/>
      <c r="N974" s="18"/>
      <c r="O974" s="18"/>
      <c r="P974" s="18"/>
      <c r="S974" s="6"/>
      <c r="V974" s="18"/>
      <c r="W974" s="18"/>
      <c r="X974" s="18"/>
      <c r="Y974" s="6"/>
      <c r="Z974" s="6"/>
      <c r="AA974" s="6"/>
      <c r="AB974" s="18"/>
      <c r="AC974" s="18"/>
      <c r="AD974" s="18"/>
      <c r="AE974" s="18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</row>
    <row r="975" spans="1:50">
      <c r="A975" s="16"/>
      <c r="B975" s="30"/>
      <c r="C975" s="16"/>
      <c r="D975" s="16"/>
      <c r="E975" s="16"/>
      <c r="F975" s="22"/>
      <c r="G975" s="22"/>
      <c r="H975" s="22"/>
      <c r="I975" s="16"/>
      <c r="J975" s="16"/>
      <c r="K975" s="16"/>
      <c r="L975" s="18"/>
      <c r="M975" s="18"/>
      <c r="N975" s="18"/>
      <c r="O975" s="18"/>
      <c r="P975" s="18"/>
      <c r="S975" s="6"/>
      <c r="V975" s="18"/>
      <c r="W975" s="18"/>
      <c r="X975" s="18"/>
      <c r="Y975" s="6"/>
      <c r="Z975" s="6"/>
      <c r="AA975" s="6"/>
      <c r="AB975" s="18"/>
      <c r="AC975" s="18"/>
      <c r="AD975" s="18"/>
      <c r="AE975" s="18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</row>
    <row r="976" spans="1:50">
      <c r="A976" s="16"/>
      <c r="B976" s="30"/>
      <c r="C976" s="16"/>
      <c r="D976" s="16"/>
      <c r="E976" s="16"/>
      <c r="F976" s="22"/>
      <c r="G976" s="22"/>
      <c r="H976" s="22"/>
      <c r="I976" s="16"/>
      <c r="J976" s="16"/>
      <c r="K976" s="16"/>
      <c r="L976" s="18"/>
      <c r="M976" s="18"/>
      <c r="N976" s="18"/>
      <c r="O976" s="18"/>
      <c r="P976" s="18"/>
      <c r="S976" s="6"/>
      <c r="V976" s="18"/>
      <c r="W976" s="18"/>
      <c r="X976" s="18"/>
      <c r="Y976" s="6"/>
      <c r="Z976" s="6"/>
      <c r="AA976" s="6"/>
      <c r="AB976" s="18"/>
      <c r="AC976" s="18"/>
      <c r="AD976" s="18"/>
      <c r="AE976" s="18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</row>
    <row r="977" spans="1:50">
      <c r="A977" s="16"/>
      <c r="B977" s="30"/>
      <c r="C977" s="16"/>
      <c r="D977" s="16"/>
      <c r="E977" s="16"/>
      <c r="F977" s="22"/>
      <c r="G977" s="22"/>
      <c r="H977" s="22"/>
      <c r="I977" s="16"/>
      <c r="J977" s="16"/>
      <c r="K977" s="16"/>
      <c r="L977" s="18"/>
      <c r="M977" s="18"/>
      <c r="N977" s="18"/>
      <c r="O977" s="18"/>
      <c r="P977" s="18"/>
      <c r="S977" s="6"/>
      <c r="V977" s="18"/>
      <c r="W977" s="18"/>
      <c r="X977" s="18"/>
      <c r="Y977" s="6"/>
      <c r="Z977" s="6"/>
      <c r="AA977" s="6"/>
      <c r="AB977" s="18"/>
      <c r="AC977" s="18"/>
      <c r="AD977" s="18"/>
      <c r="AE977" s="18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</row>
    <row r="978" spans="1:50">
      <c r="A978" s="16"/>
      <c r="B978" s="30"/>
      <c r="C978" s="16"/>
      <c r="D978" s="16"/>
      <c r="E978" s="16"/>
      <c r="F978" s="22"/>
      <c r="G978" s="22"/>
      <c r="H978" s="22"/>
      <c r="I978" s="16"/>
      <c r="J978" s="16"/>
      <c r="K978" s="16"/>
      <c r="L978" s="18"/>
      <c r="M978" s="18"/>
      <c r="N978" s="18"/>
      <c r="O978" s="18"/>
      <c r="P978" s="18"/>
      <c r="S978" s="6"/>
      <c r="V978" s="18"/>
      <c r="W978" s="18"/>
      <c r="X978" s="18"/>
      <c r="Y978" s="6"/>
      <c r="Z978" s="6"/>
      <c r="AA978" s="6"/>
      <c r="AB978" s="18"/>
      <c r="AC978" s="18"/>
      <c r="AD978" s="18"/>
      <c r="AE978" s="18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</row>
    <row r="979" spans="1:50">
      <c r="A979" s="16"/>
      <c r="B979" s="30"/>
      <c r="C979" s="16"/>
      <c r="D979" s="16"/>
      <c r="E979" s="16"/>
      <c r="F979" s="22"/>
      <c r="G979" s="22"/>
      <c r="H979" s="22"/>
      <c r="I979" s="16"/>
      <c r="J979" s="16"/>
      <c r="K979" s="16"/>
      <c r="L979" s="18"/>
      <c r="M979" s="18"/>
      <c r="N979" s="18"/>
      <c r="O979" s="18"/>
      <c r="P979" s="18"/>
      <c r="S979" s="6"/>
      <c r="V979" s="18"/>
      <c r="W979" s="18"/>
      <c r="X979" s="18"/>
      <c r="Y979" s="6"/>
      <c r="Z979" s="6"/>
      <c r="AA979" s="6"/>
      <c r="AB979" s="18"/>
      <c r="AC979" s="18"/>
      <c r="AD979" s="18"/>
      <c r="AE979" s="18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</row>
    <row r="980" spans="1:50">
      <c r="A980" s="16"/>
      <c r="B980" s="30"/>
      <c r="C980" s="16"/>
      <c r="D980" s="16"/>
      <c r="E980" s="16"/>
      <c r="F980" s="22"/>
      <c r="G980" s="22"/>
      <c r="H980" s="22"/>
      <c r="I980" s="16"/>
      <c r="J980" s="16"/>
      <c r="K980" s="16"/>
      <c r="L980" s="18"/>
      <c r="M980" s="18"/>
      <c r="N980" s="18"/>
      <c r="O980" s="18"/>
      <c r="P980" s="18"/>
      <c r="S980" s="6"/>
      <c r="V980" s="18"/>
      <c r="W980" s="18"/>
      <c r="X980" s="18"/>
      <c r="Y980" s="6"/>
      <c r="Z980" s="6"/>
      <c r="AA980" s="6"/>
      <c r="AB980" s="18"/>
      <c r="AC980" s="18"/>
      <c r="AD980" s="18"/>
      <c r="AE980" s="18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</row>
    <row r="981" spans="1:50">
      <c r="A981" s="16"/>
      <c r="B981" s="30"/>
      <c r="C981" s="16"/>
      <c r="D981" s="16"/>
      <c r="E981" s="16"/>
      <c r="F981" s="22"/>
      <c r="G981" s="22"/>
      <c r="H981" s="22"/>
      <c r="I981" s="16"/>
      <c r="J981" s="16"/>
      <c r="K981" s="16"/>
      <c r="L981" s="18"/>
      <c r="M981" s="18"/>
      <c r="N981" s="18"/>
      <c r="O981" s="18"/>
      <c r="P981" s="18"/>
      <c r="S981" s="6"/>
      <c r="V981" s="18"/>
      <c r="W981" s="18"/>
      <c r="X981" s="18"/>
      <c r="Y981" s="6"/>
      <c r="Z981" s="6"/>
      <c r="AA981" s="6"/>
      <c r="AB981" s="18"/>
      <c r="AC981" s="18"/>
      <c r="AD981" s="18"/>
      <c r="AE981" s="18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</row>
    <row r="982" spans="1:50">
      <c r="A982" s="16"/>
      <c r="B982" s="30"/>
      <c r="C982" s="16"/>
      <c r="D982" s="16"/>
      <c r="E982" s="16"/>
      <c r="F982" s="22"/>
      <c r="G982" s="22"/>
      <c r="H982" s="22"/>
      <c r="I982" s="16"/>
      <c r="J982" s="16"/>
      <c r="K982" s="16"/>
      <c r="L982" s="18"/>
      <c r="M982" s="18"/>
      <c r="N982" s="18"/>
      <c r="O982" s="18"/>
      <c r="P982" s="18"/>
      <c r="S982" s="6"/>
      <c r="V982" s="18"/>
      <c r="W982" s="18"/>
      <c r="X982" s="18"/>
      <c r="Y982" s="6"/>
      <c r="Z982" s="6"/>
      <c r="AA982" s="6"/>
      <c r="AB982" s="18"/>
      <c r="AC982" s="18"/>
      <c r="AD982" s="18"/>
      <c r="AE982" s="18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</row>
    <row r="983" spans="1:50">
      <c r="A983" s="16"/>
      <c r="B983" s="30"/>
      <c r="C983" s="16"/>
      <c r="D983" s="16"/>
      <c r="E983" s="16"/>
      <c r="F983" s="22"/>
      <c r="G983" s="22"/>
      <c r="H983" s="22"/>
      <c r="I983" s="16"/>
      <c r="J983" s="16"/>
      <c r="K983" s="16"/>
      <c r="L983" s="18"/>
      <c r="M983" s="18"/>
      <c r="N983" s="18"/>
      <c r="O983" s="18"/>
      <c r="P983" s="18"/>
      <c r="S983" s="6"/>
      <c r="V983" s="18"/>
      <c r="W983" s="18"/>
      <c r="X983" s="18"/>
      <c r="Y983" s="6"/>
      <c r="Z983" s="6"/>
      <c r="AA983" s="6"/>
      <c r="AB983" s="18"/>
      <c r="AC983" s="18"/>
      <c r="AD983" s="18"/>
      <c r="AE983" s="18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</row>
    <row r="984" spans="1:50">
      <c r="A984" s="16"/>
      <c r="B984" s="30"/>
      <c r="C984" s="16"/>
      <c r="D984" s="16"/>
      <c r="E984" s="16"/>
      <c r="F984" s="22"/>
      <c r="G984" s="22"/>
      <c r="H984" s="22"/>
      <c r="I984" s="16"/>
      <c r="J984" s="16"/>
      <c r="K984" s="16"/>
      <c r="L984" s="18"/>
      <c r="M984" s="18"/>
      <c r="N984" s="18"/>
      <c r="O984" s="18"/>
      <c r="P984" s="18"/>
      <c r="S984" s="6"/>
      <c r="V984" s="18"/>
      <c r="W984" s="18"/>
      <c r="X984" s="18"/>
      <c r="Y984" s="6"/>
      <c r="Z984" s="6"/>
      <c r="AA984" s="6"/>
      <c r="AB984" s="18"/>
      <c r="AC984" s="18"/>
      <c r="AD984" s="18"/>
      <c r="AE984" s="18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</row>
    <row r="985" spans="1:50">
      <c r="A985" s="16"/>
      <c r="B985" s="30"/>
      <c r="C985" s="16"/>
      <c r="D985" s="16"/>
      <c r="E985" s="16"/>
      <c r="F985" s="22"/>
      <c r="G985" s="22"/>
      <c r="H985" s="22"/>
      <c r="I985" s="16"/>
      <c r="J985" s="16"/>
      <c r="K985" s="16"/>
      <c r="L985" s="18"/>
      <c r="M985" s="18"/>
      <c r="N985" s="18"/>
      <c r="O985" s="18"/>
      <c r="P985" s="18"/>
      <c r="S985" s="6"/>
      <c r="V985" s="18"/>
      <c r="W985" s="18"/>
      <c r="X985" s="18"/>
      <c r="Y985" s="6"/>
      <c r="Z985" s="6"/>
      <c r="AA985" s="6"/>
      <c r="AB985" s="18"/>
      <c r="AC985" s="18"/>
      <c r="AD985" s="18"/>
      <c r="AE985" s="18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</row>
    <row r="986" spans="1:50">
      <c r="A986" s="16"/>
      <c r="B986" s="30"/>
      <c r="C986" s="16"/>
      <c r="D986" s="16"/>
      <c r="E986" s="16"/>
      <c r="F986" s="22"/>
      <c r="G986" s="22"/>
      <c r="H986" s="22"/>
      <c r="I986" s="16"/>
      <c r="J986" s="16"/>
      <c r="K986" s="16"/>
      <c r="L986" s="18"/>
      <c r="M986" s="18"/>
      <c r="N986" s="18"/>
      <c r="O986" s="18"/>
      <c r="P986" s="18"/>
      <c r="S986" s="6"/>
      <c r="V986" s="18"/>
      <c r="W986" s="18"/>
      <c r="X986" s="18"/>
      <c r="Y986" s="6"/>
      <c r="Z986" s="6"/>
      <c r="AA986" s="6"/>
      <c r="AB986" s="18"/>
      <c r="AC986" s="18"/>
      <c r="AD986" s="18"/>
      <c r="AE986" s="18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</row>
    <row r="987" spans="1:50">
      <c r="A987" s="16"/>
      <c r="B987" s="30"/>
      <c r="C987" s="16"/>
      <c r="D987" s="16"/>
      <c r="E987" s="16"/>
      <c r="F987" s="22"/>
      <c r="G987" s="22"/>
      <c r="H987" s="22"/>
      <c r="I987" s="16"/>
      <c r="J987" s="16"/>
      <c r="K987" s="16"/>
      <c r="L987" s="18"/>
      <c r="M987" s="18"/>
      <c r="N987" s="18"/>
      <c r="O987" s="18"/>
      <c r="P987" s="18"/>
      <c r="S987" s="6"/>
      <c r="V987" s="18"/>
      <c r="W987" s="18"/>
      <c r="X987" s="18"/>
      <c r="Y987" s="6"/>
      <c r="Z987" s="6"/>
      <c r="AA987" s="6"/>
      <c r="AB987" s="18"/>
      <c r="AC987" s="18"/>
      <c r="AD987" s="18"/>
      <c r="AE987" s="18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</row>
    <row r="988" spans="1:50">
      <c r="A988" s="16"/>
      <c r="B988" s="30"/>
      <c r="C988" s="16"/>
      <c r="D988" s="16"/>
      <c r="E988" s="16"/>
      <c r="F988" s="22"/>
      <c r="G988" s="22"/>
      <c r="H988" s="22"/>
      <c r="I988" s="16"/>
      <c r="J988" s="16"/>
      <c r="K988" s="16"/>
      <c r="L988" s="18"/>
      <c r="M988" s="18"/>
      <c r="N988" s="18"/>
      <c r="O988" s="18"/>
      <c r="P988" s="18"/>
      <c r="S988" s="6"/>
      <c r="V988" s="18"/>
      <c r="W988" s="18"/>
      <c r="X988" s="18"/>
      <c r="Y988" s="6"/>
      <c r="Z988" s="6"/>
      <c r="AA988" s="6"/>
      <c r="AB988" s="18"/>
      <c r="AC988" s="18"/>
      <c r="AD988" s="18"/>
      <c r="AE988" s="18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</row>
    <row r="989" spans="1:50">
      <c r="A989" s="16"/>
      <c r="B989" s="30"/>
      <c r="C989" s="16"/>
      <c r="D989" s="16"/>
      <c r="E989" s="16"/>
      <c r="F989" s="22"/>
      <c r="G989" s="22"/>
      <c r="H989" s="22"/>
      <c r="I989" s="16"/>
      <c r="J989" s="16"/>
      <c r="K989" s="16"/>
      <c r="L989" s="18"/>
      <c r="M989" s="18"/>
      <c r="N989" s="18"/>
      <c r="O989" s="18"/>
      <c r="P989" s="18"/>
      <c r="S989" s="6"/>
      <c r="V989" s="18"/>
      <c r="W989" s="18"/>
      <c r="X989" s="18"/>
      <c r="Y989" s="6"/>
      <c r="Z989" s="6"/>
      <c r="AA989" s="6"/>
      <c r="AB989" s="18"/>
      <c r="AC989" s="18"/>
      <c r="AD989" s="18"/>
      <c r="AE989" s="18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</row>
    <row r="990" spans="1:50">
      <c r="A990" s="16"/>
      <c r="B990" s="30"/>
      <c r="C990" s="16"/>
      <c r="D990" s="16"/>
      <c r="E990" s="16"/>
      <c r="F990" s="22"/>
      <c r="G990" s="22"/>
      <c r="H990" s="22"/>
      <c r="I990" s="16"/>
      <c r="J990" s="16"/>
      <c r="K990" s="16"/>
      <c r="L990" s="18"/>
      <c r="M990" s="18"/>
      <c r="N990" s="18"/>
      <c r="O990" s="18"/>
      <c r="P990" s="18"/>
      <c r="S990" s="6"/>
      <c r="V990" s="18"/>
      <c r="W990" s="18"/>
      <c r="X990" s="18"/>
      <c r="Y990" s="6"/>
      <c r="Z990" s="6"/>
      <c r="AA990" s="6"/>
      <c r="AB990" s="18"/>
      <c r="AC990" s="18"/>
      <c r="AD990" s="18"/>
      <c r="AE990" s="18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</row>
    <row r="991" spans="1:50">
      <c r="A991" s="16"/>
      <c r="B991" s="30"/>
      <c r="C991" s="16"/>
      <c r="D991" s="16"/>
      <c r="E991" s="16"/>
      <c r="F991" s="22"/>
      <c r="G991" s="22"/>
      <c r="H991" s="22"/>
      <c r="I991" s="16"/>
      <c r="J991" s="16"/>
      <c r="K991" s="16"/>
      <c r="L991" s="18"/>
      <c r="M991" s="18"/>
      <c r="N991" s="18"/>
      <c r="O991" s="18"/>
      <c r="P991" s="18"/>
      <c r="S991" s="6"/>
      <c r="V991" s="18"/>
      <c r="W991" s="18"/>
      <c r="X991" s="18"/>
      <c r="Y991" s="6"/>
      <c r="Z991" s="6"/>
      <c r="AA991" s="6"/>
      <c r="AB991" s="18"/>
      <c r="AC991" s="18"/>
      <c r="AD991" s="18"/>
      <c r="AE991" s="18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</row>
    <row r="992" spans="1:50">
      <c r="A992" s="16"/>
      <c r="B992" s="30"/>
      <c r="C992" s="16"/>
      <c r="D992" s="16"/>
      <c r="E992" s="16"/>
      <c r="F992" s="22"/>
      <c r="G992" s="22"/>
      <c r="H992" s="22"/>
      <c r="I992" s="16"/>
      <c r="J992" s="16"/>
      <c r="K992" s="16"/>
      <c r="L992" s="18"/>
      <c r="M992" s="18"/>
      <c r="N992" s="18"/>
      <c r="O992" s="18"/>
      <c r="P992" s="18"/>
      <c r="S992" s="6"/>
      <c r="V992" s="18"/>
      <c r="W992" s="18"/>
      <c r="X992" s="18"/>
      <c r="Y992" s="6"/>
      <c r="Z992" s="6"/>
      <c r="AA992" s="6"/>
      <c r="AB992" s="18"/>
      <c r="AC992" s="18"/>
      <c r="AD992" s="18"/>
      <c r="AE992" s="18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</row>
    <row r="993" spans="1:50">
      <c r="A993" s="16"/>
      <c r="B993" s="30"/>
      <c r="C993" s="16"/>
      <c r="D993" s="16"/>
      <c r="E993" s="16"/>
      <c r="F993" s="22"/>
      <c r="G993" s="22"/>
      <c r="H993" s="22"/>
      <c r="I993" s="16"/>
      <c r="J993" s="16"/>
      <c r="K993" s="16"/>
      <c r="L993" s="18"/>
      <c r="M993" s="18"/>
      <c r="N993" s="18"/>
      <c r="O993" s="18"/>
      <c r="P993" s="18"/>
      <c r="S993" s="6"/>
      <c r="V993" s="18"/>
      <c r="W993" s="18"/>
      <c r="X993" s="18"/>
      <c r="Y993" s="6"/>
      <c r="Z993" s="6"/>
      <c r="AA993" s="6"/>
      <c r="AB993" s="18"/>
      <c r="AC993" s="18"/>
      <c r="AD993" s="18"/>
      <c r="AE993" s="18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</row>
    <row r="994" spans="1:50">
      <c r="A994" s="16"/>
      <c r="B994" s="30"/>
      <c r="C994" s="16"/>
      <c r="D994" s="16"/>
      <c r="E994" s="16"/>
      <c r="F994" s="22"/>
      <c r="G994" s="22"/>
      <c r="H994" s="22"/>
      <c r="I994" s="16"/>
      <c r="J994" s="16"/>
      <c r="K994" s="16"/>
      <c r="L994" s="18"/>
      <c r="M994" s="18"/>
      <c r="N994" s="18"/>
      <c r="O994" s="18"/>
      <c r="P994" s="18"/>
      <c r="S994" s="6"/>
      <c r="V994" s="18"/>
      <c r="W994" s="18"/>
      <c r="X994" s="18"/>
      <c r="Y994" s="6"/>
      <c r="Z994" s="6"/>
      <c r="AA994" s="6"/>
      <c r="AB994" s="18"/>
      <c r="AC994" s="18"/>
      <c r="AD994" s="18"/>
      <c r="AE994" s="18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</row>
    <row r="995" spans="1:50">
      <c r="A995" s="16"/>
      <c r="B995" s="30"/>
      <c r="C995" s="16"/>
      <c r="D995" s="16"/>
      <c r="E995" s="16"/>
      <c r="F995" s="22"/>
      <c r="G995" s="22"/>
      <c r="H995" s="22"/>
      <c r="I995" s="16"/>
      <c r="J995" s="16"/>
      <c r="K995" s="16"/>
      <c r="L995" s="18"/>
      <c r="M995" s="18"/>
      <c r="N995" s="18"/>
      <c r="O995" s="18"/>
      <c r="P995" s="18"/>
      <c r="S995" s="6"/>
      <c r="V995" s="18"/>
      <c r="W995" s="18"/>
      <c r="X995" s="18"/>
      <c r="Y995" s="6"/>
      <c r="Z995" s="6"/>
      <c r="AA995" s="6"/>
      <c r="AB995" s="18"/>
      <c r="AC995" s="18"/>
      <c r="AD995" s="18"/>
      <c r="AE995" s="18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</row>
    <row r="996" spans="1:50">
      <c r="A996" s="16"/>
      <c r="B996" s="30"/>
      <c r="C996" s="16"/>
      <c r="D996" s="16"/>
      <c r="E996" s="16"/>
      <c r="F996" s="22"/>
      <c r="G996" s="22"/>
      <c r="H996" s="22"/>
      <c r="I996" s="16"/>
      <c r="J996" s="16"/>
      <c r="K996" s="16"/>
      <c r="L996" s="18"/>
      <c r="M996" s="18"/>
      <c r="N996" s="18"/>
      <c r="O996" s="18"/>
      <c r="P996" s="18"/>
      <c r="S996" s="6"/>
      <c r="V996" s="18"/>
      <c r="W996" s="18"/>
      <c r="X996" s="18"/>
      <c r="Y996" s="6"/>
      <c r="Z996" s="6"/>
      <c r="AA996" s="6"/>
      <c r="AB996" s="18"/>
      <c r="AC996" s="18"/>
      <c r="AD996" s="18"/>
      <c r="AE996" s="18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</row>
    <row r="997" spans="1:50">
      <c r="A997" s="16"/>
      <c r="B997" s="30"/>
      <c r="C997" s="16"/>
      <c r="D997" s="16"/>
      <c r="E997" s="16"/>
      <c r="F997" s="22"/>
      <c r="G997" s="22"/>
      <c r="H997" s="22"/>
      <c r="I997" s="16"/>
      <c r="J997" s="16"/>
      <c r="K997" s="16"/>
      <c r="L997" s="18"/>
      <c r="M997" s="18"/>
      <c r="N997" s="18"/>
      <c r="O997" s="18"/>
      <c r="P997" s="18"/>
      <c r="S997" s="6"/>
      <c r="V997" s="18"/>
      <c r="W997" s="18"/>
      <c r="X997" s="18"/>
      <c r="Y997" s="6"/>
      <c r="Z997" s="6"/>
      <c r="AA997" s="6"/>
      <c r="AB997" s="18"/>
      <c r="AC997" s="18"/>
      <c r="AD997" s="18"/>
      <c r="AE997" s="18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</row>
    <row r="998" spans="1:50">
      <c r="A998" s="16"/>
      <c r="B998" s="30"/>
      <c r="C998" s="16"/>
      <c r="D998" s="16"/>
      <c r="E998" s="16"/>
      <c r="F998" s="22"/>
      <c r="G998" s="22"/>
      <c r="H998" s="22"/>
      <c r="I998" s="16"/>
      <c r="J998" s="16"/>
      <c r="K998" s="16"/>
      <c r="L998" s="18"/>
      <c r="M998" s="18"/>
      <c r="N998" s="18"/>
      <c r="O998" s="18"/>
      <c r="P998" s="18"/>
      <c r="S998" s="6"/>
      <c r="V998" s="18"/>
      <c r="W998" s="18"/>
      <c r="X998" s="18"/>
      <c r="Y998" s="6"/>
      <c r="Z998" s="6"/>
      <c r="AA998" s="6"/>
      <c r="AB998" s="18"/>
      <c r="AC998" s="18"/>
      <c r="AD998" s="18"/>
      <c r="AE998" s="18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</row>
    <row r="999" spans="1:50">
      <c r="A999" s="16"/>
      <c r="B999" s="30"/>
      <c r="C999" s="16"/>
      <c r="D999" s="16"/>
      <c r="E999" s="16"/>
      <c r="F999" s="22"/>
      <c r="G999" s="22"/>
      <c r="H999" s="22"/>
      <c r="I999" s="16"/>
      <c r="J999" s="16"/>
      <c r="K999" s="16"/>
      <c r="L999" s="18"/>
      <c r="M999" s="18"/>
      <c r="N999" s="18"/>
      <c r="O999" s="18"/>
      <c r="P999" s="18"/>
      <c r="S999" s="6"/>
      <c r="V999" s="18"/>
      <c r="W999" s="18"/>
      <c r="X999" s="18"/>
      <c r="Y999" s="6"/>
      <c r="Z999" s="6"/>
      <c r="AA999" s="6"/>
      <c r="AB999" s="18"/>
      <c r="AC999" s="18"/>
      <c r="AD999" s="18"/>
      <c r="AE999" s="18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</row>
    <row r="1000" spans="1:50">
      <c r="A1000" s="16"/>
      <c r="B1000" s="30"/>
      <c r="C1000" s="16"/>
      <c r="D1000" s="16"/>
      <c r="E1000" s="16"/>
      <c r="F1000" s="22"/>
      <c r="G1000" s="22"/>
      <c r="H1000" s="22"/>
      <c r="I1000" s="16"/>
      <c r="J1000" s="16"/>
      <c r="K1000" s="16"/>
      <c r="L1000" s="18"/>
      <c r="M1000" s="18"/>
      <c r="N1000" s="18"/>
      <c r="O1000" s="18"/>
      <c r="P1000" s="18"/>
      <c r="S1000" s="6"/>
      <c r="V1000" s="18"/>
      <c r="W1000" s="18"/>
      <c r="X1000" s="18"/>
      <c r="Y1000" s="6"/>
      <c r="Z1000" s="6"/>
      <c r="AA1000" s="6"/>
      <c r="AB1000" s="18"/>
      <c r="AC1000" s="18"/>
      <c r="AD1000" s="18"/>
      <c r="AE1000" s="18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D1449"/>
  <sheetViews>
    <sheetView topLeftCell="A325" workbookViewId="0">
      <selection activeCell="D325" sqref="D325"/>
    </sheetView>
  </sheetViews>
  <sheetFormatPr baseColWidth="10" defaultColWidth="14.44140625" defaultRowHeight="15" customHeight="1"/>
  <cols>
    <col min="3" max="3" width="9.109375" customWidth="1"/>
    <col min="4" max="4" width="11.88671875" customWidth="1"/>
  </cols>
  <sheetData>
    <row r="1" spans="1:4">
      <c r="A1" s="10" t="s">
        <v>0</v>
      </c>
      <c r="B1" s="9" t="s">
        <v>1</v>
      </c>
      <c r="C1" s="31" t="s">
        <v>368</v>
      </c>
      <c r="D1" s="31" t="s">
        <v>369</v>
      </c>
    </row>
    <row r="2" spans="1:4">
      <c r="A2" s="12">
        <v>10101</v>
      </c>
      <c r="B2" s="9" t="s">
        <v>17</v>
      </c>
      <c r="C2" s="31">
        <v>0.9916840463805614</v>
      </c>
      <c r="D2" s="32">
        <v>1.1179940490214157</v>
      </c>
    </row>
    <row r="3" spans="1:4">
      <c r="A3" s="12">
        <v>10102</v>
      </c>
      <c r="B3" s="9" t="s">
        <v>19</v>
      </c>
      <c r="C3" s="31">
        <v>0.95181772688584509</v>
      </c>
      <c r="D3" s="32">
        <v>1.1763090734264756</v>
      </c>
    </row>
    <row r="4" spans="1:4">
      <c r="A4" s="12">
        <v>10103</v>
      </c>
      <c r="B4" s="9" t="s">
        <v>22</v>
      </c>
      <c r="C4" s="31">
        <v>0.92747888449738058</v>
      </c>
      <c r="D4" s="32">
        <v>1.0115670295039938</v>
      </c>
    </row>
    <row r="5" spans="1:4">
      <c r="A5" s="12">
        <v>10201</v>
      </c>
      <c r="B5" s="9" t="s">
        <v>24</v>
      </c>
      <c r="C5" s="31">
        <v>0.8428345956327421</v>
      </c>
      <c r="D5" s="32">
        <v>0.90602735776152499</v>
      </c>
    </row>
    <row r="6" spans="1:4">
      <c r="A6" s="12">
        <v>10202</v>
      </c>
      <c r="B6" s="9" t="s">
        <v>27</v>
      </c>
      <c r="C6" s="31">
        <v>0.87334146664262668</v>
      </c>
      <c r="D6" s="32">
        <v>1.0359609380717436</v>
      </c>
    </row>
    <row r="7" spans="1:4">
      <c r="A7" s="12">
        <v>10301</v>
      </c>
      <c r="B7" s="9" t="s">
        <v>29</v>
      </c>
      <c r="C7" s="31">
        <v>0.93495271880746167</v>
      </c>
      <c r="D7" s="32">
        <v>0.99875494924396546</v>
      </c>
    </row>
    <row r="8" spans="1:4">
      <c r="A8" s="12">
        <v>10302</v>
      </c>
      <c r="B8" s="9" t="s">
        <v>31</v>
      </c>
      <c r="C8" s="31">
        <v>0.88321251540500145</v>
      </c>
      <c r="D8" s="32">
        <v>1.0317856593608266</v>
      </c>
    </row>
    <row r="9" spans="1:4">
      <c r="A9" s="12">
        <v>10303</v>
      </c>
      <c r="B9" s="9" t="s">
        <v>33</v>
      </c>
      <c r="C9" s="31">
        <v>0.95632482555035581</v>
      </c>
      <c r="D9" s="32">
        <v>0.98759337248948598</v>
      </c>
    </row>
    <row r="10" spans="1:4">
      <c r="A10" s="12">
        <v>10304</v>
      </c>
      <c r="B10" s="9" t="s">
        <v>35</v>
      </c>
      <c r="C10" s="31">
        <v>0.96707646653080614</v>
      </c>
      <c r="D10" s="32">
        <v>0.9988999916928597</v>
      </c>
    </row>
    <row r="11" spans="1:4">
      <c r="A11" s="12">
        <v>10401</v>
      </c>
      <c r="B11" s="9" t="s">
        <v>37</v>
      </c>
      <c r="C11" s="31">
        <v>0.71638681446055086</v>
      </c>
      <c r="D11" s="32">
        <v>0.53511392741503505</v>
      </c>
    </row>
    <row r="12" spans="1:4">
      <c r="A12" s="12">
        <v>10402</v>
      </c>
      <c r="B12" s="9" t="s">
        <v>39</v>
      </c>
      <c r="C12" s="31">
        <v>0.82314334807372724</v>
      </c>
      <c r="D12" s="32">
        <v>0.93074973239838266</v>
      </c>
    </row>
    <row r="13" spans="1:4">
      <c r="A13" s="12">
        <v>10403</v>
      </c>
      <c r="B13" s="9" t="s">
        <v>41</v>
      </c>
      <c r="C13" s="31">
        <v>0.8199504971191468</v>
      </c>
      <c r="D13" s="32">
        <v>0.75835675965635085</v>
      </c>
    </row>
    <row r="14" spans="1:4">
      <c r="A14" s="12">
        <v>10404</v>
      </c>
      <c r="B14" s="9" t="s">
        <v>42</v>
      </c>
      <c r="C14" s="31">
        <v>0.67823116747912571</v>
      </c>
      <c r="D14" s="32">
        <v>0.86734392614853018</v>
      </c>
    </row>
    <row r="15" spans="1:4">
      <c r="A15" s="12">
        <v>10405</v>
      </c>
      <c r="B15" s="9" t="s">
        <v>44</v>
      </c>
      <c r="C15" s="31">
        <v>0.85300283485548334</v>
      </c>
      <c r="D15" s="32">
        <v>0.93055026935403651</v>
      </c>
    </row>
    <row r="16" spans="1:4">
      <c r="A16" s="12">
        <v>10501</v>
      </c>
      <c r="B16" s="9" t="s">
        <v>46</v>
      </c>
      <c r="C16" s="31">
        <v>0.85102507843719888</v>
      </c>
      <c r="D16" s="32">
        <v>0.72736717381946636</v>
      </c>
    </row>
    <row r="17" spans="1:4">
      <c r="A17" s="12">
        <v>10502</v>
      </c>
      <c r="B17" s="9" t="s">
        <v>47</v>
      </c>
      <c r="C17" s="31">
        <v>0.93828909556541362</v>
      </c>
      <c r="D17" s="32">
        <v>0.97478729814238885</v>
      </c>
    </row>
    <row r="18" spans="1:4">
      <c r="A18" s="12">
        <v>10601</v>
      </c>
      <c r="B18" s="9" t="s">
        <v>48</v>
      </c>
      <c r="C18" s="31">
        <v>0.80939350979389291</v>
      </c>
      <c r="D18" s="32">
        <v>0.96070678037850654</v>
      </c>
    </row>
    <row r="19" spans="1:4">
      <c r="A19" s="12">
        <v>10602</v>
      </c>
      <c r="B19" s="9" t="s">
        <v>49</v>
      </c>
      <c r="C19" s="31">
        <v>1.0175960459574505</v>
      </c>
      <c r="D19" s="32">
        <v>1.0546823325173063</v>
      </c>
    </row>
    <row r="20" spans="1:4">
      <c r="A20" s="12">
        <v>10701</v>
      </c>
      <c r="B20" s="9" t="s">
        <v>50</v>
      </c>
      <c r="C20" s="31">
        <v>0.86141139537786626</v>
      </c>
      <c r="D20" s="32">
        <v>0.91978349212824839</v>
      </c>
    </row>
    <row r="21" spans="1:4">
      <c r="A21" s="12">
        <v>10702</v>
      </c>
      <c r="B21" s="9" t="s">
        <v>51</v>
      </c>
      <c r="C21" s="31">
        <v>0.8291385397089599</v>
      </c>
      <c r="D21" s="32">
        <v>0.83677177464912045</v>
      </c>
    </row>
    <row r="22" spans="1:4">
      <c r="A22" s="12">
        <v>10703</v>
      </c>
      <c r="B22" s="9" t="s">
        <v>52</v>
      </c>
      <c r="C22" s="31">
        <v>0.9461484897689435</v>
      </c>
      <c r="D22" s="32">
        <v>0.88893561685111755</v>
      </c>
    </row>
    <row r="23" spans="1:4">
      <c r="A23" s="12">
        <v>10704</v>
      </c>
      <c r="B23" s="9" t="s">
        <v>53</v>
      </c>
      <c r="C23" s="31">
        <v>0.88145581829587882</v>
      </c>
      <c r="D23" s="32">
        <v>0.80145543102601546</v>
      </c>
    </row>
    <row r="24" spans="1:4">
      <c r="A24" s="12">
        <v>10801</v>
      </c>
      <c r="B24" s="9" t="s">
        <v>54</v>
      </c>
      <c r="C24" s="31">
        <v>0.79217114590764626</v>
      </c>
      <c r="D24" s="32">
        <v>0.78549134547259813</v>
      </c>
    </row>
    <row r="25" spans="1:4">
      <c r="A25" s="12">
        <v>10901</v>
      </c>
      <c r="B25" s="9" t="s">
        <v>55</v>
      </c>
      <c r="C25" s="31">
        <v>1.0000814176626145</v>
      </c>
      <c r="D25" s="32">
        <v>1.0720688316774196</v>
      </c>
    </row>
    <row r="26" spans="1:4">
      <c r="A26" s="12">
        <v>10902</v>
      </c>
      <c r="B26" s="9" t="s">
        <v>56</v>
      </c>
      <c r="C26" s="31">
        <v>0.89364895808519251</v>
      </c>
      <c r="D26" s="32">
        <v>1.0331113526494289</v>
      </c>
    </row>
    <row r="27" spans="1:4">
      <c r="A27" s="12">
        <v>10903</v>
      </c>
      <c r="B27" s="9" t="s">
        <v>57</v>
      </c>
      <c r="C27" s="31">
        <v>1.0279951307272586</v>
      </c>
      <c r="D27" s="32">
        <v>1.4361692990684796</v>
      </c>
    </row>
    <row r="28" spans="1:4">
      <c r="A28" s="12">
        <v>11001</v>
      </c>
      <c r="B28" s="9" t="s">
        <v>58</v>
      </c>
      <c r="C28" s="31">
        <v>0.69144054284290601</v>
      </c>
      <c r="D28" s="32">
        <v>0.62862471900981232</v>
      </c>
    </row>
    <row r="29" spans="1:4">
      <c r="A29" s="12">
        <v>11002</v>
      </c>
      <c r="B29" s="9" t="s">
        <v>59</v>
      </c>
      <c r="C29" s="31">
        <v>0.86248890629978725</v>
      </c>
      <c r="D29" s="32">
        <v>0.9687780313772143</v>
      </c>
    </row>
    <row r="30" spans="1:4">
      <c r="A30" s="12">
        <v>11003</v>
      </c>
      <c r="B30" s="9" t="s">
        <v>60</v>
      </c>
      <c r="C30" s="31">
        <v>0.88127956588658907</v>
      </c>
      <c r="D30" s="32">
        <v>0.69386777934523425</v>
      </c>
    </row>
    <row r="31" spans="1:4">
      <c r="A31" s="12">
        <v>20101</v>
      </c>
      <c r="B31" s="9" t="s">
        <v>61</v>
      </c>
      <c r="C31" s="31">
        <v>1.1476982328203482</v>
      </c>
      <c r="D31" s="32">
        <v>1.1206639509811851</v>
      </c>
    </row>
    <row r="32" spans="1:4">
      <c r="A32" s="12">
        <v>20102</v>
      </c>
      <c r="B32" s="9" t="s">
        <v>62</v>
      </c>
      <c r="C32" s="31">
        <v>1.1341031280856821</v>
      </c>
      <c r="D32" s="32">
        <v>1.2563443319100762</v>
      </c>
    </row>
    <row r="33" spans="1:4">
      <c r="A33" s="12">
        <v>20103</v>
      </c>
      <c r="B33" s="9" t="s">
        <v>63</v>
      </c>
      <c r="C33" s="31">
        <v>1.1293458604618678</v>
      </c>
      <c r="D33" s="32">
        <v>1.3155145271606337</v>
      </c>
    </row>
    <row r="34" spans="1:4">
      <c r="A34" s="12">
        <v>20104</v>
      </c>
      <c r="B34" s="9" t="s">
        <v>64</v>
      </c>
      <c r="C34" s="31">
        <v>1.2736949291116821</v>
      </c>
      <c r="D34" s="32">
        <v>1.2985291105987817</v>
      </c>
    </row>
    <row r="35" spans="1:4">
      <c r="A35" s="12">
        <v>20105</v>
      </c>
      <c r="B35" s="9" t="s">
        <v>65</v>
      </c>
      <c r="C35" s="31">
        <v>1.2128847959602091</v>
      </c>
      <c r="D35" s="32">
        <v>1.3029962042659093</v>
      </c>
    </row>
    <row r="36" spans="1:4">
      <c r="A36" s="12">
        <v>20201</v>
      </c>
      <c r="B36" s="9" t="s">
        <v>66</v>
      </c>
      <c r="C36" s="31">
        <v>1.1826186660979103</v>
      </c>
      <c r="D36" s="32">
        <v>1.5399921159845995</v>
      </c>
    </row>
    <row r="37" spans="1:4">
      <c r="A37" s="12">
        <v>20202</v>
      </c>
      <c r="B37" s="9" t="s">
        <v>67</v>
      </c>
      <c r="C37" s="31">
        <v>1.2378338124952541</v>
      </c>
      <c r="D37" s="32">
        <v>1.4825694516179695</v>
      </c>
    </row>
    <row r="38" spans="1:4">
      <c r="A38" s="12">
        <v>20203</v>
      </c>
      <c r="B38" s="9" t="s">
        <v>68</v>
      </c>
      <c r="C38" s="31">
        <v>1.3261276547551943</v>
      </c>
      <c r="D38" s="32">
        <v>1.6880621711808621</v>
      </c>
    </row>
    <row r="39" spans="1:4">
      <c r="A39" s="12">
        <v>20204</v>
      </c>
      <c r="B39" s="9" t="s">
        <v>69</v>
      </c>
      <c r="C39" s="31">
        <v>1.379653391526541</v>
      </c>
      <c r="D39" s="32">
        <v>1.9041303131702718</v>
      </c>
    </row>
    <row r="40" spans="1:4">
      <c r="A40" s="12">
        <v>20205</v>
      </c>
      <c r="B40" s="9" t="s">
        <v>70</v>
      </c>
      <c r="C40" s="31">
        <v>1.5393852570435631</v>
      </c>
      <c r="D40" s="32">
        <v>1.9256022351945621</v>
      </c>
    </row>
    <row r="41" spans="1:4">
      <c r="A41" s="12">
        <v>20206</v>
      </c>
      <c r="B41" s="9" t="s">
        <v>71</v>
      </c>
      <c r="C41" s="31">
        <v>1.2740017048852579</v>
      </c>
      <c r="D41" s="32">
        <v>2.7062173144621164</v>
      </c>
    </row>
    <row r="42" spans="1:4">
      <c r="A42" s="12">
        <v>20301</v>
      </c>
      <c r="B42" s="9" t="s">
        <v>72</v>
      </c>
      <c r="C42" s="31">
        <v>1.1466113201708998</v>
      </c>
      <c r="D42" s="32">
        <v>1.2614324321286858</v>
      </c>
    </row>
    <row r="43" spans="1:4">
      <c r="A43" s="12">
        <v>20302</v>
      </c>
      <c r="B43" s="9" t="s">
        <v>73</v>
      </c>
      <c r="C43" s="31">
        <v>1.0611987562387015</v>
      </c>
      <c r="D43" s="32">
        <v>1.3128030704651845</v>
      </c>
    </row>
    <row r="44" spans="1:4">
      <c r="A44" s="12">
        <v>20303</v>
      </c>
      <c r="B44" s="9" t="s">
        <v>74</v>
      </c>
      <c r="C44" s="31">
        <v>0.95776817970703298</v>
      </c>
      <c r="D44" s="32">
        <v>1.0973401773558227</v>
      </c>
    </row>
    <row r="45" spans="1:4">
      <c r="A45" s="12">
        <v>20304</v>
      </c>
      <c r="B45" s="9" t="s">
        <v>75</v>
      </c>
      <c r="C45" s="31">
        <v>1.1328194644364094</v>
      </c>
      <c r="D45" s="32">
        <v>1.6225656724536917</v>
      </c>
    </row>
    <row r="46" spans="1:4">
      <c r="A46" s="12">
        <v>20305</v>
      </c>
      <c r="B46" s="9" t="s">
        <v>76</v>
      </c>
      <c r="C46" s="31">
        <v>0.97381150897078217</v>
      </c>
      <c r="D46" s="32">
        <v>0.83518906287725769</v>
      </c>
    </row>
    <row r="47" spans="1:4">
      <c r="A47" s="12">
        <v>20306</v>
      </c>
      <c r="B47" s="9" t="s">
        <v>77</v>
      </c>
      <c r="C47" s="31">
        <v>1.1353411761279206</v>
      </c>
      <c r="D47" s="32">
        <v>1.1359249947490229</v>
      </c>
    </row>
    <row r="48" spans="1:4">
      <c r="A48" s="12">
        <v>20307</v>
      </c>
      <c r="B48" s="9" t="s">
        <v>78</v>
      </c>
      <c r="C48" s="31">
        <v>1.1390779683248335</v>
      </c>
      <c r="D48" s="32">
        <v>1.1337624254235923</v>
      </c>
    </row>
    <row r="49" spans="1:4">
      <c r="A49" s="12">
        <v>20308</v>
      </c>
      <c r="B49" s="9" t="s">
        <v>79</v>
      </c>
      <c r="C49" s="31">
        <v>1.010841741584166</v>
      </c>
      <c r="D49" s="32">
        <v>1.0982916284706943</v>
      </c>
    </row>
    <row r="50" spans="1:4">
      <c r="A50" s="12">
        <v>20401</v>
      </c>
      <c r="B50" s="9" t="s">
        <v>80</v>
      </c>
      <c r="C50" s="31">
        <v>1.1018711295529966</v>
      </c>
      <c r="D50" s="32">
        <v>1.3657250794183327</v>
      </c>
    </row>
    <row r="51" spans="1:4">
      <c r="A51" s="12">
        <v>20402</v>
      </c>
      <c r="B51" s="9" t="s">
        <v>81</v>
      </c>
      <c r="C51" s="31">
        <v>1.1670350449870996</v>
      </c>
      <c r="D51" s="32">
        <v>1.6574966428015079</v>
      </c>
    </row>
    <row r="52" spans="1:4">
      <c r="A52" s="12">
        <v>20403</v>
      </c>
      <c r="B52" s="9" t="s">
        <v>82</v>
      </c>
      <c r="C52" s="31">
        <v>1.0441756874575243</v>
      </c>
      <c r="D52" s="32">
        <v>1.4009705525193377</v>
      </c>
    </row>
    <row r="53" spans="1:4">
      <c r="A53" s="12">
        <v>20404</v>
      </c>
      <c r="B53" s="9" t="s">
        <v>83</v>
      </c>
      <c r="C53" s="31">
        <v>1.1071509441955312</v>
      </c>
      <c r="D53" s="32">
        <v>1.4343726655194617</v>
      </c>
    </row>
    <row r="54" spans="1:4">
      <c r="A54" s="12">
        <v>20405</v>
      </c>
      <c r="B54" s="9" t="s">
        <v>84</v>
      </c>
      <c r="C54" s="31">
        <v>1.2448951729246198</v>
      </c>
      <c r="D54" s="32">
        <v>1.3576640480955713</v>
      </c>
    </row>
    <row r="55" spans="1:4">
      <c r="A55" s="12">
        <v>20501</v>
      </c>
      <c r="B55" s="9" t="s">
        <v>85</v>
      </c>
      <c r="C55" s="31">
        <v>1.1910983763520253</v>
      </c>
      <c r="D55" s="32">
        <v>1.2590315565268966</v>
      </c>
    </row>
    <row r="56" spans="1:4">
      <c r="A56" s="12">
        <v>20502</v>
      </c>
      <c r="B56" s="9" t="s">
        <v>86</v>
      </c>
      <c r="C56" s="31">
        <v>0.93243053819914168</v>
      </c>
      <c r="D56" s="32">
        <v>1.2435042657225217</v>
      </c>
    </row>
    <row r="57" spans="1:4">
      <c r="A57" s="12">
        <v>20503</v>
      </c>
      <c r="B57" s="9" t="s">
        <v>87</v>
      </c>
      <c r="C57" s="31">
        <v>1.0000441289065216</v>
      </c>
      <c r="D57" s="32">
        <v>1.0896486125334379</v>
      </c>
    </row>
    <row r="58" spans="1:4">
      <c r="A58" s="12">
        <v>20601</v>
      </c>
      <c r="B58" s="9" t="s">
        <v>88</v>
      </c>
      <c r="C58" s="31">
        <v>0.96562705226165424</v>
      </c>
      <c r="D58" s="32">
        <v>1.1982776768455001</v>
      </c>
    </row>
    <row r="59" spans="1:4">
      <c r="A59" s="12">
        <v>20602</v>
      </c>
      <c r="B59" s="9" t="s">
        <v>89</v>
      </c>
      <c r="C59" s="31">
        <v>0.98692680076932071</v>
      </c>
      <c r="D59" s="32">
        <v>1.1217087125317122</v>
      </c>
    </row>
    <row r="60" spans="1:4">
      <c r="A60" s="12">
        <v>20603</v>
      </c>
      <c r="B60" s="9" t="s">
        <v>90</v>
      </c>
      <c r="C60" s="31">
        <v>1.0365987040035824</v>
      </c>
      <c r="D60" s="32">
        <v>1.0681017336513596</v>
      </c>
    </row>
    <row r="61" spans="1:4">
      <c r="A61" s="12">
        <v>20604</v>
      </c>
      <c r="B61" s="9" t="s">
        <v>91</v>
      </c>
      <c r="C61" s="31">
        <v>1.1398311456786239</v>
      </c>
      <c r="D61" s="32">
        <v>1.0053565085820635</v>
      </c>
    </row>
    <row r="62" spans="1:4">
      <c r="A62" s="12">
        <v>20605</v>
      </c>
      <c r="B62" s="9" t="s">
        <v>92</v>
      </c>
      <c r="C62" s="31">
        <v>1.1302957589806737</v>
      </c>
      <c r="D62" s="32">
        <v>0.97961451906332075</v>
      </c>
    </row>
    <row r="63" spans="1:4">
      <c r="A63" s="12">
        <v>20606</v>
      </c>
      <c r="B63" s="9" t="s">
        <v>93</v>
      </c>
      <c r="C63" s="31">
        <v>0.80016054856321905</v>
      </c>
      <c r="D63" s="32">
        <v>0.95236210650872233</v>
      </c>
    </row>
    <row r="64" spans="1:4">
      <c r="A64" s="12">
        <v>20607</v>
      </c>
      <c r="B64" s="9" t="s">
        <v>94</v>
      </c>
      <c r="C64" s="31">
        <v>0.93492074466207808</v>
      </c>
      <c r="D64" s="32">
        <v>1.1934750706820525</v>
      </c>
    </row>
    <row r="65" spans="1:4">
      <c r="A65" s="12">
        <v>20608</v>
      </c>
      <c r="B65" s="9" t="s">
        <v>95</v>
      </c>
      <c r="C65" s="31">
        <v>0.93743347590100712</v>
      </c>
      <c r="D65" s="32">
        <v>0.91958831340270319</v>
      </c>
    </row>
    <row r="66" spans="1:4">
      <c r="A66" s="12">
        <v>20701</v>
      </c>
      <c r="B66" s="9" t="s">
        <v>96</v>
      </c>
      <c r="C66" s="31">
        <v>0.81672338739264527</v>
      </c>
      <c r="D66" s="32">
        <v>0.8512951247189684</v>
      </c>
    </row>
    <row r="67" spans="1:4">
      <c r="A67" s="12">
        <v>20702</v>
      </c>
      <c r="B67" s="9" t="s">
        <v>97</v>
      </c>
      <c r="C67" s="31">
        <v>1.0657880847433412</v>
      </c>
      <c r="D67" s="32">
        <v>1.1927579322931445</v>
      </c>
    </row>
    <row r="68" spans="1:4">
      <c r="A68" s="12">
        <v>20801</v>
      </c>
      <c r="B68" s="9" t="s">
        <v>98</v>
      </c>
      <c r="C68" s="31">
        <v>1.2018034267041997</v>
      </c>
      <c r="D68" s="32">
        <v>1.3136677380221693</v>
      </c>
    </row>
    <row r="69" spans="1:4">
      <c r="A69" s="12">
        <v>20802</v>
      </c>
      <c r="B69" s="9" t="s">
        <v>99</v>
      </c>
      <c r="C69" s="31">
        <v>1.3393915106016596</v>
      </c>
      <c r="D69" s="32">
        <v>1.451756863462826</v>
      </c>
    </row>
    <row r="70" spans="1:4">
      <c r="A70" s="12">
        <v>20803</v>
      </c>
      <c r="B70" s="9" t="s">
        <v>100</v>
      </c>
      <c r="C70" s="31">
        <v>1.0825536870216996</v>
      </c>
      <c r="D70" s="32">
        <v>1.2580565068056278</v>
      </c>
    </row>
    <row r="71" spans="1:4">
      <c r="A71" s="12">
        <v>20804</v>
      </c>
      <c r="B71" s="9" t="s">
        <v>101</v>
      </c>
      <c r="C71" s="31">
        <v>1.322361867354789</v>
      </c>
      <c r="D71" s="32">
        <v>1.7265995601907866</v>
      </c>
    </row>
    <row r="72" spans="1:4">
      <c r="A72" s="12">
        <v>20805</v>
      </c>
      <c r="B72" s="9" t="s">
        <v>102</v>
      </c>
      <c r="C72" s="31">
        <v>1.1378923163650747</v>
      </c>
      <c r="D72" s="32">
        <v>1.0094642777576837</v>
      </c>
    </row>
    <row r="73" spans="1:4">
      <c r="A73" s="12">
        <v>20806</v>
      </c>
      <c r="B73" s="9" t="s">
        <v>103</v>
      </c>
      <c r="C73" s="31">
        <v>1.1469843455463433</v>
      </c>
      <c r="D73" s="32">
        <v>1.2689244683318623</v>
      </c>
    </row>
    <row r="74" spans="1:4">
      <c r="A74" s="12">
        <v>20807</v>
      </c>
      <c r="B74" s="9" t="s">
        <v>104</v>
      </c>
      <c r="C74" s="31">
        <v>1.1385708051610786</v>
      </c>
      <c r="D74" s="32">
        <v>2.054241596196257</v>
      </c>
    </row>
    <row r="75" spans="1:4">
      <c r="A75" s="12">
        <v>20901</v>
      </c>
      <c r="B75" s="9" t="s">
        <v>105</v>
      </c>
      <c r="C75" s="31">
        <v>1.1628555892782753</v>
      </c>
      <c r="D75" s="32">
        <v>1.4059371367971953</v>
      </c>
    </row>
    <row r="76" spans="1:4">
      <c r="A76" s="12">
        <v>20902</v>
      </c>
      <c r="B76" s="9" t="s">
        <v>106</v>
      </c>
      <c r="C76" s="31">
        <v>1.0508018765831098</v>
      </c>
      <c r="D76" s="32">
        <v>1.3753782141626976</v>
      </c>
    </row>
    <row r="77" spans="1:4">
      <c r="A77" s="12">
        <v>20903</v>
      </c>
      <c r="B77" s="9" t="s">
        <v>107</v>
      </c>
      <c r="C77" s="31">
        <v>1.0712154075071554</v>
      </c>
      <c r="D77" s="32">
        <v>1.398780083535839</v>
      </c>
    </row>
    <row r="78" spans="1:4">
      <c r="A78" s="12">
        <v>20904</v>
      </c>
      <c r="B78" s="9" t="s">
        <v>108</v>
      </c>
      <c r="C78" s="31">
        <v>1.1045936602460238</v>
      </c>
      <c r="D78" s="32">
        <v>1.0992934179999814</v>
      </c>
    </row>
    <row r="79" spans="1:4">
      <c r="A79" s="12">
        <v>20905</v>
      </c>
      <c r="B79" s="9" t="s">
        <v>109</v>
      </c>
      <c r="C79" s="31">
        <v>1.3377050935815726</v>
      </c>
      <c r="D79" s="32">
        <v>1.4290020300582535</v>
      </c>
    </row>
    <row r="80" spans="1:4">
      <c r="A80" s="12">
        <v>21001</v>
      </c>
      <c r="B80" s="9" t="s">
        <v>110</v>
      </c>
      <c r="C80" s="31">
        <v>0.98857531652799047</v>
      </c>
      <c r="D80" s="32">
        <v>1.1858219748780054</v>
      </c>
    </row>
    <row r="81" spans="1:4">
      <c r="A81" s="12">
        <v>21002</v>
      </c>
      <c r="B81" s="9" t="s">
        <v>111</v>
      </c>
      <c r="C81" s="31">
        <v>0.8577527348610321</v>
      </c>
      <c r="D81" s="32">
        <v>0.94602957488757389</v>
      </c>
    </row>
    <row r="82" spans="1:4">
      <c r="A82" s="12">
        <v>21003</v>
      </c>
      <c r="B82" s="9" t="s">
        <v>112</v>
      </c>
      <c r="C82" s="31">
        <v>0.92865302466323152</v>
      </c>
      <c r="D82" s="32">
        <v>1.0549533622538594</v>
      </c>
    </row>
    <row r="83" spans="1:4">
      <c r="A83" s="12">
        <v>21004</v>
      </c>
      <c r="B83" s="9" t="s">
        <v>113</v>
      </c>
      <c r="C83" s="31">
        <v>1.1944474159910607</v>
      </c>
      <c r="D83" s="32">
        <v>1.2864087658403043</v>
      </c>
    </row>
    <row r="84" spans="1:4">
      <c r="A84" s="12">
        <v>21005</v>
      </c>
      <c r="B84" s="9" t="s">
        <v>114</v>
      </c>
      <c r="C84" s="31">
        <v>1.1274871368439596</v>
      </c>
      <c r="D84" s="32">
        <v>1.1917681905608117</v>
      </c>
    </row>
    <row r="85" spans="1:4">
      <c r="A85" s="12">
        <v>21006</v>
      </c>
      <c r="B85" s="9" t="s">
        <v>115</v>
      </c>
      <c r="C85" s="31">
        <v>0.74474064995732847</v>
      </c>
      <c r="D85" s="32">
        <v>0.91087152946434313</v>
      </c>
    </row>
    <row r="86" spans="1:4">
      <c r="A86" s="12">
        <v>21101</v>
      </c>
      <c r="B86" s="9" t="s">
        <v>116</v>
      </c>
      <c r="C86" s="31">
        <v>1.0793975902130046</v>
      </c>
      <c r="D86" s="32">
        <v>1.5324533869793333</v>
      </c>
    </row>
    <row r="87" spans="1:4">
      <c r="A87" s="12">
        <v>21102</v>
      </c>
      <c r="B87" s="9" t="s">
        <v>117</v>
      </c>
      <c r="C87" s="31">
        <v>0.96330114177949</v>
      </c>
      <c r="D87" s="32">
        <v>1.1010116377100612</v>
      </c>
    </row>
    <row r="88" spans="1:4">
      <c r="A88" s="12">
        <v>21103</v>
      </c>
      <c r="B88" s="9" t="s">
        <v>118</v>
      </c>
      <c r="C88" s="31">
        <v>1.235709703632013</v>
      </c>
      <c r="D88" s="32">
        <v>1.2269298385949248</v>
      </c>
    </row>
    <row r="89" spans="1:4">
      <c r="A89" s="12">
        <v>21104</v>
      </c>
      <c r="B89" s="9" t="s">
        <v>119</v>
      </c>
      <c r="C89" s="31">
        <v>0.86600665147370348</v>
      </c>
      <c r="D89" s="32">
        <v>0.77610374835363494</v>
      </c>
    </row>
    <row r="90" spans="1:4">
      <c r="A90" s="12">
        <v>21105</v>
      </c>
      <c r="B90" s="9" t="s">
        <v>120</v>
      </c>
      <c r="C90" s="31">
        <v>1.0008856176281127</v>
      </c>
      <c r="D90" s="32">
        <v>0.84449764848883757</v>
      </c>
    </row>
    <row r="91" spans="1:4">
      <c r="A91" s="12">
        <v>21201</v>
      </c>
      <c r="B91" s="9" t="s">
        <v>121</v>
      </c>
      <c r="C91" s="31">
        <v>1.1074459532341774</v>
      </c>
      <c r="D91" s="32">
        <v>1.3834637465495314</v>
      </c>
    </row>
    <row r="92" spans="1:4">
      <c r="A92" s="12">
        <v>21202</v>
      </c>
      <c r="B92" s="9" t="s">
        <v>122</v>
      </c>
      <c r="C92" s="31">
        <v>1.2093403150099524</v>
      </c>
      <c r="D92" s="32">
        <v>1.3316704740751995</v>
      </c>
    </row>
    <row r="93" spans="1:4">
      <c r="A93" s="12">
        <v>21203</v>
      </c>
      <c r="B93" s="9" t="s">
        <v>123</v>
      </c>
      <c r="C93" s="31">
        <v>1.3677613032259845</v>
      </c>
      <c r="D93" s="32">
        <v>1.6691329038244933</v>
      </c>
    </row>
    <row r="94" spans="1:4">
      <c r="A94" s="12">
        <v>21204</v>
      </c>
      <c r="B94" s="9" t="s">
        <v>124</v>
      </c>
      <c r="C94" s="31">
        <v>1.3476063141715726</v>
      </c>
      <c r="D94" s="32">
        <v>1.6115152750154125</v>
      </c>
    </row>
    <row r="95" spans="1:4">
      <c r="A95" s="12">
        <v>21301</v>
      </c>
      <c r="B95" s="9" t="s">
        <v>125</v>
      </c>
      <c r="C95" s="31">
        <v>1.0228500552722499</v>
      </c>
      <c r="D95" s="32">
        <v>1.3203103159987171</v>
      </c>
    </row>
    <row r="96" spans="1:4">
      <c r="A96" s="12">
        <v>21302</v>
      </c>
      <c r="B96" s="9" t="s">
        <v>126</v>
      </c>
      <c r="C96" s="31">
        <v>1.1153911138414605</v>
      </c>
      <c r="D96" s="32">
        <v>1.0844736903388612</v>
      </c>
    </row>
    <row r="97" spans="1:4">
      <c r="A97" s="12">
        <v>21303</v>
      </c>
      <c r="B97" s="9" t="s">
        <v>127</v>
      </c>
      <c r="C97" s="31">
        <v>1.1049156030445375</v>
      </c>
      <c r="D97" s="32">
        <v>1.3064693441669644</v>
      </c>
    </row>
    <row r="98" spans="1:4">
      <c r="A98" s="12">
        <v>21304</v>
      </c>
      <c r="B98" s="9" t="s">
        <v>128</v>
      </c>
      <c r="C98" s="31">
        <v>1.297807700923306</v>
      </c>
      <c r="D98" s="32">
        <v>1.3963416970133615</v>
      </c>
    </row>
    <row r="99" spans="1:4">
      <c r="A99" s="12">
        <v>21305</v>
      </c>
      <c r="B99" s="9" t="s">
        <v>129</v>
      </c>
      <c r="C99" s="31">
        <v>1.0540950183189133</v>
      </c>
      <c r="D99" s="32">
        <v>1.1944104767550277</v>
      </c>
    </row>
    <row r="100" spans="1:4">
      <c r="A100" s="12">
        <v>21306</v>
      </c>
      <c r="B100" s="9" t="s">
        <v>130</v>
      </c>
      <c r="C100" s="31">
        <v>1.1276294688847139</v>
      </c>
      <c r="D100" s="32">
        <v>1.3812677276723229</v>
      </c>
    </row>
    <row r="101" spans="1:4">
      <c r="A101" s="12">
        <v>21307</v>
      </c>
      <c r="B101" s="9" t="s">
        <v>131</v>
      </c>
      <c r="C101" s="31">
        <v>1.3452895006568382</v>
      </c>
      <c r="D101" s="32">
        <v>1.4056149345574043</v>
      </c>
    </row>
    <row r="102" spans="1:4">
      <c r="A102" s="12">
        <v>21401</v>
      </c>
      <c r="B102" s="9" t="s">
        <v>132</v>
      </c>
      <c r="C102" s="31">
        <v>1.0447825699604509</v>
      </c>
      <c r="D102" s="32">
        <v>0.92440814786027425</v>
      </c>
    </row>
    <row r="103" spans="1:4">
      <c r="A103" s="12">
        <v>21402</v>
      </c>
      <c r="B103" s="9" t="s">
        <v>133</v>
      </c>
      <c r="C103" s="31">
        <v>1.137082911014992</v>
      </c>
      <c r="D103" s="32">
        <v>0.99026706361065486</v>
      </c>
    </row>
    <row r="104" spans="1:4">
      <c r="A104" s="12">
        <v>21501</v>
      </c>
      <c r="B104" s="9" t="s">
        <v>134</v>
      </c>
      <c r="C104" s="31">
        <v>0.86010990932288722</v>
      </c>
      <c r="D104" s="32">
        <v>0.83695278501563841</v>
      </c>
    </row>
    <row r="105" spans="1:4">
      <c r="A105" s="12">
        <v>21502</v>
      </c>
      <c r="B105" s="9" t="s">
        <v>135</v>
      </c>
      <c r="C105" s="31">
        <v>0.75398574426201526</v>
      </c>
      <c r="D105" s="32">
        <v>0.77142349373496799</v>
      </c>
    </row>
    <row r="106" spans="1:4">
      <c r="A106" s="12">
        <v>21601</v>
      </c>
      <c r="B106" s="9" t="s">
        <v>136</v>
      </c>
      <c r="C106" s="31">
        <v>1.0562274503982736</v>
      </c>
      <c r="D106" s="32">
        <v>1.2419243358776044</v>
      </c>
    </row>
    <row r="107" spans="1:4">
      <c r="A107" s="12">
        <v>21602</v>
      </c>
      <c r="B107" s="9" t="s">
        <v>137</v>
      </c>
      <c r="C107" s="31">
        <v>1.1237057279690179</v>
      </c>
      <c r="D107" s="32">
        <v>1.3706680268183054</v>
      </c>
    </row>
    <row r="108" spans="1:4">
      <c r="A108" s="12">
        <v>21701</v>
      </c>
      <c r="B108" s="9" t="s">
        <v>138</v>
      </c>
      <c r="C108" s="31">
        <v>1.1695296636225183</v>
      </c>
      <c r="D108" s="32">
        <v>1.7675565796938464</v>
      </c>
    </row>
    <row r="109" spans="1:4">
      <c r="A109" s="12">
        <v>21702</v>
      </c>
      <c r="B109" s="9" t="s">
        <v>139</v>
      </c>
      <c r="C109" s="31">
        <v>1.3394997830677919</v>
      </c>
      <c r="D109" s="32">
        <v>2.061000256315261</v>
      </c>
    </row>
    <row r="110" spans="1:4">
      <c r="A110" s="12">
        <v>21703</v>
      </c>
      <c r="B110" s="9" t="s">
        <v>140</v>
      </c>
      <c r="C110" s="31">
        <v>1.2590284928714213</v>
      </c>
      <c r="D110" s="32">
        <v>1.5884511049734957</v>
      </c>
    </row>
    <row r="111" spans="1:4">
      <c r="A111" s="12">
        <v>21801</v>
      </c>
      <c r="B111" s="9" t="s">
        <v>141</v>
      </c>
      <c r="C111" s="31">
        <v>0.95812786785897452</v>
      </c>
      <c r="D111" s="32">
        <v>1.1957801696307959</v>
      </c>
    </row>
    <row r="112" spans="1:4">
      <c r="A112" s="12">
        <v>21802</v>
      </c>
      <c r="B112" s="9" t="s">
        <v>142</v>
      </c>
      <c r="C112" s="31">
        <v>1.179569265130918</v>
      </c>
      <c r="D112" s="32">
        <v>1.8315146924187193</v>
      </c>
    </row>
    <row r="113" spans="1:4">
      <c r="A113" s="12">
        <v>21803</v>
      </c>
      <c r="B113" s="9" t="s">
        <v>143</v>
      </c>
      <c r="C113" s="31">
        <v>1.009631672330302</v>
      </c>
      <c r="D113" s="32">
        <v>1.0168370328394474</v>
      </c>
    </row>
    <row r="114" spans="1:4">
      <c r="A114" s="12">
        <v>21901</v>
      </c>
      <c r="B114" s="9" t="s">
        <v>144</v>
      </c>
      <c r="C114" s="31">
        <v>1.0719850355768579</v>
      </c>
      <c r="D114" s="32">
        <v>1.0364023390308086</v>
      </c>
    </row>
    <row r="115" spans="1:4">
      <c r="A115" s="12">
        <v>21902</v>
      </c>
      <c r="B115" s="9" t="s">
        <v>145</v>
      </c>
      <c r="C115" s="31">
        <v>1.0363122259724431</v>
      </c>
      <c r="D115" s="32">
        <v>1.1349184434581736</v>
      </c>
    </row>
    <row r="116" spans="1:4">
      <c r="A116" s="12">
        <v>22001</v>
      </c>
      <c r="B116" s="9" t="s">
        <v>146</v>
      </c>
      <c r="C116" s="31">
        <v>0.94498842081468826</v>
      </c>
      <c r="D116" s="32">
        <v>0.94750579934488388</v>
      </c>
    </row>
    <row r="117" spans="1:4">
      <c r="A117" s="12">
        <v>22002</v>
      </c>
      <c r="B117" s="9" t="s">
        <v>147</v>
      </c>
      <c r="C117" s="31">
        <v>0.89814356777689508</v>
      </c>
      <c r="D117" s="32">
        <v>0.91290569692586276</v>
      </c>
    </row>
    <row r="118" spans="1:4">
      <c r="A118" s="12">
        <v>30101</v>
      </c>
      <c r="B118" s="9" t="s">
        <v>23</v>
      </c>
      <c r="C118" s="31">
        <v>1.2020350713173296</v>
      </c>
      <c r="D118" s="32">
        <v>1.4853422874464728</v>
      </c>
    </row>
    <row r="119" spans="1:4">
      <c r="A119" s="12">
        <v>30201</v>
      </c>
      <c r="B119" s="9" t="s">
        <v>148</v>
      </c>
      <c r="C119" s="31">
        <v>0.78856659469011603</v>
      </c>
      <c r="D119" s="32">
        <v>0.93657196673202292</v>
      </c>
    </row>
    <row r="120" spans="1:4">
      <c r="A120" s="12">
        <v>30202</v>
      </c>
      <c r="B120" s="9" t="s">
        <v>149</v>
      </c>
      <c r="C120" s="31">
        <v>0.88981472208789369</v>
      </c>
      <c r="D120" s="32">
        <v>0.75985552847853266</v>
      </c>
    </row>
    <row r="121" spans="1:4">
      <c r="A121" s="12">
        <v>30203</v>
      </c>
      <c r="B121" s="9" t="s">
        <v>150</v>
      </c>
      <c r="C121" s="31">
        <v>1.0674862528892928</v>
      </c>
      <c r="D121" s="32">
        <v>1.2781380628808945</v>
      </c>
    </row>
    <row r="122" spans="1:4">
      <c r="A122" s="12">
        <v>30301</v>
      </c>
      <c r="B122" s="9" t="s">
        <v>151</v>
      </c>
      <c r="C122" s="31">
        <v>0.95149636274904137</v>
      </c>
      <c r="D122" s="32">
        <v>1.2395558851506223</v>
      </c>
    </row>
    <row r="123" spans="1:4">
      <c r="A123" s="12">
        <v>30302</v>
      </c>
      <c r="B123" s="9" t="s">
        <v>152</v>
      </c>
      <c r="C123" s="31">
        <v>0.94627820812446284</v>
      </c>
      <c r="D123" s="32">
        <v>1.1093332965485789</v>
      </c>
    </row>
    <row r="124" spans="1:4">
      <c r="A124" s="12">
        <v>30303</v>
      </c>
      <c r="B124" s="9" t="s">
        <v>153</v>
      </c>
      <c r="C124" s="31">
        <v>1.0742623019145454</v>
      </c>
      <c r="D124" s="32">
        <v>1.1529937748493524</v>
      </c>
    </row>
    <row r="125" spans="1:4">
      <c r="A125" s="12">
        <v>30401</v>
      </c>
      <c r="B125" s="9" t="s">
        <v>154</v>
      </c>
      <c r="C125" s="31">
        <v>0.91138891154515556</v>
      </c>
      <c r="D125" s="32">
        <v>1.3071686397862274</v>
      </c>
    </row>
    <row r="126" spans="1:4">
      <c r="A126" s="12">
        <v>30402</v>
      </c>
      <c r="B126" s="9" t="s">
        <v>155</v>
      </c>
      <c r="C126" s="31">
        <v>0.94638156182986732</v>
      </c>
      <c r="D126" s="32">
        <v>1.0770907948212931</v>
      </c>
    </row>
    <row r="127" spans="1:4">
      <c r="A127" s="12">
        <v>30403</v>
      </c>
      <c r="B127" s="9" t="s">
        <v>156</v>
      </c>
      <c r="C127" s="31">
        <v>0.99561840893893783</v>
      </c>
      <c r="D127" s="32">
        <v>1.1643101147589114</v>
      </c>
    </row>
    <row r="128" spans="1:4">
      <c r="A128" s="12">
        <v>30404</v>
      </c>
      <c r="B128" s="9" t="s">
        <v>157</v>
      </c>
      <c r="C128" s="31">
        <v>1.1622810493453755</v>
      </c>
      <c r="D128" s="32">
        <v>1.2569236320395747</v>
      </c>
    </row>
    <row r="129" spans="1:4">
      <c r="A129" s="12">
        <v>30501</v>
      </c>
      <c r="B129" s="9" t="s">
        <v>158</v>
      </c>
      <c r="C129" s="31">
        <v>1.1324211572279776</v>
      </c>
      <c r="D129" s="32">
        <v>1.5915175291748127</v>
      </c>
    </row>
    <row r="130" spans="1:4">
      <c r="A130" s="12">
        <v>30502</v>
      </c>
      <c r="B130" s="9" t="s">
        <v>159</v>
      </c>
      <c r="C130" s="31">
        <v>1.1565550148830817</v>
      </c>
      <c r="D130" s="32">
        <v>1.6064118568256456</v>
      </c>
    </row>
    <row r="131" spans="1:4">
      <c r="A131" s="12">
        <v>30601</v>
      </c>
      <c r="B131" s="9" t="s">
        <v>160</v>
      </c>
      <c r="C131" s="31">
        <v>0.96932490223208678</v>
      </c>
      <c r="D131" s="32">
        <v>1.1862856106704254</v>
      </c>
    </row>
    <row r="132" spans="1:4">
      <c r="A132" s="12">
        <v>30602</v>
      </c>
      <c r="B132" s="9" t="s">
        <v>161</v>
      </c>
      <c r="C132" s="31">
        <v>1.0123158346712848</v>
      </c>
      <c r="D132" s="32">
        <v>1.2703690746950496</v>
      </c>
    </row>
    <row r="133" spans="1:4">
      <c r="A133" s="12">
        <v>30701</v>
      </c>
      <c r="B133" s="9" t="s">
        <v>162</v>
      </c>
      <c r="C133" s="31">
        <v>1.1282032329134597</v>
      </c>
      <c r="D133" s="32">
        <v>1.3099967691248</v>
      </c>
    </row>
    <row r="134" spans="1:4">
      <c r="A134" s="12">
        <v>30702</v>
      </c>
      <c r="B134" s="9" t="s">
        <v>163</v>
      </c>
      <c r="C134" s="31">
        <v>1.0071189787839603</v>
      </c>
      <c r="D134" s="32">
        <v>1.3977355217484266</v>
      </c>
    </row>
    <row r="135" spans="1:4">
      <c r="A135" s="12">
        <v>30703</v>
      </c>
      <c r="B135" s="9" t="s">
        <v>164</v>
      </c>
      <c r="C135" s="31">
        <v>1.0439688426360758</v>
      </c>
      <c r="D135" s="32">
        <v>1.3513933824053506</v>
      </c>
    </row>
    <row r="136" spans="1:4">
      <c r="A136" s="12">
        <v>30801</v>
      </c>
      <c r="B136" s="9" t="s">
        <v>165</v>
      </c>
      <c r="C136" s="31">
        <v>1.3261545474065373</v>
      </c>
      <c r="D136" s="32">
        <v>1.3392716248278242</v>
      </c>
    </row>
    <row r="137" spans="1:4">
      <c r="A137" s="12">
        <v>30802</v>
      </c>
      <c r="B137" s="9" t="s">
        <v>166</v>
      </c>
      <c r="C137" s="31">
        <v>1.1698389783694407</v>
      </c>
      <c r="D137" s="32">
        <v>1.8522481982367642</v>
      </c>
    </row>
    <row r="138" spans="1:4">
      <c r="A138" s="12">
        <v>30803</v>
      </c>
      <c r="B138" s="9" t="s">
        <v>167</v>
      </c>
      <c r="C138" s="31">
        <v>0.82826165925695239</v>
      </c>
      <c r="D138" s="32">
        <v>0.9808999107821198</v>
      </c>
    </row>
    <row r="139" spans="1:4">
      <c r="A139" s="12">
        <v>30901</v>
      </c>
      <c r="B139" s="9" t="s">
        <v>168</v>
      </c>
      <c r="C139" s="31">
        <v>1.1141404422247441</v>
      </c>
      <c r="D139" s="32">
        <v>1.3487855529581199</v>
      </c>
    </row>
    <row r="140" spans="1:4">
      <c r="A140" s="12">
        <v>30902</v>
      </c>
      <c r="B140" s="9" t="s">
        <v>169</v>
      </c>
      <c r="C140" s="31">
        <v>1.0144162567363637</v>
      </c>
      <c r="D140" s="32">
        <v>1.326564444938209</v>
      </c>
    </row>
    <row r="141" spans="1:4">
      <c r="A141" s="12">
        <v>30903</v>
      </c>
      <c r="B141" s="9" t="s">
        <v>170</v>
      </c>
      <c r="C141" s="31">
        <v>1.1208107902691808</v>
      </c>
      <c r="D141" s="32">
        <v>1.3055497844999251</v>
      </c>
    </row>
    <row r="142" spans="1:4">
      <c r="A142" s="12">
        <v>30904</v>
      </c>
      <c r="B142" s="9" t="s">
        <v>171</v>
      </c>
      <c r="C142" s="31">
        <v>1.196090230019911</v>
      </c>
      <c r="D142" s="32">
        <v>1.4586271751586706</v>
      </c>
    </row>
    <row r="143" spans="1:4">
      <c r="A143" s="12">
        <v>30905</v>
      </c>
      <c r="B143" s="9" t="s">
        <v>172</v>
      </c>
      <c r="C143" s="31">
        <v>1.2260367816458899</v>
      </c>
      <c r="D143" s="32">
        <v>1.3717466958456335</v>
      </c>
    </row>
    <row r="144" spans="1:4">
      <c r="A144" s="12">
        <v>31001</v>
      </c>
      <c r="B144" s="9" t="s">
        <v>173</v>
      </c>
      <c r="C144" s="31">
        <v>1.166426286794628</v>
      </c>
      <c r="D144" s="32">
        <v>1.3593454789440735</v>
      </c>
    </row>
    <row r="145" spans="1:4">
      <c r="A145" s="12">
        <v>31002</v>
      </c>
      <c r="B145" s="9" t="s">
        <v>174</v>
      </c>
      <c r="C145" s="31">
        <v>0.96394400969475746</v>
      </c>
      <c r="D145" s="32">
        <v>0.86436389960539051</v>
      </c>
    </row>
    <row r="146" spans="1:4">
      <c r="A146" s="12">
        <v>31003</v>
      </c>
      <c r="B146" s="9" t="s">
        <v>175</v>
      </c>
      <c r="C146" s="31">
        <v>0.90091473545910805</v>
      </c>
      <c r="D146" s="32">
        <v>0.86769551657383992</v>
      </c>
    </row>
    <row r="147" spans="1:4">
      <c r="A147" s="12">
        <v>31101</v>
      </c>
      <c r="B147" s="9" t="s">
        <v>176</v>
      </c>
      <c r="C147" s="31">
        <v>1.0671966940355651</v>
      </c>
      <c r="D147" s="32">
        <v>1.2912155007320532</v>
      </c>
    </row>
    <row r="148" spans="1:4">
      <c r="A148" s="12">
        <v>31201</v>
      </c>
      <c r="B148" s="9" t="s">
        <v>177</v>
      </c>
      <c r="C148" s="31">
        <v>0.91780947477562791</v>
      </c>
      <c r="D148" s="32">
        <v>1.0695384833256192</v>
      </c>
    </row>
    <row r="149" spans="1:4">
      <c r="A149" s="12">
        <v>31202</v>
      </c>
      <c r="B149" s="9" t="s">
        <v>178</v>
      </c>
      <c r="C149" s="31">
        <v>0.82720360522123804</v>
      </c>
      <c r="D149" s="32">
        <v>0.82534422302029564</v>
      </c>
    </row>
    <row r="150" spans="1:4">
      <c r="A150" s="12">
        <v>31203</v>
      </c>
      <c r="B150" s="9" t="s">
        <v>179</v>
      </c>
      <c r="C150" s="31">
        <v>1.0169787655991231</v>
      </c>
      <c r="D150" s="32">
        <v>1.3724295745551816</v>
      </c>
    </row>
    <row r="151" spans="1:4">
      <c r="A151" s="12">
        <v>31204</v>
      </c>
      <c r="B151" s="9" t="s">
        <v>180</v>
      </c>
      <c r="C151" s="31">
        <v>0.82012447417625223</v>
      </c>
      <c r="D151" s="32">
        <v>0.91019926098636483</v>
      </c>
    </row>
    <row r="152" spans="1:4">
      <c r="A152" s="12">
        <v>31205</v>
      </c>
      <c r="B152" s="9" t="s">
        <v>181</v>
      </c>
      <c r="C152" s="31">
        <v>0.92624125368370414</v>
      </c>
      <c r="D152" s="32">
        <v>0.89174568621040851</v>
      </c>
    </row>
    <row r="153" spans="1:4">
      <c r="A153" s="12">
        <v>31206</v>
      </c>
      <c r="B153" s="9" t="s">
        <v>182</v>
      </c>
      <c r="C153" s="31">
        <v>0.93288225674453107</v>
      </c>
      <c r="D153" s="32">
        <v>0.82135225571656711</v>
      </c>
    </row>
    <row r="154" spans="1:4">
      <c r="A154" s="12">
        <v>31301</v>
      </c>
      <c r="B154" s="9" t="s">
        <v>183</v>
      </c>
      <c r="C154" s="31">
        <v>1.0311231440141835</v>
      </c>
      <c r="D154" s="32">
        <v>1.157021631620484</v>
      </c>
    </row>
    <row r="155" spans="1:4">
      <c r="A155" s="12">
        <v>31302</v>
      </c>
      <c r="B155" s="9" t="s">
        <v>184</v>
      </c>
      <c r="C155" s="31">
        <v>0.99171385127317613</v>
      </c>
      <c r="D155" s="32">
        <v>1.1399109024897625</v>
      </c>
    </row>
    <row r="156" spans="1:4">
      <c r="A156" s="12">
        <v>31303</v>
      </c>
      <c r="B156" s="9" t="s">
        <v>185</v>
      </c>
      <c r="C156" s="31">
        <v>1.0029006503347915</v>
      </c>
      <c r="D156" s="32">
        <v>1.0195733774349278</v>
      </c>
    </row>
    <row r="157" spans="1:4">
      <c r="A157" s="12">
        <v>31304</v>
      </c>
      <c r="B157" s="9" t="s">
        <v>186</v>
      </c>
      <c r="C157" s="31">
        <v>1.0126739085587539</v>
      </c>
      <c r="D157" s="32">
        <v>0.97022428535188265</v>
      </c>
    </row>
    <row r="158" spans="1:4">
      <c r="A158" s="12">
        <v>31401</v>
      </c>
      <c r="B158" s="9" t="s">
        <v>187</v>
      </c>
      <c r="C158" s="31">
        <v>1.3690461912749876</v>
      </c>
      <c r="D158" s="32">
        <v>1.7052505570695253</v>
      </c>
    </row>
    <row r="159" spans="1:4">
      <c r="A159" s="12">
        <v>31402</v>
      </c>
      <c r="B159" s="9" t="s">
        <v>188</v>
      </c>
      <c r="C159" s="31">
        <v>1.3572156598030529</v>
      </c>
      <c r="D159" s="32">
        <v>1.4682370864986278</v>
      </c>
    </row>
    <row r="160" spans="1:4">
      <c r="A160" s="12">
        <v>31403</v>
      </c>
      <c r="B160" s="9" t="s">
        <v>189</v>
      </c>
      <c r="C160" s="31">
        <v>1.1978022658351437</v>
      </c>
      <c r="D160" s="32">
        <v>1.3523337101363133</v>
      </c>
    </row>
    <row r="161" spans="1:4">
      <c r="A161" s="12">
        <v>31404</v>
      </c>
      <c r="B161" s="9" t="s">
        <v>190</v>
      </c>
      <c r="C161" s="31">
        <v>1.2620111788417898</v>
      </c>
      <c r="D161" s="32">
        <v>1.9507558859658449</v>
      </c>
    </row>
    <row r="162" spans="1:4">
      <c r="A162" s="12">
        <v>31405</v>
      </c>
      <c r="B162" s="9" t="s">
        <v>191</v>
      </c>
      <c r="C162" s="31">
        <v>1.0679524436726064</v>
      </c>
      <c r="D162" s="32">
        <v>1.3533082785878969</v>
      </c>
    </row>
    <row r="163" spans="1:4">
      <c r="A163" s="12">
        <v>31501</v>
      </c>
      <c r="B163" s="9" t="s">
        <v>192</v>
      </c>
      <c r="C163" s="31">
        <v>1.0925059934913972</v>
      </c>
      <c r="D163" s="32">
        <v>1.36690967984002</v>
      </c>
    </row>
    <row r="164" spans="1:4">
      <c r="A164" s="12">
        <v>31601</v>
      </c>
      <c r="B164" s="9" t="s">
        <v>193</v>
      </c>
      <c r="C164" s="31">
        <v>1.069584059287944</v>
      </c>
      <c r="D164" s="32">
        <v>1.2617274919148307</v>
      </c>
    </row>
    <row r="165" spans="1:4">
      <c r="A165" s="12">
        <v>31602</v>
      </c>
      <c r="B165" s="9" t="s">
        <v>194</v>
      </c>
      <c r="C165" s="31">
        <v>0.95950663270236802</v>
      </c>
      <c r="D165" s="32">
        <v>0.85617800988386705</v>
      </c>
    </row>
    <row r="166" spans="1:4">
      <c r="A166" s="12">
        <v>40101</v>
      </c>
      <c r="B166" s="9" t="s">
        <v>26</v>
      </c>
      <c r="C166" s="31">
        <v>1.5457862828427416</v>
      </c>
      <c r="D166" s="32">
        <v>1.9119218942441127</v>
      </c>
    </row>
    <row r="167" spans="1:4">
      <c r="A167" s="12">
        <v>40102</v>
      </c>
      <c r="B167" s="9" t="s">
        <v>195</v>
      </c>
      <c r="C167" s="31">
        <v>0.91964992149643343</v>
      </c>
      <c r="D167" s="32">
        <v>1.0813362417572452</v>
      </c>
    </row>
    <row r="168" spans="1:4">
      <c r="A168" s="12">
        <v>40103</v>
      </c>
      <c r="B168" s="9" t="s">
        <v>196</v>
      </c>
      <c r="C168" s="31">
        <v>1.0780012980668272</v>
      </c>
      <c r="D168" s="32">
        <v>1.0759309880753058</v>
      </c>
    </row>
    <row r="169" spans="1:4">
      <c r="A169" s="12">
        <v>40104</v>
      </c>
      <c r="B169" s="9" t="s">
        <v>197</v>
      </c>
      <c r="C169" s="31">
        <v>1.2361545849950737</v>
      </c>
      <c r="D169" s="32">
        <v>1.4878277428149362</v>
      </c>
    </row>
    <row r="170" spans="1:4">
      <c r="A170" s="12">
        <v>40201</v>
      </c>
      <c r="B170" s="9" t="s">
        <v>198</v>
      </c>
      <c r="C170" s="31">
        <v>0.81999950012108735</v>
      </c>
      <c r="D170" s="32">
        <v>0.79219748290291603</v>
      </c>
    </row>
    <row r="171" spans="1:4">
      <c r="A171" s="12">
        <v>40202</v>
      </c>
      <c r="B171" s="9" t="s">
        <v>199</v>
      </c>
      <c r="C171" s="31">
        <v>0.90201894979305397</v>
      </c>
      <c r="D171" s="32">
        <v>0.79225076499069924</v>
      </c>
    </row>
    <row r="172" spans="1:4">
      <c r="A172" s="12">
        <v>40301</v>
      </c>
      <c r="B172" s="9" t="s">
        <v>200</v>
      </c>
      <c r="C172" s="31">
        <v>1.0002610603882673</v>
      </c>
      <c r="D172" s="32">
        <v>1.0879271406451192</v>
      </c>
    </row>
    <row r="173" spans="1:4">
      <c r="A173" s="12">
        <v>40302</v>
      </c>
      <c r="B173" s="9" t="s">
        <v>201</v>
      </c>
      <c r="C173" s="31">
        <v>1.0029686116261114</v>
      </c>
      <c r="D173" s="32">
        <v>0.99231055199726304</v>
      </c>
    </row>
    <row r="174" spans="1:4">
      <c r="A174" s="12">
        <v>40401</v>
      </c>
      <c r="B174" s="9" t="s">
        <v>202</v>
      </c>
      <c r="C174" s="31">
        <v>1.1193860047103079</v>
      </c>
      <c r="D174" s="32">
        <v>0.77709796446656521</v>
      </c>
    </row>
    <row r="175" spans="1:4">
      <c r="A175" s="12">
        <v>40402</v>
      </c>
      <c r="B175" s="9" t="s">
        <v>203</v>
      </c>
      <c r="C175" s="31">
        <v>1.0074856189014014</v>
      </c>
      <c r="D175" s="32">
        <v>0.85335399639888943</v>
      </c>
    </row>
    <row r="176" spans="1:4">
      <c r="A176" s="12">
        <v>40501</v>
      </c>
      <c r="B176" s="9" t="s">
        <v>204</v>
      </c>
      <c r="C176" s="31">
        <v>2.2413143161151692</v>
      </c>
      <c r="D176" s="32">
        <v>1.363210365697608</v>
      </c>
    </row>
    <row r="177" spans="1:4">
      <c r="A177" s="12">
        <v>40502</v>
      </c>
      <c r="B177" s="9" t="s">
        <v>205</v>
      </c>
      <c r="C177" s="31">
        <v>0.98425829499633344</v>
      </c>
      <c r="D177" s="32">
        <v>0.96198858790632136</v>
      </c>
    </row>
    <row r="178" spans="1:4">
      <c r="A178" s="12">
        <v>40503</v>
      </c>
      <c r="B178" s="9" t="s">
        <v>206</v>
      </c>
      <c r="C178" s="31">
        <v>0.98361544650988586</v>
      </c>
      <c r="D178" s="32">
        <v>0.9141210514853696</v>
      </c>
    </row>
    <row r="179" spans="1:4">
      <c r="A179" s="12">
        <v>40504</v>
      </c>
      <c r="B179" s="9" t="s">
        <v>207</v>
      </c>
      <c r="C179" s="31">
        <v>0.82124326613920728</v>
      </c>
      <c r="D179" s="32">
        <v>6.8249997965991551E-9</v>
      </c>
    </row>
    <row r="180" spans="1:4">
      <c r="A180" s="12">
        <v>40505</v>
      </c>
      <c r="B180" s="9" t="s">
        <v>208</v>
      </c>
      <c r="C180" s="31">
        <v>1.2864230373067438</v>
      </c>
      <c r="D180" s="32">
        <v>1.1745529447875518</v>
      </c>
    </row>
    <row r="181" spans="1:4">
      <c r="A181" s="12">
        <v>40601</v>
      </c>
      <c r="B181" s="9" t="s">
        <v>209</v>
      </c>
      <c r="C181" s="31">
        <v>1.4793030286377864</v>
      </c>
      <c r="D181" s="32">
        <v>1.8753811834006173</v>
      </c>
    </row>
    <row r="182" spans="1:4">
      <c r="A182" s="12">
        <v>40602</v>
      </c>
      <c r="B182" s="9" t="s">
        <v>210</v>
      </c>
      <c r="C182" s="31">
        <v>1.2668575947408027</v>
      </c>
      <c r="D182" s="32">
        <v>1.2905829144719974</v>
      </c>
    </row>
    <row r="183" spans="1:4">
      <c r="A183" s="12">
        <v>40603</v>
      </c>
      <c r="B183" s="9" t="s">
        <v>211</v>
      </c>
      <c r="C183" s="31">
        <v>1.2211508648080704</v>
      </c>
      <c r="D183" s="32">
        <v>1.258228442936006</v>
      </c>
    </row>
    <row r="184" spans="1:4">
      <c r="A184" s="12">
        <v>40701</v>
      </c>
      <c r="B184" s="9" t="s">
        <v>212</v>
      </c>
      <c r="C184" s="31">
        <v>1.8317739493198801</v>
      </c>
      <c r="D184" s="32">
        <v>1.3699583128654131</v>
      </c>
    </row>
    <row r="185" spans="1:4">
      <c r="A185" s="12">
        <v>40702</v>
      </c>
      <c r="B185" s="9" t="s">
        <v>213</v>
      </c>
      <c r="C185" s="31">
        <v>1.2052282271814059</v>
      </c>
      <c r="D185" s="32">
        <v>1.4474865783294149</v>
      </c>
    </row>
    <row r="186" spans="1:4">
      <c r="A186" s="12">
        <v>40801</v>
      </c>
      <c r="B186" s="9" t="s">
        <v>214</v>
      </c>
      <c r="C186" s="31">
        <v>1.0340598974323629</v>
      </c>
      <c r="D186" s="32">
        <v>0.8599917587490743</v>
      </c>
    </row>
    <row r="187" spans="1:4">
      <c r="A187" s="12">
        <v>40802</v>
      </c>
      <c r="B187" s="9" t="s">
        <v>215</v>
      </c>
      <c r="C187" s="31">
        <v>1.0387187289362687</v>
      </c>
      <c r="D187" s="32">
        <v>0.88579879655181504</v>
      </c>
    </row>
    <row r="188" spans="1:4">
      <c r="A188" s="12">
        <v>40901</v>
      </c>
      <c r="B188" s="9" t="s">
        <v>216</v>
      </c>
      <c r="C188" s="31">
        <v>0.97684278334568198</v>
      </c>
      <c r="D188" s="32">
        <v>0.8747242887258877</v>
      </c>
    </row>
    <row r="189" spans="1:4">
      <c r="A189" s="12">
        <v>40902</v>
      </c>
      <c r="B189" s="9" t="s">
        <v>217</v>
      </c>
      <c r="C189" s="31">
        <v>0.97998903910952206</v>
      </c>
      <c r="D189" s="32">
        <v>0.24804086773866801</v>
      </c>
    </row>
    <row r="190" spans="1:4">
      <c r="A190" s="12">
        <v>40903</v>
      </c>
      <c r="B190" s="9" t="s">
        <v>218</v>
      </c>
      <c r="C190" s="31">
        <v>0.95687709640776575</v>
      </c>
      <c r="D190" s="32">
        <v>1.0975047361432886</v>
      </c>
    </row>
    <row r="191" spans="1:4">
      <c r="A191" s="12">
        <v>41001</v>
      </c>
      <c r="B191" s="9" t="s">
        <v>219</v>
      </c>
      <c r="C191" s="31">
        <v>1.1015652267340865</v>
      </c>
      <c r="D191" s="32">
        <v>1.1321686540148577</v>
      </c>
    </row>
    <row r="192" spans="1:4">
      <c r="A192" s="12">
        <v>41101</v>
      </c>
      <c r="B192" s="9" t="s">
        <v>220</v>
      </c>
      <c r="C192" s="31">
        <v>0.87289186998166268</v>
      </c>
      <c r="D192" s="32">
        <v>1.2592184973704232</v>
      </c>
    </row>
    <row r="193" spans="1:4">
      <c r="A193" s="12">
        <v>41201</v>
      </c>
      <c r="B193" s="9" t="s">
        <v>221</v>
      </c>
      <c r="C193" s="31">
        <v>1.0176640242138399</v>
      </c>
      <c r="D193" s="32">
        <v>0.8293028360933633</v>
      </c>
    </row>
    <row r="194" spans="1:4">
      <c r="A194" s="12">
        <v>41202</v>
      </c>
      <c r="B194" s="9" t="s">
        <v>222</v>
      </c>
      <c r="C194" s="31">
        <v>0.96176830862243801</v>
      </c>
      <c r="D194" s="32">
        <v>1.2128425934324683</v>
      </c>
    </row>
    <row r="195" spans="1:4">
      <c r="A195" s="12">
        <v>41301</v>
      </c>
      <c r="B195" s="9" t="s">
        <v>223</v>
      </c>
      <c r="C195" s="31">
        <v>1.0434483518153781</v>
      </c>
      <c r="D195" s="32">
        <v>1.0056220443699988</v>
      </c>
    </row>
    <row r="196" spans="1:4">
      <c r="A196" s="12">
        <v>41401</v>
      </c>
      <c r="B196" s="9" t="s">
        <v>224</v>
      </c>
      <c r="C196" s="31">
        <v>0.8823589396424848</v>
      </c>
      <c r="D196" s="32">
        <v>0.93076202127838803</v>
      </c>
    </row>
    <row r="197" spans="1:4">
      <c r="A197" s="12">
        <v>41501</v>
      </c>
      <c r="B197" s="9" t="s">
        <v>225</v>
      </c>
      <c r="C197" s="31">
        <v>0.571606694437095</v>
      </c>
      <c r="D197" s="32">
        <v>1.5527293180024726</v>
      </c>
    </row>
    <row r="198" spans="1:4">
      <c r="A198" s="12">
        <v>41502</v>
      </c>
      <c r="B198" s="9" t="s">
        <v>226</v>
      </c>
      <c r="C198" s="31">
        <v>0.73417270046831096</v>
      </c>
      <c r="D198" s="32">
        <v>1.0552084875449925</v>
      </c>
    </row>
    <row r="199" spans="1:4">
      <c r="A199" s="12">
        <v>41503</v>
      </c>
      <c r="B199" s="9" t="s">
        <v>227</v>
      </c>
      <c r="C199" s="31">
        <v>1.2428870004279347</v>
      </c>
      <c r="D199" s="32">
        <v>0.61184513051021283</v>
      </c>
    </row>
    <row r="200" spans="1:4">
      <c r="A200" s="12">
        <v>41601</v>
      </c>
      <c r="B200" s="9" t="s">
        <v>228</v>
      </c>
      <c r="C200" s="31">
        <v>0.98816310902965188</v>
      </c>
      <c r="D200" s="32">
        <v>0.85967832308114667</v>
      </c>
    </row>
    <row r="201" spans="1:4">
      <c r="A201" s="12">
        <v>50101</v>
      </c>
      <c r="B201" s="9" t="s">
        <v>28</v>
      </c>
      <c r="C201" s="31">
        <v>1.2782011003247711</v>
      </c>
      <c r="D201" s="32">
        <v>1.4348803061624182</v>
      </c>
    </row>
    <row r="202" spans="1:4">
      <c r="A202" s="12">
        <v>50102</v>
      </c>
      <c r="B202" s="9" t="s">
        <v>229</v>
      </c>
      <c r="C202" s="31">
        <v>0.97162677618573234</v>
      </c>
      <c r="D202" s="32">
        <v>1.1701218301114948</v>
      </c>
    </row>
    <row r="203" spans="1:4">
      <c r="A203" s="12">
        <v>50103</v>
      </c>
      <c r="B203" s="9" t="s">
        <v>230</v>
      </c>
      <c r="C203" s="31">
        <v>1.177574904972321</v>
      </c>
      <c r="D203" s="32">
        <v>1.6815473052585554</v>
      </c>
    </row>
    <row r="204" spans="1:4">
      <c r="A204" s="12">
        <v>50104</v>
      </c>
      <c r="B204" s="9" t="s">
        <v>231</v>
      </c>
      <c r="C204" s="31">
        <v>1.1225907501378827</v>
      </c>
      <c r="D204" s="32">
        <v>1.0715573054221814</v>
      </c>
    </row>
    <row r="205" spans="1:4">
      <c r="A205" s="12">
        <v>50201</v>
      </c>
      <c r="B205" s="9" t="s">
        <v>232</v>
      </c>
      <c r="C205" s="31">
        <v>1.0119219228478311</v>
      </c>
      <c r="D205" s="32">
        <v>0.82480226212293817</v>
      </c>
    </row>
    <row r="206" spans="1:4">
      <c r="A206" s="12">
        <v>50202</v>
      </c>
      <c r="B206" s="9" t="s">
        <v>233</v>
      </c>
      <c r="C206" s="31">
        <v>0.92422485013341305</v>
      </c>
      <c r="D206" s="32">
        <v>1.2078487534408999</v>
      </c>
    </row>
    <row r="207" spans="1:4">
      <c r="A207" s="12">
        <v>50203</v>
      </c>
      <c r="B207" s="9" t="s">
        <v>234</v>
      </c>
      <c r="C207" s="31">
        <v>1.1133003327456972</v>
      </c>
      <c r="D207" s="32">
        <v>0.98435471430027099</v>
      </c>
    </row>
    <row r="208" spans="1:4">
      <c r="A208" s="12">
        <v>50204</v>
      </c>
      <c r="B208" s="9" t="s">
        <v>235</v>
      </c>
      <c r="C208" s="31">
        <v>0.9899874244475102</v>
      </c>
      <c r="D208" s="32">
        <v>1.3166222193334074</v>
      </c>
    </row>
    <row r="209" spans="1:4">
      <c r="A209" s="12">
        <v>50301</v>
      </c>
      <c r="B209" s="9" t="s">
        <v>236</v>
      </c>
      <c r="C209" s="31">
        <v>0.94845430275747067</v>
      </c>
      <c r="D209" s="32">
        <v>1.1815084945457288</v>
      </c>
    </row>
    <row r="210" spans="1:4">
      <c r="A210" s="12">
        <v>50302</v>
      </c>
      <c r="B210" s="9" t="s">
        <v>237</v>
      </c>
      <c r="C210" s="31">
        <v>1.1748488310238481</v>
      </c>
      <c r="D210" s="32">
        <v>1.2925984490406508</v>
      </c>
    </row>
    <row r="211" spans="1:4">
      <c r="A211" s="12">
        <v>50303</v>
      </c>
      <c r="B211" s="9" t="s">
        <v>238</v>
      </c>
      <c r="C211" s="31">
        <v>1.0032843189654204</v>
      </c>
      <c r="D211" s="32">
        <v>1.1395836015482983</v>
      </c>
    </row>
    <row r="212" spans="1:4">
      <c r="A212" s="12">
        <v>50401</v>
      </c>
      <c r="B212" s="9" t="s">
        <v>239</v>
      </c>
      <c r="C212" s="31">
        <v>1.1161582478526084</v>
      </c>
      <c r="D212" s="32">
        <v>1.3941407013553302</v>
      </c>
    </row>
    <row r="213" spans="1:4">
      <c r="A213" s="12">
        <v>50402</v>
      </c>
      <c r="B213" s="9" t="s">
        <v>240</v>
      </c>
      <c r="C213" s="31">
        <v>0.9761687626612261</v>
      </c>
      <c r="D213" s="32">
        <v>1.1141799923000177</v>
      </c>
    </row>
    <row r="214" spans="1:4">
      <c r="A214" s="12">
        <v>50403</v>
      </c>
      <c r="B214" s="9" t="s">
        <v>241</v>
      </c>
      <c r="C214" s="31">
        <v>0.96866947921812963</v>
      </c>
      <c r="D214" s="32">
        <v>1.2142061266636226</v>
      </c>
    </row>
    <row r="215" spans="1:4">
      <c r="A215" s="12">
        <v>50404</v>
      </c>
      <c r="B215" s="9" t="s">
        <v>242</v>
      </c>
      <c r="C215" s="31">
        <v>0.97596765573804578</v>
      </c>
      <c r="D215" s="32">
        <v>1.1489666472124105</v>
      </c>
    </row>
    <row r="216" spans="1:4">
      <c r="A216" s="12">
        <v>50405</v>
      </c>
      <c r="B216" s="9" t="s">
        <v>243</v>
      </c>
      <c r="C216" s="31">
        <v>1.0162166717233805</v>
      </c>
      <c r="D216" s="32">
        <v>1.1858130560077613</v>
      </c>
    </row>
    <row r="217" spans="1:4">
      <c r="A217" s="12">
        <v>50501</v>
      </c>
      <c r="B217" s="9" t="s">
        <v>244</v>
      </c>
      <c r="C217" s="31">
        <v>0.95695678484556723</v>
      </c>
      <c r="D217" s="32">
        <v>1.0836091781400667</v>
      </c>
    </row>
    <row r="218" spans="1:4">
      <c r="A218" s="12">
        <v>50502</v>
      </c>
      <c r="B218" s="9" t="s">
        <v>245</v>
      </c>
      <c r="C218" s="31">
        <v>0.93636016152791679</v>
      </c>
      <c r="D218" s="32">
        <v>1.0376166449581825</v>
      </c>
    </row>
    <row r="219" spans="1:4">
      <c r="A219" s="12">
        <v>50601</v>
      </c>
      <c r="B219" s="9" t="s">
        <v>246</v>
      </c>
      <c r="C219" s="31">
        <v>1.143867216434294</v>
      </c>
      <c r="D219" s="32">
        <v>1.3991934493189921</v>
      </c>
    </row>
    <row r="220" spans="1:4">
      <c r="A220" s="12">
        <v>50602</v>
      </c>
      <c r="B220" s="9" t="s">
        <v>247</v>
      </c>
      <c r="C220" s="31">
        <v>1.2308860428365558</v>
      </c>
      <c r="D220" s="32">
        <v>1.5923691182372435</v>
      </c>
    </row>
    <row r="221" spans="1:4">
      <c r="A221" s="12">
        <v>50701</v>
      </c>
      <c r="B221" s="9" t="s">
        <v>248</v>
      </c>
      <c r="C221" s="31">
        <v>0.99231776094730417</v>
      </c>
      <c r="D221" s="32">
        <v>1.3553468413595651</v>
      </c>
    </row>
    <row r="222" spans="1:4">
      <c r="A222" s="12">
        <v>50702</v>
      </c>
      <c r="B222" s="9" t="s">
        <v>249</v>
      </c>
      <c r="C222" s="31">
        <v>1.0343705223148192</v>
      </c>
      <c r="D222" s="32">
        <v>1.2770110573144271</v>
      </c>
    </row>
    <row r="223" spans="1:4">
      <c r="A223" s="12">
        <v>50801</v>
      </c>
      <c r="B223" s="9" t="s">
        <v>250</v>
      </c>
      <c r="C223" s="31">
        <v>0.95122985109436453</v>
      </c>
      <c r="D223" s="32">
        <v>1.3799881584213314</v>
      </c>
    </row>
    <row r="224" spans="1:4">
      <c r="A224" s="12">
        <v>50802</v>
      </c>
      <c r="B224" s="9" t="s">
        <v>251</v>
      </c>
      <c r="C224" s="31">
        <v>1.5053347282495888</v>
      </c>
      <c r="D224" s="32">
        <v>1.7663767474661267</v>
      </c>
    </row>
    <row r="225" spans="1:4">
      <c r="A225" s="12">
        <v>50901</v>
      </c>
      <c r="B225" s="9" t="s">
        <v>252</v>
      </c>
      <c r="C225" s="31">
        <v>0.88541606704322939</v>
      </c>
      <c r="D225" s="32">
        <v>0.74939288708865326</v>
      </c>
    </row>
    <row r="226" spans="1:4">
      <c r="A226" s="12">
        <v>50902</v>
      </c>
      <c r="B226" s="9" t="s">
        <v>253</v>
      </c>
      <c r="C226" s="31">
        <v>1.0072110267732919</v>
      </c>
      <c r="D226" s="32">
        <v>0.77319750169737733</v>
      </c>
    </row>
    <row r="227" spans="1:4">
      <c r="A227" s="12">
        <v>51001</v>
      </c>
      <c r="B227" s="9" t="s">
        <v>254</v>
      </c>
      <c r="C227" s="31">
        <v>0.99226760792664082</v>
      </c>
      <c r="D227" s="32">
        <v>0.75505050591318301</v>
      </c>
    </row>
    <row r="228" spans="1:4">
      <c r="A228" s="12">
        <v>51002</v>
      </c>
      <c r="B228" s="9" t="s">
        <v>255</v>
      </c>
      <c r="C228" s="31">
        <v>1.1730358510475987</v>
      </c>
      <c r="D228" s="32">
        <v>0.96174345843487496</v>
      </c>
    </row>
    <row r="229" spans="1:4">
      <c r="A229" s="12">
        <v>51003</v>
      </c>
      <c r="B229" s="9" t="s">
        <v>256</v>
      </c>
      <c r="C229" s="31">
        <v>1.3629656436557132</v>
      </c>
      <c r="D229" s="32">
        <v>0.81107538879278873</v>
      </c>
    </row>
    <row r="230" spans="1:4">
      <c r="A230" s="12">
        <v>51101</v>
      </c>
      <c r="B230" s="9" t="s">
        <v>257</v>
      </c>
      <c r="C230" s="31">
        <v>1.1650803533196261</v>
      </c>
      <c r="D230" s="32">
        <v>1.5128087455851627</v>
      </c>
    </row>
    <row r="231" spans="1:4">
      <c r="A231" s="12">
        <v>51102</v>
      </c>
      <c r="B231" s="9" t="s">
        <v>258</v>
      </c>
      <c r="C231" s="31">
        <v>1.0839335447242824</v>
      </c>
      <c r="D231" s="32">
        <v>1.3624187004728638</v>
      </c>
    </row>
    <row r="232" spans="1:4">
      <c r="A232" s="12">
        <v>51103</v>
      </c>
      <c r="B232" s="9" t="s">
        <v>259</v>
      </c>
      <c r="C232" s="31">
        <v>0.9227066600054521</v>
      </c>
      <c r="D232" s="32">
        <v>1.0510966477945991</v>
      </c>
    </row>
    <row r="233" spans="1:4">
      <c r="A233" s="12">
        <v>51201</v>
      </c>
      <c r="B233" s="9" t="s">
        <v>260</v>
      </c>
      <c r="C233" s="31">
        <v>0.74814604814057883</v>
      </c>
      <c r="D233" s="32">
        <v>0.84415634111072801</v>
      </c>
    </row>
    <row r="234" spans="1:4">
      <c r="A234" s="12">
        <v>51202</v>
      </c>
      <c r="B234" s="9" t="s">
        <v>261</v>
      </c>
      <c r="C234" s="31">
        <v>0.97368806800271968</v>
      </c>
      <c r="D234" s="32">
        <v>1.047472985599603</v>
      </c>
    </row>
    <row r="235" spans="1:4">
      <c r="A235" s="12">
        <v>51203</v>
      </c>
      <c r="B235" s="9" t="s">
        <v>262</v>
      </c>
      <c r="C235" s="31">
        <v>1.5066774977857793</v>
      </c>
      <c r="D235" s="32">
        <v>2.1139047012930234</v>
      </c>
    </row>
    <row r="236" spans="1:4">
      <c r="A236" s="12">
        <v>51204</v>
      </c>
      <c r="B236" s="9" t="s">
        <v>263</v>
      </c>
      <c r="C236" s="31">
        <v>1.022533111366366</v>
      </c>
      <c r="D236" s="32">
        <v>1.1754628797254851</v>
      </c>
    </row>
    <row r="237" spans="1:4">
      <c r="A237" s="12">
        <v>51301</v>
      </c>
      <c r="B237" s="9" t="s">
        <v>264</v>
      </c>
      <c r="C237" s="31">
        <v>0.96852190646218839</v>
      </c>
      <c r="D237" s="32">
        <v>1.2827540453166058</v>
      </c>
    </row>
    <row r="238" spans="1:4">
      <c r="A238" s="12">
        <v>51302</v>
      </c>
      <c r="B238" s="9" t="s">
        <v>265</v>
      </c>
      <c r="C238" s="31">
        <v>0.95046918220544907</v>
      </c>
      <c r="D238" s="32">
        <v>1.3073472697255304</v>
      </c>
    </row>
    <row r="239" spans="1:4">
      <c r="A239" s="12">
        <v>51401</v>
      </c>
      <c r="B239" s="9" t="s">
        <v>266</v>
      </c>
      <c r="C239" s="31">
        <v>0.80903782653116763</v>
      </c>
      <c r="D239" s="32">
        <v>1.1604669985962481</v>
      </c>
    </row>
    <row r="240" spans="1:4">
      <c r="A240" s="12">
        <v>51402</v>
      </c>
      <c r="B240" s="9" t="s">
        <v>267</v>
      </c>
      <c r="C240" s="31">
        <v>1.1475058573484835</v>
      </c>
      <c r="D240" s="32">
        <v>1.0035538771234958</v>
      </c>
    </row>
    <row r="241" spans="1:4">
      <c r="A241" s="12">
        <v>51501</v>
      </c>
      <c r="B241" s="9" t="s">
        <v>268</v>
      </c>
      <c r="C241" s="31">
        <v>1.0591048985398839</v>
      </c>
      <c r="D241" s="32">
        <v>1.3120656306898959</v>
      </c>
    </row>
    <row r="242" spans="1:4">
      <c r="A242" s="12">
        <v>51601</v>
      </c>
      <c r="B242" s="9" t="s">
        <v>269</v>
      </c>
      <c r="C242" s="31">
        <v>1.0179830119136095</v>
      </c>
      <c r="D242" s="32">
        <v>1.1796409791554434</v>
      </c>
    </row>
    <row r="243" spans="1:4">
      <c r="A243" s="12">
        <v>60101</v>
      </c>
      <c r="B243" s="9" t="s">
        <v>30</v>
      </c>
      <c r="C243" s="31">
        <v>1.1199894190300814</v>
      </c>
      <c r="D243" s="32">
        <v>1.3248183672364959</v>
      </c>
    </row>
    <row r="244" spans="1:4">
      <c r="A244" s="12">
        <v>60201</v>
      </c>
      <c r="B244" s="9" t="s">
        <v>270</v>
      </c>
      <c r="C244" s="31">
        <v>0.91026878822433932</v>
      </c>
      <c r="D244" s="32">
        <v>1.1498317635178568</v>
      </c>
    </row>
    <row r="245" spans="1:4">
      <c r="A245" s="12">
        <v>60202</v>
      </c>
      <c r="B245" s="9" t="s">
        <v>271</v>
      </c>
      <c r="C245" s="31">
        <v>1.0531395315823813</v>
      </c>
      <c r="D245" s="32">
        <v>0.8528555239374952</v>
      </c>
    </row>
    <row r="246" spans="1:4">
      <c r="A246" s="12">
        <v>60301</v>
      </c>
      <c r="B246" s="9" t="s">
        <v>272</v>
      </c>
      <c r="C246" s="31">
        <v>0.84418622640501073</v>
      </c>
      <c r="D246" s="32">
        <v>0.75215594737946323</v>
      </c>
    </row>
    <row r="247" spans="1:4">
      <c r="A247" s="12">
        <v>60302</v>
      </c>
      <c r="B247" s="9" t="s">
        <v>273</v>
      </c>
      <c r="C247" s="31">
        <v>1.0098408761098212</v>
      </c>
      <c r="D247" s="32">
        <v>1.064512310249369</v>
      </c>
    </row>
    <row r="248" spans="1:4">
      <c r="A248" s="12">
        <v>60303</v>
      </c>
      <c r="B248" s="9" t="s">
        <v>274</v>
      </c>
      <c r="C248" s="31">
        <v>0.96850773277163105</v>
      </c>
      <c r="D248" s="32">
        <v>1.0233130956277419</v>
      </c>
    </row>
    <row r="249" spans="1:4">
      <c r="A249" s="12">
        <v>60401</v>
      </c>
      <c r="B249" s="9" t="s">
        <v>275</v>
      </c>
      <c r="C249" s="31">
        <v>1.217045336693636</v>
      </c>
      <c r="D249" s="32">
        <v>1.4975000522830626</v>
      </c>
    </row>
    <row r="250" spans="1:4">
      <c r="A250" s="12">
        <v>60402</v>
      </c>
      <c r="B250" s="9" t="s">
        <v>276</v>
      </c>
      <c r="C250" s="31">
        <v>1.2389893791605511</v>
      </c>
      <c r="D250" s="32">
        <v>0.76898657851732899</v>
      </c>
    </row>
    <row r="251" spans="1:4">
      <c r="A251" s="12">
        <v>60501</v>
      </c>
      <c r="B251" s="9" t="s">
        <v>277</v>
      </c>
      <c r="C251" s="31">
        <v>0.94423043725677047</v>
      </c>
      <c r="D251" s="32">
        <v>0.93423427996313468</v>
      </c>
    </row>
    <row r="252" spans="1:4">
      <c r="A252" s="12">
        <v>60502</v>
      </c>
      <c r="B252" s="9" t="s">
        <v>278</v>
      </c>
      <c r="C252" s="31">
        <v>1.1993653552106689</v>
      </c>
      <c r="D252" s="32">
        <v>1.6232461652571211</v>
      </c>
    </row>
    <row r="253" spans="1:4">
      <c r="A253" s="12">
        <v>60601</v>
      </c>
      <c r="B253" s="9" t="s">
        <v>182</v>
      </c>
      <c r="C253" s="31">
        <v>1.0023427016855189</v>
      </c>
      <c r="D253" s="32">
        <v>0.92809899959256836</v>
      </c>
    </row>
    <row r="254" spans="1:4">
      <c r="A254" s="12">
        <v>70101</v>
      </c>
      <c r="B254" s="9" t="s">
        <v>279</v>
      </c>
      <c r="C254" s="31">
        <v>1.1934337823308501</v>
      </c>
      <c r="D254" s="32">
        <v>1.3555701707048207</v>
      </c>
    </row>
    <row r="255" spans="1:4">
      <c r="A255" s="12">
        <v>70102</v>
      </c>
      <c r="B255" s="9" t="s">
        <v>280</v>
      </c>
      <c r="C255" s="31">
        <v>1.0757097074978315</v>
      </c>
      <c r="D255" s="32">
        <v>1.245732143733292</v>
      </c>
    </row>
    <row r="256" spans="1:4">
      <c r="A256" s="12">
        <v>70103</v>
      </c>
      <c r="B256" s="9" t="s">
        <v>281</v>
      </c>
      <c r="C256" s="31">
        <v>1.1185974721298899</v>
      </c>
      <c r="D256" s="32">
        <v>1.3019172194310258</v>
      </c>
    </row>
    <row r="257" spans="1:4">
      <c r="A257" s="12">
        <v>70104</v>
      </c>
      <c r="B257" s="9" t="s">
        <v>282</v>
      </c>
      <c r="C257" s="31">
        <v>1.1557125239662072</v>
      </c>
      <c r="D257" s="32">
        <v>1.2886872276234382</v>
      </c>
    </row>
    <row r="258" spans="1:4">
      <c r="A258" s="12">
        <v>70105</v>
      </c>
      <c r="B258" s="9" t="s">
        <v>283</v>
      </c>
      <c r="C258" s="31">
        <v>0.9533089724191548</v>
      </c>
      <c r="D258" s="32">
        <v>1.139676076436732</v>
      </c>
    </row>
    <row r="259" spans="1:4">
      <c r="A259" s="12">
        <v>70201</v>
      </c>
      <c r="B259" s="9" t="s">
        <v>284</v>
      </c>
      <c r="C259" s="31">
        <v>1.0568744132634802</v>
      </c>
      <c r="D259" s="32">
        <v>1.2723006109551278</v>
      </c>
    </row>
    <row r="260" spans="1:4">
      <c r="A260" s="12">
        <v>70202</v>
      </c>
      <c r="B260" s="9" t="s">
        <v>285</v>
      </c>
      <c r="C260" s="31">
        <v>1.1234834030953758</v>
      </c>
      <c r="D260" s="32">
        <v>1.7688194806380808</v>
      </c>
    </row>
    <row r="261" spans="1:4">
      <c r="A261" s="12">
        <v>70301</v>
      </c>
      <c r="B261" s="9" t="s">
        <v>286</v>
      </c>
      <c r="C261" s="31">
        <v>0.80939299332352432</v>
      </c>
      <c r="D261" s="32">
        <v>0.72381835848030318</v>
      </c>
    </row>
    <row r="262" spans="1:4">
      <c r="A262" s="12">
        <v>70302</v>
      </c>
      <c r="B262" s="9" t="s">
        <v>287</v>
      </c>
      <c r="C262" s="31">
        <v>0.75227227594628421</v>
      </c>
      <c r="D262" s="32">
        <v>0.83045174734610627</v>
      </c>
    </row>
    <row r="263" spans="1:4">
      <c r="A263" s="12">
        <v>70303</v>
      </c>
      <c r="B263" s="9" t="s">
        <v>288</v>
      </c>
      <c r="C263" s="31">
        <v>0.85331132615854854</v>
      </c>
      <c r="D263" s="32">
        <v>0.84456983008267505</v>
      </c>
    </row>
    <row r="264" spans="1:4">
      <c r="A264" s="12">
        <v>70401</v>
      </c>
      <c r="B264" s="9" t="s">
        <v>289</v>
      </c>
      <c r="C264" s="31">
        <v>0.99560444714275942</v>
      </c>
      <c r="D264" s="32">
        <v>1.0388037333340745</v>
      </c>
    </row>
    <row r="265" spans="1:4">
      <c r="A265" s="12">
        <v>70402</v>
      </c>
      <c r="B265" s="9" t="s">
        <v>290</v>
      </c>
      <c r="C265" s="31">
        <v>0.99118743826895594</v>
      </c>
      <c r="D265" s="32">
        <v>0.95975598310484045</v>
      </c>
    </row>
    <row r="266" spans="1:4">
      <c r="A266" s="12">
        <v>70403</v>
      </c>
      <c r="B266" s="9" t="s">
        <v>291</v>
      </c>
      <c r="C266" s="31">
        <v>0.83762593012957143</v>
      </c>
      <c r="D266" s="32">
        <v>0.68388491005271035</v>
      </c>
    </row>
    <row r="267" spans="1:4">
      <c r="A267" s="12">
        <v>70404</v>
      </c>
      <c r="B267" s="9" t="s">
        <v>292</v>
      </c>
      <c r="C267" s="31">
        <v>1.0052388460596355</v>
      </c>
      <c r="D267" s="32">
        <v>0.84605144199397342</v>
      </c>
    </row>
    <row r="268" spans="1:4">
      <c r="A268" s="12">
        <v>70501</v>
      </c>
      <c r="B268" s="9" t="s">
        <v>293</v>
      </c>
      <c r="C268" s="31">
        <v>0.94478396826506394</v>
      </c>
      <c r="D268" s="32">
        <v>0.5801549862014036</v>
      </c>
    </row>
    <row r="269" spans="1:4">
      <c r="A269" s="12">
        <v>70502</v>
      </c>
      <c r="B269" s="9" t="s">
        <v>294</v>
      </c>
      <c r="C269" s="31">
        <v>0.87849506151135492</v>
      </c>
      <c r="D269" s="32">
        <v>0.82124290445156911</v>
      </c>
    </row>
    <row r="270" spans="1:4">
      <c r="A270" s="12">
        <v>70503</v>
      </c>
      <c r="B270" s="9" t="s">
        <v>295</v>
      </c>
      <c r="C270" s="31">
        <v>0.72664513804320641</v>
      </c>
      <c r="D270" s="32">
        <v>0.71125167035716486</v>
      </c>
    </row>
    <row r="271" spans="1:4">
      <c r="A271" s="12">
        <v>70601</v>
      </c>
      <c r="B271" s="9" t="s">
        <v>296</v>
      </c>
      <c r="C271" s="31">
        <v>0.84905493397913867</v>
      </c>
      <c r="D271" s="32">
        <v>0.865032671669134</v>
      </c>
    </row>
    <row r="272" spans="1:4">
      <c r="A272" s="12">
        <v>70602</v>
      </c>
      <c r="B272" s="9" t="s">
        <v>297</v>
      </c>
      <c r="C272" s="31">
        <v>0.95074128471787733</v>
      </c>
      <c r="D272" s="32">
        <v>0.9587711433997762</v>
      </c>
    </row>
    <row r="273" spans="1:4">
      <c r="A273" s="12">
        <v>70603</v>
      </c>
      <c r="B273" s="9" t="s">
        <v>298</v>
      </c>
      <c r="C273" s="31">
        <v>1.1830454275812166</v>
      </c>
      <c r="D273" s="32">
        <v>1.1883094546457855</v>
      </c>
    </row>
    <row r="274" spans="1:4">
      <c r="A274" s="12">
        <v>70701</v>
      </c>
      <c r="B274" s="9" t="s">
        <v>299</v>
      </c>
      <c r="C274" s="31">
        <v>0.90704701163424362</v>
      </c>
      <c r="D274" s="32">
        <v>1.1488619006291119</v>
      </c>
    </row>
    <row r="275" spans="1:4">
      <c r="A275" s="12">
        <v>70702</v>
      </c>
      <c r="B275" s="9" t="s">
        <v>300</v>
      </c>
      <c r="C275" s="31">
        <v>0.98838841368762742</v>
      </c>
      <c r="D275" s="32">
        <v>0.63331667610298381</v>
      </c>
    </row>
    <row r="276" spans="1:4">
      <c r="A276" s="12">
        <v>70703</v>
      </c>
      <c r="B276" s="9" t="s">
        <v>301</v>
      </c>
      <c r="C276" s="31">
        <v>0.89417927444927314</v>
      </c>
      <c r="D276" s="32">
        <v>0.83807244795540725</v>
      </c>
    </row>
    <row r="277" spans="1:4">
      <c r="A277" s="12">
        <v>70704</v>
      </c>
      <c r="B277" s="9" t="s">
        <v>302</v>
      </c>
      <c r="C277" s="31">
        <v>0.72818601620366674</v>
      </c>
      <c r="D277" s="32">
        <v>0.54966146079830291</v>
      </c>
    </row>
    <row r="278" spans="1:4">
      <c r="A278" s="12">
        <v>70705</v>
      </c>
      <c r="B278" s="9" t="s">
        <v>303</v>
      </c>
      <c r="C278" s="31">
        <v>0.9076834193556651</v>
      </c>
      <c r="D278" s="32">
        <v>1.0581638303402356</v>
      </c>
    </row>
    <row r="279" spans="1:4">
      <c r="A279" s="12">
        <v>70706</v>
      </c>
      <c r="B279" s="9" t="s">
        <v>304</v>
      </c>
      <c r="C279" s="31">
        <v>1.1063046648194079</v>
      </c>
      <c r="D279" s="32">
        <v>1.0450093512566099</v>
      </c>
    </row>
    <row r="280" spans="1:4">
      <c r="A280" s="12">
        <v>70707</v>
      </c>
      <c r="B280" s="9" t="s">
        <v>305</v>
      </c>
      <c r="C280" s="31">
        <v>0.87615334751256868</v>
      </c>
      <c r="D280" s="32">
        <v>0.51588410456573053</v>
      </c>
    </row>
    <row r="281" spans="1:4">
      <c r="A281" s="12">
        <v>70801</v>
      </c>
      <c r="B281" s="9" t="s">
        <v>306</v>
      </c>
      <c r="C281" s="31">
        <v>0.76567040013181009</v>
      </c>
      <c r="D281" s="32">
        <v>0.89248746208627905</v>
      </c>
    </row>
    <row r="282" spans="1:4">
      <c r="A282" s="12">
        <v>70802</v>
      </c>
      <c r="B282" s="9" t="s">
        <v>307</v>
      </c>
      <c r="C282" s="31">
        <v>0.72723953066293567</v>
      </c>
      <c r="D282" s="32">
        <v>0.31284694646414191</v>
      </c>
    </row>
    <row r="283" spans="1:4">
      <c r="A283" s="12">
        <v>70803</v>
      </c>
      <c r="B283" s="9" t="s">
        <v>308</v>
      </c>
      <c r="C283" s="31">
        <v>0.96103290446537815</v>
      </c>
      <c r="D283" s="32">
        <v>0.83242089097351957</v>
      </c>
    </row>
    <row r="284" spans="1:4">
      <c r="A284" s="12">
        <v>70804</v>
      </c>
      <c r="B284" s="9" t="s">
        <v>309</v>
      </c>
      <c r="C284" s="31">
        <v>0.77745647312027588</v>
      </c>
      <c r="D284" s="32">
        <v>0.79941920934175503</v>
      </c>
    </row>
    <row r="285" spans="1:4">
      <c r="A285" s="12">
        <v>70805</v>
      </c>
      <c r="B285" s="9" t="s">
        <v>310</v>
      </c>
      <c r="C285" s="31">
        <v>0.8188112499344391</v>
      </c>
      <c r="D285" s="32">
        <v>1.0738330338404409</v>
      </c>
    </row>
    <row r="286" spans="1:4">
      <c r="A286" s="12">
        <v>70901</v>
      </c>
      <c r="B286" s="9" t="s">
        <v>311</v>
      </c>
      <c r="C286" s="31">
        <v>0.79405997817577967</v>
      </c>
      <c r="D286" s="32">
        <v>0.8393559128823932</v>
      </c>
    </row>
    <row r="287" spans="1:4">
      <c r="A287" s="12">
        <v>70902</v>
      </c>
      <c r="B287" s="9" t="s">
        <v>312</v>
      </c>
      <c r="C287" s="31">
        <v>1.0111734634043377</v>
      </c>
      <c r="D287" s="32">
        <v>0.80713609702476763</v>
      </c>
    </row>
    <row r="288" spans="1:4">
      <c r="A288" s="12">
        <v>70903</v>
      </c>
      <c r="B288" s="9" t="s">
        <v>313</v>
      </c>
      <c r="C288" s="31">
        <v>1.0019649991004107</v>
      </c>
      <c r="D288" s="32">
        <v>0.96659827557534161</v>
      </c>
    </row>
    <row r="289" spans="1:4">
      <c r="A289" s="12">
        <v>70904</v>
      </c>
      <c r="B289" s="9" t="s">
        <v>314</v>
      </c>
      <c r="C289" s="31">
        <v>0.94569170367781563</v>
      </c>
      <c r="D289" s="32">
        <v>0.56893171862263825</v>
      </c>
    </row>
    <row r="290" spans="1:4">
      <c r="A290" s="12">
        <v>71001</v>
      </c>
      <c r="B290" s="9" t="s">
        <v>315</v>
      </c>
      <c r="C290" s="31">
        <v>1.1041519493448009</v>
      </c>
      <c r="D290" s="32">
        <v>1.0857783955162927</v>
      </c>
    </row>
    <row r="291" spans="1:4">
      <c r="A291" s="12">
        <v>71002</v>
      </c>
      <c r="B291" s="9" t="s">
        <v>316</v>
      </c>
      <c r="C291" s="31">
        <v>1.0545654411676841</v>
      </c>
      <c r="D291" s="32">
        <v>0.92309340183726807</v>
      </c>
    </row>
    <row r="292" spans="1:4">
      <c r="A292" s="12">
        <v>71003</v>
      </c>
      <c r="B292" s="9" t="s">
        <v>317</v>
      </c>
      <c r="C292" s="31">
        <v>1.0036292050959561</v>
      </c>
      <c r="D292" s="32">
        <v>1.3864577402766587</v>
      </c>
    </row>
    <row r="293" spans="1:4">
      <c r="A293" s="12">
        <v>71004</v>
      </c>
      <c r="B293" s="9" t="s">
        <v>318</v>
      </c>
      <c r="C293" s="31">
        <v>1.197063531970685</v>
      </c>
      <c r="D293" s="32">
        <v>1.1932431794073601</v>
      </c>
    </row>
    <row r="294" spans="1:4">
      <c r="A294" s="12">
        <v>71005</v>
      </c>
      <c r="B294" s="9" t="s">
        <v>319</v>
      </c>
      <c r="C294" s="31">
        <v>1.1206254916621585</v>
      </c>
      <c r="D294" s="32">
        <v>0.99182566327105914</v>
      </c>
    </row>
    <row r="295" spans="1:4">
      <c r="A295" s="12">
        <v>71101</v>
      </c>
      <c r="B295" s="9" t="s">
        <v>320</v>
      </c>
      <c r="C295" s="31">
        <v>1.0604876966478747</v>
      </c>
      <c r="D295" s="32">
        <v>1.187683320805504</v>
      </c>
    </row>
    <row r="296" spans="1:4">
      <c r="A296" s="12">
        <v>71102</v>
      </c>
      <c r="B296" s="9" t="s">
        <v>321</v>
      </c>
      <c r="C296" s="31">
        <v>0.78004541100207503</v>
      </c>
      <c r="D296" s="32">
        <v>0.79459078333742328</v>
      </c>
    </row>
    <row r="297" spans="1:4">
      <c r="A297" s="12">
        <v>71103</v>
      </c>
      <c r="B297" s="9" t="s">
        <v>322</v>
      </c>
      <c r="C297" s="31">
        <v>0.99312715949675734</v>
      </c>
      <c r="D297" s="32">
        <v>1.0393721518073109</v>
      </c>
    </row>
    <row r="298" spans="1:4">
      <c r="A298" s="12">
        <v>71104</v>
      </c>
      <c r="B298" s="9" t="s">
        <v>323</v>
      </c>
      <c r="C298" s="31">
        <v>0.93731199140285359</v>
      </c>
      <c r="D298" s="32">
        <v>0.95415904841599253</v>
      </c>
    </row>
    <row r="299" spans="1:4">
      <c r="A299" s="12">
        <v>71105</v>
      </c>
      <c r="B299" s="9" t="s">
        <v>324</v>
      </c>
      <c r="C299" s="31">
        <v>0.83007033480798198</v>
      </c>
      <c r="D299" s="32">
        <v>1.1835536752857436</v>
      </c>
    </row>
    <row r="300" spans="1:4">
      <c r="A300" s="12">
        <v>71106</v>
      </c>
      <c r="B300" s="9" t="s">
        <v>325</v>
      </c>
      <c r="C300" s="31">
        <v>0.9679975847819251</v>
      </c>
      <c r="D300" s="32">
        <v>1.0514764527245068</v>
      </c>
    </row>
    <row r="301" spans="1:4">
      <c r="A301" s="12">
        <v>71201</v>
      </c>
      <c r="B301" s="9" t="s">
        <v>326</v>
      </c>
      <c r="C301" s="31">
        <v>0.98714031392159796</v>
      </c>
      <c r="D301" s="32">
        <v>0.88113878087178577</v>
      </c>
    </row>
    <row r="302" spans="1:4">
      <c r="A302" s="12">
        <v>71301</v>
      </c>
      <c r="B302" s="9" t="s">
        <v>327</v>
      </c>
      <c r="C302" s="31">
        <v>0.86657702903655875</v>
      </c>
      <c r="D302" s="32">
        <v>0.97223008228436603</v>
      </c>
    </row>
    <row r="303" spans="1:4">
      <c r="A303" s="12">
        <v>71302</v>
      </c>
      <c r="B303" s="9" t="s">
        <v>328</v>
      </c>
      <c r="C303" s="31">
        <v>1.0533710575426916</v>
      </c>
      <c r="D303" s="32">
        <v>1.0457101371598678</v>
      </c>
    </row>
    <row r="304" spans="1:4">
      <c r="A304" s="12">
        <v>71401</v>
      </c>
      <c r="B304" s="9" t="s">
        <v>329</v>
      </c>
      <c r="C304" s="31">
        <v>1.0992210538472402</v>
      </c>
      <c r="D304" s="32">
        <v>0.89351392106922878</v>
      </c>
    </row>
    <row r="305" spans="1:4">
      <c r="A305" s="12">
        <v>71402</v>
      </c>
      <c r="B305" s="9" t="s">
        <v>330</v>
      </c>
      <c r="C305" s="31">
        <v>1.2976054318083032</v>
      </c>
      <c r="D305" s="32">
        <v>1.3107813845753815</v>
      </c>
    </row>
    <row r="306" spans="1:4">
      <c r="A306" s="12">
        <v>71403</v>
      </c>
      <c r="B306" s="9" t="s">
        <v>331</v>
      </c>
      <c r="C306" s="31">
        <v>0.9168609336692356</v>
      </c>
      <c r="D306" s="32">
        <v>0.91206068128707996</v>
      </c>
    </row>
    <row r="307" spans="1:4">
      <c r="A307" s="12">
        <v>71501</v>
      </c>
      <c r="B307" s="9" t="s">
        <v>332</v>
      </c>
      <c r="C307" s="31">
        <v>1.1831252105493024</v>
      </c>
      <c r="D307" s="32">
        <v>1.0952370452985922</v>
      </c>
    </row>
    <row r="308" spans="1:4">
      <c r="A308" s="12">
        <v>71502</v>
      </c>
      <c r="B308" s="9" t="s">
        <v>333</v>
      </c>
      <c r="C308" s="31">
        <v>0.99215950134231468</v>
      </c>
      <c r="D308" s="32">
        <v>0.96825661521547479</v>
      </c>
    </row>
    <row r="309" spans="1:4">
      <c r="A309" s="12">
        <v>71503</v>
      </c>
      <c r="B309" s="9" t="s">
        <v>278</v>
      </c>
      <c r="C309" s="31">
        <v>1.0583293451718165</v>
      </c>
      <c r="D309" s="32">
        <v>0.94670616344485992</v>
      </c>
    </row>
    <row r="310" spans="1:4">
      <c r="A310" s="12">
        <v>80101</v>
      </c>
      <c r="B310" s="9" t="s">
        <v>334</v>
      </c>
      <c r="C310" s="31">
        <v>1.0984055472330276</v>
      </c>
      <c r="D310" s="32">
        <v>1.339814105636447</v>
      </c>
    </row>
    <row r="311" spans="1:4">
      <c r="A311" s="12">
        <v>80102</v>
      </c>
      <c r="B311" s="9" t="s">
        <v>321</v>
      </c>
      <c r="C311" s="31">
        <v>1.073131969442259</v>
      </c>
      <c r="D311" s="32">
        <v>0.98463636055453729</v>
      </c>
    </row>
    <row r="312" spans="1:4">
      <c r="A312" s="12">
        <v>80201</v>
      </c>
      <c r="B312" s="9" t="s">
        <v>335</v>
      </c>
      <c r="C312" s="31">
        <v>1.03629609581917</v>
      </c>
      <c r="D312" s="32">
        <v>1.1367779159921676</v>
      </c>
    </row>
    <row r="313" spans="1:4">
      <c r="A313" s="12">
        <v>80202</v>
      </c>
      <c r="B313" s="9" t="s">
        <v>336</v>
      </c>
      <c r="C313" s="31">
        <v>0.98771004203146306</v>
      </c>
      <c r="D313" s="32">
        <v>1.1218672217163717</v>
      </c>
    </row>
    <row r="314" spans="1:4">
      <c r="A314" s="12">
        <v>80301</v>
      </c>
      <c r="B314" s="9" t="s">
        <v>337</v>
      </c>
      <c r="C314" s="31">
        <v>0.83261004600615762</v>
      </c>
      <c r="D314" s="32">
        <v>1.1563986596198317</v>
      </c>
    </row>
    <row r="315" spans="1:4">
      <c r="A315" s="12">
        <v>80302</v>
      </c>
      <c r="B315" s="9" t="s">
        <v>338</v>
      </c>
      <c r="C315" s="31">
        <v>0.69970464275320776</v>
      </c>
      <c r="D315" s="32">
        <v>0.53213849826399984</v>
      </c>
    </row>
    <row r="316" spans="1:4">
      <c r="A316" s="12">
        <v>80303</v>
      </c>
      <c r="B316" s="9" t="s">
        <v>339</v>
      </c>
      <c r="C316" s="31">
        <v>0.92262333545170028</v>
      </c>
      <c r="D316" s="32">
        <v>0.68755324420931818</v>
      </c>
    </row>
    <row r="317" spans="1:4">
      <c r="A317" s="12">
        <v>80304</v>
      </c>
      <c r="B317" s="9" t="s">
        <v>340</v>
      </c>
      <c r="C317" s="31">
        <v>0.93128715630883352</v>
      </c>
      <c r="D317" s="32">
        <v>0.84070114510263039</v>
      </c>
    </row>
    <row r="318" spans="1:4">
      <c r="A318" s="12">
        <v>80401</v>
      </c>
      <c r="B318" s="9" t="s">
        <v>341</v>
      </c>
      <c r="C318" s="31">
        <v>0.9169344637428507</v>
      </c>
      <c r="D318" s="32">
        <v>0.72070472597230095</v>
      </c>
    </row>
    <row r="319" spans="1:4">
      <c r="A319" s="12">
        <v>80402</v>
      </c>
      <c r="B319" s="9" t="s">
        <v>342</v>
      </c>
      <c r="C319" s="31">
        <v>0.83202643944492605</v>
      </c>
      <c r="D319" s="32">
        <v>0.74095682474087043</v>
      </c>
    </row>
    <row r="320" spans="1:4">
      <c r="A320" s="12">
        <v>80501</v>
      </c>
      <c r="B320" s="9" t="s">
        <v>343</v>
      </c>
      <c r="C320" s="31">
        <v>0.9568365924823965</v>
      </c>
      <c r="D320" s="32">
        <v>0.62768992565354675</v>
      </c>
    </row>
    <row r="321" spans="1:4">
      <c r="A321" s="12">
        <v>80601</v>
      </c>
      <c r="B321" s="9" t="s">
        <v>344</v>
      </c>
      <c r="C321" s="31">
        <v>0.75542795083663727</v>
      </c>
      <c r="D321" s="32">
        <v>0.96781793227293833</v>
      </c>
    </row>
    <row r="322" spans="1:4">
      <c r="A322" s="12">
        <v>80602</v>
      </c>
      <c r="B322" s="9" t="s">
        <v>345</v>
      </c>
      <c r="C322" s="31">
        <v>0.88598049120429623</v>
      </c>
      <c r="D322" s="32">
        <v>1.035339424205324</v>
      </c>
    </row>
    <row r="323" spans="1:4">
      <c r="A323" s="12">
        <v>80701</v>
      </c>
      <c r="B323" s="9" t="s">
        <v>346</v>
      </c>
      <c r="C323" s="31">
        <v>1.0158006536371842</v>
      </c>
      <c r="D323" s="32">
        <v>0.7864144489414796</v>
      </c>
    </row>
    <row r="324" spans="1:4">
      <c r="A324" s="12">
        <v>80702</v>
      </c>
      <c r="B324" s="9" t="s">
        <v>322</v>
      </c>
      <c r="C324" s="31">
        <v>0.91739684107374841</v>
      </c>
      <c r="D324" s="32">
        <v>0.9480107855421297</v>
      </c>
    </row>
    <row r="325" spans="1:4">
      <c r="A325" s="12">
        <v>80703</v>
      </c>
      <c r="B325" s="9" t="s">
        <v>347</v>
      </c>
      <c r="C325" s="31">
        <v>1.3972992312979176</v>
      </c>
      <c r="D325" s="32">
        <v>2.3129283006075534</v>
      </c>
    </row>
    <row r="326" spans="1:4">
      <c r="A326" s="12">
        <v>80801</v>
      </c>
      <c r="B326" s="9" t="s">
        <v>348</v>
      </c>
      <c r="C326" s="31">
        <v>0.93731928339718829</v>
      </c>
      <c r="D326" s="32">
        <v>0.99625197554974187</v>
      </c>
    </row>
    <row r="327" spans="1:4">
      <c r="A327" s="12">
        <v>80802</v>
      </c>
      <c r="B327" s="9" t="s">
        <v>349</v>
      </c>
      <c r="C327" s="31">
        <v>0.9415257149596874</v>
      </c>
      <c r="D327" s="32">
        <v>0.76280895019121331</v>
      </c>
    </row>
    <row r="328" spans="1:4">
      <c r="A328" s="12">
        <v>80803</v>
      </c>
      <c r="B328" s="9" t="s">
        <v>350</v>
      </c>
      <c r="C328" s="31">
        <v>0.97961461199247291</v>
      </c>
      <c r="D328" s="32">
        <v>0.75930834273747305</v>
      </c>
    </row>
    <row r="329" spans="1:4">
      <c r="A329" s="12">
        <v>80901</v>
      </c>
      <c r="B329" s="9" t="s">
        <v>351</v>
      </c>
      <c r="C329" s="31">
        <v>1.0775349184731366</v>
      </c>
      <c r="D329" s="32">
        <v>0.745607910877228</v>
      </c>
    </row>
    <row r="330" spans="1:4">
      <c r="A330" s="12">
        <v>90101</v>
      </c>
      <c r="B330" s="9" t="s">
        <v>352</v>
      </c>
      <c r="C330" s="31">
        <v>0.9871558147190499</v>
      </c>
      <c r="D330" s="32">
        <v>1.3001004015481725</v>
      </c>
    </row>
    <row r="331" spans="1:4">
      <c r="A331" s="12">
        <v>90102</v>
      </c>
      <c r="B331" s="9" t="s">
        <v>353</v>
      </c>
      <c r="C331" s="31">
        <v>0.86961734641217481</v>
      </c>
      <c r="D331" s="32">
        <v>0.86724657566316743</v>
      </c>
    </row>
    <row r="332" spans="1:4">
      <c r="A332" s="12">
        <v>90103</v>
      </c>
      <c r="B332" s="9" t="s">
        <v>354</v>
      </c>
      <c r="C332" s="31">
        <v>1.0611160602696983</v>
      </c>
      <c r="D332" s="32">
        <v>1.6043209850973918</v>
      </c>
    </row>
    <row r="333" spans="1:4">
      <c r="A333" s="12">
        <v>90104</v>
      </c>
      <c r="B333" s="9" t="s">
        <v>355</v>
      </c>
      <c r="C333" s="31">
        <v>0.88702970380511903</v>
      </c>
      <c r="D333" s="32">
        <v>0.96819299208009635</v>
      </c>
    </row>
    <row r="334" spans="1:4">
      <c r="A334" s="12">
        <v>90201</v>
      </c>
      <c r="B334" s="9" t="s">
        <v>356</v>
      </c>
      <c r="C334" s="31">
        <v>0.73671848701565645</v>
      </c>
      <c r="D334" s="32">
        <v>1.2097093459666579</v>
      </c>
    </row>
    <row r="335" spans="1:4">
      <c r="A335" s="12">
        <v>90202</v>
      </c>
      <c r="B335" s="9" t="s">
        <v>319</v>
      </c>
      <c r="C335" s="31">
        <v>0.98458124930220081</v>
      </c>
      <c r="D335" s="32">
        <v>0.77255713524584335</v>
      </c>
    </row>
    <row r="336" spans="1:4">
      <c r="A336" s="12">
        <v>90203</v>
      </c>
      <c r="B336" s="9" t="s">
        <v>357</v>
      </c>
      <c r="C336" s="31">
        <v>1.0618321024468709</v>
      </c>
      <c r="D336" s="32">
        <v>0.8846794324145717</v>
      </c>
    </row>
    <row r="337" spans="1:4">
      <c r="A337" s="12">
        <v>90301</v>
      </c>
      <c r="B337" s="9" t="s">
        <v>358</v>
      </c>
      <c r="C337" s="31">
        <v>0.71686736728797085</v>
      </c>
      <c r="D337" s="32">
        <v>1.0824047037289013</v>
      </c>
    </row>
    <row r="338" spans="1:4">
      <c r="A338" s="12">
        <v>90302</v>
      </c>
      <c r="B338" s="9" t="s">
        <v>359</v>
      </c>
      <c r="C338" s="31">
        <v>0.99764872474195543</v>
      </c>
      <c r="D338" s="32">
        <v>1.0455547632387441</v>
      </c>
    </row>
    <row r="339" spans="1:4">
      <c r="A339" s="12">
        <v>90303</v>
      </c>
      <c r="B339" s="9" t="s">
        <v>360</v>
      </c>
      <c r="C339" s="31">
        <v>1.0010428556289037</v>
      </c>
      <c r="D339" s="32">
        <v>0.88485961578035732</v>
      </c>
    </row>
    <row r="340" spans="1:4">
      <c r="A340" s="12">
        <v>90401</v>
      </c>
      <c r="B340" s="9" t="s">
        <v>361</v>
      </c>
      <c r="C340" s="31">
        <v>1.1366717493516172</v>
      </c>
      <c r="D340" s="32">
        <v>0.6148996751085446</v>
      </c>
    </row>
    <row r="341" spans="1:4">
      <c r="A341" s="12">
        <v>90402</v>
      </c>
      <c r="B341" s="9" t="s">
        <v>362</v>
      </c>
      <c r="C341" s="31">
        <v>1.1318538947721197</v>
      </c>
      <c r="D341" s="32">
        <v>0.91464327947019908</v>
      </c>
    </row>
    <row r="342" spans="1:4">
      <c r="A342" s="12">
        <v>90501</v>
      </c>
      <c r="B342" s="9" t="s">
        <v>363</v>
      </c>
      <c r="C342" s="31">
        <v>1.0398134070865923</v>
      </c>
      <c r="D342" s="32">
        <v>0.58235294145722083</v>
      </c>
    </row>
    <row r="343" spans="1:4">
      <c r="A343" s="12">
        <v>90502</v>
      </c>
      <c r="B343" s="9" t="s">
        <v>364</v>
      </c>
      <c r="C343" s="31">
        <v>0.68235330867321209</v>
      </c>
      <c r="D343" s="32">
        <v>0.82810532209253684</v>
      </c>
    </row>
    <row r="344" spans="1:4">
      <c r="A344" s="12">
        <v>90503</v>
      </c>
      <c r="B344" s="9" t="s">
        <v>365</v>
      </c>
      <c r="C344" s="33">
        <v>1.0366749934823332</v>
      </c>
      <c r="D344" s="34">
        <v>0.98153129272252071</v>
      </c>
    </row>
    <row r="345" spans="1:4">
      <c r="A345" s="35"/>
      <c r="B345" s="36"/>
      <c r="C345" s="37"/>
      <c r="D345" s="38"/>
    </row>
    <row r="346" spans="1:4">
      <c r="A346" s="35"/>
      <c r="B346" s="36"/>
      <c r="C346" s="6"/>
      <c r="D346" s="28"/>
    </row>
    <row r="347" spans="1:4">
      <c r="A347" s="35"/>
      <c r="B347" s="36"/>
      <c r="C347" s="6"/>
      <c r="D347" s="6"/>
    </row>
    <row r="348" spans="1:4">
      <c r="A348" s="35"/>
      <c r="B348" s="36"/>
      <c r="C348" s="6"/>
      <c r="D348" s="6"/>
    </row>
    <row r="349" spans="1:4">
      <c r="A349" s="35"/>
      <c r="B349" s="36"/>
      <c r="C349" s="6"/>
      <c r="D349" s="6"/>
    </row>
    <row r="350" spans="1:4">
      <c r="A350" s="35"/>
      <c r="B350" s="36"/>
      <c r="C350" s="6"/>
      <c r="D350" s="6"/>
    </row>
    <row r="351" spans="1:4">
      <c r="A351" s="35"/>
      <c r="B351" s="36"/>
      <c r="C351" s="6"/>
      <c r="D351" s="6"/>
    </row>
    <row r="352" spans="1:4">
      <c r="A352" s="35"/>
      <c r="B352" s="36"/>
      <c r="C352" s="6"/>
      <c r="D352" s="6"/>
    </row>
    <row r="353" spans="1:4">
      <c r="A353" s="35"/>
      <c r="B353" s="36"/>
      <c r="C353" s="6"/>
      <c r="D353" s="6"/>
    </row>
    <row r="354" spans="1:4">
      <c r="A354" s="35"/>
      <c r="B354" s="36"/>
      <c r="C354" s="6"/>
      <c r="D354" s="6"/>
    </row>
    <row r="355" spans="1:4">
      <c r="A355" s="35"/>
      <c r="B355" s="36"/>
      <c r="C355" s="6"/>
      <c r="D355" s="6"/>
    </row>
    <row r="356" spans="1:4">
      <c r="A356" s="35"/>
      <c r="B356" s="36"/>
      <c r="C356" s="6"/>
      <c r="D356" s="6"/>
    </row>
    <row r="357" spans="1:4">
      <c r="A357" s="35"/>
      <c r="B357" s="36"/>
      <c r="C357" s="6"/>
      <c r="D357" s="6"/>
    </row>
    <row r="358" spans="1:4">
      <c r="A358" s="35"/>
      <c r="B358" s="36"/>
      <c r="C358" s="6"/>
      <c r="D358" s="6"/>
    </row>
    <row r="359" spans="1:4">
      <c r="A359" s="35"/>
      <c r="B359" s="36"/>
      <c r="C359" s="6"/>
      <c r="D359" s="6"/>
    </row>
    <row r="360" spans="1:4">
      <c r="A360" s="35"/>
      <c r="B360" s="36"/>
      <c r="C360" s="6"/>
      <c r="D360" s="6"/>
    </row>
    <row r="361" spans="1:4">
      <c r="A361" s="35"/>
      <c r="B361" s="36"/>
      <c r="C361" s="6"/>
      <c r="D361" s="6"/>
    </row>
    <row r="362" spans="1:4">
      <c r="A362" s="35"/>
      <c r="B362" s="36"/>
      <c r="C362" s="6"/>
      <c r="D362" s="6"/>
    </row>
    <row r="363" spans="1:4">
      <c r="A363" s="35"/>
      <c r="B363" s="36"/>
      <c r="C363" s="6"/>
      <c r="D363" s="6"/>
    </row>
    <row r="364" spans="1:4">
      <c r="A364" s="35"/>
      <c r="B364" s="36"/>
      <c r="C364" s="6"/>
      <c r="D364" s="6"/>
    </row>
    <row r="365" spans="1:4">
      <c r="A365" s="35"/>
      <c r="B365" s="36"/>
      <c r="C365" s="6"/>
      <c r="D365" s="6"/>
    </row>
    <row r="366" spans="1:4">
      <c r="A366" s="35"/>
      <c r="B366" s="36"/>
      <c r="C366" s="6"/>
      <c r="D366" s="6"/>
    </row>
    <row r="367" spans="1:4">
      <c r="A367" s="35"/>
      <c r="B367" s="36"/>
      <c r="C367" s="6"/>
      <c r="D367" s="6"/>
    </row>
    <row r="368" spans="1:4">
      <c r="A368" s="35"/>
      <c r="B368" s="36"/>
      <c r="C368" s="6"/>
      <c r="D368" s="6"/>
    </row>
    <row r="369" spans="1:4">
      <c r="A369" s="35"/>
      <c r="B369" s="36"/>
      <c r="C369" s="6"/>
      <c r="D369" s="6"/>
    </row>
    <row r="370" spans="1:4">
      <c r="A370" s="35"/>
      <c r="B370" s="36"/>
      <c r="C370" s="6"/>
      <c r="D370" s="6"/>
    </row>
    <row r="371" spans="1:4">
      <c r="A371" s="35"/>
      <c r="B371" s="36"/>
      <c r="C371" s="6"/>
      <c r="D371" s="6"/>
    </row>
    <row r="372" spans="1:4">
      <c r="A372" s="35"/>
      <c r="B372" s="36"/>
      <c r="C372" s="6"/>
      <c r="D372" s="6"/>
    </row>
    <row r="373" spans="1:4">
      <c r="A373" s="35"/>
      <c r="B373" s="36"/>
      <c r="C373" s="6"/>
      <c r="D373" s="6"/>
    </row>
    <row r="374" spans="1:4">
      <c r="A374" s="35"/>
      <c r="B374" s="36"/>
      <c r="C374" s="6"/>
      <c r="D374" s="6"/>
    </row>
    <row r="375" spans="1:4">
      <c r="A375" s="35"/>
      <c r="B375" s="36"/>
      <c r="C375" s="6"/>
      <c r="D375" s="6"/>
    </row>
    <row r="376" spans="1:4">
      <c r="A376" s="35"/>
      <c r="B376" s="36"/>
      <c r="C376" s="6"/>
      <c r="D376" s="6"/>
    </row>
    <row r="377" spans="1:4">
      <c r="A377" s="35"/>
      <c r="B377" s="36"/>
      <c r="C377" s="6"/>
      <c r="D377" s="6"/>
    </row>
    <row r="378" spans="1:4">
      <c r="A378" s="35"/>
      <c r="B378" s="36"/>
      <c r="C378" s="6"/>
      <c r="D378" s="6"/>
    </row>
    <row r="379" spans="1:4">
      <c r="A379" s="35"/>
      <c r="B379" s="36"/>
      <c r="C379" s="6"/>
      <c r="D379" s="6"/>
    </row>
    <row r="380" spans="1:4">
      <c r="A380" s="35"/>
      <c r="B380" s="36"/>
      <c r="C380" s="6"/>
      <c r="D380" s="6"/>
    </row>
    <row r="381" spans="1:4">
      <c r="A381" s="35"/>
      <c r="B381" s="36"/>
      <c r="C381" s="6"/>
      <c r="D381" s="6"/>
    </row>
    <row r="382" spans="1:4">
      <c r="A382" s="35"/>
      <c r="B382" s="36"/>
      <c r="C382" s="6"/>
      <c r="D382" s="6"/>
    </row>
    <row r="383" spans="1:4">
      <c r="A383" s="35"/>
      <c r="B383" s="36"/>
      <c r="C383" s="6"/>
      <c r="D383" s="6"/>
    </row>
    <row r="384" spans="1:4">
      <c r="A384" s="35"/>
      <c r="B384" s="36"/>
      <c r="C384" s="6"/>
      <c r="D384" s="6"/>
    </row>
    <row r="385" spans="1:4">
      <c r="A385" s="35"/>
      <c r="B385" s="36"/>
      <c r="C385" s="6"/>
      <c r="D385" s="6"/>
    </row>
    <row r="386" spans="1:4">
      <c r="A386" s="35"/>
      <c r="B386" s="36"/>
      <c r="C386" s="6"/>
      <c r="D386" s="6"/>
    </row>
    <row r="387" spans="1:4">
      <c r="A387" s="35"/>
      <c r="B387" s="36"/>
      <c r="C387" s="6"/>
      <c r="D387" s="6"/>
    </row>
    <row r="388" spans="1:4">
      <c r="A388" s="35"/>
      <c r="B388" s="36"/>
      <c r="C388" s="6"/>
      <c r="D388" s="6"/>
    </row>
    <row r="389" spans="1:4">
      <c r="A389" s="35"/>
      <c r="B389" s="36"/>
      <c r="C389" s="6"/>
      <c r="D389" s="6"/>
    </row>
    <row r="390" spans="1:4">
      <c r="A390" s="35"/>
      <c r="B390" s="36"/>
      <c r="C390" s="6"/>
      <c r="D390" s="6"/>
    </row>
    <row r="391" spans="1:4">
      <c r="A391" s="35"/>
      <c r="B391" s="36"/>
      <c r="C391" s="6"/>
      <c r="D391" s="6"/>
    </row>
    <row r="392" spans="1:4">
      <c r="A392" s="35"/>
      <c r="B392" s="36"/>
      <c r="C392" s="6"/>
      <c r="D392" s="6"/>
    </row>
    <row r="393" spans="1:4">
      <c r="A393" s="35"/>
      <c r="B393" s="36"/>
      <c r="C393" s="6"/>
      <c r="D393" s="6"/>
    </row>
    <row r="394" spans="1:4">
      <c r="A394" s="35"/>
      <c r="B394" s="36"/>
      <c r="C394" s="6"/>
      <c r="D394" s="6"/>
    </row>
    <row r="395" spans="1:4">
      <c r="A395" s="35"/>
      <c r="B395" s="36"/>
      <c r="C395" s="6"/>
      <c r="D395" s="6"/>
    </row>
    <row r="396" spans="1:4">
      <c r="A396" s="35"/>
      <c r="B396" s="36"/>
      <c r="C396" s="6"/>
      <c r="D396" s="6"/>
    </row>
    <row r="397" spans="1:4">
      <c r="A397" s="35"/>
      <c r="B397" s="36"/>
      <c r="C397" s="6"/>
      <c r="D397" s="6"/>
    </row>
    <row r="398" spans="1:4">
      <c r="A398" s="35"/>
      <c r="B398" s="36"/>
      <c r="C398" s="6"/>
      <c r="D398" s="6"/>
    </row>
    <row r="399" spans="1:4">
      <c r="A399" s="35"/>
      <c r="B399" s="36"/>
      <c r="C399" s="6"/>
      <c r="D399" s="6"/>
    </row>
    <row r="400" spans="1:4">
      <c r="A400" s="35"/>
      <c r="B400" s="36"/>
      <c r="C400" s="6"/>
      <c r="D400" s="6"/>
    </row>
    <row r="401" spans="1:4">
      <c r="A401" s="35"/>
      <c r="B401" s="36"/>
      <c r="C401" s="6"/>
      <c r="D401" s="6"/>
    </row>
    <row r="402" spans="1:4">
      <c r="A402" s="35"/>
      <c r="B402" s="36"/>
      <c r="C402" s="6"/>
      <c r="D402" s="6"/>
    </row>
    <row r="403" spans="1:4">
      <c r="A403" s="35"/>
      <c r="B403" s="36"/>
      <c r="C403" s="6"/>
      <c r="D403" s="6"/>
    </row>
    <row r="404" spans="1:4">
      <c r="A404" s="35"/>
      <c r="B404" s="36"/>
      <c r="C404" s="6"/>
      <c r="D404" s="6"/>
    </row>
    <row r="405" spans="1:4">
      <c r="A405" s="35"/>
      <c r="B405" s="36"/>
      <c r="C405" s="6"/>
      <c r="D405" s="6"/>
    </row>
    <row r="406" spans="1:4">
      <c r="A406" s="35"/>
      <c r="B406" s="36"/>
      <c r="C406" s="6"/>
      <c r="D406" s="6"/>
    </row>
    <row r="407" spans="1:4">
      <c r="A407" s="35"/>
      <c r="B407" s="36"/>
      <c r="C407" s="6"/>
      <c r="D407" s="6"/>
    </row>
    <row r="408" spans="1:4">
      <c r="A408" s="35"/>
      <c r="B408" s="36"/>
      <c r="C408" s="6"/>
      <c r="D408" s="6"/>
    </row>
    <row r="409" spans="1:4">
      <c r="A409" s="35"/>
      <c r="B409" s="36"/>
      <c r="C409" s="6"/>
      <c r="D409" s="6"/>
    </row>
    <row r="410" spans="1:4">
      <c r="A410" s="35"/>
      <c r="B410" s="36"/>
      <c r="C410" s="6"/>
      <c r="D410" s="6"/>
    </row>
    <row r="411" spans="1:4">
      <c r="A411" s="35"/>
      <c r="B411" s="36"/>
      <c r="C411" s="6"/>
      <c r="D411" s="6"/>
    </row>
    <row r="412" spans="1:4">
      <c r="A412" s="35"/>
      <c r="B412" s="36"/>
      <c r="C412" s="6"/>
      <c r="D412" s="6"/>
    </row>
    <row r="413" spans="1:4">
      <c r="A413" s="35"/>
      <c r="B413" s="36"/>
      <c r="C413" s="6"/>
      <c r="D413" s="6"/>
    </row>
    <row r="414" spans="1:4">
      <c r="A414" s="35"/>
      <c r="B414" s="36"/>
      <c r="C414" s="6"/>
      <c r="D414" s="6"/>
    </row>
    <row r="415" spans="1:4">
      <c r="A415" s="35"/>
      <c r="B415" s="36"/>
      <c r="C415" s="6"/>
      <c r="D415" s="6"/>
    </row>
    <row r="416" spans="1:4">
      <c r="A416" s="35"/>
      <c r="B416" s="36"/>
      <c r="C416" s="6"/>
      <c r="D416" s="6"/>
    </row>
    <row r="417" spans="1:4">
      <c r="A417" s="35"/>
      <c r="B417" s="36"/>
      <c r="C417" s="6"/>
      <c r="D417" s="6"/>
    </row>
    <row r="418" spans="1:4">
      <c r="A418" s="35"/>
      <c r="B418" s="36"/>
      <c r="C418" s="6"/>
      <c r="D418" s="6"/>
    </row>
    <row r="419" spans="1:4">
      <c r="A419" s="35"/>
      <c r="B419" s="36"/>
      <c r="C419" s="6"/>
      <c r="D419" s="6"/>
    </row>
    <row r="420" spans="1:4">
      <c r="A420" s="35"/>
      <c r="B420" s="36"/>
      <c r="C420" s="6"/>
      <c r="D420" s="6"/>
    </row>
    <row r="421" spans="1:4">
      <c r="A421" s="35"/>
      <c r="B421" s="36"/>
      <c r="C421" s="6"/>
      <c r="D421" s="6"/>
    </row>
    <row r="422" spans="1:4">
      <c r="A422" s="35"/>
      <c r="B422" s="36"/>
      <c r="C422" s="6"/>
      <c r="D422" s="6"/>
    </row>
    <row r="423" spans="1:4">
      <c r="A423" s="35"/>
      <c r="B423" s="36"/>
      <c r="C423" s="6"/>
      <c r="D423" s="6"/>
    </row>
    <row r="424" spans="1:4">
      <c r="A424" s="35"/>
      <c r="B424" s="36"/>
      <c r="C424" s="6"/>
      <c r="D424" s="6"/>
    </row>
    <row r="425" spans="1:4">
      <c r="A425" s="35"/>
      <c r="B425" s="36"/>
      <c r="C425" s="6"/>
      <c r="D425" s="6"/>
    </row>
    <row r="426" spans="1:4">
      <c r="A426" s="35"/>
      <c r="B426" s="36"/>
      <c r="C426" s="6"/>
      <c r="D426" s="6"/>
    </row>
    <row r="427" spans="1:4">
      <c r="A427" s="35"/>
      <c r="B427" s="36"/>
      <c r="C427" s="6"/>
      <c r="D427" s="6"/>
    </row>
    <row r="428" spans="1:4">
      <c r="A428" s="35"/>
      <c r="B428" s="36"/>
      <c r="C428" s="6"/>
      <c r="D428" s="6"/>
    </row>
    <row r="429" spans="1:4">
      <c r="A429" s="35"/>
      <c r="B429" s="36"/>
      <c r="C429" s="6"/>
      <c r="D429" s="6"/>
    </row>
    <row r="430" spans="1:4">
      <c r="A430" s="35"/>
      <c r="B430" s="36"/>
      <c r="C430" s="6"/>
      <c r="D430" s="6"/>
    </row>
    <row r="431" spans="1:4">
      <c r="A431" s="35"/>
      <c r="B431" s="36"/>
      <c r="C431" s="6"/>
      <c r="D431" s="6"/>
    </row>
    <row r="432" spans="1:4">
      <c r="A432" s="35"/>
      <c r="B432" s="36"/>
      <c r="C432" s="6"/>
      <c r="D432" s="6"/>
    </row>
    <row r="433" spans="1:4">
      <c r="A433" s="35"/>
      <c r="B433" s="36"/>
      <c r="C433" s="6"/>
      <c r="D433" s="6"/>
    </row>
    <row r="434" spans="1:4">
      <c r="A434" s="35"/>
      <c r="B434" s="36"/>
      <c r="C434" s="6"/>
      <c r="D434" s="6"/>
    </row>
    <row r="435" spans="1:4">
      <c r="A435" s="35"/>
      <c r="B435" s="36"/>
      <c r="C435" s="6"/>
      <c r="D435" s="6"/>
    </row>
    <row r="436" spans="1:4">
      <c r="A436" s="35"/>
      <c r="B436" s="36"/>
      <c r="C436" s="6"/>
      <c r="D436" s="6"/>
    </row>
    <row r="437" spans="1:4">
      <c r="A437" s="35"/>
      <c r="B437" s="36"/>
      <c r="C437" s="6"/>
      <c r="D437" s="6"/>
    </row>
    <row r="438" spans="1:4">
      <c r="A438" s="35"/>
      <c r="B438" s="36"/>
      <c r="C438" s="6"/>
      <c r="D438" s="6"/>
    </row>
    <row r="439" spans="1:4">
      <c r="A439" s="35"/>
      <c r="B439" s="36"/>
      <c r="C439" s="6"/>
      <c r="D439" s="6"/>
    </row>
    <row r="440" spans="1:4">
      <c r="A440" s="35"/>
      <c r="B440" s="36"/>
      <c r="C440" s="6"/>
      <c r="D440" s="6"/>
    </row>
    <row r="441" spans="1:4">
      <c r="A441" s="35"/>
      <c r="B441" s="36"/>
      <c r="C441" s="6"/>
      <c r="D441" s="6"/>
    </row>
    <row r="442" spans="1:4">
      <c r="A442" s="35"/>
      <c r="B442" s="36"/>
      <c r="C442" s="6"/>
      <c r="D442" s="6"/>
    </row>
    <row r="443" spans="1:4">
      <c r="A443" s="35"/>
      <c r="B443" s="36"/>
      <c r="C443" s="6"/>
      <c r="D443" s="6"/>
    </row>
    <row r="444" spans="1:4">
      <c r="A444" s="35"/>
      <c r="B444" s="36"/>
      <c r="C444" s="6"/>
      <c r="D444" s="6"/>
    </row>
    <row r="445" spans="1:4">
      <c r="A445" s="35"/>
      <c r="B445" s="36"/>
      <c r="C445" s="6"/>
      <c r="D445" s="6"/>
    </row>
    <row r="446" spans="1:4">
      <c r="A446" s="35"/>
      <c r="B446" s="36"/>
      <c r="C446" s="6"/>
      <c r="D446" s="6"/>
    </row>
    <row r="447" spans="1:4">
      <c r="A447" s="35"/>
      <c r="B447" s="36"/>
      <c r="C447" s="6"/>
      <c r="D447" s="6"/>
    </row>
    <row r="448" spans="1:4">
      <c r="A448" s="35"/>
      <c r="B448" s="36"/>
      <c r="C448" s="6"/>
      <c r="D448" s="6"/>
    </row>
    <row r="449" spans="1:4">
      <c r="A449" s="35"/>
      <c r="B449" s="36"/>
      <c r="C449" s="6"/>
      <c r="D449" s="6"/>
    </row>
    <row r="450" spans="1:4">
      <c r="A450" s="35"/>
      <c r="B450" s="36"/>
      <c r="C450" s="6"/>
      <c r="D450" s="6"/>
    </row>
    <row r="451" spans="1:4">
      <c r="A451" s="35"/>
      <c r="B451" s="36"/>
      <c r="C451" s="6"/>
      <c r="D451" s="6"/>
    </row>
    <row r="452" spans="1:4">
      <c r="A452" s="35"/>
      <c r="B452" s="36"/>
      <c r="C452" s="6"/>
      <c r="D452" s="6"/>
    </row>
    <row r="453" spans="1:4">
      <c r="A453" s="35"/>
      <c r="B453" s="36"/>
      <c r="C453" s="6"/>
      <c r="D453" s="6"/>
    </row>
    <row r="454" spans="1:4">
      <c r="A454" s="35"/>
      <c r="B454" s="36"/>
      <c r="C454" s="6"/>
      <c r="D454" s="6"/>
    </row>
    <row r="455" spans="1:4">
      <c r="A455" s="35"/>
      <c r="B455" s="36"/>
      <c r="C455" s="6"/>
      <c r="D455" s="6"/>
    </row>
    <row r="456" spans="1:4">
      <c r="A456" s="35"/>
      <c r="B456" s="36"/>
      <c r="C456" s="6"/>
      <c r="D456" s="6"/>
    </row>
    <row r="457" spans="1:4">
      <c r="A457" s="35"/>
      <c r="B457" s="36"/>
      <c r="C457" s="6"/>
      <c r="D457" s="6"/>
    </row>
    <row r="458" spans="1:4">
      <c r="A458" s="35"/>
      <c r="B458" s="36"/>
      <c r="C458" s="6"/>
      <c r="D458" s="6"/>
    </row>
    <row r="459" spans="1:4">
      <c r="A459" s="35"/>
      <c r="B459" s="36"/>
      <c r="C459" s="6"/>
      <c r="D459" s="6"/>
    </row>
    <row r="460" spans="1:4">
      <c r="A460" s="35"/>
      <c r="B460" s="36"/>
      <c r="C460" s="6"/>
      <c r="D460" s="6"/>
    </row>
    <row r="461" spans="1:4">
      <c r="A461" s="35"/>
      <c r="B461" s="36"/>
      <c r="C461" s="6"/>
      <c r="D461" s="6"/>
    </row>
    <row r="462" spans="1:4">
      <c r="A462" s="35"/>
      <c r="B462" s="36"/>
      <c r="C462" s="6"/>
      <c r="D462" s="6"/>
    </row>
    <row r="463" spans="1:4">
      <c r="A463" s="35"/>
      <c r="B463" s="36"/>
      <c r="C463" s="6"/>
      <c r="D463" s="6"/>
    </row>
    <row r="464" spans="1:4">
      <c r="A464" s="35"/>
      <c r="B464" s="36"/>
      <c r="C464" s="6"/>
      <c r="D464" s="6"/>
    </row>
    <row r="465" spans="1:4">
      <c r="A465" s="35"/>
      <c r="B465" s="36"/>
      <c r="C465" s="6"/>
      <c r="D465" s="6"/>
    </row>
    <row r="466" spans="1:4">
      <c r="A466" s="35"/>
      <c r="B466" s="36"/>
      <c r="C466" s="6"/>
      <c r="D466" s="6"/>
    </row>
    <row r="467" spans="1:4">
      <c r="A467" s="35"/>
      <c r="B467" s="36"/>
      <c r="C467" s="6"/>
      <c r="D467" s="6"/>
    </row>
    <row r="468" spans="1:4">
      <c r="A468" s="35"/>
      <c r="B468" s="36"/>
      <c r="C468" s="6"/>
      <c r="D468" s="6"/>
    </row>
    <row r="469" spans="1:4">
      <c r="A469" s="35"/>
      <c r="B469" s="36"/>
      <c r="C469" s="6"/>
      <c r="D469" s="6"/>
    </row>
    <row r="470" spans="1:4">
      <c r="A470" s="35"/>
      <c r="B470" s="36"/>
      <c r="C470" s="6"/>
      <c r="D470" s="6"/>
    </row>
    <row r="471" spans="1:4">
      <c r="A471" s="35"/>
      <c r="B471" s="36"/>
      <c r="C471" s="6"/>
      <c r="D471" s="6"/>
    </row>
    <row r="472" spans="1:4">
      <c r="A472" s="35"/>
      <c r="B472" s="36"/>
      <c r="C472" s="6"/>
      <c r="D472" s="6"/>
    </row>
    <row r="473" spans="1:4">
      <c r="A473" s="35"/>
      <c r="B473" s="36"/>
      <c r="C473" s="6"/>
      <c r="D473" s="6"/>
    </row>
    <row r="474" spans="1:4">
      <c r="A474" s="35"/>
      <c r="B474" s="36"/>
      <c r="C474" s="6"/>
      <c r="D474" s="6"/>
    </row>
    <row r="475" spans="1:4">
      <c r="A475" s="35"/>
      <c r="B475" s="36"/>
      <c r="C475" s="6"/>
      <c r="D475" s="6"/>
    </row>
    <row r="476" spans="1:4">
      <c r="A476" s="35"/>
      <c r="B476" s="36"/>
      <c r="C476" s="6"/>
      <c r="D476" s="6"/>
    </row>
    <row r="477" spans="1:4">
      <c r="A477" s="35"/>
      <c r="B477" s="36"/>
      <c r="C477" s="6"/>
      <c r="D477" s="6"/>
    </row>
    <row r="478" spans="1:4">
      <c r="A478" s="35"/>
      <c r="B478" s="36"/>
      <c r="C478" s="6"/>
      <c r="D478" s="6"/>
    </row>
    <row r="479" spans="1:4">
      <c r="A479" s="35"/>
      <c r="B479" s="36"/>
      <c r="C479" s="6"/>
      <c r="D479" s="6"/>
    </row>
    <row r="480" spans="1:4">
      <c r="A480" s="35"/>
      <c r="B480" s="36"/>
      <c r="C480" s="6"/>
      <c r="D480" s="6"/>
    </row>
    <row r="481" spans="1:4">
      <c r="A481" s="35"/>
      <c r="B481" s="36"/>
      <c r="C481" s="6"/>
      <c r="D481" s="6"/>
    </row>
    <row r="482" spans="1:4">
      <c r="A482" s="35"/>
      <c r="B482" s="36"/>
      <c r="C482" s="6"/>
      <c r="D482" s="6"/>
    </row>
    <row r="483" spans="1:4">
      <c r="A483" s="35"/>
      <c r="B483" s="36"/>
      <c r="C483" s="6"/>
      <c r="D483" s="6"/>
    </row>
    <row r="484" spans="1:4">
      <c r="A484" s="35"/>
      <c r="B484" s="36"/>
      <c r="C484" s="6"/>
      <c r="D484" s="6"/>
    </row>
    <row r="485" spans="1:4">
      <c r="A485" s="35"/>
      <c r="B485" s="36"/>
      <c r="C485" s="6"/>
      <c r="D485" s="6"/>
    </row>
    <row r="486" spans="1:4">
      <c r="A486" s="35"/>
      <c r="B486" s="36"/>
      <c r="C486" s="6"/>
      <c r="D486" s="6"/>
    </row>
    <row r="487" spans="1:4">
      <c r="A487" s="35"/>
      <c r="B487" s="36"/>
      <c r="C487" s="6"/>
      <c r="D487" s="6"/>
    </row>
    <row r="488" spans="1:4">
      <c r="A488" s="35"/>
      <c r="B488" s="36"/>
      <c r="C488" s="6"/>
      <c r="D488" s="6"/>
    </row>
    <row r="489" spans="1:4">
      <c r="A489" s="35"/>
      <c r="B489" s="36"/>
      <c r="C489" s="6"/>
      <c r="D489" s="6"/>
    </row>
    <row r="490" spans="1:4">
      <c r="A490" s="35"/>
      <c r="B490" s="36"/>
      <c r="C490" s="6"/>
      <c r="D490" s="6"/>
    </row>
    <row r="491" spans="1:4">
      <c r="A491" s="35"/>
      <c r="B491" s="36"/>
      <c r="C491" s="6"/>
      <c r="D491" s="6"/>
    </row>
    <row r="492" spans="1:4">
      <c r="A492" s="35"/>
      <c r="B492" s="36"/>
      <c r="C492" s="6"/>
      <c r="D492" s="6"/>
    </row>
    <row r="493" spans="1:4">
      <c r="A493" s="35"/>
      <c r="B493" s="36"/>
      <c r="C493" s="6"/>
      <c r="D493" s="6"/>
    </row>
    <row r="494" spans="1:4">
      <c r="A494" s="35"/>
      <c r="B494" s="36"/>
      <c r="C494" s="6"/>
      <c r="D494" s="6"/>
    </row>
    <row r="495" spans="1:4">
      <c r="A495" s="35"/>
      <c r="B495" s="36"/>
      <c r="C495" s="6"/>
      <c r="D495" s="6"/>
    </row>
    <row r="496" spans="1:4">
      <c r="A496" s="35"/>
      <c r="B496" s="36"/>
      <c r="C496" s="6"/>
      <c r="D496" s="6"/>
    </row>
    <row r="497" spans="1:4">
      <c r="A497" s="35"/>
      <c r="B497" s="36"/>
      <c r="C497" s="6"/>
      <c r="D497" s="6"/>
    </row>
    <row r="498" spans="1:4">
      <c r="A498" s="35"/>
      <c r="B498" s="36"/>
      <c r="C498" s="6"/>
      <c r="D498" s="6"/>
    </row>
    <row r="499" spans="1:4">
      <c r="A499" s="35"/>
      <c r="B499" s="36"/>
      <c r="C499" s="6"/>
      <c r="D499" s="6"/>
    </row>
    <row r="500" spans="1:4">
      <c r="A500" s="35"/>
      <c r="B500" s="36"/>
      <c r="C500" s="6"/>
      <c r="D500" s="6"/>
    </row>
    <row r="501" spans="1:4">
      <c r="A501" s="35"/>
      <c r="B501" s="36"/>
      <c r="C501" s="6"/>
      <c r="D501" s="6"/>
    </row>
    <row r="502" spans="1:4">
      <c r="A502" s="35"/>
      <c r="B502" s="36"/>
      <c r="C502" s="6"/>
      <c r="D502" s="6"/>
    </row>
    <row r="503" spans="1:4">
      <c r="A503" s="35"/>
      <c r="B503" s="36"/>
      <c r="C503" s="6"/>
      <c r="D503" s="6"/>
    </row>
    <row r="504" spans="1:4">
      <c r="A504" s="35"/>
      <c r="B504" s="36"/>
      <c r="C504" s="6"/>
      <c r="D504" s="6"/>
    </row>
    <row r="505" spans="1:4">
      <c r="A505" s="35"/>
      <c r="B505" s="36"/>
      <c r="C505" s="6"/>
      <c r="D505" s="6"/>
    </row>
    <row r="506" spans="1:4">
      <c r="A506" s="35"/>
      <c r="B506" s="36"/>
      <c r="C506" s="6"/>
      <c r="D506" s="6"/>
    </row>
    <row r="507" spans="1:4">
      <c r="A507" s="35"/>
      <c r="B507" s="36"/>
      <c r="C507" s="6"/>
      <c r="D507" s="6"/>
    </row>
    <row r="508" spans="1:4">
      <c r="A508" s="35"/>
      <c r="B508" s="36"/>
      <c r="C508" s="6"/>
      <c r="D508" s="6"/>
    </row>
    <row r="509" spans="1:4">
      <c r="A509" s="35"/>
      <c r="B509" s="36"/>
      <c r="C509" s="6"/>
      <c r="D509" s="6"/>
    </row>
    <row r="510" spans="1:4">
      <c r="A510" s="35"/>
      <c r="B510" s="36"/>
      <c r="C510" s="6"/>
      <c r="D510" s="6"/>
    </row>
    <row r="511" spans="1:4">
      <c r="A511" s="35"/>
      <c r="B511" s="36"/>
      <c r="C511" s="6"/>
      <c r="D511" s="6"/>
    </row>
    <row r="512" spans="1:4">
      <c r="A512" s="35"/>
      <c r="B512" s="36"/>
      <c r="C512" s="6"/>
      <c r="D512" s="6"/>
    </row>
    <row r="513" spans="1:4">
      <c r="A513" s="35"/>
      <c r="B513" s="36"/>
      <c r="C513" s="6"/>
      <c r="D513" s="6"/>
    </row>
    <row r="514" spans="1:4">
      <c r="A514" s="35"/>
      <c r="B514" s="36"/>
      <c r="C514" s="6"/>
      <c r="D514" s="6"/>
    </row>
    <row r="515" spans="1:4">
      <c r="A515" s="35"/>
      <c r="B515" s="36"/>
      <c r="C515" s="6"/>
      <c r="D515" s="6"/>
    </row>
    <row r="516" spans="1:4">
      <c r="A516" s="35"/>
      <c r="B516" s="36"/>
      <c r="C516" s="6"/>
      <c r="D516" s="6"/>
    </row>
    <row r="517" spans="1:4">
      <c r="A517" s="35"/>
      <c r="B517" s="36"/>
      <c r="C517" s="6"/>
      <c r="D517" s="6"/>
    </row>
    <row r="518" spans="1:4">
      <c r="A518" s="35"/>
      <c r="B518" s="36"/>
      <c r="C518" s="6"/>
      <c r="D518" s="6"/>
    </row>
    <row r="519" spans="1:4">
      <c r="A519" s="35"/>
      <c r="B519" s="36"/>
      <c r="C519" s="6"/>
      <c r="D519" s="6"/>
    </row>
    <row r="520" spans="1:4">
      <c r="A520" s="35"/>
      <c r="B520" s="36"/>
      <c r="C520" s="6"/>
      <c r="D520" s="6"/>
    </row>
    <row r="521" spans="1:4">
      <c r="A521" s="35"/>
      <c r="B521" s="36"/>
      <c r="C521" s="6"/>
      <c r="D521" s="6"/>
    </row>
    <row r="522" spans="1:4">
      <c r="A522" s="35"/>
      <c r="B522" s="36"/>
      <c r="C522" s="6"/>
      <c r="D522" s="6"/>
    </row>
    <row r="523" spans="1:4">
      <c r="A523" s="35"/>
      <c r="B523" s="36"/>
      <c r="C523" s="6"/>
      <c r="D523" s="6"/>
    </row>
    <row r="524" spans="1:4">
      <c r="A524" s="35"/>
      <c r="B524" s="36"/>
      <c r="C524" s="6"/>
      <c r="D524" s="6"/>
    </row>
    <row r="525" spans="1:4">
      <c r="A525" s="35"/>
      <c r="B525" s="36"/>
      <c r="C525" s="6"/>
      <c r="D525" s="6"/>
    </row>
    <row r="526" spans="1:4">
      <c r="A526" s="35"/>
      <c r="B526" s="36"/>
      <c r="C526" s="6"/>
      <c r="D526" s="6"/>
    </row>
    <row r="527" spans="1:4">
      <c r="A527" s="35"/>
      <c r="B527" s="36"/>
      <c r="C527" s="6"/>
      <c r="D527" s="6"/>
    </row>
    <row r="528" spans="1:4">
      <c r="A528" s="35"/>
      <c r="B528" s="36"/>
      <c r="C528" s="6"/>
      <c r="D528" s="6"/>
    </row>
    <row r="529" spans="1:4">
      <c r="A529" s="35"/>
      <c r="B529" s="36"/>
      <c r="C529" s="6"/>
      <c r="D529" s="6"/>
    </row>
    <row r="530" spans="1:4">
      <c r="A530" s="35"/>
      <c r="B530" s="36"/>
      <c r="C530" s="6"/>
      <c r="D530" s="6"/>
    </row>
    <row r="531" spans="1:4">
      <c r="A531" s="35"/>
      <c r="B531" s="36"/>
      <c r="C531" s="6"/>
      <c r="D531" s="6"/>
    </row>
    <row r="532" spans="1:4">
      <c r="A532" s="35"/>
      <c r="B532" s="36"/>
      <c r="C532" s="6"/>
      <c r="D532" s="6"/>
    </row>
    <row r="533" spans="1:4">
      <c r="A533" s="35"/>
      <c r="B533" s="36"/>
      <c r="C533" s="6"/>
      <c r="D533" s="6"/>
    </row>
    <row r="534" spans="1:4">
      <c r="A534" s="35"/>
      <c r="B534" s="36"/>
      <c r="C534" s="6"/>
      <c r="D534" s="6"/>
    </row>
    <row r="535" spans="1:4">
      <c r="A535" s="35"/>
      <c r="B535" s="36"/>
      <c r="C535" s="6"/>
      <c r="D535" s="6"/>
    </row>
    <row r="536" spans="1:4">
      <c r="A536" s="35"/>
      <c r="B536" s="36"/>
      <c r="C536" s="6"/>
      <c r="D536" s="6"/>
    </row>
    <row r="537" spans="1:4">
      <c r="A537" s="35"/>
      <c r="B537" s="36"/>
      <c r="C537" s="6"/>
      <c r="D537" s="6"/>
    </row>
    <row r="538" spans="1:4">
      <c r="A538" s="35"/>
      <c r="B538" s="36"/>
      <c r="C538" s="6"/>
      <c r="D538" s="6"/>
    </row>
    <row r="539" spans="1:4">
      <c r="A539" s="35"/>
      <c r="B539" s="36"/>
      <c r="C539" s="6"/>
      <c r="D539" s="6"/>
    </row>
    <row r="540" spans="1:4">
      <c r="A540" s="35"/>
      <c r="B540" s="36"/>
      <c r="C540" s="6"/>
      <c r="D540" s="6"/>
    </row>
    <row r="541" spans="1:4">
      <c r="A541" s="35"/>
      <c r="B541" s="36"/>
      <c r="C541" s="6"/>
      <c r="D541" s="6"/>
    </row>
    <row r="542" spans="1:4">
      <c r="A542" s="35"/>
      <c r="B542" s="36"/>
      <c r="C542" s="6"/>
      <c r="D542" s="6"/>
    </row>
    <row r="543" spans="1:4">
      <c r="A543" s="35"/>
      <c r="B543" s="36"/>
      <c r="C543" s="6"/>
      <c r="D543" s="6"/>
    </row>
    <row r="544" spans="1:4">
      <c r="A544" s="35"/>
      <c r="B544" s="36"/>
      <c r="C544" s="6"/>
      <c r="D544" s="6"/>
    </row>
    <row r="545" spans="1:4">
      <c r="A545" s="35"/>
      <c r="B545" s="36"/>
      <c r="C545" s="6"/>
      <c r="D545" s="6"/>
    </row>
    <row r="546" spans="1:4">
      <c r="A546" s="35"/>
      <c r="B546" s="36"/>
      <c r="C546" s="6"/>
      <c r="D546" s="6"/>
    </row>
    <row r="547" spans="1:4">
      <c r="A547" s="35"/>
      <c r="B547" s="36"/>
      <c r="C547" s="6"/>
      <c r="D547" s="6"/>
    </row>
    <row r="548" spans="1:4">
      <c r="A548" s="35"/>
      <c r="B548" s="36"/>
      <c r="C548" s="6"/>
      <c r="D548" s="6"/>
    </row>
    <row r="549" spans="1:4">
      <c r="A549" s="35"/>
      <c r="B549" s="36"/>
      <c r="C549" s="6"/>
      <c r="D549" s="6"/>
    </row>
    <row r="550" spans="1:4">
      <c r="A550" s="35"/>
      <c r="B550" s="36"/>
      <c r="C550" s="6"/>
      <c r="D550" s="6"/>
    </row>
    <row r="551" spans="1:4">
      <c r="A551" s="35"/>
      <c r="B551" s="36"/>
      <c r="C551" s="6"/>
      <c r="D551" s="6"/>
    </row>
    <row r="552" spans="1:4">
      <c r="A552" s="35"/>
      <c r="B552" s="36"/>
      <c r="C552" s="6"/>
      <c r="D552" s="6"/>
    </row>
    <row r="553" spans="1:4">
      <c r="A553" s="35"/>
      <c r="B553" s="36"/>
      <c r="C553" s="6"/>
      <c r="D553" s="6"/>
    </row>
    <row r="554" spans="1:4">
      <c r="A554" s="35"/>
      <c r="B554" s="36"/>
      <c r="C554" s="6"/>
      <c r="D554" s="6"/>
    </row>
    <row r="555" spans="1:4">
      <c r="A555" s="35"/>
      <c r="B555" s="36"/>
      <c r="C555" s="6"/>
      <c r="D555" s="6"/>
    </row>
    <row r="556" spans="1:4">
      <c r="A556" s="35"/>
      <c r="B556" s="36"/>
      <c r="C556" s="6"/>
      <c r="D556" s="6"/>
    </row>
    <row r="557" spans="1:4">
      <c r="A557" s="35"/>
      <c r="B557" s="36"/>
      <c r="C557" s="6"/>
      <c r="D557" s="6"/>
    </row>
    <row r="558" spans="1:4">
      <c r="A558" s="35"/>
      <c r="B558" s="36"/>
      <c r="C558" s="6"/>
      <c r="D558" s="6"/>
    </row>
    <row r="559" spans="1:4">
      <c r="A559" s="35"/>
      <c r="B559" s="36"/>
      <c r="C559" s="6"/>
      <c r="D559" s="6"/>
    </row>
    <row r="560" spans="1:4">
      <c r="A560" s="35"/>
      <c r="B560" s="36"/>
      <c r="C560" s="6"/>
      <c r="D560" s="6"/>
    </row>
    <row r="561" spans="1:4">
      <c r="A561" s="35"/>
      <c r="B561" s="36"/>
      <c r="C561" s="6"/>
      <c r="D561" s="6"/>
    </row>
    <row r="562" spans="1:4">
      <c r="A562" s="35"/>
      <c r="B562" s="36"/>
      <c r="C562" s="6"/>
      <c r="D562" s="6"/>
    </row>
    <row r="563" spans="1:4">
      <c r="A563" s="35"/>
      <c r="B563" s="36"/>
      <c r="C563" s="6"/>
      <c r="D563" s="6"/>
    </row>
    <row r="564" spans="1:4">
      <c r="A564" s="35"/>
      <c r="B564" s="36"/>
      <c r="C564" s="6"/>
      <c r="D564" s="6"/>
    </row>
    <row r="565" spans="1:4">
      <c r="A565" s="35"/>
      <c r="B565" s="36"/>
      <c r="C565" s="6"/>
      <c r="D565" s="6"/>
    </row>
    <row r="566" spans="1:4">
      <c r="A566" s="35"/>
      <c r="B566" s="36"/>
      <c r="C566" s="6"/>
      <c r="D566" s="6"/>
    </row>
    <row r="567" spans="1:4">
      <c r="A567" s="35"/>
      <c r="B567" s="36"/>
      <c r="C567" s="6"/>
      <c r="D567" s="6"/>
    </row>
    <row r="568" spans="1:4">
      <c r="A568" s="35"/>
      <c r="B568" s="36"/>
      <c r="C568" s="6"/>
      <c r="D568" s="6"/>
    </row>
    <row r="569" spans="1:4">
      <c r="A569" s="35"/>
      <c r="B569" s="36"/>
      <c r="C569" s="6"/>
      <c r="D569" s="6"/>
    </row>
    <row r="570" spans="1:4">
      <c r="A570" s="35"/>
      <c r="B570" s="36"/>
      <c r="C570" s="6"/>
      <c r="D570" s="6"/>
    </row>
    <row r="571" spans="1:4">
      <c r="A571" s="35"/>
      <c r="B571" s="36"/>
      <c r="C571" s="6"/>
      <c r="D571" s="6"/>
    </row>
    <row r="572" spans="1:4">
      <c r="A572" s="35"/>
      <c r="B572" s="36"/>
      <c r="C572" s="6"/>
      <c r="D572" s="6"/>
    </row>
    <row r="573" spans="1:4">
      <c r="A573" s="35"/>
      <c r="B573" s="36"/>
      <c r="C573" s="6"/>
      <c r="D573" s="6"/>
    </row>
    <row r="574" spans="1:4">
      <c r="A574" s="35"/>
      <c r="B574" s="36"/>
      <c r="C574" s="6"/>
      <c r="D574" s="6"/>
    </row>
    <row r="575" spans="1:4">
      <c r="A575" s="35"/>
      <c r="B575" s="36"/>
      <c r="C575" s="6"/>
      <c r="D575" s="6"/>
    </row>
    <row r="576" spans="1:4">
      <c r="A576" s="35"/>
      <c r="B576" s="36"/>
      <c r="C576" s="6"/>
      <c r="D576" s="6"/>
    </row>
    <row r="577" spans="1:4">
      <c r="A577" s="35"/>
      <c r="B577" s="36"/>
      <c r="C577" s="6"/>
      <c r="D577" s="6"/>
    </row>
    <row r="578" spans="1:4">
      <c r="A578" s="35"/>
      <c r="B578" s="36"/>
      <c r="C578" s="6"/>
      <c r="D578" s="6"/>
    </row>
    <row r="579" spans="1:4">
      <c r="A579" s="35"/>
      <c r="B579" s="36"/>
      <c r="C579" s="6"/>
      <c r="D579" s="6"/>
    </row>
    <row r="580" spans="1:4">
      <c r="A580" s="35"/>
      <c r="B580" s="36"/>
      <c r="C580" s="6"/>
      <c r="D580" s="6"/>
    </row>
    <row r="581" spans="1:4">
      <c r="A581" s="35"/>
      <c r="B581" s="36"/>
      <c r="C581" s="6"/>
      <c r="D581" s="6"/>
    </row>
    <row r="582" spans="1:4">
      <c r="A582" s="35"/>
      <c r="B582" s="36"/>
      <c r="C582" s="6"/>
      <c r="D582" s="6"/>
    </row>
    <row r="583" spans="1:4">
      <c r="A583" s="35"/>
      <c r="B583" s="36"/>
      <c r="C583" s="6"/>
      <c r="D583" s="6"/>
    </row>
    <row r="584" spans="1:4">
      <c r="A584" s="35"/>
      <c r="B584" s="36"/>
      <c r="C584" s="6"/>
      <c r="D584" s="6"/>
    </row>
    <row r="585" spans="1:4">
      <c r="A585" s="35"/>
      <c r="B585" s="36"/>
      <c r="C585" s="6"/>
      <c r="D585" s="6"/>
    </row>
    <row r="586" spans="1:4">
      <c r="A586" s="35"/>
      <c r="B586" s="36"/>
      <c r="C586" s="6"/>
      <c r="D586" s="6"/>
    </row>
    <row r="587" spans="1:4">
      <c r="A587" s="35"/>
      <c r="B587" s="36"/>
      <c r="C587" s="6"/>
      <c r="D587" s="6"/>
    </row>
    <row r="588" spans="1:4">
      <c r="A588" s="35"/>
      <c r="B588" s="36"/>
      <c r="C588" s="6"/>
      <c r="D588" s="6"/>
    </row>
    <row r="589" spans="1:4">
      <c r="A589" s="35"/>
      <c r="B589" s="36"/>
      <c r="C589" s="6"/>
      <c r="D589" s="6"/>
    </row>
    <row r="590" spans="1:4">
      <c r="A590" s="35"/>
      <c r="B590" s="36"/>
      <c r="C590" s="6"/>
      <c r="D590" s="6"/>
    </row>
    <row r="591" spans="1:4">
      <c r="A591" s="35"/>
      <c r="B591" s="36"/>
      <c r="C591" s="6"/>
      <c r="D591" s="6"/>
    </row>
    <row r="592" spans="1:4">
      <c r="A592" s="35"/>
      <c r="B592" s="36"/>
      <c r="C592" s="6"/>
      <c r="D592" s="6"/>
    </row>
    <row r="593" spans="1:4">
      <c r="A593" s="35"/>
      <c r="B593" s="36"/>
      <c r="C593" s="6"/>
      <c r="D593" s="6"/>
    </row>
    <row r="594" spans="1:4">
      <c r="A594" s="35"/>
      <c r="B594" s="36"/>
      <c r="C594" s="6"/>
      <c r="D594" s="6"/>
    </row>
    <row r="595" spans="1:4">
      <c r="A595" s="35"/>
      <c r="B595" s="36"/>
      <c r="C595" s="6"/>
      <c r="D595" s="6"/>
    </row>
    <row r="596" spans="1:4">
      <c r="A596" s="35"/>
      <c r="B596" s="36"/>
      <c r="C596" s="6"/>
      <c r="D596" s="6"/>
    </row>
    <row r="597" spans="1:4">
      <c r="A597" s="35"/>
      <c r="B597" s="36"/>
      <c r="C597" s="6"/>
      <c r="D597" s="6"/>
    </row>
    <row r="598" spans="1:4">
      <c r="A598" s="35"/>
      <c r="B598" s="36"/>
      <c r="C598" s="6"/>
      <c r="D598" s="6"/>
    </row>
    <row r="599" spans="1:4">
      <c r="A599" s="35"/>
      <c r="B599" s="36"/>
      <c r="C599" s="6"/>
      <c r="D599" s="6"/>
    </row>
    <row r="600" spans="1:4">
      <c r="A600" s="35"/>
      <c r="B600" s="36"/>
      <c r="C600" s="6"/>
      <c r="D600" s="6"/>
    </row>
    <row r="601" spans="1:4">
      <c r="A601" s="35"/>
      <c r="B601" s="36"/>
      <c r="C601" s="6"/>
      <c r="D601" s="6"/>
    </row>
    <row r="602" spans="1:4">
      <c r="A602" s="35"/>
      <c r="B602" s="36"/>
      <c r="C602" s="6"/>
      <c r="D602" s="6"/>
    </row>
    <row r="603" spans="1:4">
      <c r="A603" s="35"/>
      <c r="B603" s="36"/>
      <c r="C603" s="6"/>
      <c r="D603" s="6"/>
    </row>
    <row r="604" spans="1:4">
      <c r="A604" s="35"/>
      <c r="B604" s="36"/>
      <c r="C604" s="6"/>
      <c r="D604" s="6"/>
    </row>
    <row r="605" spans="1:4">
      <c r="A605" s="35"/>
      <c r="B605" s="36"/>
      <c r="C605" s="6"/>
      <c r="D605" s="6"/>
    </row>
    <row r="606" spans="1:4">
      <c r="A606" s="35"/>
      <c r="B606" s="36"/>
      <c r="C606" s="6"/>
      <c r="D606" s="6"/>
    </row>
    <row r="607" spans="1:4">
      <c r="A607" s="35"/>
      <c r="B607" s="36"/>
      <c r="C607" s="6"/>
      <c r="D607" s="6"/>
    </row>
    <row r="608" spans="1:4">
      <c r="A608" s="35"/>
      <c r="B608" s="36"/>
      <c r="C608" s="6"/>
      <c r="D608" s="6"/>
    </row>
    <row r="609" spans="1:4">
      <c r="A609" s="35"/>
      <c r="B609" s="36"/>
      <c r="C609" s="6"/>
      <c r="D609" s="6"/>
    </row>
    <row r="610" spans="1:4">
      <c r="A610" s="35"/>
      <c r="B610" s="36"/>
      <c r="C610" s="6"/>
      <c r="D610" s="6"/>
    </row>
    <row r="611" spans="1:4">
      <c r="A611" s="35"/>
      <c r="B611" s="36"/>
      <c r="C611" s="6"/>
      <c r="D611" s="6"/>
    </row>
    <row r="612" spans="1:4">
      <c r="A612" s="35"/>
      <c r="B612" s="36"/>
      <c r="C612" s="6"/>
      <c r="D612" s="6"/>
    </row>
    <row r="613" spans="1:4">
      <c r="A613" s="35"/>
      <c r="B613" s="36"/>
      <c r="C613" s="6"/>
      <c r="D613" s="6"/>
    </row>
    <row r="614" spans="1:4">
      <c r="A614" s="35"/>
      <c r="B614" s="36"/>
      <c r="C614" s="6"/>
      <c r="D614" s="6"/>
    </row>
    <row r="615" spans="1:4">
      <c r="A615" s="35"/>
      <c r="B615" s="36"/>
      <c r="C615" s="6"/>
      <c r="D615" s="6"/>
    </row>
    <row r="616" spans="1:4">
      <c r="A616" s="35"/>
      <c r="B616" s="36"/>
      <c r="C616" s="6"/>
      <c r="D616" s="6"/>
    </row>
    <row r="617" spans="1:4">
      <c r="A617" s="35"/>
      <c r="B617" s="36"/>
      <c r="C617" s="6"/>
      <c r="D617" s="6"/>
    </row>
    <row r="618" spans="1:4">
      <c r="A618" s="35"/>
      <c r="B618" s="36"/>
      <c r="C618" s="6"/>
      <c r="D618" s="6"/>
    </row>
    <row r="619" spans="1:4">
      <c r="A619" s="35"/>
      <c r="B619" s="36"/>
      <c r="C619" s="6"/>
      <c r="D619" s="6"/>
    </row>
    <row r="620" spans="1:4">
      <c r="A620" s="35"/>
      <c r="B620" s="36"/>
      <c r="C620" s="6"/>
      <c r="D620" s="6"/>
    </row>
    <row r="621" spans="1:4">
      <c r="A621" s="35"/>
      <c r="B621" s="36"/>
      <c r="C621" s="6"/>
      <c r="D621" s="6"/>
    </row>
    <row r="622" spans="1:4">
      <c r="A622" s="35"/>
      <c r="B622" s="36"/>
      <c r="C622" s="6"/>
      <c r="D622" s="6"/>
    </row>
    <row r="623" spans="1:4">
      <c r="A623" s="35"/>
      <c r="B623" s="36"/>
      <c r="C623" s="6"/>
      <c r="D623" s="6"/>
    </row>
    <row r="624" spans="1:4">
      <c r="A624" s="35"/>
      <c r="B624" s="36"/>
      <c r="C624" s="6"/>
      <c r="D624" s="6"/>
    </row>
    <row r="625" spans="1:4">
      <c r="A625" s="35"/>
      <c r="B625" s="36"/>
      <c r="C625" s="6"/>
      <c r="D625" s="6"/>
    </row>
    <row r="626" spans="1:4">
      <c r="A626" s="35"/>
      <c r="B626" s="36"/>
      <c r="C626" s="6"/>
      <c r="D626" s="6"/>
    </row>
    <row r="627" spans="1:4">
      <c r="A627" s="35"/>
      <c r="B627" s="36"/>
      <c r="C627" s="6"/>
      <c r="D627" s="6"/>
    </row>
    <row r="628" spans="1:4">
      <c r="A628" s="35"/>
      <c r="B628" s="36"/>
      <c r="C628" s="6"/>
      <c r="D628" s="6"/>
    </row>
    <row r="629" spans="1:4">
      <c r="A629" s="35"/>
      <c r="B629" s="36"/>
      <c r="C629" s="6"/>
      <c r="D629" s="6"/>
    </row>
    <row r="630" spans="1:4">
      <c r="A630" s="35"/>
      <c r="B630" s="36"/>
      <c r="C630" s="6"/>
      <c r="D630" s="6"/>
    </row>
    <row r="631" spans="1:4">
      <c r="A631" s="35"/>
      <c r="B631" s="36"/>
      <c r="C631" s="6"/>
      <c r="D631" s="6"/>
    </row>
    <row r="632" spans="1:4">
      <c r="A632" s="35"/>
      <c r="B632" s="36"/>
      <c r="C632" s="6"/>
      <c r="D632" s="6"/>
    </row>
    <row r="633" spans="1:4">
      <c r="A633" s="35"/>
      <c r="B633" s="36"/>
      <c r="C633" s="6"/>
      <c r="D633" s="6"/>
    </row>
    <row r="634" spans="1:4">
      <c r="A634" s="35"/>
      <c r="B634" s="36"/>
      <c r="C634" s="6"/>
      <c r="D634" s="6"/>
    </row>
    <row r="635" spans="1:4">
      <c r="A635" s="35"/>
      <c r="B635" s="36"/>
      <c r="C635" s="6"/>
      <c r="D635" s="6"/>
    </row>
    <row r="636" spans="1:4">
      <c r="A636" s="35"/>
      <c r="B636" s="36"/>
      <c r="C636" s="6"/>
      <c r="D636" s="6"/>
    </row>
    <row r="637" spans="1:4">
      <c r="A637" s="35"/>
      <c r="B637" s="36"/>
      <c r="C637" s="6"/>
      <c r="D637" s="6"/>
    </row>
    <row r="638" spans="1:4">
      <c r="A638" s="35"/>
      <c r="B638" s="36"/>
      <c r="C638" s="6"/>
      <c r="D638" s="6"/>
    </row>
    <row r="639" spans="1:4">
      <c r="A639" s="35"/>
      <c r="B639" s="36"/>
      <c r="C639" s="6"/>
      <c r="D639" s="6"/>
    </row>
    <row r="640" spans="1:4">
      <c r="A640" s="35"/>
      <c r="B640" s="36"/>
      <c r="C640" s="6"/>
      <c r="D640" s="6"/>
    </row>
    <row r="641" spans="1:4">
      <c r="A641" s="35"/>
      <c r="B641" s="36"/>
      <c r="C641" s="6"/>
      <c r="D641" s="6"/>
    </row>
    <row r="642" spans="1:4">
      <c r="A642" s="35"/>
      <c r="B642" s="36"/>
      <c r="C642" s="6"/>
      <c r="D642" s="6"/>
    </row>
    <row r="643" spans="1:4">
      <c r="A643" s="35"/>
      <c r="B643" s="36"/>
      <c r="C643" s="6"/>
      <c r="D643" s="6"/>
    </row>
    <row r="644" spans="1:4">
      <c r="A644" s="35"/>
      <c r="B644" s="36"/>
      <c r="C644" s="6"/>
      <c r="D644" s="6"/>
    </row>
    <row r="645" spans="1:4">
      <c r="A645" s="35"/>
      <c r="B645" s="36"/>
      <c r="C645" s="6"/>
      <c r="D645" s="6"/>
    </row>
    <row r="646" spans="1:4">
      <c r="A646" s="35"/>
      <c r="B646" s="36"/>
      <c r="C646" s="6"/>
      <c r="D646" s="6"/>
    </row>
    <row r="647" spans="1:4">
      <c r="A647" s="35"/>
      <c r="B647" s="36"/>
      <c r="C647" s="6"/>
      <c r="D647" s="6"/>
    </row>
    <row r="648" spans="1:4">
      <c r="A648" s="35"/>
      <c r="B648" s="36"/>
      <c r="C648" s="6"/>
      <c r="D648" s="6"/>
    </row>
    <row r="649" spans="1:4">
      <c r="A649" s="35"/>
      <c r="B649" s="36"/>
      <c r="C649" s="6"/>
      <c r="D649" s="6"/>
    </row>
    <row r="650" spans="1:4">
      <c r="A650" s="35"/>
      <c r="B650" s="36"/>
      <c r="C650" s="6"/>
      <c r="D650" s="6"/>
    </row>
    <row r="651" spans="1:4">
      <c r="A651" s="35"/>
      <c r="B651" s="36"/>
      <c r="C651" s="6"/>
      <c r="D651" s="6"/>
    </row>
    <row r="652" spans="1:4">
      <c r="A652" s="35"/>
      <c r="B652" s="36"/>
      <c r="C652" s="6"/>
      <c r="D652" s="6"/>
    </row>
    <row r="653" spans="1:4">
      <c r="A653" s="35"/>
      <c r="B653" s="36"/>
      <c r="C653" s="6"/>
      <c r="D653" s="6"/>
    </row>
    <row r="654" spans="1:4">
      <c r="A654" s="35"/>
      <c r="B654" s="36"/>
      <c r="C654" s="6"/>
      <c r="D654" s="6"/>
    </row>
    <row r="655" spans="1:4">
      <c r="A655" s="35"/>
      <c r="B655" s="36"/>
      <c r="C655" s="6"/>
      <c r="D655" s="6"/>
    </row>
    <row r="656" spans="1:4">
      <c r="A656" s="35"/>
      <c r="B656" s="36"/>
      <c r="C656" s="6"/>
      <c r="D656" s="6"/>
    </row>
    <row r="657" spans="1:4">
      <c r="A657" s="35"/>
      <c r="B657" s="36"/>
      <c r="C657" s="6"/>
      <c r="D657" s="6"/>
    </row>
    <row r="658" spans="1:4">
      <c r="A658" s="35"/>
      <c r="B658" s="36"/>
      <c r="C658" s="6"/>
      <c r="D658" s="6"/>
    </row>
    <row r="659" spans="1:4">
      <c r="A659" s="35"/>
      <c r="B659" s="36"/>
      <c r="C659" s="6"/>
      <c r="D659" s="6"/>
    </row>
    <row r="660" spans="1:4">
      <c r="A660" s="35"/>
      <c r="B660" s="36"/>
      <c r="C660" s="6"/>
      <c r="D660" s="6"/>
    </row>
    <row r="661" spans="1:4">
      <c r="A661" s="35"/>
      <c r="B661" s="36"/>
      <c r="C661" s="6"/>
      <c r="D661" s="6"/>
    </row>
    <row r="662" spans="1:4">
      <c r="A662" s="35"/>
      <c r="B662" s="36"/>
      <c r="C662" s="6"/>
      <c r="D662" s="6"/>
    </row>
    <row r="663" spans="1:4">
      <c r="A663" s="35"/>
      <c r="B663" s="36"/>
      <c r="C663" s="6"/>
      <c r="D663" s="6"/>
    </row>
    <row r="664" spans="1:4">
      <c r="A664" s="35"/>
      <c r="B664" s="36"/>
      <c r="C664" s="6"/>
      <c r="D664" s="6"/>
    </row>
    <row r="665" spans="1:4">
      <c r="A665" s="35"/>
      <c r="B665" s="36"/>
      <c r="C665" s="6"/>
      <c r="D665" s="6"/>
    </row>
    <row r="666" spans="1:4">
      <c r="A666" s="35"/>
      <c r="B666" s="36"/>
      <c r="C666" s="6"/>
      <c r="D666" s="6"/>
    </row>
    <row r="667" spans="1:4">
      <c r="A667" s="35"/>
      <c r="B667" s="36"/>
      <c r="C667" s="6"/>
      <c r="D667" s="6"/>
    </row>
    <row r="668" spans="1:4">
      <c r="A668" s="35"/>
      <c r="B668" s="36"/>
      <c r="C668" s="6"/>
      <c r="D668" s="6"/>
    </row>
    <row r="669" spans="1:4">
      <c r="A669" s="35"/>
      <c r="B669" s="36"/>
      <c r="C669" s="6"/>
      <c r="D669" s="6"/>
    </row>
    <row r="670" spans="1:4">
      <c r="A670" s="35"/>
      <c r="B670" s="36"/>
      <c r="C670" s="6"/>
      <c r="D670" s="6"/>
    </row>
    <row r="671" spans="1:4">
      <c r="A671" s="35"/>
      <c r="B671" s="36"/>
      <c r="C671" s="6"/>
      <c r="D671" s="6"/>
    </row>
    <row r="672" spans="1:4">
      <c r="A672" s="35"/>
      <c r="B672" s="36"/>
      <c r="C672" s="6"/>
      <c r="D672" s="6"/>
    </row>
    <row r="673" spans="1:4">
      <c r="A673" s="35"/>
      <c r="B673" s="36"/>
      <c r="C673" s="6"/>
      <c r="D673" s="6"/>
    </row>
    <row r="674" spans="1:4">
      <c r="A674" s="35"/>
      <c r="B674" s="36"/>
      <c r="C674" s="6"/>
      <c r="D674" s="6"/>
    </row>
    <row r="675" spans="1:4">
      <c r="A675" s="35"/>
      <c r="B675" s="36"/>
      <c r="C675" s="6"/>
      <c r="D675" s="6"/>
    </row>
    <row r="676" spans="1:4">
      <c r="A676" s="35"/>
      <c r="B676" s="36"/>
      <c r="C676" s="6"/>
      <c r="D676" s="6"/>
    </row>
    <row r="677" spans="1:4">
      <c r="A677" s="35"/>
      <c r="B677" s="36"/>
      <c r="C677" s="6"/>
      <c r="D677" s="6"/>
    </row>
    <row r="678" spans="1:4">
      <c r="A678" s="35"/>
      <c r="B678" s="36"/>
      <c r="C678" s="6"/>
      <c r="D678" s="6"/>
    </row>
    <row r="679" spans="1:4">
      <c r="A679" s="35"/>
      <c r="B679" s="36"/>
      <c r="C679" s="6"/>
      <c r="D679" s="6"/>
    </row>
    <row r="680" spans="1:4">
      <c r="A680" s="35"/>
      <c r="B680" s="36"/>
      <c r="C680" s="6"/>
      <c r="D680" s="6"/>
    </row>
    <row r="681" spans="1:4">
      <c r="A681" s="35"/>
      <c r="B681" s="36"/>
      <c r="C681" s="6"/>
      <c r="D681" s="6"/>
    </row>
    <row r="682" spans="1:4">
      <c r="A682" s="35"/>
      <c r="B682" s="36"/>
      <c r="C682" s="6"/>
      <c r="D682" s="6"/>
    </row>
    <row r="683" spans="1:4">
      <c r="A683" s="35"/>
      <c r="B683" s="36"/>
      <c r="C683" s="6"/>
      <c r="D683" s="6"/>
    </row>
    <row r="684" spans="1:4">
      <c r="A684" s="35"/>
      <c r="B684" s="36"/>
      <c r="C684" s="6"/>
      <c r="D684" s="6"/>
    </row>
    <row r="685" spans="1:4">
      <c r="A685" s="35"/>
      <c r="B685" s="36"/>
      <c r="C685" s="6"/>
      <c r="D685" s="6"/>
    </row>
    <row r="686" spans="1:4">
      <c r="A686" s="35"/>
      <c r="B686" s="36"/>
      <c r="C686" s="6"/>
      <c r="D686" s="6"/>
    </row>
    <row r="687" spans="1:4">
      <c r="A687" s="35"/>
      <c r="B687" s="36"/>
      <c r="C687" s="6"/>
      <c r="D687" s="6"/>
    </row>
    <row r="688" spans="1:4">
      <c r="A688" s="35"/>
      <c r="B688" s="36"/>
      <c r="C688" s="6"/>
      <c r="D688" s="6"/>
    </row>
    <row r="689" spans="1:4">
      <c r="A689" s="35"/>
      <c r="B689" s="36"/>
      <c r="C689" s="6"/>
      <c r="D689" s="6"/>
    </row>
    <row r="690" spans="1:4">
      <c r="A690" s="35"/>
      <c r="B690" s="36"/>
      <c r="C690" s="6"/>
      <c r="D690" s="6"/>
    </row>
    <row r="691" spans="1:4">
      <c r="A691" s="35"/>
      <c r="B691" s="36"/>
      <c r="C691" s="6"/>
      <c r="D691" s="6"/>
    </row>
    <row r="692" spans="1:4">
      <c r="A692" s="35"/>
      <c r="B692" s="36"/>
      <c r="C692" s="6"/>
      <c r="D692" s="6"/>
    </row>
    <row r="693" spans="1:4">
      <c r="A693" s="35"/>
      <c r="B693" s="36"/>
      <c r="C693" s="6"/>
      <c r="D693" s="6"/>
    </row>
    <row r="694" spans="1:4">
      <c r="A694" s="35"/>
      <c r="B694" s="36"/>
      <c r="C694" s="6"/>
      <c r="D694" s="6"/>
    </row>
    <row r="695" spans="1:4">
      <c r="A695" s="35"/>
      <c r="B695" s="36"/>
      <c r="C695" s="6"/>
      <c r="D695" s="6"/>
    </row>
    <row r="696" spans="1:4">
      <c r="A696" s="35"/>
      <c r="B696" s="36"/>
      <c r="C696" s="6"/>
      <c r="D696" s="6"/>
    </row>
    <row r="697" spans="1:4">
      <c r="A697" s="35"/>
      <c r="B697" s="36"/>
      <c r="C697" s="6"/>
      <c r="D697" s="6"/>
    </row>
    <row r="698" spans="1:4">
      <c r="A698" s="35"/>
      <c r="B698" s="36"/>
      <c r="C698" s="6"/>
      <c r="D698" s="6"/>
    </row>
    <row r="699" spans="1:4">
      <c r="A699" s="35"/>
      <c r="B699" s="36"/>
      <c r="C699" s="6"/>
      <c r="D699" s="6"/>
    </row>
    <row r="700" spans="1:4">
      <c r="A700" s="35"/>
      <c r="B700" s="36"/>
      <c r="C700" s="6"/>
      <c r="D700" s="6"/>
    </row>
    <row r="701" spans="1:4">
      <c r="A701" s="35"/>
      <c r="B701" s="36"/>
      <c r="C701" s="6"/>
      <c r="D701" s="6"/>
    </row>
    <row r="702" spans="1:4">
      <c r="A702" s="35"/>
      <c r="B702" s="36"/>
      <c r="C702" s="6"/>
      <c r="D702" s="6"/>
    </row>
    <row r="703" spans="1:4">
      <c r="A703" s="35"/>
      <c r="B703" s="36"/>
      <c r="C703" s="6"/>
      <c r="D703" s="6"/>
    </row>
    <row r="704" spans="1:4">
      <c r="A704" s="35"/>
      <c r="B704" s="36"/>
      <c r="C704" s="6"/>
      <c r="D704" s="6"/>
    </row>
    <row r="705" spans="1:4">
      <c r="A705" s="35"/>
      <c r="B705" s="36"/>
      <c r="C705" s="6"/>
      <c r="D705" s="6"/>
    </row>
    <row r="706" spans="1:4">
      <c r="A706" s="35"/>
      <c r="B706" s="36"/>
      <c r="C706" s="6"/>
      <c r="D706" s="6"/>
    </row>
    <row r="707" spans="1:4">
      <c r="A707" s="35"/>
      <c r="B707" s="36"/>
      <c r="C707" s="6"/>
      <c r="D707" s="6"/>
    </row>
    <row r="708" spans="1:4">
      <c r="A708" s="35"/>
      <c r="B708" s="36"/>
      <c r="C708" s="6"/>
      <c r="D708" s="6"/>
    </row>
    <row r="709" spans="1:4">
      <c r="A709" s="35"/>
      <c r="B709" s="36"/>
      <c r="C709" s="6"/>
      <c r="D709" s="6"/>
    </row>
    <row r="710" spans="1:4">
      <c r="A710" s="35"/>
      <c r="B710" s="36"/>
      <c r="C710" s="6"/>
      <c r="D710" s="6"/>
    </row>
    <row r="711" spans="1:4">
      <c r="A711" s="35"/>
      <c r="B711" s="36"/>
      <c r="C711" s="6"/>
      <c r="D711" s="6"/>
    </row>
    <row r="712" spans="1:4">
      <c r="A712" s="35"/>
      <c r="B712" s="36"/>
      <c r="C712" s="6"/>
      <c r="D712" s="6"/>
    </row>
    <row r="713" spans="1:4">
      <c r="A713" s="35"/>
      <c r="B713" s="36"/>
      <c r="C713" s="6"/>
      <c r="D713" s="6"/>
    </row>
    <row r="714" spans="1:4">
      <c r="A714" s="35"/>
      <c r="B714" s="36"/>
      <c r="C714" s="6"/>
      <c r="D714" s="6"/>
    </row>
    <row r="715" spans="1:4">
      <c r="A715" s="35"/>
      <c r="B715" s="36"/>
      <c r="C715" s="6"/>
      <c r="D715" s="6"/>
    </row>
    <row r="716" spans="1:4">
      <c r="A716" s="35"/>
      <c r="B716" s="36"/>
      <c r="C716" s="6"/>
      <c r="D716" s="6"/>
    </row>
    <row r="717" spans="1:4">
      <c r="A717" s="35"/>
      <c r="B717" s="36"/>
      <c r="C717" s="6"/>
      <c r="D717" s="6"/>
    </row>
    <row r="718" spans="1:4">
      <c r="A718" s="35"/>
      <c r="B718" s="36"/>
      <c r="C718" s="6"/>
      <c r="D718" s="6"/>
    </row>
    <row r="719" spans="1:4">
      <c r="A719" s="35"/>
      <c r="B719" s="36"/>
      <c r="C719" s="6"/>
      <c r="D719" s="6"/>
    </row>
    <row r="720" spans="1:4">
      <c r="A720" s="35"/>
      <c r="B720" s="36"/>
      <c r="C720" s="6"/>
      <c r="D720" s="6"/>
    </row>
    <row r="721" spans="1:4">
      <c r="A721" s="35"/>
      <c r="B721" s="36"/>
      <c r="C721" s="6"/>
      <c r="D721" s="6"/>
    </row>
    <row r="722" spans="1:4">
      <c r="A722" s="35"/>
      <c r="B722" s="36"/>
      <c r="C722" s="6"/>
      <c r="D722" s="6"/>
    </row>
    <row r="723" spans="1:4">
      <c r="A723" s="35"/>
      <c r="B723" s="36"/>
      <c r="C723" s="6"/>
      <c r="D723" s="6"/>
    </row>
    <row r="724" spans="1:4">
      <c r="A724" s="35"/>
      <c r="B724" s="36"/>
      <c r="C724" s="6"/>
      <c r="D724" s="6"/>
    </row>
    <row r="725" spans="1:4">
      <c r="A725" s="35"/>
      <c r="B725" s="36"/>
      <c r="C725" s="6"/>
      <c r="D725" s="6"/>
    </row>
    <row r="726" spans="1:4">
      <c r="A726" s="35"/>
      <c r="B726" s="36"/>
      <c r="C726" s="6"/>
      <c r="D726" s="6"/>
    </row>
    <row r="727" spans="1:4">
      <c r="A727" s="35"/>
      <c r="B727" s="36"/>
      <c r="C727" s="6"/>
      <c r="D727" s="6"/>
    </row>
    <row r="728" spans="1:4">
      <c r="A728" s="35"/>
      <c r="B728" s="36"/>
      <c r="C728" s="6"/>
      <c r="D728" s="6"/>
    </row>
    <row r="729" spans="1:4">
      <c r="A729" s="35"/>
      <c r="B729" s="36"/>
      <c r="C729" s="6"/>
      <c r="D729" s="6"/>
    </row>
    <row r="730" spans="1:4">
      <c r="A730" s="35"/>
      <c r="B730" s="36"/>
      <c r="C730" s="6"/>
      <c r="D730" s="6"/>
    </row>
    <row r="731" spans="1:4">
      <c r="A731" s="35"/>
      <c r="B731" s="36"/>
      <c r="C731" s="6"/>
      <c r="D731" s="6"/>
    </row>
    <row r="732" spans="1:4">
      <c r="A732" s="35"/>
      <c r="B732" s="36"/>
      <c r="C732" s="6"/>
      <c r="D732" s="6"/>
    </row>
    <row r="733" spans="1:4">
      <c r="A733" s="35"/>
      <c r="B733" s="36"/>
      <c r="C733" s="6"/>
      <c r="D733" s="6"/>
    </row>
    <row r="734" spans="1:4">
      <c r="A734" s="35"/>
      <c r="B734" s="36"/>
      <c r="C734" s="6"/>
      <c r="D734" s="6"/>
    </row>
    <row r="735" spans="1:4">
      <c r="A735" s="35"/>
      <c r="B735" s="36"/>
      <c r="C735" s="6"/>
      <c r="D735" s="6"/>
    </row>
    <row r="736" spans="1:4">
      <c r="A736" s="35"/>
      <c r="B736" s="36"/>
      <c r="C736" s="6"/>
      <c r="D736" s="6"/>
    </row>
    <row r="737" spans="1:4">
      <c r="A737" s="35"/>
      <c r="B737" s="36"/>
      <c r="C737" s="6"/>
      <c r="D737" s="6"/>
    </row>
    <row r="738" spans="1:4">
      <c r="A738" s="35"/>
      <c r="B738" s="36"/>
      <c r="C738" s="6"/>
      <c r="D738" s="6"/>
    </row>
    <row r="739" spans="1:4">
      <c r="A739" s="35"/>
      <c r="B739" s="36"/>
      <c r="C739" s="6"/>
      <c r="D739" s="6"/>
    </row>
    <row r="740" spans="1:4">
      <c r="A740" s="35"/>
      <c r="B740" s="36"/>
      <c r="C740" s="6"/>
      <c r="D740" s="6"/>
    </row>
    <row r="741" spans="1:4">
      <c r="A741" s="35"/>
      <c r="B741" s="36"/>
      <c r="C741" s="6"/>
      <c r="D741" s="6"/>
    </row>
    <row r="742" spans="1:4">
      <c r="A742" s="35"/>
      <c r="B742" s="36"/>
      <c r="C742" s="6"/>
      <c r="D742" s="6"/>
    </row>
    <row r="743" spans="1:4">
      <c r="A743" s="35"/>
      <c r="B743" s="36"/>
      <c r="C743" s="6"/>
      <c r="D743" s="6"/>
    </row>
    <row r="744" spans="1:4">
      <c r="A744" s="35"/>
      <c r="B744" s="36"/>
      <c r="C744" s="6"/>
      <c r="D744" s="6"/>
    </row>
    <row r="745" spans="1:4">
      <c r="A745" s="35"/>
      <c r="B745" s="36"/>
      <c r="C745" s="6"/>
      <c r="D745" s="6"/>
    </row>
    <row r="746" spans="1:4">
      <c r="A746" s="35"/>
      <c r="B746" s="36"/>
      <c r="C746" s="6"/>
      <c r="D746" s="6"/>
    </row>
    <row r="747" spans="1:4">
      <c r="A747" s="35"/>
      <c r="B747" s="36"/>
      <c r="C747" s="6"/>
      <c r="D747" s="6"/>
    </row>
    <row r="748" spans="1:4">
      <c r="A748" s="35"/>
      <c r="B748" s="36"/>
      <c r="C748" s="6"/>
      <c r="D748" s="6"/>
    </row>
    <row r="749" spans="1:4">
      <c r="A749" s="35"/>
      <c r="B749" s="36"/>
      <c r="C749" s="6"/>
      <c r="D749" s="6"/>
    </row>
    <row r="750" spans="1:4">
      <c r="A750" s="35"/>
      <c r="B750" s="36"/>
      <c r="C750" s="6"/>
      <c r="D750" s="6"/>
    </row>
    <row r="751" spans="1:4">
      <c r="A751" s="35"/>
      <c r="B751" s="36"/>
      <c r="C751" s="6"/>
      <c r="D751" s="6"/>
    </row>
    <row r="752" spans="1:4">
      <c r="A752" s="35"/>
      <c r="B752" s="36"/>
      <c r="C752" s="6"/>
      <c r="D752" s="6"/>
    </row>
    <row r="753" spans="1:4">
      <c r="A753" s="35"/>
      <c r="B753" s="36"/>
      <c r="C753" s="6"/>
      <c r="D753" s="6"/>
    </row>
    <row r="754" spans="1:4">
      <c r="A754" s="35"/>
      <c r="B754" s="36"/>
      <c r="C754" s="6"/>
      <c r="D754" s="6"/>
    </row>
    <row r="755" spans="1:4">
      <c r="A755" s="35"/>
      <c r="B755" s="36"/>
      <c r="C755" s="6"/>
      <c r="D755" s="6"/>
    </row>
    <row r="756" spans="1:4">
      <c r="A756" s="35"/>
      <c r="B756" s="36"/>
      <c r="C756" s="6"/>
      <c r="D756" s="6"/>
    </row>
    <row r="757" spans="1:4">
      <c r="A757" s="35"/>
      <c r="B757" s="36"/>
      <c r="C757" s="6"/>
      <c r="D757" s="6"/>
    </row>
    <row r="758" spans="1:4">
      <c r="A758" s="35"/>
      <c r="B758" s="36"/>
      <c r="C758" s="6"/>
      <c r="D758" s="6"/>
    </row>
    <row r="759" spans="1:4">
      <c r="A759" s="35"/>
      <c r="B759" s="36"/>
      <c r="C759" s="6"/>
      <c r="D759" s="6"/>
    </row>
    <row r="760" spans="1:4">
      <c r="A760" s="35"/>
      <c r="B760" s="36"/>
      <c r="C760" s="6"/>
      <c r="D760" s="6"/>
    </row>
    <row r="761" spans="1:4">
      <c r="A761" s="35"/>
      <c r="B761" s="36"/>
      <c r="C761" s="6"/>
      <c r="D761" s="6"/>
    </row>
    <row r="762" spans="1:4">
      <c r="A762" s="35"/>
      <c r="B762" s="36"/>
      <c r="C762" s="6"/>
      <c r="D762" s="6"/>
    </row>
    <row r="763" spans="1:4">
      <c r="A763" s="35"/>
      <c r="B763" s="36"/>
      <c r="C763" s="6"/>
      <c r="D763" s="6"/>
    </row>
    <row r="764" spans="1:4">
      <c r="A764" s="35"/>
      <c r="B764" s="36"/>
      <c r="C764" s="6"/>
      <c r="D764" s="6"/>
    </row>
    <row r="765" spans="1:4">
      <c r="A765" s="35"/>
      <c r="B765" s="36"/>
      <c r="C765" s="6"/>
      <c r="D765" s="6"/>
    </row>
    <row r="766" spans="1:4">
      <c r="A766" s="35"/>
      <c r="B766" s="36"/>
      <c r="C766" s="6"/>
      <c r="D766" s="6"/>
    </row>
    <row r="767" spans="1:4">
      <c r="A767" s="35"/>
      <c r="B767" s="36"/>
      <c r="C767" s="6"/>
      <c r="D767" s="6"/>
    </row>
    <row r="768" spans="1:4">
      <c r="A768" s="35"/>
      <c r="B768" s="36"/>
      <c r="C768" s="6"/>
      <c r="D768" s="6"/>
    </row>
    <row r="769" spans="1:4">
      <c r="A769" s="35"/>
      <c r="B769" s="36"/>
      <c r="C769" s="6"/>
      <c r="D769" s="6"/>
    </row>
    <row r="770" spans="1:4">
      <c r="A770" s="35"/>
      <c r="B770" s="36"/>
      <c r="C770" s="6"/>
      <c r="D770" s="6"/>
    </row>
    <row r="771" spans="1:4">
      <c r="A771" s="35"/>
      <c r="B771" s="36"/>
      <c r="C771" s="6"/>
      <c r="D771" s="6"/>
    </row>
    <row r="772" spans="1:4">
      <c r="A772" s="35"/>
      <c r="B772" s="36"/>
      <c r="C772" s="6"/>
      <c r="D772" s="6"/>
    </row>
    <row r="773" spans="1:4">
      <c r="A773" s="35"/>
      <c r="B773" s="36"/>
      <c r="C773" s="6"/>
      <c r="D773" s="6"/>
    </row>
    <row r="774" spans="1:4">
      <c r="A774" s="35"/>
      <c r="B774" s="36"/>
      <c r="C774" s="6"/>
      <c r="D774" s="6"/>
    </row>
    <row r="775" spans="1:4">
      <c r="A775" s="35"/>
      <c r="B775" s="36"/>
      <c r="C775" s="6"/>
      <c r="D775" s="6"/>
    </row>
    <row r="776" spans="1:4">
      <c r="A776" s="35"/>
      <c r="B776" s="36"/>
      <c r="C776" s="6"/>
      <c r="D776" s="6"/>
    </row>
    <row r="777" spans="1:4">
      <c r="A777" s="35"/>
      <c r="B777" s="36"/>
      <c r="C777" s="6"/>
      <c r="D777" s="6"/>
    </row>
    <row r="778" spans="1:4">
      <c r="A778" s="35"/>
      <c r="B778" s="36"/>
      <c r="C778" s="6"/>
      <c r="D778" s="6"/>
    </row>
    <row r="779" spans="1:4">
      <c r="A779" s="35"/>
      <c r="B779" s="36"/>
      <c r="C779" s="6"/>
      <c r="D779" s="6"/>
    </row>
    <row r="780" spans="1:4">
      <c r="A780" s="35"/>
      <c r="B780" s="36"/>
      <c r="C780" s="6"/>
      <c r="D780" s="6"/>
    </row>
    <row r="781" spans="1:4">
      <c r="A781" s="35"/>
      <c r="B781" s="36"/>
      <c r="C781" s="6"/>
      <c r="D781" s="6"/>
    </row>
    <row r="782" spans="1:4">
      <c r="A782" s="35"/>
      <c r="B782" s="36"/>
      <c r="C782" s="6"/>
      <c r="D782" s="6"/>
    </row>
    <row r="783" spans="1:4">
      <c r="A783" s="35"/>
      <c r="B783" s="36"/>
      <c r="C783" s="6"/>
      <c r="D783" s="6"/>
    </row>
    <row r="784" spans="1:4">
      <c r="A784" s="35"/>
      <c r="B784" s="36"/>
      <c r="C784" s="6"/>
      <c r="D784" s="6"/>
    </row>
    <row r="785" spans="1:4">
      <c r="A785" s="35"/>
      <c r="B785" s="36"/>
      <c r="C785" s="6"/>
      <c r="D785" s="6"/>
    </row>
    <row r="786" spans="1:4">
      <c r="A786" s="35"/>
      <c r="B786" s="36"/>
      <c r="C786" s="6"/>
      <c r="D786" s="6"/>
    </row>
    <row r="787" spans="1:4">
      <c r="A787" s="35"/>
      <c r="B787" s="36"/>
      <c r="C787" s="6"/>
      <c r="D787" s="6"/>
    </row>
    <row r="788" spans="1:4">
      <c r="A788" s="35"/>
      <c r="B788" s="36"/>
      <c r="C788" s="6"/>
      <c r="D788" s="6"/>
    </row>
    <row r="789" spans="1:4">
      <c r="A789" s="35"/>
      <c r="B789" s="36"/>
      <c r="C789" s="6"/>
      <c r="D789" s="6"/>
    </row>
    <row r="790" spans="1:4">
      <c r="A790" s="35"/>
      <c r="B790" s="36"/>
      <c r="C790" s="6"/>
      <c r="D790" s="6"/>
    </row>
    <row r="791" spans="1:4">
      <c r="A791" s="35"/>
      <c r="B791" s="36"/>
      <c r="C791" s="6"/>
      <c r="D791" s="6"/>
    </row>
    <row r="792" spans="1:4">
      <c r="A792" s="35"/>
      <c r="B792" s="36"/>
      <c r="C792" s="6"/>
      <c r="D792" s="6"/>
    </row>
    <row r="793" spans="1:4">
      <c r="A793" s="35"/>
      <c r="B793" s="36"/>
      <c r="C793" s="6"/>
      <c r="D793" s="6"/>
    </row>
    <row r="794" spans="1:4">
      <c r="A794" s="35"/>
      <c r="B794" s="36"/>
      <c r="C794" s="6"/>
      <c r="D794" s="6"/>
    </row>
    <row r="795" spans="1:4">
      <c r="A795" s="35"/>
      <c r="B795" s="36"/>
      <c r="C795" s="6"/>
      <c r="D795" s="6"/>
    </row>
    <row r="796" spans="1:4">
      <c r="A796" s="35"/>
      <c r="B796" s="36"/>
      <c r="C796" s="6"/>
      <c r="D796" s="6"/>
    </row>
    <row r="797" spans="1:4">
      <c r="A797" s="35"/>
      <c r="B797" s="36"/>
      <c r="C797" s="6"/>
      <c r="D797" s="6"/>
    </row>
    <row r="798" spans="1:4">
      <c r="A798" s="35"/>
      <c r="B798" s="36"/>
      <c r="C798" s="6"/>
      <c r="D798" s="6"/>
    </row>
    <row r="799" spans="1:4">
      <c r="A799" s="35"/>
      <c r="B799" s="36"/>
      <c r="C799" s="6"/>
      <c r="D799" s="6"/>
    </row>
    <row r="800" spans="1:4">
      <c r="A800" s="35"/>
      <c r="B800" s="36"/>
      <c r="C800" s="6"/>
      <c r="D800" s="6"/>
    </row>
    <row r="801" spans="1:4">
      <c r="A801" s="35"/>
      <c r="B801" s="36"/>
      <c r="C801" s="6"/>
      <c r="D801" s="6"/>
    </row>
    <row r="802" spans="1:4">
      <c r="A802" s="35"/>
      <c r="B802" s="36"/>
      <c r="C802" s="6"/>
      <c r="D802" s="6"/>
    </row>
    <row r="803" spans="1:4">
      <c r="A803" s="35"/>
      <c r="B803" s="36"/>
      <c r="C803" s="6"/>
      <c r="D803" s="6"/>
    </row>
    <row r="804" spans="1:4">
      <c r="A804" s="35"/>
      <c r="B804" s="36"/>
      <c r="C804" s="6"/>
      <c r="D804" s="6"/>
    </row>
    <row r="805" spans="1:4">
      <c r="A805" s="35"/>
      <c r="B805" s="36"/>
      <c r="C805" s="6"/>
      <c r="D805" s="6"/>
    </row>
    <row r="806" spans="1:4">
      <c r="A806" s="35"/>
      <c r="B806" s="36"/>
      <c r="C806" s="6"/>
      <c r="D806" s="6"/>
    </row>
    <row r="807" spans="1:4">
      <c r="A807" s="35"/>
      <c r="B807" s="36"/>
      <c r="C807" s="6"/>
      <c r="D807" s="6"/>
    </row>
    <row r="808" spans="1:4">
      <c r="A808" s="35"/>
      <c r="B808" s="36"/>
      <c r="C808" s="6"/>
      <c r="D808" s="6"/>
    </row>
    <row r="809" spans="1:4">
      <c r="A809" s="35"/>
      <c r="B809" s="36"/>
      <c r="C809" s="6"/>
      <c r="D809" s="6"/>
    </row>
    <row r="810" spans="1:4">
      <c r="A810" s="35"/>
      <c r="B810" s="36"/>
      <c r="C810" s="6"/>
      <c r="D810" s="6"/>
    </row>
    <row r="811" spans="1:4">
      <c r="A811" s="35"/>
      <c r="B811" s="36"/>
      <c r="C811" s="6"/>
      <c r="D811" s="6"/>
    </row>
    <row r="812" spans="1:4">
      <c r="A812" s="35"/>
      <c r="B812" s="36"/>
      <c r="C812" s="6"/>
      <c r="D812" s="6"/>
    </row>
    <row r="813" spans="1:4">
      <c r="A813" s="35"/>
      <c r="B813" s="36"/>
      <c r="C813" s="6"/>
      <c r="D813" s="6"/>
    </row>
    <row r="814" spans="1:4">
      <c r="A814" s="35"/>
      <c r="B814" s="36"/>
      <c r="C814" s="6"/>
      <c r="D814" s="6"/>
    </row>
    <row r="815" spans="1:4">
      <c r="A815" s="35"/>
      <c r="B815" s="36"/>
      <c r="C815" s="6"/>
      <c r="D815" s="6"/>
    </row>
    <row r="816" spans="1:4">
      <c r="A816" s="35"/>
      <c r="B816" s="36"/>
      <c r="C816" s="6"/>
      <c r="D816" s="6"/>
    </row>
    <row r="817" spans="1:4">
      <c r="A817" s="35"/>
      <c r="B817" s="36"/>
      <c r="C817" s="6"/>
      <c r="D817" s="6"/>
    </row>
    <row r="818" spans="1:4">
      <c r="A818" s="35"/>
      <c r="B818" s="36"/>
      <c r="C818" s="6"/>
      <c r="D818" s="6"/>
    </row>
    <row r="819" spans="1:4">
      <c r="A819" s="35"/>
      <c r="B819" s="36"/>
      <c r="C819" s="6"/>
      <c r="D819" s="6"/>
    </row>
    <row r="820" spans="1:4">
      <c r="A820" s="35"/>
      <c r="B820" s="36"/>
      <c r="C820" s="6"/>
      <c r="D820" s="6"/>
    </row>
    <row r="821" spans="1:4">
      <c r="A821" s="35"/>
      <c r="B821" s="36"/>
      <c r="C821" s="6"/>
      <c r="D821" s="6"/>
    </row>
    <row r="822" spans="1:4">
      <c r="A822" s="35"/>
      <c r="B822" s="36"/>
      <c r="C822" s="6"/>
      <c r="D822" s="6"/>
    </row>
    <row r="823" spans="1:4">
      <c r="A823" s="35"/>
      <c r="B823" s="36"/>
      <c r="C823" s="6"/>
      <c r="D823" s="6"/>
    </row>
    <row r="824" spans="1:4">
      <c r="A824" s="35"/>
      <c r="B824" s="36"/>
      <c r="C824" s="6"/>
      <c r="D824" s="6"/>
    </row>
    <row r="825" spans="1:4">
      <c r="A825" s="35"/>
      <c r="B825" s="36"/>
      <c r="C825" s="6"/>
      <c r="D825" s="6"/>
    </row>
    <row r="826" spans="1:4">
      <c r="A826" s="35"/>
      <c r="B826" s="36"/>
      <c r="C826" s="6"/>
      <c r="D826" s="6"/>
    </row>
    <row r="827" spans="1:4">
      <c r="A827" s="35"/>
      <c r="B827" s="36"/>
      <c r="C827" s="6"/>
      <c r="D827" s="6"/>
    </row>
    <row r="828" spans="1:4">
      <c r="A828" s="35"/>
      <c r="B828" s="36"/>
      <c r="C828" s="6"/>
      <c r="D828" s="6"/>
    </row>
    <row r="829" spans="1:4">
      <c r="A829" s="35"/>
      <c r="B829" s="36"/>
      <c r="C829" s="6"/>
      <c r="D829" s="6"/>
    </row>
    <row r="830" spans="1:4">
      <c r="A830" s="35"/>
      <c r="B830" s="36"/>
      <c r="C830" s="6"/>
      <c r="D830" s="6"/>
    </row>
    <row r="831" spans="1:4">
      <c r="A831" s="35"/>
      <c r="B831" s="36"/>
      <c r="C831" s="6"/>
      <c r="D831" s="6"/>
    </row>
    <row r="832" spans="1:4">
      <c r="A832" s="35"/>
      <c r="B832" s="36"/>
      <c r="C832" s="6"/>
      <c r="D832" s="6"/>
    </row>
    <row r="833" spans="1:4">
      <c r="A833" s="35"/>
      <c r="B833" s="36"/>
      <c r="C833" s="6"/>
      <c r="D833" s="6"/>
    </row>
    <row r="834" spans="1:4">
      <c r="A834" s="35"/>
      <c r="B834" s="36"/>
      <c r="C834" s="6"/>
      <c r="D834" s="6"/>
    </row>
    <row r="835" spans="1:4">
      <c r="A835" s="35"/>
      <c r="B835" s="36"/>
      <c r="C835" s="6"/>
      <c r="D835" s="6"/>
    </row>
    <row r="836" spans="1:4">
      <c r="A836" s="35"/>
      <c r="B836" s="36"/>
      <c r="C836" s="6"/>
      <c r="D836" s="6"/>
    </row>
    <row r="837" spans="1:4">
      <c r="A837" s="35"/>
      <c r="B837" s="36"/>
      <c r="C837" s="6"/>
      <c r="D837" s="6"/>
    </row>
    <row r="838" spans="1:4">
      <c r="A838" s="35"/>
      <c r="B838" s="36"/>
      <c r="C838" s="6"/>
      <c r="D838" s="6"/>
    </row>
    <row r="839" spans="1:4">
      <c r="A839" s="35"/>
      <c r="B839" s="36"/>
      <c r="C839" s="6"/>
      <c r="D839" s="6"/>
    </row>
    <row r="840" spans="1:4">
      <c r="A840" s="35"/>
      <c r="B840" s="36"/>
      <c r="C840" s="6"/>
      <c r="D840" s="6"/>
    </row>
    <row r="841" spans="1:4">
      <c r="A841" s="35"/>
      <c r="B841" s="36"/>
      <c r="C841" s="6"/>
      <c r="D841" s="6"/>
    </row>
    <row r="842" spans="1:4">
      <c r="A842" s="35"/>
      <c r="B842" s="36"/>
      <c r="C842" s="6"/>
      <c r="D842" s="6"/>
    </row>
    <row r="843" spans="1:4">
      <c r="A843" s="35"/>
      <c r="B843" s="36"/>
      <c r="C843" s="6"/>
      <c r="D843" s="6"/>
    </row>
    <row r="844" spans="1:4">
      <c r="A844" s="35"/>
      <c r="B844" s="36"/>
      <c r="C844" s="6"/>
      <c r="D844" s="6"/>
    </row>
    <row r="845" spans="1:4">
      <c r="A845" s="35"/>
      <c r="B845" s="36"/>
      <c r="C845" s="6"/>
      <c r="D845" s="6"/>
    </row>
    <row r="846" spans="1:4">
      <c r="A846" s="35"/>
      <c r="B846" s="36"/>
      <c r="C846" s="6"/>
      <c r="D846" s="6"/>
    </row>
    <row r="847" spans="1:4">
      <c r="A847" s="35"/>
      <c r="B847" s="36"/>
      <c r="C847" s="6"/>
      <c r="D847" s="6"/>
    </row>
    <row r="848" spans="1:4">
      <c r="A848" s="35"/>
      <c r="B848" s="36"/>
      <c r="C848" s="6"/>
      <c r="D848" s="6"/>
    </row>
    <row r="849" spans="1:4">
      <c r="A849" s="35"/>
      <c r="B849" s="36"/>
      <c r="C849" s="6"/>
      <c r="D849" s="6"/>
    </row>
    <row r="850" spans="1:4">
      <c r="A850" s="35"/>
      <c r="B850" s="36"/>
      <c r="C850" s="6"/>
      <c r="D850" s="6"/>
    </row>
    <row r="851" spans="1:4">
      <c r="A851" s="35"/>
      <c r="B851" s="36"/>
      <c r="C851" s="6"/>
      <c r="D851" s="6"/>
    </row>
    <row r="852" spans="1:4">
      <c r="A852" s="35"/>
      <c r="B852" s="36"/>
      <c r="C852" s="6"/>
      <c r="D852" s="6"/>
    </row>
    <row r="853" spans="1:4">
      <c r="A853" s="35"/>
      <c r="B853" s="36"/>
      <c r="C853" s="6"/>
      <c r="D853" s="6"/>
    </row>
    <row r="854" spans="1:4">
      <c r="A854" s="35"/>
      <c r="B854" s="36"/>
      <c r="C854" s="6"/>
      <c r="D854" s="6"/>
    </row>
    <row r="855" spans="1:4">
      <c r="A855" s="35"/>
      <c r="B855" s="36"/>
      <c r="C855" s="6"/>
      <c r="D855" s="6"/>
    </row>
    <row r="856" spans="1:4">
      <c r="A856" s="35"/>
      <c r="B856" s="36"/>
      <c r="C856" s="6"/>
      <c r="D856" s="6"/>
    </row>
    <row r="857" spans="1:4">
      <c r="A857" s="35"/>
      <c r="B857" s="36"/>
      <c r="C857" s="6"/>
      <c r="D857" s="6"/>
    </row>
    <row r="858" spans="1:4">
      <c r="A858" s="35"/>
      <c r="B858" s="36"/>
      <c r="C858" s="6"/>
      <c r="D858" s="6"/>
    </row>
    <row r="859" spans="1:4">
      <c r="A859" s="35"/>
      <c r="B859" s="36"/>
      <c r="C859" s="6"/>
      <c r="D859" s="6"/>
    </row>
    <row r="860" spans="1:4">
      <c r="A860" s="35"/>
      <c r="B860" s="36"/>
      <c r="C860" s="6"/>
      <c r="D860" s="6"/>
    </row>
    <row r="861" spans="1:4">
      <c r="A861" s="35"/>
      <c r="B861" s="36"/>
      <c r="C861" s="6"/>
      <c r="D861" s="6"/>
    </row>
    <row r="862" spans="1:4">
      <c r="A862" s="35"/>
      <c r="B862" s="36"/>
      <c r="C862" s="6"/>
      <c r="D862" s="6"/>
    </row>
    <row r="863" spans="1:4">
      <c r="A863" s="35"/>
      <c r="B863" s="36"/>
      <c r="C863" s="6"/>
      <c r="D863" s="6"/>
    </row>
    <row r="864" spans="1:4">
      <c r="A864" s="35"/>
      <c r="B864" s="36"/>
      <c r="C864" s="6"/>
      <c r="D864" s="6"/>
    </row>
    <row r="865" spans="1:4">
      <c r="A865" s="35"/>
      <c r="B865" s="36"/>
      <c r="C865" s="6"/>
      <c r="D865" s="6"/>
    </row>
    <row r="866" spans="1:4">
      <c r="A866" s="35"/>
      <c r="B866" s="36"/>
      <c r="C866" s="6"/>
      <c r="D866" s="6"/>
    </row>
    <row r="867" spans="1:4">
      <c r="A867" s="35"/>
      <c r="B867" s="36"/>
      <c r="C867" s="6"/>
      <c r="D867" s="6"/>
    </row>
    <row r="868" spans="1:4">
      <c r="A868" s="35"/>
      <c r="B868" s="36"/>
      <c r="C868" s="6"/>
      <c r="D868" s="6"/>
    </row>
    <row r="869" spans="1:4">
      <c r="A869" s="35"/>
      <c r="B869" s="36"/>
      <c r="C869" s="6"/>
      <c r="D869" s="6"/>
    </row>
    <row r="870" spans="1:4">
      <c r="A870" s="35"/>
      <c r="B870" s="36"/>
      <c r="C870" s="6"/>
      <c r="D870" s="6"/>
    </row>
    <row r="871" spans="1:4">
      <c r="A871" s="35"/>
      <c r="B871" s="36"/>
      <c r="C871" s="6"/>
      <c r="D871" s="6"/>
    </row>
    <row r="872" spans="1:4">
      <c r="A872" s="35"/>
      <c r="B872" s="36"/>
      <c r="C872" s="6"/>
      <c r="D872" s="6"/>
    </row>
    <row r="873" spans="1:4">
      <c r="A873" s="35"/>
      <c r="B873" s="36"/>
      <c r="C873" s="6"/>
      <c r="D873" s="6"/>
    </row>
    <row r="874" spans="1:4">
      <c r="A874" s="35"/>
      <c r="B874" s="36"/>
      <c r="C874" s="6"/>
      <c r="D874" s="6"/>
    </row>
    <row r="875" spans="1:4">
      <c r="A875" s="35"/>
      <c r="B875" s="36"/>
      <c r="C875" s="6"/>
      <c r="D875" s="6"/>
    </row>
    <row r="876" spans="1:4">
      <c r="A876" s="35"/>
      <c r="B876" s="36"/>
      <c r="C876" s="6"/>
      <c r="D876" s="6"/>
    </row>
    <row r="877" spans="1:4">
      <c r="A877" s="35"/>
      <c r="B877" s="36"/>
      <c r="C877" s="6"/>
      <c r="D877" s="6"/>
    </row>
    <row r="878" spans="1:4">
      <c r="A878" s="35"/>
      <c r="B878" s="36"/>
      <c r="C878" s="6"/>
      <c r="D878" s="6"/>
    </row>
    <row r="879" spans="1:4">
      <c r="A879" s="35"/>
      <c r="B879" s="36"/>
      <c r="C879" s="6"/>
      <c r="D879" s="6"/>
    </row>
    <row r="880" spans="1:4">
      <c r="A880" s="35"/>
      <c r="B880" s="36"/>
      <c r="C880" s="6"/>
      <c r="D880" s="6"/>
    </row>
    <row r="881" spans="1:4">
      <c r="A881" s="35"/>
      <c r="B881" s="36"/>
      <c r="C881" s="6"/>
      <c r="D881" s="6"/>
    </row>
    <row r="882" spans="1:4">
      <c r="A882" s="35"/>
      <c r="B882" s="36"/>
      <c r="C882" s="6"/>
      <c r="D882" s="6"/>
    </row>
    <row r="883" spans="1:4">
      <c r="A883" s="35"/>
      <c r="B883" s="36"/>
      <c r="C883" s="6"/>
      <c r="D883" s="6"/>
    </row>
    <row r="884" spans="1:4">
      <c r="A884" s="35"/>
      <c r="B884" s="36"/>
      <c r="C884" s="6"/>
      <c r="D884" s="6"/>
    </row>
    <row r="885" spans="1:4">
      <c r="A885" s="35"/>
      <c r="B885" s="36"/>
      <c r="C885" s="6"/>
      <c r="D885" s="6"/>
    </row>
    <row r="886" spans="1:4">
      <c r="A886" s="35"/>
      <c r="B886" s="36"/>
      <c r="C886" s="6"/>
      <c r="D886" s="6"/>
    </row>
    <row r="887" spans="1:4">
      <c r="A887" s="35"/>
      <c r="B887" s="36"/>
      <c r="C887" s="6"/>
      <c r="D887" s="6"/>
    </row>
    <row r="888" spans="1:4">
      <c r="A888" s="35"/>
      <c r="B888" s="36"/>
      <c r="C888" s="6"/>
      <c r="D888" s="6"/>
    </row>
    <row r="889" spans="1:4">
      <c r="A889" s="35"/>
      <c r="B889" s="36"/>
      <c r="C889" s="6"/>
      <c r="D889" s="6"/>
    </row>
    <row r="890" spans="1:4">
      <c r="A890" s="35"/>
      <c r="B890" s="36"/>
      <c r="C890" s="6"/>
      <c r="D890" s="6"/>
    </row>
    <row r="891" spans="1:4">
      <c r="A891" s="35"/>
      <c r="B891" s="36"/>
      <c r="C891" s="6"/>
      <c r="D891" s="6"/>
    </row>
    <row r="892" spans="1:4">
      <c r="A892" s="35"/>
      <c r="B892" s="36"/>
      <c r="C892" s="6"/>
      <c r="D892" s="6"/>
    </row>
    <row r="893" spans="1:4">
      <c r="A893" s="35"/>
      <c r="B893" s="36"/>
      <c r="C893" s="6"/>
      <c r="D893" s="6"/>
    </row>
    <row r="894" spans="1:4">
      <c r="A894" s="35"/>
      <c r="B894" s="36"/>
      <c r="C894" s="6"/>
      <c r="D894" s="6"/>
    </row>
    <row r="895" spans="1:4">
      <c r="A895" s="35"/>
      <c r="B895" s="36"/>
      <c r="C895" s="6"/>
      <c r="D895" s="6"/>
    </row>
    <row r="896" spans="1:4">
      <c r="A896" s="35"/>
      <c r="B896" s="36"/>
      <c r="C896" s="6"/>
      <c r="D896" s="6"/>
    </row>
    <row r="897" spans="1:4">
      <c r="A897" s="35"/>
      <c r="B897" s="36"/>
      <c r="C897" s="6"/>
      <c r="D897" s="6"/>
    </row>
    <row r="898" spans="1:4">
      <c r="A898" s="35"/>
      <c r="B898" s="36"/>
      <c r="C898" s="6"/>
      <c r="D898" s="6"/>
    </row>
    <row r="899" spans="1:4">
      <c r="A899" s="35"/>
      <c r="B899" s="36"/>
      <c r="C899" s="6"/>
      <c r="D899" s="6"/>
    </row>
    <row r="900" spans="1:4">
      <c r="A900" s="35"/>
      <c r="B900" s="36"/>
      <c r="C900" s="6"/>
      <c r="D900" s="6"/>
    </row>
    <row r="901" spans="1:4">
      <c r="A901" s="35"/>
      <c r="B901" s="36"/>
      <c r="C901" s="6"/>
      <c r="D901" s="6"/>
    </row>
    <row r="902" spans="1:4">
      <c r="A902" s="35"/>
      <c r="B902" s="36"/>
      <c r="C902" s="6"/>
      <c r="D902" s="6"/>
    </row>
    <row r="903" spans="1:4">
      <c r="A903" s="35"/>
      <c r="B903" s="36"/>
      <c r="C903" s="6"/>
      <c r="D903" s="6"/>
    </row>
    <row r="904" spans="1:4">
      <c r="A904" s="35"/>
      <c r="B904" s="36"/>
      <c r="C904" s="6"/>
      <c r="D904" s="6"/>
    </row>
    <row r="905" spans="1:4">
      <c r="A905" s="35"/>
      <c r="B905" s="36"/>
      <c r="C905" s="6"/>
      <c r="D905" s="6"/>
    </row>
    <row r="906" spans="1:4">
      <c r="A906" s="35"/>
      <c r="B906" s="36"/>
      <c r="C906" s="6"/>
      <c r="D906" s="6"/>
    </row>
    <row r="907" spans="1:4">
      <c r="A907" s="35"/>
      <c r="B907" s="36"/>
      <c r="C907" s="6"/>
      <c r="D907" s="6"/>
    </row>
    <row r="908" spans="1:4">
      <c r="A908" s="35"/>
      <c r="B908" s="36"/>
      <c r="C908" s="6"/>
      <c r="D908" s="6"/>
    </row>
    <row r="909" spans="1:4">
      <c r="A909" s="35"/>
      <c r="B909" s="36"/>
      <c r="C909" s="6"/>
      <c r="D909" s="6"/>
    </row>
    <row r="910" spans="1:4">
      <c r="A910" s="35"/>
      <c r="B910" s="36"/>
      <c r="C910" s="6"/>
      <c r="D910" s="6"/>
    </row>
    <row r="911" spans="1:4">
      <c r="A911" s="35"/>
      <c r="B911" s="36"/>
      <c r="C911" s="6"/>
      <c r="D911" s="6"/>
    </row>
    <row r="912" spans="1:4">
      <c r="A912" s="35"/>
      <c r="B912" s="36"/>
      <c r="C912" s="6"/>
      <c r="D912" s="6"/>
    </row>
    <row r="913" spans="1:4">
      <c r="A913" s="35"/>
      <c r="B913" s="36"/>
      <c r="C913" s="6"/>
      <c r="D913" s="6"/>
    </row>
    <row r="914" spans="1:4">
      <c r="A914" s="35"/>
      <c r="B914" s="36"/>
      <c r="C914" s="6"/>
      <c r="D914" s="6"/>
    </row>
    <row r="915" spans="1:4">
      <c r="A915" s="35"/>
      <c r="B915" s="36"/>
      <c r="C915" s="6"/>
      <c r="D915" s="6"/>
    </row>
    <row r="916" spans="1:4">
      <c r="A916" s="35"/>
      <c r="B916" s="36"/>
      <c r="C916" s="6"/>
      <c r="D916" s="6"/>
    </row>
    <row r="917" spans="1:4">
      <c r="A917" s="35"/>
      <c r="B917" s="36"/>
      <c r="C917" s="6"/>
      <c r="D917" s="6"/>
    </row>
    <row r="918" spans="1:4">
      <c r="A918" s="35"/>
      <c r="B918" s="36"/>
      <c r="C918" s="6"/>
      <c r="D918" s="6"/>
    </row>
    <row r="919" spans="1:4">
      <c r="A919" s="35"/>
      <c r="B919" s="36"/>
      <c r="C919" s="6"/>
      <c r="D919" s="6"/>
    </row>
    <row r="920" spans="1:4">
      <c r="A920" s="35"/>
      <c r="B920" s="36"/>
      <c r="C920" s="6"/>
      <c r="D920" s="6"/>
    </row>
    <row r="921" spans="1:4">
      <c r="A921" s="35"/>
      <c r="B921" s="36"/>
      <c r="C921" s="6"/>
      <c r="D921" s="6"/>
    </row>
    <row r="922" spans="1:4">
      <c r="A922" s="35"/>
      <c r="B922" s="36"/>
      <c r="C922" s="6"/>
      <c r="D922" s="6"/>
    </row>
    <row r="923" spans="1:4">
      <c r="A923" s="35"/>
      <c r="B923" s="36"/>
      <c r="C923" s="6"/>
      <c r="D923" s="6"/>
    </row>
    <row r="924" spans="1:4">
      <c r="A924" s="35"/>
      <c r="B924" s="36"/>
      <c r="C924" s="6"/>
      <c r="D924" s="6"/>
    </row>
    <row r="925" spans="1:4">
      <c r="A925" s="35"/>
      <c r="B925" s="36"/>
      <c r="C925" s="6"/>
      <c r="D925" s="6"/>
    </row>
    <row r="926" spans="1:4">
      <c r="A926" s="35"/>
      <c r="B926" s="36"/>
      <c r="C926" s="6"/>
      <c r="D926" s="6"/>
    </row>
    <row r="927" spans="1:4">
      <c r="A927" s="35"/>
      <c r="B927" s="36"/>
      <c r="C927" s="6"/>
      <c r="D927" s="6"/>
    </row>
    <row r="928" spans="1:4">
      <c r="A928" s="35"/>
      <c r="B928" s="36"/>
      <c r="C928" s="6"/>
      <c r="D928" s="6"/>
    </row>
    <row r="929" spans="1:4">
      <c r="A929" s="35"/>
      <c r="B929" s="36"/>
      <c r="C929" s="6"/>
      <c r="D929" s="6"/>
    </row>
    <row r="930" spans="1:4">
      <c r="A930" s="35"/>
      <c r="B930" s="36"/>
      <c r="C930" s="6"/>
      <c r="D930" s="6"/>
    </row>
    <row r="931" spans="1:4">
      <c r="A931" s="35"/>
      <c r="B931" s="36"/>
      <c r="C931" s="6"/>
      <c r="D931" s="6"/>
    </row>
    <row r="932" spans="1:4">
      <c r="A932" s="35"/>
      <c r="B932" s="36"/>
      <c r="C932" s="6"/>
      <c r="D932" s="6"/>
    </row>
    <row r="933" spans="1:4">
      <c r="A933" s="35"/>
      <c r="B933" s="36"/>
      <c r="C933" s="6"/>
      <c r="D933" s="6"/>
    </row>
    <row r="934" spans="1:4">
      <c r="A934" s="35"/>
      <c r="B934" s="36"/>
      <c r="C934" s="6"/>
      <c r="D934" s="6"/>
    </row>
    <row r="935" spans="1:4">
      <c r="A935" s="35"/>
      <c r="B935" s="36"/>
      <c r="C935" s="6"/>
      <c r="D935" s="6"/>
    </row>
    <row r="936" spans="1:4">
      <c r="A936" s="35"/>
      <c r="B936" s="36"/>
      <c r="C936" s="6"/>
      <c r="D936" s="6"/>
    </row>
    <row r="937" spans="1:4">
      <c r="A937" s="35"/>
      <c r="B937" s="36"/>
      <c r="C937" s="6"/>
      <c r="D937" s="6"/>
    </row>
    <row r="938" spans="1:4">
      <c r="A938" s="35"/>
      <c r="B938" s="36"/>
      <c r="C938" s="6"/>
      <c r="D938" s="6"/>
    </row>
    <row r="939" spans="1:4">
      <c r="A939" s="35"/>
      <c r="B939" s="36"/>
      <c r="C939" s="6"/>
      <c r="D939" s="6"/>
    </row>
    <row r="940" spans="1:4">
      <c r="A940" s="35"/>
      <c r="B940" s="36"/>
      <c r="C940" s="6"/>
      <c r="D940" s="6"/>
    </row>
    <row r="941" spans="1:4">
      <c r="A941" s="35"/>
      <c r="B941" s="36"/>
      <c r="C941" s="6"/>
      <c r="D941" s="6"/>
    </row>
    <row r="942" spans="1:4">
      <c r="A942" s="35"/>
      <c r="B942" s="36"/>
      <c r="C942" s="6"/>
      <c r="D942" s="6"/>
    </row>
    <row r="943" spans="1:4">
      <c r="A943" s="35"/>
      <c r="B943" s="36"/>
      <c r="C943" s="6"/>
      <c r="D943" s="6"/>
    </row>
    <row r="944" spans="1:4">
      <c r="A944" s="35"/>
      <c r="B944" s="36"/>
      <c r="C944" s="6"/>
      <c r="D944" s="6"/>
    </row>
    <row r="945" spans="1:4">
      <c r="A945" s="35"/>
      <c r="B945" s="36"/>
      <c r="C945" s="6"/>
      <c r="D945" s="6"/>
    </row>
    <row r="946" spans="1:4">
      <c r="A946" s="35"/>
      <c r="B946" s="36"/>
      <c r="C946" s="6"/>
      <c r="D946" s="6"/>
    </row>
    <row r="947" spans="1:4">
      <c r="A947" s="35"/>
      <c r="B947" s="36"/>
      <c r="C947" s="6"/>
      <c r="D947" s="6"/>
    </row>
    <row r="948" spans="1:4">
      <c r="A948" s="35"/>
      <c r="B948" s="36"/>
      <c r="C948" s="6"/>
      <c r="D948" s="6"/>
    </row>
    <row r="949" spans="1:4">
      <c r="A949" s="35"/>
      <c r="B949" s="36"/>
      <c r="C949" s="6"/>
      <c r="D949" s="6"/>
    </row>
    <row r="950" spans="1:4">
      <c r="A950" s="35"/>
      <c r="B950" s="36"/>
      <c r="C950" s="6"/>
      <c r="D950" s="6"/>
    </row>
    <row r="951" spans="1:4">
      <c r="A951" s="35"/>
      <c r="B951" s="36"/>
      <c r="C951" s="6"/>
      <c r="D951" s="6"/>
    </row>
    <row r="952" spans="1:4">
      <c r="A952" s="35"/>
      <c r="B952" s="36"/>
      <c r="C952" s="6"/>
      <c r="D952" s="6"/>
    </row>
    <row r="953" spans="1:4">
      <c r="A953" s="35"/>
      <c r="B953" s="36"/>
      <c r="C953" s="6"/>
      <c r="D953" s="6"/>
    </row>
    <row r="954" spans="1:4">
      <c r="A954" s="35"/>
      <c r="B954" s="36"/>
      <c r="C954" s="6"/>
      <c r="D954" s="6"/>
    </row>
    <row r="955" spans="1:4">
      <c r="A955" s="35"/>
      <c r="B955" s="36"/>
      <c r="C955" s="6"/>
      <c r="D955" s="6"/>
    </row>
    <row r="956" spans="1:4">
      <c r="A956" s="35"/>
      <c r="B956" s="36"/>
      <c r="C956" s="6"/>
      <c r="D956" s="6"/>
    </row>
    <row r="957" spans="1:4">
      <c r="A957" s="35"/>
      <c r="B957" s="36"/>
      <c r="C957" s="6"/>
      <c r="D957" s="6"/>
    </row>
    <row r="958" spans="1:4">
      <c r="A958" s="35"/>
      <c r="B958" s="36"/>
      <c r="C958" s="6"/>
      <c r="D958" s="6"/>
    </row>
    <row r="959" spans="1:4">
      <c r="A959" s="35"/>
      <c r="B959" s="36"/>
      <c r="C959" s="6"/>
      <c r="D959" s="6"/>
    </row>
    <row r="960" spans="1:4">
      <c r="A960" s="35"/>
      <c r="B960" s="36"/>
      <c r="C960" s="6"/>
      <c r="D960" s="6"/>
    </row>
    <row r="961" spans="1:4">
      <c r="A961" s="35"/>
      <c r="B961" s="36"/>
      <c r="C961" s="6"/>
      <c r="D961" s="6"/>
    </row>
    <row r="962" spans="1:4">
      <c r="A962" s="35"/>
      <c r="B962" s="36"/>
      <c r="C962" s="6"/>
      <c r="D962" s="6"/>
    </row>
    <row r="963" spans="1:4">
      <c r="A963" s="35"/>
      <c r="B963" s="36"/>
      <c r="C963" s="6"/>
      <c r="D963" s="6"/>
    </row>
    <row r="964" spans="1:4">
      <c r="A964" s="35"/>
      <c r="B964" s="36"/>
      <c r="C964" s="6"/>
      <c r="D964" s="6"/>
    </row>
    <row r="965" spans="1:4">
      <c r="A965" s="35"/>
      <c r="B965" s="36"/>
      <c r="C965" s="6"/>
      <c r="D965" s="6"/>
    </row>
    <row r="966" spans="1:4">
      <c r="A966" s="35"/>
      <c r="B966" s="36"/>
      <c r="C966" s="6"/>
      <c r="D966" s="6"/>
    </row>
    <row r="967" spans="1:4">
      <c r="A967" s="35"/>
      <c r="B967" s="36"/>
      <c r="C967" s="6"/>
      <c r="D967" s="6"/>
    </row>
    <row r="968" spans="1:4">
      <c r="A968" s="35"/>
      <c r="B968" s="36"/>
      <c r="C968" s="6"/>
      <c r="D968" s="6"/>
    </row>
    <row r="969" spans="1:4">
      <c r="A969" s="35"/>
      <c r="B969" s="36"/>
      <c r="C969" s="6"/>
      <c r="D969" s="6"/>
    </row>
    <row r="970" spans="1:4">
      <c r="A970" s="35"/>
      <c r="B970" s="36"/>
      <c r="C970" s="6"/>
      <c r="D970" s="6"/>
    </row>
    <row r="971" spans="1:4">
      <c r="A971" s="35"/>
      <c r="B971" s="36"/>
      <c r="C971" s="6"/>
      <c r="D971" s="6"/>
    </row>
    <row r="972" spans="1:4">
      <c r="A972" s="35"/>
      <c r="B972" s="36"/>
      <c r="C972" s="6"/>
      <c r="D972" s="6"/>
    </row>
    <row r="973" spans="1:4">
      <c r="A973" s="35"/>
      <c r="B973" s="36"/>
      <c r="C973" s="6"/>
      <c r="D973" s="6"/>
    </row>
    <row r="974" spans="1:4">
      <c r="A974" s="35"/>
      <c r="B974" s="36"/>
      <c r="C974" s="6"/>
      <c r="D974" s="6"/>
    </row>
    <row r="975" spans="1:4">
      <c r="A975" s="35"/>
      <c r="B975" s="36"/>
      <c r="C975" s="6"/>
      <c r="D975" s="6"/>
    </row>
    <row r="976" spans="1:4">
      <c r="A976" s="35"/>
      <c r="B976" s="36"/>
      <c r="C976" s="6"/>
      <c r="D976" s="6"/>
    </row>
    <row r="977" spans="1:4">
      <c r="A977" s="35"/>
      <c r="B977" s="36"/>
      <c r="C977" s="6"/>
      <c r="D977" s="6"/>
    </row>
    <row r="978" spans="1:4">
      <c r="A978" s="35"/>
      <c r="B978" s="36"/>
      <c r="C978" s="6"/>
      <c r="D978" s="6"/>
    </row>
    <row r="979" spans="1:4">
      <c r="A979" s="35"/>
      <c r="B979" s="36"/>
      <c r="C979" s="6"/>
      <c r="D979" s="6"/>
    </row>
    <row r="980" spans="1:4">
      <c r="A980" s="35"/>
      <c r="B980" s="36"/>
      <c r="C980" s="6"/>
      <c r="D980" s="6"/>
    </row>
    <row r="981" spans="1:4">
      <c r="A981" s="35"/>
      <c r="B981" s="36"/>
      <c r="C981" s="6"/>
      <c r="D981" s="6"/>
    </row>
    <row r="982" spans="1:4">
      <c r="A982" s="35"/>
      <c r="B982" s="36"/>
      <c r="C982" s="6"/>
      <c r="D982" s="6"/>
    </row>
    <row r="983" spans="1:4">
      <c r="A983" s="35"/>
      <c r="B983" s="36"/>
      <c r="C983" s="6"/>
      <c r="D983" s="6"/>
    </row>
    <row r="984" spans="1:4">
      <c r="A984" s="35"/>
      <c r="B984" s="36"/>
      <c r="C984" s="6"/>
      <c r="D984" s="6"/>
    </row>
    <row r="985" spans="1:4">
      <c r="A985" s="35"/>
      <c r="B985" s="36"/>
      <c r="C985" s="6"/>
      <c r="D985" s="6"/>
    </row>
    <row r="986" spans="1:4">
      <c r="A986" s="35"/>
      <c r="B986" s="36"/>
      <c r="C986" s="6"/>
      <c r="D986" s="6"/>
    </row>
    <row r="987" spans="1:4">
      <c r="A987" s="35"/>
      <c r="B987" s="36"/>
      <c r="C987" s="6"/>
      <c r="D987" s="6"/>
    </row>
    <row r="988" spans="1:4">
      <c r="A988" s="35"/>
      <c r="B988" s="36"/>
      <c r="C988" s="6"/>
      <c r="D988" s="6"/>
    </row>
    <row r="989" spans="1:4">
      <c r="A989" s="35"/>
      <c r="B989" s="36"/>
      <c r="C989" s="6"/>
      <c r="D989" s="6"/>
    </row>
    <row r="990" spans="1:4">
      <c r="A990" s="35"/>
      <c r="B990" s="36"/>
      <c r="C990" s="6"/>
      <c r="D990" s="6"/>
    </row>
    <row r="991" spans="1:4">
      <c r="A991" s="35"/>
      <c r="B991" s="36"/>
      <c r="C991" s="6"/>
      <c r="D991" s="6"/>
    </row>
    <row r="992" spans="1:4">
      <c r="A992" s="35"/>
      <c r="B992" s="36"/>
      <c r="C992" s="6"/>
      <c r="D992" s="6"/>
    </row>
    <row r="993" spans="1:4">
      <c r="A993" s="35"/>
      <c r="B993" s="36"/>
      <c r="C993" s="6"/>
      <c r="D993" s="6"/>
    </row>
    <row r="994" spans="1:4">
      <c r="A994" s="35"/>
      <c r="B994" s="36"/>
      <c r="C994" s="6"/>
      <c r="D994" s="6"/>
    </row>
    <row r="995" spans="1:4">
      <c r="A995" s="35"/>
      <c r="B995" s="36"/>
      <c r="C995" s="6"/>
      <c r="D995" s="6"/>
    </row>
    <row r="996" spans="1:4">
      <c r="A996" s="35"/>
      <c r="B996" s="36"/>
      <c r="C996" s="6"/>
      <c r="D996" s="6"/>
    </row>
    <row r="997" spans="1:4">
      <c r="A997" s="35"/>
      <c r="B997" s="36"/>
      <c r="C997" s="6"/>
      <c r="D997" s="6"/>
    </row>
    <row r="998" spans="1:4">
      <c r="A998" s="35"/>
      <c r="B998" s="36"/>
      <c r="C998" s="6"/>
      <c r="D998" s="6"/>
    </row>
    <row r="999" spans="1:4">
      <c r="A999" s="35"/>
      <c r="B999" s="36"/>
      <c r="C999" s="6"/>
      <c r="D999" s="6"/>
    </row>
    <row r="1000" spans="1:4">
      <c r="A1000" s="35"/>
      <c r="B1000" s="36"/>
      <c r="C1000" s="6"/>
      <c r="D1000" s="6"/>
    </row>
    <row r="1001" spans="1:4">
      <c r="A1001" s="35"/>
      <c r="B1001" s="36"/>
      <c r="C1001" s="6"/>
      <c r="D1001" s="6"/>
    </row>
    <row r="1002" spans="1:4">
      <c r="A1002" s="35"/>
      <c r="B1002" s="36"/>
      <c r="C1002" s="6"/>
      <c r="D1002" s="6"/>
    </row>
    <row r="1003" spans="1:4">
      <c r="A1003" s="35"/>
      <c r="B1003" s="36"/>
      <c r="C1003" s="6"/>
      <c r="D1003" s="6"/>
    </row>
    <row r="1004" spans="1:4">
      <c r="A1004" s="35"/>
      <c r="B1004" s="36"/>
      <c r="C1004" s="6"/>
      <c r="D1004" s="6"/>
    </row>
    <row r="1005" spans="1:4">
      <c r="A1005" s="35"/>
      <c r="B1005" s="36"/>
      <c r="C1005" s="6"/>
      <c r="D1005" s="6"/>
    </row>
    <row r="1006" spans="1:4">
      <c r="A1006" s="35"/>
      <c r="B1006" s="36"/>
      <c r="C1006" s="6"/>
      <c r="D1006" s="6"/>
    </row>
    <row r="1007" spans="1:4">
      <c r="A1007" s="35"/>
      <c r="B1007" s="36"/>
      <c r="C1007" s="6"/>
      <c r="D1007" s="6"/>
    </row>
    <row r="1008" spans="1:4">
      <c r="A1008" s="35"/>
      <c r="B1008" s="36"/>
      <c r="C1008" s="6"/>
      <c r="D1008" s="6"/>
    </row>
    <row r="1009" spans="1:4">
      <c r="A1009" s="35"/>
      <c r="B1009" s="36"/>
      <c r="C1009" s="6"/>
      <c r="D1009" s="6"/>
    </row>
    <row r="1010" spans="1:4">
      <c r="A1010" s="35"/>
      <c r="B1010" s="36"/>
      <c r="C1010" s="6"/>
      <c r="D1010" s="6"/>
    </row>
    <row r="1011" spans="1:4">
      <c r="A1011" s="35"/>
      <c r="B1011" s="36"/>
      <c r="C1011" s="6"/>
      <c r="D1011" s="6"/>
    </row>
    <row r="1012" spans="1:4">
      <c r="A1012" s="35"/>
      <c r="B1012" s="36"/>
      <c r="C1012" s="6"/>
      <c r="D1012" s="6"/>
    </row>
    <row r="1013" spans="1:4">
      <c r="A1013" s="35"/>
      <c r="B1013" s="36"/>
      <c r="C1013" s="6"/>
      <c r="D1013" s="6"/>
    </row>
    <row r="1014" spans="1:4">
      <c r="A1014" s="35"/>
      <c r="B1014" s="36"/>
      <c r="C1014" s="6"/>
      <c r="D1014" s="6"/>
    </row>
    <row r="1015" spans="1:4">
      <c r="A1015" s="35"/>
      <c r="B1015" s="36"/>
      <c r="C1015" s="6"/>
      <c r="D1015" s="6"/>
    </row>
    <row r="1016" spans="1:4">
      <c r="A1016" s="35"/>
      <c r="B1016" s="36"/>
      <c r="C1016" s="6"/>
      <c r="D1016" s="6"/>
    </row>
    <row r="1017" spans="1:4">
      <c r="A1017" s="35"/>
      <c r="B1017" s="36"/>
      <c r="C1017" s="6"/>
      <c r="D1017" s="6"/>
    </row>
    <row r="1018" spans="1:4">
      <c r="A1018" s="35"/>
      <c r="B1018" s="36"/>
      <c r="C1018" s="6"/>
      <c r="D1018" s="6"/>
    </row>
    <row r="1019" spans="1:4">
      <c r="A1019" s="35"/>
      <c r="B1019" s="36"/>
      <c r="C1019" s="6"/>
      <c r="D1019" s="6"/>
    </row>
    <row r="1020" spans="1:4">
      <c r="A1020" s="35"/>
      <c r="B1020" s="36"/>
      <c r="C1020" s="6"/>
      <c r="D1020" s="6"/>
    </row>
    <row r="1021" spans="1:4">
      <c r="A1021" s="35"/>
      <c r="B1021" s="36"/>
      <c r="C1021" s="6"/>
      <c r="D1021" s="6"/>
    </row>
    <row r="1022" spans="1:4">
      <c r="A1022" s="35"/>
      <c r="B1022" s="36"/>
      <c r="C1022" s="6"/>
      <c r="D1022" s="6"/>
    </row>
    <row r="1023" spans="1:4">
      <c r="A1023" s="35"/>
      <c r="B1023" s="36"/>
      <c r="C1023" s="6"/>
      <c r="D1023" s="6"/>
    </row>
    <row r="1024" spans="1:4">
      <c r="A1024" s="35"/>
      <c r="B1024" s="36"/>
      <c r="C1024" s="6"/>
      <c r="D1024" s="6"/>
    </row>
    <row r="1025" spans="1:4">
      <c r="A1025" s="35"/>
      <c r="B1025" s="36"/>
      <c r="C1025" s="6"/>
      <c r="D1025" s="6"/>
    </row>
    <row r="1026" spans="1:4">
      <c r="A1026" s="35"/>
      <c r="B1026" s="36"/>
      <c r="C1026" s="6"/>
      <c r="D1026" s="6"/>
    </row>
    <row r="1027" spans="1:4">
      <c r="A1027" s="35"/>
      <c r="B1027" s="36"/>
      <c r="C1027" s="6"/>
      <c r="D1027" s="6"/>
    </row>
    <row r="1028" spans="1:4">
      <c r="A1028" s="35"/>
      <c r="B1028" s="36"/>
      <c r="C1028" s="6"/>
      <c r="D1028" s="6"/>
    </row>
    <row r="1029" spans="1:4">
      <c r="A1029" s="35"/>
      <c r="B1029" s="36"/>
      <c r="C1029" s="6"/>
      <c r="D1029" s="6"/>
    </row>
    <row r="1030" spans="1:4">
      <c r="A1030" s="35"/>
      <c r="B1030" s="36"/>
      <c r="C1030" s="6"/>
      <c r="D1030" s="6"/>
    </row>
    <row r="1031" spans="1:4">
      <c r="A1031" s="35"/>
      <c r="B1031" s="36"/>
      <c r="C1031" s="6"/>
      <c r="D1031" s="6"/>
    </row>
    <row r="1032" spans="1:4">
      <c r="A1032" s="35"/>
      <c r="B1032" s="36"/>
      <c r="C1032" s="6"/>
      <c r="D1032" s="6"/>
    </row>
    <row r="1033" spans="1:4">
      <c r="A1033" s="35"/>
      <c r="B1033" s="36"/>
      <c r="C1033" s="6"/>
      <c r="D1033" s="6"/>
    </row>
    <row r="1034" spans="1:4">
      <c r="A1034" s="35"/>
      <c r="B1034" s="36"/>
      <c r="C1034" s="6"/>
      <c r="D1034" s="6"/>
    </row>
    <row r="1035" spans="1:4">
      <c r="A1035" s="35"/>
      <c r="B1035" s="36"/>
      <c r="C1035" s="6"/>
      <c r="D1035" s="6"/>
    </row>
    <row r="1036" spans="1:4">
      <c r="A1036" s="35"/>
      <c r="B1036" s="36"/>
      <c r="C1036" s="6"/>
      <c r="D1036" s="6"/>
    </row>
    <row r="1037" spans="1:4">
      <c r="A1037" s="35"/>
      <c r="B1037" s="36"/>
      <c r="C1037" s="6"/>
      <c r="D1037" s="6"/>
    </row>
    <row r="1038" spans="1:4">
      <c r="A1038" s="35"/>
      <c r="B1038" s="36"/>
      <c r="C1038" s="6"/>
      <c r="D1038" s="6"/>
    </row>
    <row r="1039" spans="1:4">
      <c r="A1039" s="35"/>
      <c r="B1039" s="36"/>
      <c r="C1039" s="6"/>
      <c r="D1039" s="6"/>
    </row>
    <row r="1040" spans="1:4">
      <c r="A1040" s="35"/>
      <c r="B1040" s="36"/>
      <c r="C1040" s="6"/>
      <c r="D1040" s="6"/>
    </row>
    <row r="1041" spans="1:4">
      <c r="A1041" s="35"/>
      <c r="B1041" s="36"/>
      <c r="C1041" s="6"/>
      <c r="D1041" s="6"/>
    </row>
    <row r="1042" spans="1:4">
      <c r="A1042" s="35"/>
      <c r="B1042" s="36"/>
      <c r="C1042" s="6"/>
      <c r="D1042" s="6"/>
    </row>
    <row r="1043" spans="1:4">
      <c r="A1043" s="35"/>
      <c r="B1043" s="36"/>
      <c r="C1043" s="6"/>
      <c r="D1043" s="6"/>
    </row>
    <row r="1044" spans="1:4">
      <c r="A1044" s="35"/>
      <c r="B1044" s="36"/>
      <c r="C1044" s="6"/>
      <c r="D1044" s="6"/>
    </row>
    <row r="1045" spans="1:4">
      <c r="A1045" s="35"/>
      <c r="B1045" s="36"/>
      <c r="C1045" s="6"/>
      <c r="D1045" s="6"/>
    </row>
    <row r="1046" spans="1:4">
      <c r="A1046" s="35"/>
      <c r="B1046" s="36"/>
      <c r="C1046" s="6"/>
      <c r="D1046" s="6"/>
    </row>
    <row r="1047" spans="1:4">
      <c r="A1047" s="35"/>
      <c r="B1047" s="36"/>
      <c r="C1047" s="6"/>
      <c r="D1047" s="6"/>
    </row>
    <row r="1048" spans="1:4">
      <c r="A1048" s="35"/>
      <c r="B1048" s="36"/>
      <c r="C1048" s="6"/>
      <c r="D1048" s="6"/>
    </row>
    <row r="1049" spans="1:4">
      <c r="A1049" s="35"/>
      <c r="B1049" s="36"/>
      <c r="C1049" s="6"/>
      <c r="D1049" s="6"/>
    </row>
    <row r="1050" spans="1:4">
      <c r="A1050" s="35"/>
      <c r="B1050" s="36"/>
      <c r="C1050" s="6"/>
      <c r="D1050" s="6"/>
    </row>
    <row r="1051" spans="1:4">
      <c r="A1051" s="35"/>
      <c r="B1051" s="36"/>
      <c r="C1051" s="6"/>
      <c r="D1051" s="6"/>
    </row>
    <row r="1052" spans="1:4">
      <c r="A1052" s="35"/>
      <c r="B1052" s="36"/>
      <c r="C1052" s="6"/>
      <c r="D1052" s="6"/>
    </row>
    <row r="1053" spans="1:4">
      <c r="A1053" s="35"/>
      <c r="B1053" s="36"/>
      <c r="C1053" s="6"/>
      <c r="D1053" s="6"/>
    </row>
    <row r="1054" spans="1:4">
      <c r="A1054" s="35"/>
      <c r="B1054" s="36"/>
      <c r="C1054" s="6"/>
      <c r="D1054" s="6"/>
    </row>
    <row r="1055" spans="1:4">
      <c r="A1055" s="35"/>
      <c r="B1055" s="36"/>
      <c r="C1055" s="6"/>
      <c r="D1055" s="6"/>
    </row>
    <row r="1056" spans="1:4">
      <c r="A1056" s="35"/>
      <c r="B1056" s="36"/>
      <c r="C1056" s="6"/>
      <c r="D1056" s="6"/>
    </row>
    <row r="1057" spans="1:4">
      <c r="A1057" s="35"/>
      <c r="B1057" s="36"/>
      <c r="C1057" s="6"/>
      <c r="D1057" s="6"/>
    </row>
    <row r="1058" spans="1:4">
      <c r="A1058" s="35"/>
      <c r="B1058" s="36"/>
      <c r="C1058" s="6"/>
      <c r="D1058" s="6"/>
    </row>
    <row r="1059" spans="1:4">
      <c r="A1059" s="35"/>
      <c r="B1059" s="36"/>
      <c r="C1059" s="6"/>
      <c r="D1059" s="6"/>
    </row>
    <row r="1060" spans="1:4">
      <c r="A1060" s="35"/>
      <c r="B1060" s="36"/>
      <c r="C1060" s="6"/>
      <c r="D1060" s="6"/>
    </row>
    <row r="1061" spans="1:4">
      <c r="A1061" s="35"/>
      <c r="B1061" s="36"/>
      <c r="C1061" s="6"/>
      <c r="D1061" s="6"/>
    </row>
    <row r="1062" spans="1:4">
      <c r="A1062" s="35"/>
      <c r="B1062" s="36"/>
      <c r="C1062" s="6"/>
      <c r="D1062" s="6"/>
    </row>
    <row r="1063" spans="1:4">
      <c r="A1063" s="35"/>
      <c r="B1063" s="36"/>
      <c r="C1063" s="6"/>
      <c r="D1063" s="6"/>
    </row>
    <row r="1064" spans="1:4">
      <c r="A1064" s="35"/>
      <c r="B1064" s="36"/>
      <c r="C1064" s="6"/>
      <c r="D1064" s="6"/>
    </row>
    <row r="1065" spans="1:4">
      <c r="A1065" s="35"/>
      <c r="B1065" s="36"/>
      <c r="C1065" s="6"/>
      <c r="D1065" s="6"/>
    </row>
    <row r="1066" spans="1:4">
      <c r="A1066" s="35"/>
      <c r="B1066" s="36"/>
      <c r="C1066" s="6"/>
      <c r="D1066" s="6"/>
    </row>
    <row r="1067" spans="1:4">
      <c r="A1067" s="35"/>
      <c r="B1067" s="36"/>
      <c r="C1067" s="6"/>
      <c r="D1067" s="6"/>
    </row>
    <row r="1068" spans="1:4">
      <c r="A1068" s="35"/>
      <c r="B1068" s="36"/>
      <c r="C1068" s="6"/>
      <c r="D1068" s="6"/>
    </row>
    <row r="1069" spans="1:4">
      <c r="A1069" s="35"/>
      <c r="B1069" s="36"/>
      <c r="C1069" s="6"/>
      <c r="D1069" s="6"/>
    </row>
    <row r="1070" spans="1:4">
      <c r="A1070" s="35"/>
      <c r="B1070" s="36"/>
      <c r="C1070" s="6"/>
      <c r="D1070" s="6"/>
    </row>
    <row r="1071" spans="1:4">
      <c r="A1071" s="35"/>
      <c r="B1071" s="36"/>
      <c r="C1071" s="6"/>
      <c r="D1071" s="6"/>
    </row>
    <row r="1072" spans="1:4">
      <c r="A1072" s="35"/>
      <c r="B1072" s="36"/>
      <c r="C1072" s="6"/>
      <c r="D1072" s="6"/>
    </row>
    <row r="1073" spans="1:4">
      <c r="A1073" s="35"/>
      <c r="B1073" s="36"/>
      <c r="C1073" s="6"/>
      <c r="D1073" s="6"/>
    </row>
    <row r="1074" spans="1:4">
      <c r="A1074" s="35"/>
      <c r="B1074" s="36"/>
      <c r="C1074" s="6"/>
      <c r="D1074" s="6"/>
    </row>
    <row r="1075" spans="1:4">
      <c r="A1075" s="35"/>
      <c r="B1075" s="36"/>
      <c r="C1075" s="6"/>
      <c r="D1075" s="6"/>
    </row>
    <row r="1076" spans="1:4">
      <c r="A1076" s="35"/>
      <c r="B1076" s="36"/>
      <c r="C1076" s="6"/>
      <c r="D1076" s="6"/>
    </row>
    <row r="1077" spans="1:4">
      <c r="A1077" s="35"/>
      <c r="B1077" s="36"/>
      <c r="C1077" s="6"/>
      <c r="D1077" s="6"/>
    </row>
    <row r="1078" spans="1:4">
      <c r="A1078" s="35"/>
      <c r="B1078" s="36"/>
      <c r="C1078" s="6"/>
      <c r="D1078" s="6"/>
    </row>
    <row r="1079" spans="1:4">
      <c r="A1079" s="35"/>
      <c r="B1079" s="36"/>
      <c r="C1079" s="6"/>
      <c r="D1079" s="6"/>
    </row>
    <row r="1080" spans="1:4">
      <c r="A1080" s="35"/>
      <c r="B1080" s="36"/>
      <c r="C1080" s="6"/>
      <c r="D1080" s="6"/>
    </row>
    <row r="1081" spans="1:4">
      <c r="A1081" s="35"/>
      <c r="B1081" s="36"/>
      <c r="C1081" s="6"/>
      <c r="D1081" s="6"/>
    </row>
    <row r="1082" spans="1:4">
      <c r="A1082" s="35"/>
      <c r="B1082" s="36"/>
      <c r="C1082" s="6"/>
      <c r="D1082" s="6"/>
    </row>
    <row r="1083" spans="1:4">
      <c r="A1083" s="35"/>
      <c r="B1083" s="36"/>
      <c r="C1083" s="6"/>
      <c r="D1083" s="6"/>
    </row>
    <row r="1084" spans="1:4">
      <c r="A1084" s="35"/>
      <c r="B1084" s="36"/>
      <c r="C1084" s="6"/>
      <c r="D1084" s="6"/>
    </row>
    <row r="1085" spans="1:4">
      <c r="A1085" s="35"/>
      <c r="B1085" s="36"/>
      <c r="C1085" s="6"/>
      <c r="D1085" s="6"/>
    </row>
    <row r="1086" spans="1:4">
      <c r="A1086" s="35"/>
      <c r="B1086" s="36"/>
      <c r="C1086" s="6"/>
      <c r="D1086" s="6"/>
    </row>
    <row r="1087" spans="1:4">
      <c r="A1087" s="35"/>
      <c r="B1087" s="36"/>
      <c r="C1087" s="6"/>
      <c r="D1087" s="6"/>
    </row>
    <row r="1088" spans="1:4">
      <c r="A1088" s="35"/>
      <c r="B1088" s="36"/>
      <c r="C1088" s="6"/>
      <c r="D1088" s="6"/>
    </row>
    <row r="1089" spans="1:4">
      <c r="A1089" s="35"/>
      <c r="B1089" s="36"/>
      <c r="C1089" s="6"/>
      <c r="D1089" s="6"/>
    </row>
    <row r="1090" spans="1:4">
      <c r="A1090" s="35"/>
      <c r="B1090" s="36"/>
      <c r="C1090" s="6"/>
      <c r="D1090" s="6"/>
    </row>
    <row r="1091" spans="1:4">
      <c r="A1091" s="35"/>
      <c r="B1091" s="36"/>
      <c r="C1091" s="6"/>
      <c r="D1091" s="6"/>
    </row>
    <row r="1092" spans="1:4">
      <c r="A1092" s="35"/>
      <c r="B1092" s="36"/>
      <c r="C1092" s="6"/>
      <c r="D1092" s="6"/>
    </row>
    <row r="1093" spans="1:4">
      <c r="A1093" s="35"/>
      <c r="B1093" s="36"/>
      <c r="C1093" s="6"/>
      <c r="D1093" s="6"/>
    </row>
    <row r="1094" spans="1:4">
      <c r="A1094" s="35"/>
      <c r="B1094" s="36"/>
      <c r="C1094" s="6"/>
      <c r="D1094" s="6"/>
    </row>
    <row r="1095" spans="1:4">
      <c r="A1095" s="35"/>
      <c r="B1095" s="36"/>
      <c r="C1095" s="6"/>
      <c r="D1095" s="6"/>
    </row>
    <row r="1096" spans="1:4">
      <c r="A1096" s="35"/>
      <c r="B1096" s="36"/>
      <c r="C1096" s="6"/>
      <c r="D1096" s="6"/>
    </row>
    <row r="1097" spans="1:4">
      <c r="A1097" s="35"/>
      <c r="B1097" s="36"/>
      <c r="C1097" s="6"/>
      <c r="D1097" s="6"/>
    </row>
    <row r="1098" spans="1:4">
      <c r="A1098" s="35"/>
      <c r="B1098" s="36"/>
      <c r="C1098" s="6"/>
      <c r="D1098" s="6"/>
    </row>
    <row r="1099" spans="1:4">
      <c r="A1099" s="35"/>
      <c r="B1099" s="36"/>
      <c r="C1099" s="6"/>
      <c r="D1099" s="6"/>
    </row>
    <row r="1100" spans="1:4">
      <c r="A1100" s="35"/>
      <c r="B1100" s="36"/>
      <c r="C1100" s="6"/>
      <c r="D1100" s="6"/>
    </row>
    <row r="1101" spans="1:4">
      <c r="A1101" s="35"/>
      <c r="B1101" s="36"/>
      <c r="C1101" s="6"/>
      <c r="D1101" s="6"/>
    </row>
    <row r="1102" spans="1:4">
      <c r="A1102" s="35"/>
      <c r="B1102" s="36"/>
      <c r="C1102" s="6"/>
      <c r="D1102" s="6"/>
    </row>
    <row r="1103" spans="1:4">
      <c r="A1103" s="35"/>
      <c r="B1103" s="36"/>
      <c r="C1103" s="6"/>
      <c r="D1103" s="6"/>
    </row>
    <row r="1104" spans="1:4">
      <c r="A1104" s="35"/>
      <c r="B1104" s="36"/>
      <c r="C1104" s="6"/>
      <c r="D1104" s="6"/>
    </row>
    <row r="1105" spans="1:4">
      <c r="A1105" s="35"/>
      <c r="B1105" s="36"/>
      <c r="C1105" s="6"/>
      <c r="D1105" s="6"/>
    </row>
    <row r="1106" spans="1:4">
      <c r="A1106" s="35"/>
      <c r="B1106" s="36"/>
      <c r="C1106" s="6"/>
      <c r="D1106" s="6"/>
    </row>
    <row r="1107" spans="1:4">
      <c r="A1107" s="35"/>
      <c r="B1107" s="36"/>
      <c r="C1107" s="6"/>
      <c r="D1107" s="6"/>
    </row>
    <row r="1108" spans="1:4">
      <c r="A1108" s="35"/>
      <c r="B1108" s="36"/>
      <c r="C1108" s="6"/>
      <c r="D1108" s="6"/>
    </row>
    <row r="1109" spans="1:4">
      <c r="A1109" s="35"/>
      <c r="B1109" s="36"/>
      <c r="C1109" s="6"/>
      <c r="D1109" s="6"/>
    </row>
    <row r="1110" spans="1:4">
      <c r="A1110" s="35"/>
      <c r="B1110" s="36"/>
      <c r="C1110" s="6"/>
      <c r="D1110" s="6"/>
    </row>
    <row r="1111" spans="1:4">
      <c r="A1111" s="35"/>
      <c r="B1111" s="36"/>
      <c r="C1111" s="6"/>
      <c r="D1111" s="6"/>
    </row>
    <row r="1112" spans="1:4">
      <c r="A1112" s="35"/>
      <c r="B1112" s="36"/>
      <c r="C1112" s="6"/>
      <c r="D1112" s="6"/>
    </row>
    <row r="1113" spans="1:4">
      <c r="A1113" s="35"/>
      <c r="B1113" s="36"/>
      <c r="C1113" s="6"/>
      <c r="D1113" s="6"/>
    </row>
    <row r="1114" spans="1:4">
      <c r="A1114" s="35"/>
      <c r="B1114" s="36"/>
      <c r="C1114" s="6"/>
      <c r="D1114" s="6"/>
    </row>
    <row r="1115" spans="1:4">
      <c r="A1115" s="35"/>
      <c r="B1115" s="36"/>
      <c r="C1115" s="6"/>
      <c r="D1115" s="6"/>
    </row>
    <row r="1116" spans="1:4">
      <c r="A1116" s="35"/>
      <c r="B1116" s="36"/>
      <c r="C1116" s="6"/>
      <c r="D1116" s="6"/>
    </row>
    <row r="1117" spans="1:4">
      <c r="A1117" s="35"/>
      <c r="B1117" s="36"/>
      <c r="C1117" s="6"/>
      <c r="D1117" s="6"/>
    </row>
    <row r="1118" spans="1:4">
      <c r="A1118" s="35"/>
      <c r="B1118" s="36"/>
      <c r="C1118" s="6"/>
      <c r="D1118" s="6"/>
    </row>
    <row r="1119" spans="1:4">
      <c r="A1119" s="35"/>
      <c r="B1119" s="36"/>
      <c r="C1119" s="6"/>
      <c r="D1119" s="6"/>
    </row>
    <row r="1120" spans="1:4">
      <c r="A1120" s="35"/>
      <c r="B1120" s="36"/>
      <c r="C1120" s="6"/>
      <c r="D1120" s="6"/>
    </row>
    <row r="1121" spans="1:4">
      <c r="A1121" s="35"/>
      <c r="B1121" s="36"/>
      <c r="C1121" s="6"/>
      <c r="D1121" s="6"/>
    </row>
    <row r="1122" spans="1:4">
      <c r="A1122" s="35"/>
      <c r="B1122" s="36"/>
      <c r="C1122" s="6"/>
      <c r="D1122" s="6"/>
    </row>
    <row r="1123" spans="1:4">
      <c r="A1123" s="35"/>
      <c r="B1123" s="36"/>
      <c r="C1123" s="6"/>
      <c r="D1123" s="6"/>
    </row>
    <row r="1124" spans="1:4">
      <c r="A1124" s="35"/>
      <c r="B1124" s="36"/>
      <c r="C1124" s="6"/>
      <c r="D1124" s="6"/>
    </row>
    <row r="1125" spans="1:4">
      <c r="A1125" s="35"/>
      <c r="B1125" s="36"/>
      <c r="C1125" s="6"/>
      <c r="D1125" s="6"/>
    </row>
    <row r="1126" spans="1:4">
      <c r="A1126" s="35"/>
      <c r="B1126" s="36"/>
      <c r="C1126" s="6"/>
      <c r="D1126" s="6"/>
    </row>
    <row r="1127" spans="1:4">
      <c r="A1127" s="35"/>
      <c r="B1127" s="36"/>
      <c r="C1127" s="6"/>
      <c r="D1127" s="6"/>
    </row>
    <row r="1128" spans="1:4">
      <c r="A1128" s="35"/>
      <c r="B1128" s="36"/>
      <c r="C1128" s="6"/>
      <c r="D1128" s="6"/>
    </row>
    <row r="1129" spans="1:4">
      <c r="A1129" s="35"/>
      <c r="B1129" s="36"/>
      <c r="C1129" s="6"/>
      <c r="D1129" s="6"/>
    </row>
    <row r="1130" spans="1:4">
      <c r="A1130" s="35"/>
      <c r="B1130" s="36"/>
      <c r="C1130" s="6"/>
      <c r="D1130" s="6"/>
    </row>
    <row r="1131" spans="1:4">
      <c r="A1131" s="35"/>
      <c r="B1131" s="36"/>
      <c r="C1131" s="6"/>
      <c r="D1131" s="6"/>
    </row>
    <row r="1132" spans="1:4">
      <c r="A1132" s="35"/>
      <c r="B1132" s="36"/>
      <c r="C1132" s="6"/>
      <c r="D1132" s="6"/>
    </row>
    <row r="1133" spans="1:4">
      <c r="A1133" s="35"/>
      <c r="B1133" s="36"/>
      <c r="C1133" s="6"/>
      <c r="D1133" s="6"/>
    </row>
    <row r="1134" spans="1:4">
      <c r="A1134" s="35"/>
      <c r="B1134" s="36"/>
      <c r="C1134" s="6"/>
      <c r="D1134" s="6"/>
    </row>
    <row r="1135" spans="1:4">
      <c r="A1135" s="35"/>
      <c r="B1135" s="36"/>
      <c r="C1135" s="6"/>
      <c r="D1135" s="6"/>
    </row>
    <row r="1136" spans="1:4">
      <c r="A1136" s="35"/>
      <c r="B1136" s="36"/>
      <c r="C1136" s="6"/>
      <c r="D1136" s="6"/>
    </row>
    <row r="1137" spans="1:4">
      <c r="A1137" s="35"/>
      <c r="B1137" s="36"/>
      <c r="C1137" s="6"/>
      <c r="D1137" s="6"/>
    </row>
    <row r="1138" spans="1:4">
      <c r="A1138" s="35"/>
      <c r="B1138" s="36"/>
      <c r="C1138" s="6"/>
      <c r="D1138" s="6"/>
    </row>
    <row r="1139" spans="1:4">
      <c r="A1139" s="35"/>
      <c r="B1139" s="36"/>
      <c r="C1139" s="6"/>
      <c r="D1139" s="6"/>
    </row>
    <row r="1140" spans="1:4">
      <c r="A1140" s="35"/>
      <c r="B1140" s="36"/>
      <c r="C1140" s="6"/>
      <c r="D1140" s="6"/>
    </row>
    <row r="1141" spans="1:4">
      <c r="A1141" s="35"/>
      <c r="B1141" s="36"/>
      <c r="C1141" s="6"/>
      <c r="D1141" s="6"/>
    </row>
    <row r="1142" spans="1:4">
      <c r="A1142" s="35"/>
      <c r="B1142" s="36"/>
      <c r="C1142" s="6"/>
      <c r="D1142" s="6"/>
    </row>
    <row r="1143" spans="1:4">
      <c r="A1143" s="35"/>
      <c r="B1143" s="36"/>
      <c r="C1143" s="6"/>
      <c r="D1143" s="6"/>
    </row>
    <row r="1144" spans="1:4">
      <c r="A1144" s="35"/>
      <c r="B1144" s="36"/>
      <c r="C1144" s="6"/>
      <c r="D1144" s="6"/>
    </row>
    <row r="1145" spans="1:4">
      <c r="A1145" s="35"/>
      <c r="B1145" s="36"/>
      <c r="C1145" s="6"/>
      <c r="D1145" s="6"/>
    </row>
    <row r="1146" spans="1:4">
      <c r="A1146" s="35"/>
      <c r="B1146" s="36"/>
      <c r="C1146" s="6"/>
      <c r="D1146" s="6"/>
    </row>
    <row r="1147" spans="1:4">
      <c r="A1147" s="35"/>
      <c r="B1147" s="36"/>
      <c r="C1147" s="6"/>
      <c r="D1147" s="6"/>
    </row>
    <row r="1148" spans="1:4">
      <c r="A1148" s="35"/>
      <c r="B1148" s="36"/>
      <c r="C1148" s="6"/>
      <c r="D1148" s="6"/>
    </row>
    <row r="1149" spans="1:4">
      <c r="A1149" s="35"/>
      <c r="B1149" s="36"/>
      <c r="C1149" s="6"/>
      <c r="D1149" s="6"/>
    </row>
    <row r="1150" spans="1:4">
      <c r="A1150" s="35"/>
      <c r="B1150" s="36"/>
      <c r="C1150" s="6"/>
      <c r="D1150" s="6"/>
    </row>
    <row r="1151" spans="1:4">
      <c r="A1151" s="35"/>
      <c r="B1151" s="36"/>
      <c r="C1151" s="6"/>
      <c r="D1151" s="6"/>
    </row>
    <row r="1152" spans="1:4">
      <c r="A1152" s="35"/>
      <c r="B1152" s="36"/>
      <c r="C1152" s="6"/>
      <c r="D1152" s="6"/>
    </row>
    <row r="1153" spans="1:4">
      <c r="A1153" s="35"/>
      <c r="B1153" s="36"/>
      <c r="C1153" s="6"/>
      <c r="D1153" s="6"/>
    </row>
    <row r="1154" spans="1:4">
      <c r="A1154" s="35"/>
      <c r="B1154" s="36"/>
      <c r="C1154" s="6"/>
      <c r="D1154" s="6"/>
    </row>
    <row r="1155" spans="1:4">
      <c r="A1155" s="35"/>
      <c r="B1155" s="36"/>
      <c r="C1155" s="6"/>
      <c r="D1155" s="6"/>
    </row>
    <row r="1156" spans="1:4">
      <c r="A1156" s="35"/>
      <c r="B1156" s="36"/>
      <c r="C1156" s="6"/>
      <c r="D1156" s="6"/>
    </row>
    <row r="1157" spans="1:4">
      <c r="A1157" s="35"/>
      <c r="B1157" s="36"/>
      <c r="C1157" s="6"/>
      <c r="D1157" s="6"/>
    </row>
    <row r="1158" spans="1:4">
      <c r="A1158" s="35"/>
      <c r="B1158" s="36"/>
      <c r="C1158" s="6"/>
      <c r="D1158" s="6"/>
    </row>
    <row r="1159" spans="1:4">
      <c r="A1159" s="35"/>
      <c r="B1159" s="36"/>
      <c r="C1159" s="6"/>
      <c r="D1159" s="6"/>
    </row>
    <row r="1160" spans="1:4">
      <c r="A1160" s="35"/>
      <c r="B1160" s="36"/>
      <c r="C1160" s="6"/>
      <c r="D1160" s="6"/>
    </row>
    <row r="1161" spans="1:4">
      <c r="A1161" s="35"/>
      <c r="B1161" s="36"/>
      <c r="C1161" s="6"/>
      <c r="D1161" s="6"/>
    </row>
    <row r="1162" spans="1:4">
      <c r="A1162" s="35"/>
      <c r="B1162" s="36"/>
      <c r="C1162" s="6"/>
      <c r="D1162" s="6"/>
    </row>
    <row r="1163" spans="1:4">
      <c r="A1163" s="35"/>
      <c r="B1163" s="36"/>
      <c r="C1163" s="6"/>
      <c r="D1163" s="6"/>
    </row>
    <row r="1164" spans="1:4">
      <c r="A1164" s="35"/>
      <c r="B1164" s="36"/>
      <c r="C1164" s="6"/>
      <c r="D1164" s="6"/>
    </row>
    <row r="1165" spans="1:4">
      <c r="A1165" s="35"/>
      <c r="B1165" s="36"/>
      <c r="C1165" s="6"/>
      <c r="D1165" s="6"/>
    </row>
    <row r="1166" spans="1:4">
      <c r="A1166" s="35"/>
      <c r="B1166" s="36"/>
      <c r="C1166" s="6"/>
      <c r="D1166" s="6"/>
    </row>
    <row r="1167" spans="1:4">
      <c r="A1167" s="35"/>
      <c r="B1167" s="36"/>
      <c r="C1167" s="6"/>
      <c r="D1167" s="6"/>
    </row>
    <row r="1168" spans="1:4">
      <c r="A1168" s="35"/>
      <c r="B1168" s="36"/>
      <c r="C1168" s="6"/>
      <c r="D1168" s="6"/>
    </row>
    <row r="1169" spans="1:4">
      <c r="A1169" s="35"/>
      <c r="B1169" s="36"/>
      <c r="C1169" s="6"/>
      <c r="D1169" s="6"/>
    </row>
    <row r="1170" spans="1:4">
      <c r="A1170" s="35"/>
      <c r="B1170" s="36"/>
      <c r="C1170" s="6"/>
      <c r="D1170" s="6"/>
    </row>
    <row r="1171" spans="1:4">
      <c r="A1171" s="35"/>
      <c r="B1171" s="36"/>
      <c r="C1171" s="6"/>
      <c r="D1171" s="6"/>
    </row>
    <row r="1172" spans="1:4">
      <c r="A1172" s="35"/>
      <c r="B1172" s="36"/>
      <c r="C1172" s="6"/>
      <c r="D1172" s="6"/>
    </row>
    <row r="1173" spans="1:4">
      <c r="A1173" s="35"/>
      <c r="B1173" s="36"/>
      <c r="C1173" s="6"/>
      <c r="D1173" s="6"/>
    </row>
    <row r="1174" spans="1:4">
      <c r="A1174" s="35"/>
      <c r="B1174" s="36"/>
      <c r="C1174" s="6"/>
      <c r="D1174" s="6"/>
    </row>
    <row r="1175" spans="1:4">
      <c r="A1175" s="35"/>
      <c r="B1175" s="36"/>
      <c r="C1175" s="6"/>
      <c r="D1175" s="6"/>
    </row>
    <row r="1176" spans="1:4">
      <c r="A1176" s="35"/>
      <c r="B1176" s="36"/>
      <c r="C1176" s="6"/>
      <c r="D1176" s="6"/>
    </row>
    <row r="1177" spans="1:4">
      <c r="A1177" s="35"/>
      <c r="B1177" s="36"/>
      <c r="C1177" s="6"/>
      <c r="D1177" s="6"/>
    </row>
    <row r="1178" spans="1:4">
      <c r="A1178" s="35"/>
      <c r="B1178" s="36"/>
      <c r="C1178" s="6"/>
      <c r="D1178" s="6"/>
    </row>
    <row r="1179" spans="1:4">
      <c r="A1179" s="35"/>
      <c r="B1179" s="36"/>
      <c r="C1179" s="6"/>
      <c r="D1179" s="6"/>
    </row>
    <row r="1180" spans="1:4">
      <c r="A1180" s="35"/>
      <c r="B1180" s="36"/>
      <c r="C1180" s="6"/>
      <c r="D1180" s="6"/>
    </row>
    <row r="1181" spans="1:4">
      <c r="A1181" s="35"/>
      <c r="B1181" s="36"/>
      <c r="C1181" s="6"/>
      <c r="D1181" s="6"/>
    </row>
    <row r="1182" spans="1:4">
      <c r="A1182" s="35"/>
      <c r="B1182" s="36"/>
      <c r="C1182" s="6"/>
      <c r="D1182" s="6"/>
    </row>
    <row r="1183" spans="1:4">
      <c r="A1183" s="35"/>
      <c r="B1183" s="36"/>
      <c r="C1183" s="6"/>
      <c r="D1183" s="6"/>
    </row>
    <row r="1184" spans="1:4">
      <c r="A1184" s="35"/>
      <c r="B1184" s="36"/>
      <c r="C1184" s="6"/>
      <c r="D1184" s="6"/>
    </row>
    <row r="1185" spans="1:4">
      <c r="A1185" s="35"/>
      <c r="B1185" s="36"/>
      <c r="C1185" s="6"/>
      <c r="D1185" s="6"/>
    </row>
    <row r="1186" spans="1:4">
      <c r="A1186" s="35"/>
      <c r="B1186" s="36"/>
      <c r="C1186" s="6"/>
      <c r="D1186" s="6"/>
    </row>
    <row r="1187" spans="1:4">
      <c r="A1187" s="35"/>
      <c r="B1187" s="36"/>
      <c r="C1187" s="6"/>
      <c r="D1187" s="6"/>
    </row>
    <row r="1188" spans="1:4">
      <c r="A1188" s="35"/>
      <c r="B1188" s="36"/>
      <c r="C1188" s="6"/>
      <c r="D1188" s="6"/>
    </row>
    <row r="1189" spans="1:4">
      <c r="A1189" s="35"/>
      <c r="B1189" s="36"/>
      <c r="C1189" s="6"/>
      <c r="D1189" s="6"/>
    </row>
    <row r="1190" spans="1:4">
      <c r="A1190" s="35"/>
      <c r="B1190" s="36"/>
      <c r="C1190" s="6"/>
      <c r="D1190" s="6"/>
    </row>
    <row r="1191" spans="1:4">
      <c r="A1191" s="35"/>
      <c r="B1191" s="36"/>
      <c r="C1191" s="6"/>
      <c r="D1191" s="6"/>
    </row>
    <row r="1192" spans="1:4">
      <c r="A1192" s="35"/>
      <c r="B1192" s="36"/>
      <c r="C1192" s="6"/>
      <c r="D1192" s="6"/>
    </row>
    <row r="1193" spans="1:4">
      <c r="A1193" s="35"/>
      <c r="B1193" s="36"/>
      <c r="C1193" s="6"/>
      <c r="D1193" s="6"/>
    </row>
    <row r="1194" spans="1:4">
      <c r="A1194" s="35"/>
      <c r="B1194" s="36"/>
      <c r="C1194" s="6"/>
      <c r="D1194" s="6"/>
    </row>
    <row r="1195" spans="1:4">
      <c r="A1195" s="35"/>
      <c r="B1195" s="36"/>
      <c r="C1195" s="6"/>
      <c r="D1195" s="6"/>
    </row>
    <row r="1196" spans="1:4">
      <c r="A1196" s="35"/>
      <c r="B1196" s="36"/>
      <c r="C1196" s="6"/>
      <c r="D1196" s="6"/>
    </row>
    <row r="1197" spans="1:4">
      <c r="A1197" s="35"/>
      <c r="B1197" s="36"/>
      <c r="C1197" s="6"/>
      <c r="D1197" s="6"/>
    </row>
    <row r="1198" spans="1:4">
      <c r="A1198" s="35"/>
      <c r="B1198" s="36"/>
      <c r="C1198" s="6"/>
      <c r="D1198" s="6"/>
    </row>
    <row r="1199" spans="1:4">
      <c r="A1199" s="35"/>
      <c r="B1199" s="36"/>
      <c r="C1199" s="6"/>
      <c r="D1199" s="6"/>
    </row>
    <row r="1200" spans="1:4">
      <c r="A1200" s="35"/>
      <c r="B1200" s="36"/>
      <c r="C1200" s="6"/>
      <c r="D1200" s="6"/>
    </row>
    <row r="1201" spans="1:4">
      <c r="A1201" s="35"/>
      <c r="B1201" s="36"/>
      <c r="C1201" s="6"/>
      <c r="D1201" s="6"/>
    </row>
    <row r="1202" spans="1:4">
      <c r="A1202" s="35"/>
      <c r="B1202" s="36"/>
      <c r="C1202" s="6"/>
      <c r="D1202" s="6"/>
    </row>
    <row r="1203" spans="1:4">
      <c r="A1203" s="35"/>
      <c r="B1203" s="36"/>
      <c r="C1203" s="6"/>
      <c r="D1203" s="6"/>
    </row>
    <row r="1204" spans="1:4">
      <c r="A1204" s="35"/>
      <c r="B1204" s="36"/>
      <c r="C1204" s="6"/>
      <c r="D1204" s="6"/>
    </row>
    <row r="1205" spans="1:4">
      <c r="A1205" s="35"/>
      <c r="B1205" s="36"/>
      <c r="C1205" s="6"/>
      <c r="D1205" s="6"/>
    </row>
    <row r="1206" spans="1:4">
      <c r="A1206" s="35"/>
      <c r="B1206" s="36"/>
      <c r="C1206" s="6"/>
      <c r="D1206" s="6"/>
    </row>
    <row r="1207" spans="1:4">
      <c r="A1207" s="35"/>
      <c r="B1207" s="36"/>
      <c r="C1207" s="6"/>
      <c r="D1207" s="6"/>
    </row>
    <row r="1208" spans="1:4">
      <c r="A1208" s="35"/>
      <c r="B1208" s="36"/>
      <c r="C1208" s="6"/>
      <c r="D1208" s="6"/>
    </row>
    <row r="1209" spans="1:4">
      <c r="A1209" s="35"/>
      <c r="B1209" s="36"/>
      <c r="C1209" s="6"/>
      <c r="D1209" s="6"/>
    </row>
    <row r="1210" spans="1:4">
      <c r="A1210" s="35"/>
      <c r="B1210" s="36"/>
      <c r="C1210" s="6"/>
      <c r="D1210" s="6"/>
    </row>
    <row r="1211" spans="1:4">
      <c r="A1211" s="35"/>
      <c r="B1211" s="36"/>
      <c r="C1211" s="6"/>
      <c r="D1211" s="6"/>
    </row>
    <row r="1212" spans="1:4">
      <c r="A1212" s="35"/>
      <c r="B1212" s="36"/>
      <c r="C1212" s="6"/>
      <c r="D1212" s="6"/>
    </row>
    <row r="1213" spans="1:4">
      <c r="A1213" s="35"/>
      <c r="B1213" s="36"/>
      <c r="C1213" s="6"/>
      <c r="D1213" s="6"/>
    </row>
    <row r="1214" spans="1:4">
      <c r="A1214" s="35"/>
      <c r="B1214" s="36"/>
      <c r="C1214" s="6"/>
      <c r="D1214" s="6"/>
    </row>
    <row r="1215" spans="1:4">
      <c r="A1215" s="35"/>
      <c r="B1215" s="36"/>
      <c r="C1215" s="6"/>
      <c r="D1215" s="6"/>
    </row>
    <row r="1216" spans="1:4">
      <c r="A1216" s="35"/>
      <c r="B1216" s="36"/>
      <c r="C1216" s="6"/>
      <c r="D1216" s="6"/>
    </row>
    <row r="1217" spans="1:4">
      <c r="A1217" s="35"/>
      <c r="B1217" s="36"/>
      <c r="C1217" s="6"/>
      <c r="D1217" s="6"/>
    </row>
    <row r="1218" spans="1:4">
      <c r="A1218" s="35"/>
      <c r="B1218" s="36"/>
      <c r="C1218" s="6"/>
      <c r="D1218" s="6"/>
    </row>
    <row r="1219" spans="1:4">
      <c r="A1219" s="35"/>
      <c r="B1219" s="36"/>
      <c r="C1219" s="6"/>
      <c r="D1219" s="6"/>
    </row>
    <row r="1220" spans="1:4">
      <c r="A1220" s="35"/>
      <c r="B1220" s="36"/>
      <c r="C1220" s="6"/>
      <c r="D1220" s="6"/>
    </row>
    <row r="1221" spans="1:4">
      <c r="A1221" s="35"/>
      <c r="B1221" s="36"/>
      <c r="C1221" s="6"/>
      <c r="D1221" s="6"/>
    </row>
    <row r="1222" spans="1:4">
      <c r="A1222" s="35"/>
      <c r="B1222" s="36"/>
      <c r="C1222" s="6"/>
      <c r="D1222" s="6"/>
    </row>
    <row r="1223" spans="1:4">
      <c r="A1223" s="35"/>
      <c r="B1223" s="36"/>
      <c r="C1223" s="6"/>
      <c r="D1223" s="6"/>
    </row>
    <row r="1224" spans="1:4">
      <c r="A1224" s="35"/>
      <c r="B1224" s="36"/>
      <c r="C1224" s="6"/>
      <c r="D1224" s="6"/>
    </row>
    <row r="1225" spans="1:4">
      <c r="A1225" s="35"/>
      <c r="B1225" s="36"/>
      <c r="C1225" s="6"/>
      <c r="D1225" s="6"/>
    </row>
    <row r="1226" spans="1:4">
      <c r="A1226" s="35"/>
      <c r="B1226" s="36"/>
      <c r="C1226" s="6"/>
      <c r="D1226" s="6"/>
    </row>
    <row r="1227" spans="1:4">
      <c r="A1227" s="35"/>
      <c r="B1227" s="36"/>
      <c r="C1227" s="6"/>
      <c r="D1227" s="6"/>
    </row>
    <row r="1228" spans="1:4">
      <c r="A1228" s="35"/>
      <c r="B1228" s="36"/>
      <c r="C1228" s="6"/>
      <c r="D1228" s="6"/>
    </row>
    <row r="1229" spans="1:4">
      <c r="A1229" s="35"/>
      <c r="B1229" s="36"/>
      <c r="C1229" s="6"/>
      <c r="D1229" s="6"/>
    </row>
    <row r="1230" spans="1:4">
      <c r="A1230" s="35"/>
      <c r="B1230" s="36"/>
      <c r="C1230" s="6"/>
      <c r="D1230" s="6"/>
    </row>
    <row r="1231" spans="1:4">
      <c r="A1231" s="35"/>
      <c r="B1231" s="36"/>
      <c r="C1231" s="6"/>
      <c r="D1231" s="6"/>
    </row>
    <row r="1232" spans="1:4">
      <c r="A1232" s="35"/>
      <c r="B1232" s="36"/>
      <c r="C1232" s="6"/>
      <c r="D1232" s="6"/>
    </row>
    <row r="1233" spans="1:4">
      <c r="A1233" s="35"/>
      <c r="B1233" s="36"/>
      <c r="C1233" s="6"/>
      <c r="D1233" s="6"/>
    </row>
    <row r="1234" spans="1:4">
      <c r="A1234" s="35"/>
      <c r="B1234" s="36"/>
      <c r="C1234" s="6"/>
      <c r="D1234" s="6"/>
    </row>
    <row r="1235" spans="1:4">
      <c r="A1235" s="35"/>
      <c r="B1235" s="36"/>
      <c r="C1235" s="6"/>
      <c r="D1235" s="6"/>
    </row>
    <row r="1236" spans="1:4">
      <c r="A1236" s="35"/>
      <c r="B1236" s="36"/>
      <c r="C1236" s="6"/>
      <c r="D1236" s="6"/>
    </row>
    <row r="1237" spans="1:4">
      <c r="A1237" s="35"/>
      <c r="B1237" s="36"/>
      <c r="C1237" s="6"/>
      <c r="D1237" s="6"/>
    </row>
    <row r="1238" spans="1:4">
      <c r="A1238" s="35"/>
      <c r="B1238" s="36"/>
      <c r="C1238" s="6"/>
      <c r="D1238" s="6"/>
    </row>
    <row r="1239" spans="1:4">
      <c r="A1239" s="35"/>
      <c r="B1239" s="36"/>
      <c r="C1239" s="6"/>
      <c r="D1239" s="6"/>
    </row>
    <row r="1240" spans="1:4">
      <c r="A1240" s="35"/>
      <c r="B1240" s="36"/>
      <c r="C1240" s="6"/>
      <c r="D1240" s="6"/>
    </row>
    <row r="1241" spans="1:4">
      <c r="A1241" s="35"/>
      <c r="B1241" s="36"/>
      <c r="C1241" s="6"/>
      <c r="D1241" s="6"/>
    </row>
    <row r="1242" spans="1:4">
      <c r="A1242" s="35"/>
      <c r="B1242" s="36"/>
      <c r="C1242" s="6"/>
      <c r="D1242" s="6"/>
    </row>
    <row r="1243" spans="1:4">
      <c r="A1243" s="35"/>
      <c r="B1243" s="36"/>
      <c r="C1243" s="6"/>
      <c r="D1243" s="6"/>
    </row>
    <row r="1244" spans="1:4">
      <c r="A1244" s="35"/>
      <c r="B1244" s="36"/>
      <c r="C1244" s="6"/>
      <c r="D1244" s="6"/>
    </row>
    <row r="1245" spans="1:4">
      <c r="A1245" s="35"/>
      <c r="B1245" s="36"/>
      <c r="C1245" s="6"/>
      <c r="D1245" s="6"/>
    </row>
    <row r="1246" spans="1:4">
      <c r="A1246" s="35"/>
      <c r="B1246" s="36"/>
      <c r="C1246" s="6"/>
      <c r="D1246" s="6"/>
    </row>
    <row r="1247" spans="1:4">
      <c r="A1247" s="35"/>
      <c r="B1247" s="36"/>
      <c r="C1247" s="6"/>
      <c r="D1247" s="6"/>
    </row>
    <row r="1248" spans="1:4">
      <c r="A1248" s="35"/>
      <c r="B1248" s="36"/>
      <c r="C1248" s="6"/>
      <c r="D1248" s="6"/>
    </row>
    <row r="1249" spans="1:4">
      <c r="A1249" s="35"/>
      <c r="B1249" s="36"/>
      <c r="C1249" s="6"/>
      <c r="D1249" s="6"/>
    </row>
    <row r="1250" spans="1:4">
      <c r="A1250" s="35"/>
      <c r="B1250" s="36"/>
      <c r="C1250" s="6"/>
      <c r="D1250" s="6"/>
    </row>
    <row r="1251" spans="1:4">
      <c r="A1251" s="35"/>
      <c r="B1251" s="36"/>
      <c r="C1251" s="6"/>
      <c r="D1251" s="6"/>
    </row>
    <row r="1252" spans="1:4">
      <c r="A1252" s="35"/>
      <c r="B1252" s="36"/>
      <c r="C1252" s="6"/>
      <c r="D1252" s="6"/>
    </row>
    <row r="1253" spans="1:4">
      <c r="A1253" s="35"/>
      <c r="B1253" s="36"/>
      <c r="C1253" s="6"/>
      <c r="D1253" s="6"/>
    </row>
    <row r="1254" spans="1:4">
      <c r="A1254" s="35"/>
      <c r="B1254" s="36"/>
      <c r="C1254" s="6"/>
      <c r="D1254" s="6"/>
    </row>
    <row r="1255" spans="1:4">
      <c r="A1255" s="35"/>
      <c r="B1255" s="36"/>
      <c r="C1255" s="6"/>
      <c r="D1255" s="6"/>
    </row>
    <row r="1256" spans="1:4">
      <c r="A1256" s="35"/>
      <c r="B1256" s="36"/>
      <c r="C1256" s="6"/>
      <c r="D1256" s="6"/>
    </row>
    <row r="1257" spans="1:4">
      <c r="A1257" s="35"/>
      <c r="B1257" s="36"/>
      <c r="C1257" s="6"/>
      <c r="D1257" s="6"/>
    </row>
    <row r="1258" spans="1:4">
      <c r="A1258" s="35"/>
      <c r="B1258" s="36"/>
      <c r="C1258" s="6"/>
      <c r="D1258" s="6"/>
    </row>
    <row r="1259" spans="1:4">
      <c r="A1259" s="35"/>
      <c r="B1259" s="36"/>
      <c r="C1259" s="6"/>
      <c r="D1259" s="6"/>
    </row>
    <row r="1260" spans="1:4">
      <c r="A1260" s="35"/>
      <c r="B1260" s="36"/>
      <c r="C1260" s="6"/>
      <c r="D1260" s="6"/>
    </row>
    <row r="1261" spans="1:4">
      <c r="A1261" s="35"/>
      <c r="B1261" s="36"/>
      <c r="C1261" s="6"/>
      <c r="D1261" s="6"/>
    </row>
    <row r="1262" spans="1:4">
      <c r="A1262" s="35"/>
      <c r="B1262" s="36"/>
      <c r="C1262" s="6"/>
      <c r="D1262" s="6"/>
    </row>
    <row r="1263" spans="1:4">
      <c r="A1263" s="35"/>
      <c r="B1263" s="36"/>
      <c r="C1263" s="6"/>
      <c r="D1263" s="6"/>
    </row>
    <row r="1264" spans="1:4">
      <c r="A1264" s="35"/>
      <c r="B1264" s="36"/>
      <c r="C1264" s="6"/>
      <c r="D1264" s="6"/>
    </row>
    <row r="1265" spans="1:4">
      <c r="A1265" s="35"/>
      <c r="B1265" s="36"/>
      <c r="C1265" s="6"/>
      <c r="D1265" s="6"/>
    </row>
    <row r="1266" spans="1:4">
      <c r="A1266" s="35"/>
      <c r="B1266" s="36"/>
      <c r="C1266" s="6"/>
      <c r="D1266" s="6"/>
    </row>
    <row r="1267" spans="1:4">
      <c r="A1267" s="35"/>
      <c r="B1267" s="36"/>
      <c r="C1267" s="6"/>
      <c r="D1267" s="6"/>
    </row>
    <row r="1268" spans="1:4">
      <c r="A1268" s="35"/>
      <c r="B1268" s="36"/>
      <c r="C1268" s="6"/>
      <c r="D1268" s="6"/>
    </row>
    <row r="1269" spans="1:4">
      <c r="A1269" s="35"/>
      <c r="B1269" s="36"/>
      <c r="C1269" s="6"/>
      <c r="D1269" s="6"/>
    </row>
    <row r="1270" spans="1:4">
      <c r="A1270" s="35"/>
      <c r="B1270" s="36"/>
      <c r="C1270" s="6"/>
      <c r="D1270" s="6"/>
    </row>
    <row r="1271" spans="1:4">
      <c r="A1271" s="35"/>
      <c r="B1271" s="36"/>
      <c r="C1271" s="6"/>
      <c r="D1271" s="6"/>
    </row>
    <row r="1272" spans="1:4">
      <c r="A1272" s="35"/>
      <c r="B1272" s="36"/>
      <c r="C1272" s="6"/>
      <c r="D1272" s="6"/>
    </row>
    <row r="1273" spans="1:4">
      <c r="A1273" s="35"/>
      <c r="B1273" s="36"/>
      <c r="C1273" s="6"/>
      <c r="D1273" s="6"/>
    </row>
    <row r="1274" spans="1:4">
      <c r="A1274" s="35"/>
      <c r="B1274" s="36"/>
      <c r="C1274" s="6"/>
      <c r="D1274" s="6"/>
    </row>
    <row r="1275" spans="1:4">
      <c r="A1275" s="35"/>
      <c r="B1275" s="36"/>
      <c r="C1275" s="6"/>
      <c r="D1275" s="6"/>
    </row>
    <row r="1276" spans="1:4">
      <c r="A1276" s="35"/>
      <c r="B1276" s="36"/>
      <c r="C1276" s="6"/>
      <c r="D1276" s="6"/>
    </row>
    <row r="1277" spans="1:4">
      <c r="A1277" s="35"/>
      <c r="B1277" s="36"/>
      <c r="C1277" s="6"/>
      <c r="D1277" s="6"/>
    </row>
    <row r="1278" spans="1:4">
      <c r="A1278" s="35"/>
      <c r="B1278" s="36"/>
      <c r="C1278" s="6"/>
      <c r="D1278" s="6"/>
    </row>
    <row r="1279" spans="1:4">
      <c r="A1279" s="35"/>
      <c r="B1279" s="36"/>
      <c r="C1279" s="6"/>
      <c r="D1279" s="6"/>
    </row>
    <row r="1280" spans="1:4">
      <c r="A1280" s="35"/>
      <c r="B1280" s="36"/>
      <c r="C1280" s="6"/>
      <c r="D1280" s="6"/>
    </row>
    <row r="1281" spans="1:4">
      <c r="A1281" s="35"/>
      <c r="B1281" s="36"/>
      <c r="C1281" s="6"/>
      <c r="D1281" s="6"/>
    </row>
    <row r="1282" spans="1:4">
      <c r="A1282" s="35"/>
      <c r="B1282" s="36"/>
      <c r="C1282" s="6"/>
      <c r="D1282" s="6"/>
    </row>
    <row r="1283" spans="1:4">
      <c r="A1283" s="35"/>
      <c r="B1283" s="36"/>
      <c r="C1283" s="6"/>
      <c r="D1283" s="6"/>
    </row>
    <row r="1284" spans="1:4">
      <c r="A1284" s="35"/>
      <c r="B1284" s="36"/>
      <c r="C1284" s="6"/>
      <c r="D1284" s="6"/>
    </row>
    <row r="1285" spans="1:4">
      <c r="A1285" s="35"/>
      <c r="B1285" s="36"/>
      <c r="C1285" s="6"/>
      <c r="D1285" s="6"/>
    </row>
    <row r="1286" spans="1:4">
      <c r="A1286" s="35"/>
      <c r="B1286" s="36"/>
      <c r="C1286" s="6"/>
      <c r="D1286" s="6"/>
    </row>
    <row r="1287" spans="1:4">
      <c r="A1287" s="35"/>
      <c r="B1287" s="36"/>
      <c r="C1287" s="6"/>
      <c r="D1287" s="6"/>
    </row>
    <row r="1288" spans="1:4">
      <c r="A1288" s="35"/>
      <c r="B1288" s="36"/>
      <c r="C1288" s="6"/>
      <c r="D1288" s="6"/>
    </row>
    <row r="1289" spans="1:4">
      <c r="A1289" s="35"/>
      <c r="B1289" s="36"/>
      <c r="C1289" s="6"/>
      <c r="D1289" s="6"/>
    </row>
    <row r="1290" spans="1:4">
      <c r="A1290" s="35"/>
      <c r="B1290" s="36"/>
      <c r="C1290" s="6"/>
      <c r="D1290" s="6"/>
    </row>
    <row r="1291" spans="1:4">
      <c r="A1291" s="35"/>
      <c r="B1291" s="36"/>
      <c r="C1291" s="6"/>
      <c r="D1291" s="6"/>
    </row>
    <row r="1292" spans="1:4">
      <c r="A1292" s="35"/>
      <c r="B1292" s="36"/>
      <c r="C1292" s="6"/>
      <c r="D1292" s="6"/>
    </row>
    <row r="1293" spans="1:4">
      <c r="A1293" s="35"/>
      <c r="B1293" s="36"/>
      <c r="C1293" s="6"/>
      <c r="D1293" s="6"/>
    </row>
    <row r="1294" spans="1:4">
      <c r="A1294" s="35"/>
      <c r="B1294" s="36"/>
      <c r="C1294" s="6"/>
      <c r="D1294" s="6"/>
    </row>
    <row r="1295" spans="1:4">
      <c r="A1295" s="35"/>
      <c r="B1295" s="36"/>
      <c r="C1295" s="6"/>
      <c r="D1295" s="6"/>
    </row>
    <row r="1296" spans="1:4">
      <c r="A1296" s="35"/>
      <c r="B1296" s="36"/>
      <c r="C1296" s="6"/>
      <c r="D1296" s="6"/>
    </row>
    <row r="1297" spans="1:4">
      <c r="A1297" s="35"/>
      <c r="B1297" s="36"/>
      <c r="C1297" s="6"/>
      <c r="D1297" s="6"/>
    </row>
    <row r="1298" spans="1:4">
      <c r="A1298" s="35"/>
      <c r="B1298" s="36"/>
      <c r="C1298" s="6"/>
      <c r="D1298" s="6"/>
    </row>
    <row r="1299" spans="1:4">
      <c r="A1299" s="35"/>
      <c r="B1299" s="36"/>
      <c r="C1299" s="6"/>
      <c r="D1299" s="6"/>
    </row>
    <row r="1300" spans="1:4">
      <c r="A1300" s="35"/>
      <c r="B1300" s="36"/>
      <c r="C1300" s="6"/>
      <c r="D1300" s="6"/>
    </row>
    <row r="1301" spans="1:4">
      <c r="A1301" s="35"/>
      <c r="B1301" s="36"/>
      <c r="C1301" s="6"/>
      <c r="D1301" s="6"/>
    </row>
    <row r="1302" spans="1:4">
      <c r="A1302" s="35"/>
      <c r="B1302" s="36"/>
      <c r="C1302" s="6"/>
      <c r="D1302" s="6"/>
    </row>
    <row r="1303" spans="1:4">
      <c r="A1303" s="35"/>
      <c r="B1303" s="36"/>
      <c r="C1303" s="6"/>
      <c r="D1303" s="6"/>
    </row>
    <row r="1304" spans="1:4">
      <c r="A1304" s="35"/>
      <c r="B1304" s="36"/>
      <c r="C1304" s="6"/>
      <c r="D1304" s="6"/>
    </row>
    <row r="1305" spans="1:4">
      <c r="A1305" s="35"/>
      <c r="B1305" s="36"/>
      <c r="C1305" s="6"/>
      <c r="D1305" s="6"/>
    </row>
    <row r="1306" spans="1:4">
      <c r="A1306" s="35"/>
      <c r="B1306" s="36"/>
      <c r="C1306" s="6"/>
      <c r="D1306" s="6"/>
    </row>
    <row r="1307" spans="1:4">
      <c r="A1307" s="35"/>
      <c r="B1307" s="36"/>
      <c r="C1307" s="6"/>
      <c r="D1307" s="6"/>
    </row>
    <row r="1308" spans="1:4">
      <c r="A1308" s="35"/>
      <c r="B1308" s="36"/>
      <c r="C1308" s="6"/>
      <c r="D1308" s="6"/>
    </row>
    <row r="1309" spans="1:4">
      <c r="A1309" s="35"/>
      <c r="B1309" s="36"/>
      <c r="C1309" s="6"/>
      <c r="D1309" s="6"/>
    </row>
    <row r="1310" spans="1:4">
      <c r="A1310" s="35"/>
      <c r="B1310" s="36"/>
      <c r="C1310" s="6"/>
      <c r="D1310" s="6"/>
    </row>
    <row r="1311" spans="1:4">
      <c r="A1311" s="35"/>
      <c r="B1311" s="36"/>
      <c r="C1311" s="6"/>
      <c r="D1311" s="6"/>
    </row>
    <row r="1312" spans="1:4">
      <c r="A1312" s="35"/>
      <c r="B1312" s="36"/>
      <c r="C1312" s="6"/>
      <c r="D1312" s="6"/>
    </row>
    <row r="1313" spans="1:4">
      <c r="A1313" s="35"/>
      <c r="B1313" s="36"/>
      <c r="C1313" s="6"/>
      <c r="D1313" s="6"/>
    </row>
    <row r="1314" spans="1:4">
      <c r="A1314" s="35"/>
      <c r="B1314" s="36"/>
      <c r="C1314" s="6"/>
      <c r="D1314" s="6"/>
    </row>
    <row r="1315" spans="1:4">
      <c r="A1315" s="35"/>
      <c r="B1315" s="36"/>
      <c r="C1315" s="6"/>
      <c r="D1315" s="6"/>
    </row>
    <row r="1316" spans="1:4">
      <c r="A1316" s="35"/>
      <c r="B1316" s="36"/>
      <c r="C1316" s="6"/>
      <c r="D1316" s="6"/>
    </row>
    <row r="1317" spans="1:4">
      <c r="A1317" s="35"/>
      <c r="B1317" s="36"/>
      <c r="C1317" s="6"/>
      <c r="D1317" s="6"/>
    </row>
    <row r="1318" spans="1:4">
      <c r="A1318" s="35"/>
      <c r="B1318" s="36"/>
      <c r="C1318" s="6"/>
      <c r="D1318" s="6"/>
    </row>
    <row r="1319" spans="1:4">
      <c r="A1319" s="35"/>
      <c r="B1319" s="36"/>
      <c r="C1319" s="6"/>
      <c r="D1319" s="6"/>
    </row>
    <row r="1320" spans="1:4">
      <c r="A1320" s="35"/>
      <c r="B1320" s="36"/>
      <c r="C1320" s="6"/>
      <c r="D1320" s="6"/>
    </row>
    <row r="1321" spans="1:4">
      <c r="A1321" s="35"/>
      <c r="B1321" s="36"/>
      <c r="C1321" s="6"/>
      <c r="D1321" s="6"/>
    </row>
    <row r="1322" spans="1:4">
      <c r="A1322" s="35"/>
      <c r="B1322" s="36"/>
      <c r="C1322" s="6"/>
      <c r="D1322" s="6"/>
    </row>
    <row r="1323" spans="1:4">
      <c r="A1323" s="35"/>
      <c r="B1323" s="36"/>
      <c r="C1323" s="6"/>
      <c r="D1323" s="6"/>
    </row>
    <row r="1324" spans="1:4">
      <c r="A1324" s="35"/>
      <c r="B1324" s="36"/>
      <c r="C1324" s="6"/>
      <c r="D1324" s="6"/>
    </row>
    <row r="1325" spans="1:4">
      <c r="A1325" s="35"/>
      <c r="B1325" s="36"/>
      <c r="C1325" s="6"/>
      <c r="D1325" s="6"/>
    </row>
    <row r="1326" spans="1:4">
      <c r="A1326" s="35"/>
      <c r="B1326" s="36"/>
      <c r="C1326" s="6"/>
      <c r="D1326" s="6"/>
    </row>
    <row r="1327" spans="1:4">
      <c r="A1327" s="35"/>
      <c r="B1327" s="36"/>
      <c r="C1327" s="6"/>
      <c r="D1327" s="6"/>
    </row>
    <row r="1328" spans="1:4">
      <c r="A1328" s="35"/>
      <c r="B1328" s="36"/>
      <c r="C1328" s="6"/>
      <c r="D1328" s="6"/>
    </row>
    <row r="1329" spans="1:4">
      <c r="A1329" s="35"/>
      <c r="B1329" s="36"/>
      <c r="C1329" s="6"/>
      <c r="D1329" s="6"/>
    </row>
    <row r="1330" spans="1:4">
      <c r="A1330" s="35"/>
      <c r="B1330" s="36"/>
      <c r="C1330" s="6"/>
      <c r="D1330" s="6"/>
    </row>
    <row r="1331" spans="1:4">
      <c r="A1331" s="35"/>
      <c r="B1331" s="36"/>
      <c r="C1331" s="6"/>
      <c r="D1331" s="6"/>
    </row>
    <row r="1332" spans="1:4">
      <c r="A1332" s="35"/>
      <c r="B1332" s="36"/>
      <c r="C1332" s="6"/>
      <c r="D1332" s="6"/>
    </row>
    <row r="1333" spans="1:4">
      <c r="A1333" s="35"/>
      <c r="B1333" s="36"/>
      <c r="C1333" s="6"/>
      <c r="D1333" s="6"/>
    </row>
    <row r="1334" spans="1:4">
      <c r="A1334" s="35"/>
      <c r="B1334" s="36"/>
      <c r="C1334" s="6"/>
      <c r="D1334" s="6"/>
    </row>
    <row r="1335" spans="1:4">
      <c r="A1335" s="35"/>
      <c r="B1335" s="36"/>
      <c r="C1335" s="6"/>
      <c r="D1335" s="6"/>
    </row>
    <row r="1336" spans="1:4">
      <c r="A1336" s="35"/>
      <c r="B1336" s="36"/>
      <c r="C1336" s="6"/>
      <c r="D1336" s="6"/>
    </row>
    <row r="1337" spans="1:4">
      <c r="A1337" s="35"/>
      <c r="B1337" s="36"/>
      <c r="C1337" s="6"/>
      <c r="D1337" s="6"/>
    </row>
    <row r="1338" spans="1:4">
      <c r="A1338" s="35"/>
      <c r="B1338" s="36"/>
      <c r="C1338" s="6"/>
      <c r="D1338" s="6"/>
    </row>
    <row r="1339" spans="1:4">
      <c r="A1339" s="35"/>
      <c r="B1339" s="36"/>
      <c r="C1339" s="6"/>
      <c r="D1339" s="6"/>
    </row>
    <row r="1340" spans="1:4">
      <c r="A1340" s="35"/>
      <c r="B1340" s="36"/>
      <c r="C1340" s="6"/>
      <c r="D1340" s="6"/>
    </row>
    <row r="1341" spans="1:4">
      <c r="A1341" s="35"/>
      <c r="B1341" s="36"/>
      <c r="C1341" s="6"/>
      <c r="D1341" s="6"/>
    </row>
    <row r="1342" spans="1:4">
      <c r="A1342" s="35"/>
      <c r="B1342" s="36"/>
      <c r="C1342" s="6"/>
      <c r="D1342" s="6"/>
    </row>
    <row r="1343" spans="1:4">
      <c r="A1343" s="35"/>
      <c r="B1343" s="36"/>
      <c r="C1343" s="6"/>
      <c r="D1343" s="6"/>
    </row>
    <row r="1344" spans="1:4">
      <c r="A1344" s="35"/>
      <c r="B1344" s="36"/>
      <c r="C1344" s="6"/>
      <c r="D1344" s="6"/>
    </row>
    <row r="1345" spans="1:4">
      <c r="A1345" s="35"/>
      <c r="B1345" s="36"/>
      <c r="C1345" s="6"/>
      <c r="D1345" s="6"/>
    </row>
    <row r="1346" spans="1:4">
      <c r="A1346" s="35"/>
      <c r="B1346" s="36"/>
      <c r="C1346" s="6"/>
      <c r="D1346" s="6"/>
    </row>
    <row r="1347" spans="1:4">
      <c r="A1347" s="35"/>
      <c r="B1347" s="36"/>
      <c r="C1347" s="6"/>
      <c r="D1347" s="6"/>
    </row>
    <row r="1348" spans="1:4">
      <c r="A1348" s="35"/>
      <c r="B1348" s="36"/>
      <c r="C1348" s="6"/>
      <c r="D1348" s="6"/>
    </row>
    <row r="1349" spans="1:4">
      <c r="A1349" s="35"/>
      <c r="B1349" s="36"/>
      <c r="C1349" s="6"/>
      <c r="D1349" s="6"/>
    </row>
    <row r="1350" spans="1:4">
      <c r="A1350" s="35"/>
      <c r="B1350" s="36"/>
      <c r="C1350" s="6"/>
      <c r="D1350" s="6"/>
    </row>
    <row r="1351" spans="1:4">
      <c r="A1351" s="35"/>
      <c r="B1351" s="36"/>
      <c r="C1351" s="6"/>
      <c r="D1351" s="6"/>
    </row>
    <row r="1352" spans="1:4">
      <c r="A1352" s="35"/>
      <c r="B1352" s="36"/>
      <c r="C1352" s="6"/>
      <c r="D1352" s="6"/>
    </row>
    <row r="1353" spans="1:4">
      <c r="A1353" s="35"/>
      <c r="B1353" s="36"/>
      <c r="C1353" s="6"/>
      <c r="D1353" s="6"/>
    </row>
    <row r="1354" spans="1:4">
      <c r="A1354" s="35"/>
      <c r="B1354" s="36"/>
      <c r="C1354" s="6"/>
      <c r="D1354" s="6"/>
    </row>
    <row r="1355" spans="1:4">
      <c r="A1355" s="35"/>
      <c r="B1355" s="36"/>
      <c r="C1355" s="6"/>
      <c r="D1355" s="6"/>
    </row>
    <row r="1356" spans="1:4">
      <c r="A1356" s="35"/>
      <c r="B1356" s="36"/>
      <c r="C1356" s="6"/>
      <c r="D1356" s="6"/>
    </row>
    <row r="1357" spans="1:4">
      <c r="A1357" s="35"/>
      <c r="B1357" s="36"/>
      <c r="C1357" s="6"/>
      <c r="D1357" s="6"/>
    </row>
    <row r="1358" spans="1:4">
      <c r="A1358" s="35"/>
      <c r="B1358" s="36"/>
      <c r="C1358" s="6"/>
      <c r="D1358" s="6"/>
    </row>
    <row r="1359" spans="1:4">
      <c r="A1359" s="35"/>
      <c r="B1359" s="36"/>
      <c r="C1359" s="6"/>
      <c r="D1359" s="6"/>
    </row>
    <row r="1360" spans="1:4">
      <c r="A1360" s="35"/>
      <c r="B1360" s="36"/>
      <c r="C1360" s="6"/>
      <c r="D1360" s="6"/>
    </row>
    <row r="1361" spans="1:4">
      <c r="A1361" s="35"/>
      <c r="B1361" s="36"/>
      <c r="C1361" s="6"/>
      <c r="D1361" s="6"/>
    </row>
    <row r="1362" spans="1:4">
      <c r="A1362" s="35"/>
      <c r="B1362" s="36"/>
      <c r="C1362" s="6"/>
      <c r="D1362" s="6"/>
    </row>
    <row r="1363" spans="1:4">
      <c r="A1363" s="35"/>
      <c r="B1363" s="36"/>
      <c r="C1363" s="6"/>
      <c r="D1363" s="6"/>
    </row>
    <row r="1364" spans="1:4">
      <c r="A1364" s="35"/>
      <c r="B1364" s="36"/>
      <c r="C1364" s="6"/>
      <c r="D1364" s="6"/>
    </row>
    <row r="1365" spans="1:4">
      <c r="A1365" s="35"/>
      <c r="B1365" s="36"/>
      <c r="C1365" s="6"/>
      <c r="D1365" s="6"/>
    </row>
    <row r="1366" spans="1:4">
      <c r="A1366" s="35"/>
      <c r="B1366" s="36"/>
      <c r="C1366" s="6"/>
      <c r="D1366" s="6"/>
    </row>
    <row r="1367" spans="1:4">
      <c r="A1367" s="35"/>
      <c r="B1367" s="36"/>
      <c r="C1367" s="6"/>
      <c r="D1367" s="6"/>
    </row>
    <row r="1368" spans="1:4">
      <c r="A1368" s="35"/>
      <c r="B1368" s="36"/>
      <c r="C1368" s="6"/>
      <c r="D1368" s="6"/>
    </row>
    <row r="1369" spans="1:4">
      <c r="A1369" s="35"/>
      <c r="B1369" s="36"/>
      <c r="C1369" s="6"/>
      <c r="D1369" s="6"/>
    </row>
    <row r="1370" spans="1:4">
      <c r="A1370" s="35"/>
      <c r="B1370" s="36"/>
      <c r="C1370" s="6"/>
      <c r="D1370" s="6"/>
    </row>
    <row r="1371" spans="1:4">
      <c r="A1371" s="35"/>
      <c r="B1371" s="36"/>
      <c r="C1371" s="6"/>
      <c r="D1371" s="6"/>
    </row>
    <row r="1372" spans="1:4">
      <c r="A1372" s="35"/>
      <c r="B1372" s="36"/>
      <c r="C1372" s="6"/>
      <c r="D1372" s="6"/>
    </row>
    <row r="1373" spans="1:4">
      <c r="A1373" s="35"/>
      <c r="B1373" s="36"/>
      <c r="C1373" s="6"/>
      <c r="D1373" s="6"/>
    </row>
    <row r="1374" spans="1:4">
      <c r="A1374" s="35"/>
      <c r="B1374" s="36"/>
      <c r="C1374" s="6"/>
      <c r="D1374" s="6"/>
    </row>
    <row r="1375" spans="1:4">
      <c r="A1375" s="35"/>
      <c r="B1375" s="36"/>
      <c r="C1375" s="6"/>
      <c r="D1375" s="6"/>
    </row>
    <row r="1376" spans="1:4">
      <c r="A1376" s="35"/>
      <c r="B1376" s="36"/>
      <c r="C1376" s="6"/>
      <c r="D1376" s="6"/>
    </row>
    <row r="1377" spans="1:4">
      <c r="A1377" s="35"/>
      <c r="B1377" s="36"/>
      <c r="C1377" s="6"/>
      <c r="D1377" s="6"/>
    </row>
    <row r="1378" spans="1:4">
      <c r="A1378" s="35"/>
      <c r="B1378" s="36"/>
      <c r="C1378" s="6"/>
      <c r="D1378" s="6"/>
    </row>
    <row r="1379" spans="1:4">
      <c r="A1379" s="35"/>
      <c r="B1379" s="36"/>
      <c r="C1379" s="6"/>
      <c r="D1379" s="6"/>
    </row>
    <row r="1380" spans="1:4">
      <c r="A1380" s="35"/>
      <c r="B1380" s="36"/>
      <c r="C1380" s="6"/>
      <c r="D1380" s="6"/>
    </row>
    <row r="1381" spans="1:4">
      <c r="A1381" s="35"/>
      <c r="B1381" s="36"/>
      <c r="C1381" s="6"/>
      <c r="D1381" s="6"/>
    </row>
    <row r="1382" spans="1:4">
      <c r="A1382" s="35"/>
      <c r="B1382" s="36"/>
      <c r="C1382" s="6"/>
      <c r="D1382" s="6"/>
    </row>
    <row r="1383" spans="1:4">
      <c r="A1383" s="35"/>
      <c r="B1383" s="36"/>
      <c r="C1383" s="6"/>
      <c r="D1383" s="6"/>
    </row>
    <row r="1384" spans="1:4">
      <c r="A1384" s="35"/>
      <c r="B1384" s="36"/>
      <c r="C1384" s="6"/>
      <c r="D1384" s="6"/>
    </row>
    <row r="1385" spans="1:4">
      <c r="A1385" s="35"/>
      <c r="B1385" s="36"/>
      <c r="C1385" s="6"/>
      <c r="D1385" s="6"/>
    </row>
    <row r="1386" spans="1:4">
      <c r="A1386" s="35"/>
      <c r="B1386" s="36"/>
      <c r="C1386" s="6"/>
      <c r="D1386" s="6"/>
    </row>
    <row r="1387" spans="1:4">
      <c r="A1387" s="35"/>
      <c r="B1387" s="36"/>
      <c r="C1387" s="6"/>
      <c r="D1387" s="6"/>
    </row>
    <row r="1388" spans="1:4">
      <c r="A1388" s="35"/>
      <c r="B1388" s="36"/>
      <c r="C1388" s="6"/>
      <c r="D1388" s="6"/>
    </row>
    <row r="1389" spans="1:4">
      <c r="A1389" s="35"/>
      <c r="B1389" s="36"/>
      <c r="C1389" s="6"/>
      <c r="D1389" s="6"/>
    </row>
    <row r="1390" spans="1:4">
      <c r="A1390" s="35"/>
      <c r="B1390" s="36"/>
      <c r="C1390" s="6"/>
      <c r="D1390" s="6"/>
    </row>
    <row r="1391" spans="1:4">
      <c r="A1391" s="35"/>
      <c r="B1391" s="36"/>
      <c r="C1391" s="6"/>
      <c r="D1391" s="6"/>
    </row>
    <row r="1392" spans="1:4">
      <c r="A1392" s="35"/>
      <c r="B1392" s="36"/>
      <c r="C1392" s="6"/>
      <c r="D1392" s="6"/>
    </row>
    <row r="1393" spans="1:4">
      <c r="A1393" s="35"/>
      <c r="B1393" s="36"/>
      <c r="C1393" s="6"/>
      <c r="D1393" s="6"/>
    </row>
    <row r="1394" spans="1:4">
      <c r="A1394" s="35"/>
      <c r="B1394" s="36"/>
      <c r="C1394" s="6"/>
      <c r="D1394" s="6"/>
    </row>
    <row r="1395" spans="1:4">
      <c r="A1395" s="35"/>
      <c r="B1395" s="36"/>
      <c r="C1395" s="6"/>
      <c r="D1395" s="6"/>
    </row>
    <row r="1396" spans="1:4">
      <c r="A1396" s="35"/>
      <c r="B1396" s="36"/>
      <c r="C1396" s="6"/>
      <c r="D1396" s="6"/>
    </row>
    <row r="1397" spans="1:4">
      <c r="A1397" s="35"/>
      <c r="B1397" s="36"/>
      <c r="C1397" s="6"/>
      <c r="D1397" s="6"/>
    </row>
    <row r="1398" spans="1:4">
      <c r="A1398" s="35"/>
      <c r="B1398" s="36"/>
      <c r="C1398" s="6"/>
      <c r="D1398" s="6"/>
    </row>
    <row r="1399" spans="1:4">
      <c r="A1399" s="35"/>
      <c r="B1399" s="36"/>
      <c r="C1399" s="6"/>
      <c r="D1399" s="6"/>
    </row>
    <row r="1400" spans="1:4">
      <c r="A1400" s="35"/>
      <c r="B1400" s="36"/>
      <c r="C1400" s="6"/>
      <c r="D1400" s="6"/>
    </row>
    <row r="1401" spans="1:4">
      <c r="A1401" s="35"/>
      <c r="B1401" s="36"/>
      <c r="C1401" s="6"/>
      <c r="D1401" s="6"/>
    </row>
    <row r="1402" spans="1:4">
      <c r="A1402" s="35"/>
      <c r="B1402" s="36"/>
      <c r="C1402" s="6"/>
      <c r="D1402" s="6"/>
    </row>
    <row r="1403" spans="1:4">
      <c r="A1403" s="35"/>
      <c r="B1403" s="36"/>
      <c r="C1403" s="6"/>
      <c r="D1403" s="6"/>
    </row>
    <row r="1404" spans="1:4">
      <c r="A1404" s="35"/>
      <c r="B1404" s="36"/>
      <c r="C1404" s="6"/>
      <c r="D1404" s="6"/>
    </row>
    <row r="1405" spans="1:4">
      <c r="A1405" s="35"/>
      <c r="B1405" s="36"/>
      <c r="C1405" s="6"/>
      <c r="D1405" s="6"/>
    </row>
    <row r="1406" spans="1:4">
      <c r="A1406" s="35"/>
      <c r="B1406" s="36"/>
      <c r="C1406" s="6"/>
      <c r="D1406" s="6"/>
    </row>
    <row r="1407" spans="1:4">
      <c r="A1407" s="35"/>
      <c r="B1407" s="36"/>
      <c r="C1407" s="6"/>
      <c r="D1407" s="6"/>
    </row>
    <row r="1408" spans="1:4">
      <c r="A1408" s="35"/>
      <c r="B1408" s="36"/>
      <c r="C1408" s="6"/>
      <c r="D1408" s="6"/>
    </row>
    <row r="1409" spans="1:4">
      <c r="A1409" s="35"/>
      <c r="B1409" s="36"/>
      <c r="C1409" s="6"/>
      <c r="D1409" s="6"/>
    </row>
    <row r="1410" spans="1:4">
      <c r="A1410" s="35"/>
      <c r="B1410" s="36"/>
      <c r="C1410" s="6"/>
      <c r="D1410" s="6"/>
    </row>
    <row r="1411" spans="1:4">
      <c r="A1411" s="35"/>
      <c r="B1411" s="36"/>
      <c r="C1411" s="6"/>
      <c r="D1411" s="6"/>
    </row>
    <row r="1412" spans="1:4">
      <c r="A1412" s="35"/>
      <c r="B1412" s="36"/>
      <c r="C1412" s="6"/>
      <c r="D1412" s="6"/>
    </row>
    <row r="1413" spans="1:4">
      <c r="A1413" s="35"/>
      <c r="B1413" s="36"/>
      <c r="C1413" s="6"/>
      <c r="D1413" s="6"/>
    </row>
    <row r="1414" spans="1:4">
      <c r="A1414" s="35"/>
      <c r="B1414" s="36"/>
      <c r="C1414" s="6"/>
      <c r="D1414" s="6"/>
    </row>
    <row r="1415" spans="1:4">
      <c r="A1415" s="35"/>
      <c r="B1415" s="36"/>
      <c r="C1415" s="6"/>
      <c r="D1415" s="6"/>
    </row>
    <row r="1416" spans="1:4">
      <c r="A1416" s="35"/>
      <c r="B1416" s="36"/>
      <c r="C1416" s="6"/>
      <c r="D1416" s="6"/>
    </row>
    <row r="1417" spans="1:4">
      <c r="A1417" s="35"/>
      <c r="B1417" s="36"/>
      <c r="C1417" s="6"/>
      <c r="D1417" s="6"/>
    </row>
    <row r="1418" spans="1:4">
      <c r="A1418" s="35"/>
      <c r="B1418" s="36"/>
      <c r="C1418" s="6"/>
      <c r="D1418" s="6"/>
    </row>
    <row r="1419" spans="1:4">
      <c r="A1419" s="35"/>
      <c r="B1419" s="36"/>
      <c r="C1419" s="6"/>
      <c r="D1419" s="6"/>
    </row>
    <row r="1420" spans="1:4">
      <c r="A1420" s="35"/>
      <c r="B1420" s="36"/>
      <c r="C1420" s="6"/>
      <c r="D1420" s="6"/>
    </row>
    <row r="1421" spans="1:4">
      <c r="A1421" s="35"/>
      <c r="B1421" s="36"/>
      <c r="C1421" s="6"/>
      <c r="D1421" s="6"/>
    </row>
    <row r="1422" spans="1:4">
      <c r="A1422" s="35"/>
      <c r="B1422" s="36"/>
      <c r="C1422" s="6"/>
      <c r="D1422" s="6"/>
    </row>
    <row r="1423" spans="1:4">
      <c r="A1423" s="35"/>
      <c r="B1423" s="36"/>
      <c r="C1423" s="6"/>
      <c r="D1423" s="6"/>
    </row>
    <row r="1424" spans="1:4">
      <c r="A1424" s="35"/>
      <c r="B1424" s="36"/>
      <c r="C1424" s="6"/>
      <c r="D1424" s="6"/>
    </row>
    <row r="1425" spans="1:4">
      <c r="A1425" s="35"/>
      <c r="B1425" s="36"/>
      <c r="C1425" s="6"/>
      <c r="D1425" s="6"/>
    </row>
    <row r="1426" spans="1:4">
      <c r="A1426" s="35"/>
      <c r="B1426" s="36"/>
      <c r="C1426" s="6"/>
      <c r="D1426" s="6"/>
    </row>
    <row r="1427" spans="1:4">
      <c r="A1427" s="35"/>
      <c r="B1427" s="36"/>
      <c r="C1427" s="6"/>
      <c r="D1427" s="6"/>
    </row>
    <row r="1428" spans="1:4">
      <c r="A1428" s="35"/>
      <c r="B1428" s="36"/>
      <c r="C1428" s="6"/>
      <c r="D1428" s="6"/>
    </row>
    <row r="1429" spans="1:4">
      <c r="A1429" s="35"/>
      <c r="B1429" s="36"/>
      <c r="C1429" s="6"/>
      <c r="D1429" s="6"/>
    </row>
    <row r="1430" spans="1:4">
      <c r="A1430" s="35"/>
      <c r="B1430" s="36"/>
      <c r="C1430" s="6"/>
      <c r="D1430" s="6"/>
    </row>
    <row r="1431" spans="1:4">
      <c r="A1431" s="35"/>
      <c r="B1431" s="36"/>
      <c r="C1431" s="6"/>
      <c r="D1431" s="6"/>
    </row>
    <row r="1432" spans="1:4">
      <c r="A1432" s="35"/>
      <c r="B1432" s="36"/>
      <c r="C1432" s="6"/>
      <c r="D1432" s="6"/>
    </row>
    <row r="1433" spans="1:4">
      <c r="A1433" s="35"/>
      <c r="B1433" s="36"/>
      <c r="C1433" s="6"/>
      <c r="D1433" s="6"/>
    </row>
    <row r="1434" spans="1:4">
      <c r="A1434" s="35"/>
      <c r="B1434" s="36"/>
      <c r="C1434" s="6"/>
      <c r="D1434" s="6"/>
    </row>
    <row r="1435" spans="1:4">
      <c r="A1435" s="35"/>
      <c r="B1435" s="36"/>
      <c r="C1435" s="6"/>
      <c r="D1435" s="6"/>
    </row>
    <row r="1436" spans="1:4">
      <c r="A1436" s="35"/>
      <c r="B1436" s="36"/>
      <c r="C1436" s="6"/>
      <c r="D1436" s="6"/>
    </row>
    <row r="1437" spans="1:4">
      <c r="A1437" s="35"/>
      <c r="B1437" s="36"/>
      <c r="C1437" s="6"/>
      <c r="D1437" s="6"/>
    </row>
    <row r="1438" spans="1:4">
      <c r="A1438" s="35"/>
      <c r="B1438" s="36"/>
      <c r="C1438" s="6"/>
      <c r="D1438" s="6"/>
    </row>
    <row r="1439" spans="1:4">
      <c r="A1439" s="35"/>
      <c r="B1439" s="36"/>
      <c r="C1439" s="6"/>
      <c r="D1439" s="6"/>
    </row>
    <row r="1440" spans="1:4">
      <c r="A1440" s="35"/>
      <c r="B1440" s="36"/>
      <c r="C1440" s="6"/>
      <c r="D1440" s="6"/>
    </row>
    <row r="1441" spans="1:4">
      <c r="A1441" s="35"/>
      <c r="B1441" s="36"/>
      <c r="C1441" s="6"/>
      <c r="D1441" s="6"/>
    </row>
    <row r="1442" spans="1:4">
      <c r="A1442" s="35"/>
      <c r="B1442" s="36"/>
      <c r="C1442" s="6"/>
      <c r="D1442" s="6"/>
    </row>
    <row r="1443" spans="1:4">
      <c r="A1443" s="35"/>
      <c r="B1443" s="36"/>
      <c r="C1443" s="6"/>
      <c r="D1443" s="6"/>
    </row>
    <row r="1444" spans="1:4">
      <c r="A1444" s="35"/>
      <c r="B1444" s="36"/>
      <c r="C1444" s="6"/>
      <c r="D1444" s="6"/>
    </row>
    <row r="1445" spans="1:4">
      <c r="A1445" s="35"/>
      <c r="B1445" s="36"/>
      <c r="C1445" s="6"/>
      <c r="D1445" s="6"/>
    </row>
    <row r="1446" spans="1:4">
      <c r="A1446" s="35"/>
      <c r="B1446" s="36"/>
      <c r="C1446" s="6"/>
      <c r="D1446" s="6"/>
    </row>
    <row r="1447" spans="1:4">
      <c r="A1447" s="35"/>
      <c r="B1447" s="36"/>
      <c r="C1447" s="6"/>
      <c r="D1447" s="6"/>
    </row>
    <row r="1448" spans="1:4">
      <c r="A1448" s="35"/>
      <c r="B1448" s="36"/>
      <c r="C1448" s="6"/>
      <c r="D1448" s="6"/>
    </row>
    <row r="1449" spans="1:4">
      <c r="A1449" s="35"/>
      <c r="B1449" s="36"/>
      <c r="C1449" s="6"/>
      <c r="D1449" s="6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1449"/>
  <sheetViews>
    <sheetView workbookViewId="0"/>
  </sheetViews>
  <sheetFormatPr baseColWidth="10" defaultColWidth="14.44140625" defaultRowHeight="15" customHeight="1"/>
  <cols>
    <col min="3" max="4" width="11.88671875" customWidth="1"/>
  </cols>
  <sheetData>
    <row r="1" spans="1:4">
      <c r="A1" s="10" t="s">
        <v>0</v>
      </c>
      <c r="B1" s="9" t="s">
        <v>1</v>
      </c>
      <c r="C1" s="31" t="s">
        <v>14</v>
      </c>
      <c r="D1" s="31" t="s">
        <v>366</v>
      </c>
    </row>
    <row r="2" spans="1:4">
      <c r="A2" s="12">
        <v>10101</v>
      </c>
      <c r="B2" s="9" t="s">
        <v>17</v>
      </c>
      <c r="C2" s="32"/>
      <c r="D2" s="32"/>
    </row>
    <row r="3" spans="1:4">
      <c r="A3" s="12">
        <v>10102</v>
      </c>
      <c r="B3" s="9" t="s">
        <v>19</v>
      </c>
      <c r="C3" s="32"/>
      <c r="D3" s="32"/>
    </row>
    <row r="4" spans="1:4">
      <c r="A4" s="12">
        <v>10103</v>
      </c>
      <c r="B4" s="9" t="s">
        <v>22</v>
      </c>
      <c r="C4" s="32"/>
      <c r="D4" s="32"/>
    </row>
    <row r="5" spans="1:4">
      <c r="A5" s="12">
        <v>10201</v>
      </c>
      <c r="B5" s="9" t="s">
        <v>24</v>
      </c>
      <c r="C5" s="32"/>
      <c r="D5" s="32"/>
    </row>
    <row r="6" spans="1:4">
      <c r="A6" s="12">
        <v>10202</v>
      </c>
      <c r="B6" s="9" t="s">
        <v>27</v>
      </c>
      <c r="C6" s="32"/>
      <c r="D6" s="32"/>
    </row>
    <row r="7" spans="1:4">
      <c r="A7" s="12">
        <v>10301</v>
      </c>
      <c r="B7" s="9" t="s">
        <v>29</v>
      </c>
      <c r="C7" s="32"/>
      <c r="D7" s="32"/>
    </row>
    <row r="8" spans="1:4">
      <c r="A8" s="12">
        <v>10302</v>
      </c>
      <c r="B8" s="9" t="s">
        <v>31</v>
      </c>
      <c r="C8" s="32"/>
      <c r="D8" s="32"/>
    </row>
    <row r="9" spans="1:4">
      <c r="A9" s="12">
        <v>10303</v>
      </c>
      <c r="B9" s="9" t="s">
        <v>33</v>
      </c>
      <c r="C9" s="32"/>
      <c r="D9" s="32"/>
    </row>
    <row r="10" spans="1:4">
      <c r="A10" s="12">
        <v>10304</v>
      </c>
      <c r="B10" s="9" t="s">
        <v>35</v>
      </c>
      <c r="C10" s="32"/>
      <c r="D10" s="32"/>
    </row>
    <row r="11" spans="1:4">
      <c r="A11" s="12">
        <v>10401</v>
      </c>
      <c r="B11" s="9" t="s">
        <v>37</v>
      </c>
      <c r="C11" s="32"/>
      <c r="D11" s="32"/>
    </row>
    <row r="12" spans="1:4">
      <c r="A12" s="12">
        <v>10402</v>
      </c>
      <c r="B12" s="9" t="s">
        <v>39</v>
      </c>
      <c r="C12" s="32"/>
      <c r="D12" s="32"/>
    </row>
    <row r="13" spans="1:4">
      <c r="A13" s="12">
        <v>10403</v>
      </c>
      <c r="B13" s="9" t="s">
        <v>41</v>
      </c>
      <c r="C13" s="32"/>
      <c r="D13" s="32"/>
    </row>
    <row r="14" spans="1:4">
      <c r="A14" s="12">
        <v>10404</v>
      </c>
      <c r="B14" s="9" t="s">
        <v>42</v>
      </c>
      <c r="C14" s="32"/>
      <c r="D14" s="32"/>
    </row>
    <row r="15" spans="1:4">
      <c r="A15" s="12">
        <v>10405</v>
      </c>
      <c r="B15" s="9" t="s">
        <v>44</v>
      </c>
      <c r="C15" s="32"/>
      <c r="D15" s="32"/>
    </row>
    <row r="16" spans="1:4">
      <c r="A16" s="12">
        <v>10501</v>
      </c>
      <c r="B16" s="9" t="s">
        <v>46</v>
      </c>
      <c r="C16" s="32"/>
      <c r="D16" s="32"/>
    </row>
    <row r="17" spans="1:4">
      <c r="A17" s="12">
        <v>10502</v>
      </c>
      <c r="B17" s="9" t="s">
        <v>47</v>
      </c>
      <c r="C17" s="32"/>
      <c r="D17" s="32"/>
    </row>
    <row r="18" spans="1:4">
      <c r="A18" s="12">
        <v>10601</v>
      </c>
      <c r="B18" s="9" t="s">
        <v>48</v>
      </c>
      <c r="C18" s="32"/>
      <c r="D18" s="32"/>
    </row>
    <row r="19" spans="1:4">
      <c r="A19" s="12">
        <v>10602</v>
      </c>
      <c r="B19" s="9" t="s">
        <v>49</v>
      </c>
      <c r="C19" s="32"/>
      <c r="D19" s="32"/>
    </row>
    <row r="20" spans="1:4">
      <c r="A20" s="12">
        <v>10701</v>
      </c>
      <c r="B20" s="9" t="s">
        <v>50</v>
      </c>
      <c r="C20" s="32"/>
      <c r="D20" s="32"/>
    </row>
    <row r="21" spans="1:4">
      <c r="A21" s="12">
        <v>10702</v>
      </c>
      <c r="B21" s="9" t="s">
        <v>51</v>
      </c>
      <c r="C21" s="32"/>
      <c r="D21" s="32"/>
    </row>
    <row r="22" spans="1:4">
      <c r="A22" s="12">
        <v>10703</v>
      </c>
      <c r="B22" s="9" t="s">
        <v>52</v>
      </c>
      <c r="C22" s="32"/>
      <c r="D22" s="32"/>
    </row>
    <row r="23" spans="1:4">
      <c r="A23" s="12">
        <v>10704</v>
      </c>
      <c r="B23" s="9" t="s">
        <v>53</v>
      </c>
      <c r="C23" s="32"/>
      <c r="D23" s="32"/>
    </row>
    <row r="24" spans="1:4">
      <c r="A24" s="12">
        <v>10801</v>
      </c>
      <c r="B24" s="9" t="s">
        <v>54</v>
      </c>
      <c r="C24" s="32"/>
      <c r="D24" s="32"/>
    </row>
    <row r="25" spans="1:4">
      <c r="A25" s="12">
        <v>10901</v>
      </c>
      <c r="B25" s="9" t="s">
        <v>55</v>
      </c>
      <c r="C25" s="32"/>
      <c r="D25" s="32"/>
    </row>
    <row r="26" spans="1:4">
      <c r="A26" s="12">
        <v>10902</v>
      </c>
      <c r="B26" s="9" t="s">
        <v>56</v>
      </c>
      <c r="C26" s="32"/>
      <c r="D26" s="32"/>
    </row>
    <row r="27" spans="1:4">
      <c r="A27" s="12">
        <v>10903</v>
      </c>
      <c r="B27" s="9" t="s">
        <v>57</v>
      </c>
      <c r="C27" s="32"/>
      <c r="D27" s="32"/>
    </row>
    <row r="28" spans="1:4">
      <c r="A28" s="12">
        <v>11001</v>
      </c>
      <c r="B28" s="9" t="s">
        <v>58</v>
      </c>
      <c r="C28" s="32"/>
      <c r="D28" s="32"/>
    </row>
    <row r="29" spans="1:4">
      <c r="A29" s="12">
        <v>11002</v>
      </c>
      <c r="B29" s="9" t="s">
        <v>59</v>
      </c>
      <c r="C29" s="32"/>
      <c r="D29" s="32"/>
    </row>
    <row r="30" spans="1:4">
      <c r="A30" s="12">
        <v>11003</v>
      </c>
      <c r="B30" s="9" t="s">
        <v>60</v>
      </c>
      <c r="C30" s="32"/>
      <c r="D30" s="32"/>
    </row>
    <row r="31" spans="1:4">
      <c r="A31" s="12">
        <v>20101</v>
      </c>
      <c r="B31" s="9" t="s">
        <v>61</v>
      </c>
      <c r="C31" s="32"/>
      <c r="D31" s="32"/>
    </row>
    <row r="32" spans="1:4">
      <c r="A32" s="12">
        <v>20102</v>
      </c>
      <c r="B32" s="9" t="s">
        <v>62</v>
      </c>
      <c r="C32" s="32"/>
      <c r="D32" s="32"/>
    </row>
    <row r="33" spans="1:4">
      <c r="A33" s="12">
        <v>20103</v>
      </c>
      <c r="B33" s="9" t="s">
        <v>63</v>
      </c>
      <c r="C33" s="32"/>
      <c r="D33" s="32"/>
    </row>
    <row r="34" spans="1:4">
      <c r="A34" s="12">
        <v>20104</v>
      </c>
      <c r="B34" s="9" t="s">
        <v>64</v>
      </c>
      <c r="C34" s="32"/>
      <c r="D34" s="32"/>
    </row>
    <row r="35" spans="1:4">
      <c r="A35" s="12">
        <v>20105</v>
      </c>
      <c r="B35" s="9" t="s">
        <v>65</v>
      </c>
      <c r="C35" s="32"/>
      <c r="D35" s="32"/>
    </row>
    <row r="36" spans="1:4">
      <c r="A36" s="12">
        <v>20201</v>
      </c>
      <c r="B36" s="9" t="s">
        <v>66</v>
      </c>
      <c r="C36" s="32"/>
      <c r="D36" s="32"/>
    </row>
    <row r="37" spans="1:4">
      <c r="A37" s="12">
        <v>20202</v>
      </c>
      <c r="B37" s="9" t="s">
        <v>67</v>
      </c>
      <c r="C37" s="32"/>
      <c r="D37" s="32"/>
    </row>
    <row r="38" spans="1:4">
      <c r="A38" s="12">
        <v>20203</v>
      </c>
      <c r="B38" s="9" t="s">
        <v>68</v>
      </c>
      <c r="C38" s="32"/>
      <c r="D38" s="32"/>
    </row>
    <row r="39" spans="1:4">
      <c r="A39" s="12">
        <v>20204</v>
      </c>
      <c r="B39" s="9" t="s">
        <v>69</v>
      </c>
      <c r="C39" s="32"/>
      <c r="D39" s="32"/>
    </row>
    <row r="40" spans="1:4">
      <c r="A40" s="12">
        <v>20205</v>
      </c>
      <c r="B40" s="9" t="s">
        <v>70</v>
      </c>
      <c r="C40" s="32"/>
      <c r="D40" s="32"/>
    </row>
    <row r="41" spans="1:4">
      <c r="A41" s="12">
        <v>20206</v>
      </c>
      <c r="B41" s="9" t="s">
        <v>71</v>
      </c>
      <c r="C41" s="32"/>
      <c r="D41" s="32"/>
    </row>
    <row r="42" spans="1:4">
      <c r="A42" s="12">
        <v>20301</v>
      </c>
      <c r="B42" s="9" t="s">
        <v>72</v>
      </c>
      <c r="C42" s="32"/>
      <c r="D42" s="32"/>
    </row>
    <row r="43" spans="1:4">
      <c r="A43" s="12">
        <v>20302</v>
      </c>
      <c r="B43" s="9" t="s">
        <v>73</v>
      </c>
      <c r="C43" s="32"/>
      <c r="D43" s="32"/>
    </row>
    <row r="44" spans="1:4">
      <c r="A44" s="12">
        <v>20303</v>
      </c>
      <c r="B44" s="9" t="s">
        <v>74</v>
      </c>
      <c r="C44" s="32"/>
      <c r="D44" s="32"/>
    </row>
    <row r="45" spans="1:4">
      <c r="A45" s="12">
        <v>20304</v>
      </c>
      <c r="B45" s="9" t="s">
        <v>75</v>
      </c>
      <c r="C45" s="32"/>
      <c r="D45" s="32"/>
    </row>
    <row r="46" spans="1:4">
      <c r="A46" s="12">
        <v>20305</v>
      </c>
      <c r="B46" s="9" t="s">
        <v>76</v>
      </c>
      <c r="C46" s="32"/>
      <c r="D46" s="32"/>
    </row>
    <row r="47" spans="1:4">
      <c r="A47" s="12">
        <v>20306</v>
      </c>
      <c r="B47" s="9" t="s">
        <v>77</v>
      </c>
      <c r="C47" s="32"/>
      <c r="D47" s="32"/>
    </row>
    <row r="48" spans="1:4">
      <c r="A48" s="12">
        <v>20307</v>
      </c>
      <c r="B48" s="9" t="s">
        <v>78</v>
      </c>
      <c r="C48" s="32"/>
      <c r="D48" s="32"/>
    </row>
    <row r="49" spans="1:4">
      <c r="A49" s="12">
        <v>20308</v>
      </c>
      <c r="B49" s="9" t="s">
        <v>79</v>
      </c>
      <c r="C49" s="32"/>
      <c r="D49" s="32"/>
    </row>
    <row r="50" spans="1:4">
      <c r="A50" s="12">
        <v>20401</v>
      </c>
      <c r="B50" s="9" t="s">
        <v>80</v>
      </c>
      <c r="C50" s="32"/>
      <c r="D50" s="32"/>
    </row>
    <row r="51" spans="1:4">
      <c r="A51" s="12">
        <v>20402</v>
      </c>
      <c r="B51" s="9" t="s">
        <v>81</v>
      </c>
      <c r="C51" s="32"/>
      <c r="D51" s="32"/>
    </row>
    <row r="52" spans="1:4">
      <c r="A52" s="12">
        <v>20403</v>
      </c>
      <c r="B52" s="9" t="s">
        <v>82</v>
      </c>
      <c r="C52" s="32"/>
      <c r="D52" s="32"/>
    </row>
    <row r="53" spans="1:4">
      <c r="A53" s="12">
        <v>20404</v>
      </c>
      <c r="B53" s="9" t="s">
        <v>83</v>
      </c>
      <c r="C53" s="32"/>
      <c r="D53" s="32"/>
    </row>
    <row r="54" spans="1:4">
      <c r="A54" s="12">
        <v>20405</v>
      </c>
      <c r="B54" s="9" t="s">
        <v>84</v>
      </c>
      <c r="C54" s="32"/>
      <c r="D54" s="32"/>
    </row>
    <row r="55" spans="1:4">
      <c r="A55" s="12">
        <v>20501</v>
      </c>
      <c r="B55" s="9" t="s">
        <v>85</v>
      </c>
      <c r="C55" s="32"/>
      <c r="D55" s="32"/>
    </row>
    <row r="56" spans="1:4">
      <c r="A56" s="12">
        <v>20502</v>
      </c>
      <c r="B56" s="9" t="s">
        <v>86</v>
      </c>
      <c r="C56" s="32"/>
      <c r="D56" s="32"/>
    </row>
    <row r="57" spans="1:4">
      <c r="A57" s="12">
        <v>20503</v>
      </c>
      <c r="B57" s="9" t="s">
        <v>87</v>
      </c>
      <c r="C57" s="32"/>
      <c r="D57" s="32"/>
    </row>
    <row r="58" spans="1:4">
      <c r="A58" s="12">
        <v>20601</v>
      </c>
      <c r="B58" s="9" t="s">
        <v>88</v>
      </c>
      <c r="C58" s="32"/>
      <c r="D58" s="32"/>
    </row>
    <row r="59" spans="1:4">
      <c r="A59" s="12">
        <v>20602</v>
      </c>
      <c r="B59" s="9" t="s">
        <v>89</v>
      </c>
      <c r="C59" s="32"/>
      <c r="D59" s="32"/>
    </row>
    <row r="60" spans="1:4">
      <c r="A60" s="12">
        <v>20603</v>
      </c>
      <c r="B60" s="9" t="s">
        <v>90</v>
      </c>
      <c r="C60" s="32"/>
      <c r="D60" s="32"/>
    </row>
    <row r="61" spans="1:4">
      <c r="A61" s="12">
        <v>20604</v>
      </c>
      <c r="B61" s="9" t="s">
        <v>91</v>
      </c>
      <c r="C61" s="32"/>
      <c r="D61" s="32"/>
    </row>
    <row r="62" spans="1:4">
      <c r="A62" s="12">
        <v>20605</v>
      </c>
      <c r="B62" s="9" t="s">
        <v>92</v>
      </c>
      <c r="C62" s="32"/>
      <c r="D62" s="32"/>
    </row>
    <row r="63" spans="1:4">
      <c r="A63" s="12">
        <v>20606</v>
      </c>
      <c r="B63" s="9" t="s">
        <v>93</v>
      </c>
      <c r="C63" s="32"/>
      <c r="D63" s="32"/>
    </row>
    <row r="64" spans="1:4">
      <c r="A64" s="12">
        <v>20607</v>
      </c>
      <c r="B64" s="9" t="s">
        <v>94</v>
      </c>
      <c r="C64" s="32"/>
      <c r="D64" s="32"/>
    </row>
    <row r="65" spans="1:4">
      <c r="A65" s="12">
        <v>20608</v>
      </c>
      <c r="B65" s="9" t="s">
        <v>95</v>
      </c>
      <c r="C65" s="32"/>
      <c r="D65" s="32"/>
    </row>
    <row r="66" spans="1:4">
      <c r="A66" s="12">
        <v>20701</v>
      </c>
      <c r="B66" s="9" t="s">
        <v>96</v>
      </c>
      <c r="C66" s="32"/>
      <c r="D66" s="32"/>
    </row>
    <row r="67" spans="1:4">
      <c r="A67" s="12">
        <v>20702</v>
      </c>
      <c r="B67" s="9" t="s">
        <v>97</v>
      </c>
      <c r="C67" s="32"/>
      <c r="D67" s="32"/>
    </row>
    <row r="68" spans="1:4">
      <c r="A68" s="12">
        <v>20801</v>
      </c>
      <c r="B68" s="9" t="s">
        <v>98</v>
      </c>
      <c r="C68" s="32"/>
      <c r="D68" s="32"/>
    </row>
    <row r="69" spans="1:4">
      <c r="A69" s="12">
        <v>20802</v>
      </c>
      <c r="B69" s="9" t="s">
        <v>99</v>
      </c>
      <c r="C69" s="32"/>
      <c r="D69" s="32"/>
    </row>
    <row r="70" spans="1:4">
      <c r="A70" s="12">
        <v>20803</v>
      </c>
      <c r="B70" s="9" t="s">
        <v>100</v>
      </c>
      <c r="C70" s="32"/>
      <c r="D70" s="32"/>
    </row>
    <row r="71" spans="1:4">
      <c r="A71" s="12">
        <v>20804</v>
      </c>
      <c r="B71" s="9" t="s">
        <v>101</v>
      </c>
      <c r="C71" s="32"/>
      <c r="D71" s="32"/>
    </row>
    <row r="72" spans="1:4">
      <c r="A72" s="12">
        <v>20805</v>
      </c>
      <c r="B72" s="9" t="s">
        <v>102</v>
      </c>
      <c r="C72" s="32"/>
      <c r="D72" s="32"/>
    </row>
    <row r="73" spans="1:4">
      <c r="A73" s="12">
        <v>20806</v>
      </c>
      <c r="B73" s="9" t="s">
        <v>103</v>
      </c>
      <c r="C73" s="32"/>
      <c r="D73" s="32"/>
    </row>
    <row r="74" spans="1:4">
      <c r="A74" s="12">
        <v>20807</v>
      </c>
      <c r="B74" s="9" t="s">
        <v>104</v>
      </c>
      <c r="C74" s="32"/>
      <c r="D74" s="32"/>
    </row>
    <row r="75" spans="1:4">
      <c r="A75" s="12">
        <v>20901</v>
      </c>
      <c r="B75" s="9" t="s">
        <v>105</v>
      </c>
      <c r="C75" s="32"/>
      <c r="D75" s="32"/>
    </row>
    <row r="76" spans="1:4">
      <c r="A76" s="12">
        <v>20902</v>
      </c>
      <c r="B76" s="9" t="s">
        <v>106</v>
      </c>
      <c r="C76" s="32"/>
      <c r="D76" s="32"/>
    </row>
    <row r="77" spans="1:4">
      <c r="A77" s="12">
        <v>20903</v>
      </c>
      <c r="B77" s="9" t="s">
        <v>107</v>
      </c>
      <c r="C77" s="32"/>
      <c r="D77" s="32"/>
    </row>
    <row r="78" spans="1:4">
      <c r="A78" s="12">
        <v>20904</v>
      </c>
      <c r="B78" s="9" t="s">
        <v>108</v>
      </c>
      <c r="C78" s="32"/>
      <c r="D78" s="32"/>
    </row>
    <row r="79" spans="1:4">
      <c r="A79" s="12">
        <v>20905</v>
      </c>
      <c r="B79" s="9" t="s">
        <v>109</v>
      </c>
      <c r="C79" s="32"/>
      <c r="D79" s="32"/>
    </row>
    <row r="80" spans="1:4">
      <c r="A80" s="12">
        <v>21001</v>
      </c>
      <c r="B80" s="9" t="s">
        <v>110</v>
      </c>
      <c r="C80" s="32"/>
      <c r="D80" s="32"/>
    </row>
    <row r="81" spans="1:4">
      <c r="A81" s="12">
        <v>21002</v>
      </c>
      <c r="B81" s="9" t="s">
        <v>111</v>
      </c>
      <c r="C81" s="32"/>
      <c r="D81" s="32"/>
    </row>
    <row r="82" spans="1:4">
      <c r="A82" s="12">
        <v>21003</v>
      </c>
      <c r="B82" s="9" t="s">
        <v>112</v>
      </c>
      <c r="C82" s="32"/>
      <c r="D82" s="32"/>
    </row>
    <row r="83" spans="1:4">
      <c r="A83" s="12">
        <v>21004</v>
      </c>
      <c r="B83" s="9" t="s">
        <v>113</v>
      </c>
      <c r="C83" s="32"/>
      <c r="D83" s="32"/>
    </row>
    <row r="84" spans="1:4">
      <c r="A84" s="12">
        <v>21005</v>
      </c>
      <c r="B84" s="9" t="s">
        <v>114</v>
      </c>
      <c r="C84" s="32"/>
      <c r="D84" s="32"/>
    </row>
    <row r="85" spans="1:4">
      <c r="A85" s="12">
        <v>21006</v>
      </c>
      <c r="B85" s="9" t="s">
        <v>115</v>
      </c>
      <c r="C85" s="32"/>
      <c r="D85" s="32"/>
    </row>
    <row r="86" spans="1:4">
      <c r="A86" s="12">
        <v>21101</v>
      </c>
      <c r="B86" s="9" t="s">
        <v>116</v>
      </c>
      <c r="C86" s="32"/>
      <c r="D86" s="32"/>
    </row>
    <row r="87" spans="1:4">
      <c r="A87" s="12">
        <v>21102</v>
      </c>
      <c r="B87" s="9" t="s">
        <v>117</v>
      </c>
      <c r="C87" s="32"/>
      <c r="D87" s="32"/>
    </row>
    <row r="88" spans="1:4">
      <c r="A88" s="12">
        <v>21103</v>
      </c>
      <c r="B88" s="9" t="s">
        <v>118</v>
      </c>
      <c r="C88" s="32"/>
      <c r="D88" s="32"/>
    </row>
    <row r="89" spans="1:4">
      <c r="A89" s="12">
        <v>21104</v>
      </c>
      <c r="B89" s="9" t="s">
        <v>119</v>
      </c>
      <c r="C89" s="32"/>
      <c r="D89" s="32"/>
    </row>
    <row r="90" spans="1:4">
      <c r="A90" s="12">
        <v>21105</v>
      </c>
      <c r="B90" s="9" t="s">
        <v>120</v>
      </c>
      <c r="C90" s="32"/>
      <c r="D90" s="32"/>
    </row>
    <row r="91" spans="1:4">
      <c r="A91" s="12">
        <v>21201</v>
      </c>
      <c r="B91" s="9" t="s">
        <v>121</v>
      </c>
      <c r="C91" s="32"/>
      <c r="D91" s="32"/>
    </row>
    <row r="92" spans="1:4">
      <c r="A92" s="12">
        <v>21202</v>
      </c>
      <c r="B92" s="9" t="s">
        <v>122</v>
      </c>
      <c r="C92" s="32"/>
      <c r="D92" s="32"/>
    </row>
    <row r="93" spans="1:4">
      <c r="A93" s="12">
        <v>21203</v>
      </c>
      <c r="B93" s="9" t="s">
        <v>123</v>
      </c>
      <c r="C93" s="32"/>
      <c r="D93" s="32"/>
    </row>
    <row r="94" spans="1:4">
      <c r="A94" s="12">
        <v>21204</v>
      </c>
      <c r="B94" s="9" t="s">
        <v>124</v>
      </c>
      <c r="C94" s="32"/>
      <c r="D94" s="32"/>
    </row>
    <row r="95" spans="1:4">
      <c r="A95" s="12">
        <v>21301</v>
      </c>
      <c r="B95" s="9" t="s">
        <v>125</v>
      </c>
      <c r="C95" s="32"/>
      <c r="D95" s="32"/>
    </row>
    <row r="96" spans="1:4">
      <c r="A96" s="12">
        <v>21302</v>
      </c>
      <c r="B96" s="9" t="s">
        <v>126</v>
      </c>
      <c r="C96" s="32"/>
      <c r="D96" s="32"/>
    </row>
    <row r="97" spans="1:4">
      <c r="A97" s="12">
        <v>21303</v>
      </c>
      <c r="B97" s="9" t="s">
        <v>127</v>
      </c>
      <c r="C97" s="32"/>
      <c r="D97" s="32"/>
    </row>
    <row r="98" spans="1:4">
      <c r="A98" s="12">
        <v>21304</v>
      </c>
      <c r="B98" s="9" t="s">
        <v>128</v>
      </c>
      <c r="C98" s="32"/>
      <c r="D98" s="32"/>
    </row>
    <row r="99" spans="1:4">
      <c r="A99" s="12">
        <v>21305</v>
      </c>
      <c r="B99" s="9" t="s">
        <v>129</v>
      </c>
      <c r="C99" s="32"/>
      <c r="D99" s="32"/>
    </row>
    <row r="100" spans="1:4">
      <c r="A100" s="12">
        <v>21306</v>
      </c>
      <c r="B100" s="9" t="s">
        <v>130</v>
      </c>
      <c r="C100" s="32"/>
      <c r="D100" s="32"/>
    </row>
    <row r="101" spans="1:4">
      <c r="A101" s="12">
        <v>21307</v>
      </c>
      <c r="B101" s="9" t="s">
        <v>131</v>
      </c>
      <c r="C101" s="32"/>
      <c r="D101" s="32"/>
    </row>
    <row r="102" spans="1:4">
      <c r="A102" s="12">
        <v>21401</v>
      </c>
      <c r="B102" s="9" t="s">
        <v>132</v>
      </c>
      <c r="C102" s="32"/>
      <c r="D102" s="32"/>
    </row>
    <row r="103" spans="1:4">
      <c r="A103" s="12">
        <v>21402</v>
      </c>
      <c r="B103" s="9" t="s">
        <v>133</v>
      </c>
      <c r="C103" s="32"/>
      <c r="D103" s="32"/>
    </row>
    <row r="104" spans="1:4">
      <c r="A104" s="12">
        <v>21501</v>
      </c>
      <c r="B104" s="9" t="s">
        <v>134</v>
      </c>
      <c r="C104" s="32"/>
      <c r="D104" s="32"/>
    </row>
    <row r="105" spans="1:4">
      <c r="A105" s="12">
        <v>21502</v>
      </c>
      <c r="B105" s="9" t="s">
        <v>135</v>
      </c>
      <c r="C105" s="32"/>
      <c r="D105" s="32"/>
    </row>
    <row r="106" spans="1:4">
      <c r="A106" s="12">
        <v>21601</v>
      </c>
      <c r="B106" s="9" t="s">
        <v>136</v>
      </c>
      <c r="C106" s="32"/>
      <c r="D106" s="32"/>
    </row>
    <row r="107" spans="1:4">
      <c r="A107" s="12">
        <v>21602</v>
      </c>
      <c r="B107" s="9" t="s">
        <v>137</v>
      </c>
      <c r="C107" s="32"/>
      <c r="D107" s="32"/>
    </row>
    <row r="108" spans="1:4">
      <c r="A108" s="12">
        <v>21701</v>
      </c>
      <c r="B108" s="9" t="s">
        <v>138</v>
      </c>
      <c r="C108" s="32"/>
      <c r="D108" s="32"/>
    </row>
    <row r="109" spans="1:4">
      <c r="A109" s="12">
        <v>21702</v>
      </c>
      <c r="B109" s="9" t="s">
        <v>139</v>
      </c>
      <c r="C109" s="32"/>
      <c r="D109" s="32"/>
    </row>
    <row r="110" spans="1:4">
      <c r="A110" s="12">
        <v>21703</v>
      </c>
      <c r="B110" s="9" t="s">
        <v>140</v>
      </c>
      <c r="C110" s="32"/>
      <c r="D110" s="32"/>
    </row>
    <row r="111" spans="1:4">
      <c r="A111" s="12">
        <v>21801</v>
      </c>
      <c r="B111" s="9" t="s">
        <v>141</v>
      </c>
      <c r="C111" s="32"/>
      <c r="D111" s="32"/>
    </row>
    <row r="112" spans="1:4">
      <c r="A112" s="12">
        <v>21802</v>
      </c>
      <c r="B112" s="9" t="s">
        <v>142</v>
      </c>
      <c r="C112" s="32"/>
      <c r="D112" s="32"/>
    </row>
    <row r="113" spans="1:4">
      <c r="A113" s="12">
        <v>21803</v>
      </c>
      <c r="B113" s="9" t="s">
        <v>143</v>
      </c>
      <c r="C113" s="32"/>
      <c r="D113" s="32"/>
    </row>
    <row r="114" spans="1:4">
      <c r="A114" s="12">
        <v>21901</v>
      </c>
      <c r="B114" s="9" t="s">
        <v>144</v>
      </c>
      <c r="C114" s="32"/>
      <c r="D114" s="32"/>
    </row>
    <row r="115" spans="1:4">
      <c r="A115" s="12">
        <v>21902</v>
      </c>
      <c r="B115" s="9" t="s">
        <v>145</v>
      </c>
      <c r="C115" s="32"/>
      <c r="D115" s="32"/>
    </row>
    <row r="116" spans="1:4">
      <c r="A116" s="12">
        <v>22001</v>
      </c>
      <c r="B116" s="9" t="s">
        <v>146</v>
      </c>
      <c r="C116" s="32"/>
      <c r="D116" s="32"/>
    </row>
    <row r="117" spans="1:4">
      <c r="A117" s="12">
        <v>22002</v>
      </c>
      <c r="B117" s="9" t="s">
        <v>147</v>
      </c>
      <c r="C117" s="32"/>
      <c r="D117" s="32"/>
    </row>
    <row r="118" spans="1:4">
      <c r="A118" s="12">
        <v>30101</v>
      </c>
      <c r="B118" s="9" t="s">
        <v>23</v>
      </c>
      <c r="C118" s="32"/>
      <c r="D118" s="32"/>
    </row>
    <row r="119" spans="1:4">
      <c r="A119" s="12">
        <v>30201</v>
      </c>
      <c r="B119" s="9" t="s">
        <v>148</v>
      </c>
      <c r="C119" s="32"/>
      <c r="D119" s="32"/>
    </row>
    <row r="120" spans="1:4">
      <c r="A120" s="12">
        <v>30202</v>
      </c>
      <c r="B120" s="9" t="s">
        <v>149</v>
      </c>
      <c r="C120" s="32"/>
      <c r="D120" s="32"/>
    </row>
    <row r="121" spans="1:4">
      <c r="A121" s="12">
        <v>30203</v>
      </c>
      <c r="B121" s="9" t="s">
        <v>150</v>
      </c>
      <c r="C121" s="32"/>
      <c r="D121" s="32"/>
    </row>
    <row r="122" spans="1:4">
      <c r="A122" s="12">
        <v>30301</v>
      </c>
      <c r="B122" s="9" t="s">
        <v>151</v>
      </c>
      <c r="C122" s="32"/>
      <c r="D122" s="32"/>
    </row>
    <row r="123" spans="1:4">
      <c r="A123" s="12">
        <v>30302</v>
      </c>
      <c r="B123" s="9" t="s">
        <v>152</v>
      </c>
      <c r="C123" s="32"/>
      <c r="D123" s="32"/>
    </row>
    <row r="124" spans="1:4">
      <c r="A124" s="12">
        <v>30303</v>
      </c>
      <c r="B124" s="9" t="s">
        <v>153</v>
      </c>
      <c r="C124" s="32"/>
      <c r="D124" s="32"/>
    </row>
    <row r="125" spans="1:4">
      <c r="A125" s="12">
        <v>30401</v>
      </c>
      <c r="B125" s="9" t="s">
        <v>154</v>
      </c>
      <c r="C125" s="32"/>
      <c r="D125" s="32"/>
    </row>
    <row r="126" spans="1:4">
      <c r="A126" s="12">
        <v>30402</v>
      </c>
      <c r="B126" s="9" t="s">
        <v>155</v>
      </c>
      <c r="C126" s="32"/>
      <c r="D126" s="32"/>
    </row>
    <row r="127" spans="1:4">
      <c r="A127" s="12">
        <v>30403</v>
      </c>
      <c r="B127" s="9" t="s">
        <v>156</v>
      </c>
      <c r="C127" s="32"/>
      <c r="D127" s="32"/>
    </row>
    <row r="128" spans="1:4">
      <c r="A128" s="12">
        <v>30404</v>
      </c>
      <c r="B128" s="9" t="s">
        <v>157</v>
      </c>
      <c r="C128" s="32"/>
      <c r="D128" s="32"/>
    </row>
    <row r="129" spans="1:4">
      <c r="A129" s="12">
        <v>30501</v>
      </c>
      <c r="B129" s="9" t="s">
        <v>158</v>
      </c>
      <c r="C129" s="32"/>
      <c r="D129" s="32"/>
    </row>
    <row r="130" spans="1:4">
      <c r="A130" s="12">
        <v>30502</v>
      </c>
      <c r="B130" s="9" t="s">
        <v>159</v>
      </c>
      <c r="C130" s="32"/>
      <c r="D130" s="32"/>
    </row>
    <row r="131" spans="1:4">
      <c r="A131" s="12">
        <v>30601</v>
      </c>
      <c r="B131" s="9" t="s">
        <v>160</v>
      </c>
      <c r="C131" s="32"/>
      <c r="D131" s="32"/>
    </row>
    <row r="132" spans="1:4">
      <c r="A132" s="12">
        <v>30602</v>
      </c>
      <c r="B132" s="9" t="s">
        <v>161</v>
      </c>
      <c r="C132" s="32"/>
      <c r="D132" s="32"/>
    </row>
    <row r="133" spans="1:4">
      <c r="A133" s="12">
        <v>30701</v>
      </c>
      <c r="B133" s="9" t="s">
        <v>162</v>
      </c>
      <c r="C133" s="32"/>
      <c r="D133" s="32"/>
    </row>
    <row r="134" spans="1:4">
      <c r="A134" s="12">
        <v>30702</v>
      </c>
      <c r="B134" s="9" t="s">
        <v>163</v>
      </c>
      <c r="C134" s="32"/>
      <c r="D134" s="32"/>
    </row>
    <row r="135" spans="1:4">
      <c r="A135" s="12">
        <v>30703</v>
      </c>
      <c r="B135" s="9" t="s">
        <v>164</v>
      </c>
      <c r="C135" s="32"/>
      <c r="D135" s="32"/>
    </row>
    <row r="136" spans="1:4">
      <c r="A136" s="12">
        <v>30801</v>
      </c>
      <c r="B136" s="9" t="s">
        <v>165</v>
      </c>
      <c r="C136" s="32"/>
      <c r="D136" s="32"/>
    </row>
    <row r="137" spans="1:4">
      <c r="A137" s="12">
        <v>30802</v>
      </c>
      <c r="B137" s="9" t="s">
        <v>166</v>
      </c>
      <c r="C137" s="32"/>
      <c r="D137" s="32"/>
    </row>
    <row r="138" spans="1:4">
      <c r="A138" s="12">
        <v>30803</v>
      </c>
      <c r="B138" s="9" t="s">
        <v>167</v>
      </c>
      <c r="C138" s="32"/>
      <c r="D138" s="32"/>
    </row>
    <row r="139" spans="1:4">
      <c r="A139" s="12">
        <v>30901</v>
      </c>
      <c r="B139" s="9" t="s">
        <v>168</v>
      </c>
      <c r="C139" s="32"/>
      <c r="D139" s="32"/>
    </row>
    <row r="140" spans="1:4">
      <c r="A140" s="12">
        <v>30902</v>
      </c>
      <c r="B140" s="9" t="s">
        <v>169</v>
      </c>
      <c r="C140" s="32"/>
      <c r="D140" s="32"/>
    </row>
    <row r="141" spans="1:4">
      <c r="A141" s="12">
        <v>30903</v>
      </c>
      <c r="B141" s="9" t="s">
        <v>170</v>
      </c>
      <c r="C141" s="32"/>
      <c r="D141" s="32"/>
    </row>
    <row r="142" spans="1:4">
      <c r="A142" s="12">
        <v>30904</v>
      </c>
      <c r="B142" s="9" t="s">
        <v>171</v>
      </c>
      <c r="C142" s="32"/>
      <c r="D142" s="32"/>
    </row>
    <row r="143" spans="1:4">
      <c r="A143" s="12">
        <v>30905</v>
      </c>
      <c r="B143" s="9" t="s">
        <v>172</v>
      </c>
      <c r="C143" s="32"/>
      <c r="D143" s="32"/>
    </row>
    <row r="144" spans="1:4">
      <c r="A144" s="12">
        <v>31001</v>
      </c>
      <c r="B144" s="9" t="s">
        <v>173</v>
      </c>
      <c r="C144" s="32"/>
      <c r="D144" s="32"/>
    </row>
    <row r="145" spans="1:4">
      <c r="A145" s="12">
        <v>31002</v>
      </c>
      <c r="B145" s="9" t="s">
        <v>174</v>
      </c>
      <c r="C145" s="32"/>
      <c r="D145" s="32"/>
    </row>
    <row r="146" spans="1:4">
      <c r="A146" s="12">
        <v>31003</v>
      </c>
      <c r="B146" s="9" t="s">
        <v>175</v>
      </c>
      <c r="C146" s="32"/>
      <c r="D146" s="32"/>
    </row>
    <row r="147" spans="1:4">
      <c r="A147" s="12">
        <v>31101</v>
      </c>
      <c r="B147" s="9" t="s">
        <v>176</v>
      </c>
      <c r="C147" s="32"/>
      <c r="D147" s="32"/>
    </row>
    <row r="148" spans="1:4">
      <c r="A148" s="12">
        <v>31201</v>
      </c>
      <c r="B148" s="9" t="s">
        <v>177</v>
      </c>
      <c r="C148" s="32"/>
      <c r="D148" s="32"/>
    </row>
    <row r="149" spans="1:4">
      <c r="A149" s="12">
        <v>31202</v>
      </c>
      <c r="B149" s="9" t="s">
        <v>178</v>
      </c>
      <c r="C149" s="32"/>
      <c r="D149" s="32"/>
    </row>
    <row r="150" spans="1:4">
      <c r="A150" s="12">
        <v>31203</v>
      </c>
      <c r="B150" s="9" t="s">
        <v>179</v>
      </c>
      <c r="C150" s="32"/>
      <c r="D150" s="32"/>
    </row>
    <row r="151" spans="1:4">
      <c r="A151" s="12">
        <v>31204</v>
      </c>
      <c r="B151" s="9" t="s">
        <v>180</v>
      </c>
      <c r="C151" s="32"/>
      <c r="D151" s="32"/>
    </row>
    <row r="152" spans="1:4">
      <c r="A152" s="12">
        <v>31205</v>
      </c>
      <c r="B152" s="9" t="s">
        <v>181</v>
      </c>
      <c r="C152" s="32"/>
      <c r="D152" s="32"/>
    </row>
    <row r="153" spans="1:4">
      <c r="A153" s="12">
        <v>31206</v>
      </c>
      <c r="B153" s="9" t="s">
        <v>182</v>
      </c>
      <c r="C153" s="32"/>
      <c r="D153" s="32"/>
    </row>
    <row r="154" spans="1:4">
      <c r="A154" s="12">
        <v>31301</v>
      </c>
      <c r="B154" s="9" t="s">
        <v>183</v>
      </c>
      <c r="C154" s="32"/>
      <c r="D154" s="32"/>
    </row>
    <row r="155" spans="1:4">
      <c r="A155" s="12">
        <v>31302</v>
      </c>
      <c r="B155" s="9" t="s">
        <v>184</v>
      </c>
      <c r="C155" s="32"/>
      <c r="D155" s="32"/>
    </row>
    <row r="156" spans="1:4">
      <c r="A156" s="12">
        <v>31303</v>
      </c>
      <c r="B156" s="9" t="s">
        <v>185</v>
      </c>
      <c r="C156" s="32"/>
      <c r="D156" s="32"/>
    </row>
    <row r="157" spans="1:4">
      <c r="A157" s="12">
        <v>31304</v>
      </c>
      <c r="B157" s="9" t="s">
        <v>186</v>
      </c>
      <c r="C157" s="32"/>
      <c r="D157" s="32"/>
    </row>
    <row r="158" spans="1:4">
      <c r="A158" s="12">
        <v>31401</v>
      </c>
      <c r="B158" s="9" t="s">
        <v>187</v>
      </c>
      <c r="C158" s="32"/>
      <c r="D158" s="32"/>
    </row>
    <row r="159" spans="1:4">
      <c r="A159" s="12">
        <v>31402</v>
      </c>
      <c r="B159" s="9" t="s">
        <v>188</v>
      </c>
      <c r="C159" s="32"/>
      <c r="D159" s="32"/>
    </row>
    <row r="160" spans="1:4">
      <c r="A160" s="12">
        <v>31403</v>
      </c>
      <c r="B160" s="9" t="s">
        <v>189</v>
      </c>
      <c r="C160" s="32"/>
      <c r="D160" s="32"/>
    </row>
    <row r="161" spans="1:4">
      <c r="A161" s="12">
        <v>31404</v>
      </c>
      <c r="B161" s="9" t="s">
        <v>190</v>
      </c>
      <c r="C161" s="32"/>
      <c r="D161" s="32"/>
    </row>
    <row r="162" spans="1:4">
      <c r="A162" s="12">
        <v>31405</v>
      </c>
      <c r="B162" s="9" t="s">
        <v>191</v>
      </c>
      <c r="C162" s="32"/>
      <c r="D162" s="32"/>
    </row>
    <row r="163" spans="1:4">
      <c r="A163" s="12">
        <v>31501</v>
      </c>
      <c r="B163" s="9" t="s">
        <v>192</v>
      </c>
      <c r="C163" s="32"/>
      <c r="D163" s="32"/>
    </row>
    <row r="164" spans="1:4">
      <c r="A164" s="12">
        <v>31601</v>
      </c>
      <c r="B164" s="9" t="s">
        <v>193</v>
      </c>
      <c r="C164" s="32"/>
      <c r="D164" s="32"/>
    </row>
    <row r="165" spans="1:4">
      <c r="A165" s="12">
        <v>31602</v>
      </c>
      <c r="B165" s="9" t="s">
        <v>194</v>
      </c>
      <c r="C165" s="32"/>
      <c r="D165" s="32"/>
    </row>
    <row r="166" spans="1:4">
      <c r="A166" s="12">
        <v>40101</v>
      </c>
      <c r="B166" s="9" t="s">
        <v>26</v>
      </c>
      <c r="C166" s="32"/>
      <c r="D166" s="32"/>
    </row>
    <row r="167" spans="1:4">
      <c r="A167" s="12">
        <v>40102</v>
      </c>
      <c r="B167" s="9" t="s">
        <v>195</v>
      </c>
      <c r="C167" s="32"/>
      <c r="D167" s="32"/>
    </row>
    <row r="168" spans="1:4">
      <c r="A168" s="12">
        <v>40103</v>
      </c>
      <c r="B168" s="9" t="s">
        <v>196</v>
      </c>
      <c r="C168" s="32"/>
      <c r="D168" s="32"/>
    </row>
    <row r="169" spans="1:4">
      <c r="A169" s="12">
        <v>40104</v>
      </c>
      <c r="B169" s="9" t="s">
        <v>197</v>
      </c>
      <c r="C169" s="32"/>
      <c r="D169" s="32"/>
    </row>
    <row r="170" spans="1:4">
      <c r="A170" s="12">
        <v>40201</v>
      </c>
      <c r="B170" s="9" t="s">
        <v>198</v>
      </c>
      <c r="C170" s="32"/>
      <c r="D170" s="32"/>
    </row>
    <row r="171" spans="1:4">
      <c r="A171" s="12">
        <v>40202</v>
      </c>
      <c r="B171" s="9" t="s">
        <v>199</v>
      </c>
      <c r="C171" s="32"/>
      <c r="D171" s="32"/>
    </row>
    <row r="172" spans="1:4">
      <c r="A172" s="12">
        <v>40301</v>
      </c>
      <c r="B172" s="9" t="s">
        <v>200</v>
      </c>
      <c r="C172" s="32"/>
      <c r="D172" s="32"/>
    </row>
    <row r="173" spans="1:4">
      <c r="A173" s="12">
        <v>40302</v>
      </c>
      <c r="B173" s="9" t="s">
        <v>201</v>
      </c>
      <c r="C173" s="32"/>
      <c r="D173" s="32"/>
    </row>
    <row r="174" spans="1:4">
      <c r="A174" s="12">
        <v>40401</v>
      </c>
      <c r="B174" s="9" t="s">
        <v>202</v>
      </c>
      <c r="C174" s="32"/>
      <c r="D174" s="32"/>
    </row>
    <row r="175" spans="1:4">
      <c r="A175" s="12">
        <v>40402</v>
      </c>
      <c r="B175" s="9" t="s">
        <v>203</v>
      </c>
      <c r="C175" s="32"/>
      <c r="D175" s="32"/>
    </row>
    <row r="176" spans="1:4">
      <c r="A176" s="12">
        <v>40501</v>
      </c>
      <c r="B176" s="9" t="s">
        <v>204</v>
      </c>
      <c r="C176" s="32"/>
      <c r="D176" s="32"/>
    </row>
    <row r="177" spans="1:4">
      <c r="A177" s="12">
        <v>40502</v>
      </c>
      <c r="B177" s="9" t="s">
        <v>205</v>
      </c>
      <c r="C177" s="32"/>
      <c r="D177" s="32"/>
    </row>
    <row r="178" spans="1:4">
      <c r="A178" s="12">
        <v>40503</v>
      </c>
      <c r="B178" s="9" t="s">
        <v>206</v>
      </c>
      <c r="C178" s="32"/>
      <c r="D178" s="32"/>
    </row>
    <row r="179" spans="1:4">
      <c r="A179" s="12">
        <v>40504</v>
      </c>
      <c r="B179" s="9" t="s">
        <v>207</v>
      </c>
      <c r="C179" s="32"/>
      <c r="D179" s="32"/>
    </row>
    <row r="180" spans="1:4">
      <c r="A180" s="12">
        <v>40505</v>
      </c>
      <c r="B180" s="9" t="s">
        <v>208</v>
      </c>
      <c r="C180" s="32"/>
      <c r="D180" s="32"/>
    </row>
    <row r="181" spans="1:4">
      <c r="A181" s="12">
        <v>40601</v>
      </c>
      <c r="B181" s="9" t="s">
        <v>209</v>
      </c>
      <c r="C181" s="32"/>
      <c r="D181" s="32"/>
    </row>
    <row r="182" spans="1:4">
      <c r="A182" s="12">
        <v>40602</v>
      </c>
      <c r="B182" s="9" t="s">
        <v>210</v>
      </c>
      <c r="C182" s="32"/>
      <c r="D182" s="32"/>
    </row>
    <row r="183" spans="1:4">
      <c r="A183" s="12">
        <v>40603</v>
      </c>
      <c r="B183" s="9" t="s">
        <v>211</v>
      </c>
      <c r="C183" s="32"/>
      <c r="D183" s="32"/>
    </row>
    <row r="184" spans="1:4">
      <c r="A184" s="12">
        <v>40701</v>
      </c>
      <c r="B184" s="9" t="s">
        <v>212</v>
      </c>
      <c r="C184" s="32"/>
      <c r="D184" s="32"/>
    </row>
    <row r="185" spans="1:4">
      <c r="A185" s="12">
        <v>40702</v>
      </c>
      <c r="B185" s="9" t="s">
        <v>213</v>
      </c>
      <c r="C185" s="32"/>
      <c r="D185" s="32"/>
    </row>
    <row r="186" spans="1:4">
      <c r="A186" s="12">
        <v>40801</v>
      </c>
      <c r="B186" s="9" t="s">
        <v>214</v>
      </c>
      <c r="C186" s="32"/>
      <c r="D186" s="32"/>
    </row>
    <row r="187" spans="1:4">
      <c r="A187" s="12">
        <v>40802</v>
      </c>
      <c r="B187" s="9" t="s">
        <v>215</v>
      </c>
      <c r="C187" s="32"/>
      <c r="D187" s="32"/>
    </row>
    <row r="188" spans="1:4">
      <c r="A188" s="12">
        <v>40901</v>
      </c>
      <c r="B188" s="9" t="s">
        <v>216</v>
      </c>
      <c r="C188" s="32"/>
      <c r="D188" s="32"/>
    </row>
    <row r="189" spans="1:4">
      <c r="A189" s="12">
        <v>40902</v>
      </c>
      <c r="B189" s="9" t="s">
        <v>217</v>
      </c>
      <c r="C189" s="32"/>
      <c r="D189" s="32"/>
    </row>
    <row r="190" spans="1:4">
      <c r="A190" s="12">
        <v>40903</v>
      </c>
      <c r="B190" s="9" t="s">
        <v>218</v>
      </c>
      <c r="C190" s="32"/>
      <c r="D190" s="32"/>
    </row>
    <row r="191" spans="1:4">
      <c r="A191" s="12">
        <v>41001</v>
      </c>
      <c r="B191" s="9" t="s">
        <v>219</v>
      </c>
      <c r="C191" s="32"/>
      <c r="D191" s="32"/>
    </row>
    <row r="192" spans="1:4">
      <c r="A192" s="12">
        <v>41101</v>
      </c>
      <c r="B192" s="9" t="s">
        <v>220</v>
      </c>
      <c r="C192" s="32"/>
      <c r="D192" s="32"/>
    </row>
    <row r="193" spans="1:4">
      <c r="A193" s="12">
        <v>41201</v>
      </c>
      <c r="B193" s="9" t="s">
        <v>221</v>
      </c>
      <c r="C193" s="32"/>
      <c r="D193" s="32"/>
    </row>
    <row r="194" spans="1:4">
      <c r="A194" s="12">
        <v>41202</v>
      </c>
      <c r="B194" s="9" t="s">
        <v>222</v>
      </c>
      <c r="C194" s="32"/>
      <c r="D194" s="32"/>
    </row>
    <row r="195" spans="1:4">
      <c r="A195" s="12">
        <v>41301</v>
      </c>
      <c r="B195" s="9" t="s">
        <v>223</v>
      </c>
      <c r="C195" s="32"/>
      <c r="D195" s="32"/>
    </row>
    <row r="196" spans="1:4">
      <c r="A196" s="12">
        <v>41401</v>
      </c>
      <c r="B196" s="9" t="s">
        <v>224</v>
      </c>
      <c r="C196" s="32"/>
      <c r="D196" s="32"/>
    </row>
    <row r="197" spans="1:4">
      <c r="A197" s="12">
        <v>41501</v>
      </c>
      <c r="B197" s="9" t="s">
        <v>225</v>
      </c>
      <c r="C197" s="32"/>
      <c r="D197" s="32"/>
    </row>
    <row r="198" spans="1:4">
      <c r="A198" s="12">
        <v>41502</v>
      </c>
      <c r="B198" s="9" t="s">
        <v>226</v>
      </c>
      <c r="C198" s="32"/>
      <c r="D198" s="32"/>
    </row>
    <row r="199" spans="1:4">
      <c r="A199" s="12">
        <v>41503</v>
      </c>
      <c r="B199" s="9" t="s">
        <v>227</v>
      </c>
      <c r="C199" s="32"/>
      <c r="D199" s="32"/>
    </row>
    <row r="200" spans="1:4">
      <c r="A200" s="12">
        <v>41601</v>
      </c>
      <c r="B200" s="9" t="s">
        <v>228</v>
      </c>
      <c r="C200" s="32"/>
      <c r="D200" s="32"/>
    </row>
    <row r="201" spans="1:4">
      <c r="A201" s="12">
        <v>50101</v>
      </c>
      <c r="B201" s="9" t="s">
        <v>28</v>
      </c>
      <c r="C201" s="32"/>
      <c r="D201" s="32"/>
    </row>
    <row r="202" spans="1:4">
      <c r="A202" s="12">
        <v>50102</v>
      </c>
      <c r="B202" s="9" t="s">
        <v>229</v>
      </c>
      <c r="C202" s="32"/>
      <c r="D202" s="32"/>
    </row>
    <row r="203" spans="1:4">
      <c r="A203" s="12">
        <v>50103</v>
      </c>
      <c r="B203" s="9" t="s">
        <v>230</v>
      </c>
      <c r="C203" s="32"/>
      <c r="D203" s="32"/>
    </row>
    <row r="204" spans="1:4">
      <c r="A204" s="12">
        <v>50104</v>
      </c>
      <c r="B204" s="9" t="s">
        <v>231</v>
      </c>
      <c r="C204" s="32"/>
      <c r="D204" s="32"/>
    </row>
    <row r="205" spans="1:4">
      <c r="A205" s="12">
        <v>50201</v>
      </c>
      <c r="B205" s="9" t="s">
        <v>232</v>
      </c>
      <c r="C205" s="32"/>
      <c r="D205" s="32"/>
    </row>
    <row r="206" spans="1:4">
      <c r="A206" s="12">
        <v>50202</v>
      </c>
      <c r="B206" s="9" t="s">
        <v>233</v>
      </c>
      <c r="C206" s="32"/>
      <c r="D206" s="32"/>
    </row>
    <row r="207" spans="1:4">
      <c r="A207" s="12">
        <v>50203</v>
      </c>
      <c r="B207" s="9" t="s">
        <v>234</v>
      </c>
      <c r="C207" s="32"/>
      <c r="D207" s="32"/>
    </row>
    <row r="208" spans="1:4">
      <c r="A208" s="12">
        <v>50204</v>
      </c>
      <c r="B208" s="9" t="s">
        <v>235</v>
      </c>
      <c r="C208" s="32"/>
      <c r="D208" s="32"/>
    </row>
    <row r="209" spans="1:4">
      <c r="A209" s="12">
        <v>50301</v>
      </c>
      <c r="B209" s="9" t="s">
        <v>236</v>
      </c>
      <c r="C209" s="32"/>
      <c r="D209" s="32"/>
    </row>
    <row r="210" spans="1:4">
      <c r="A210" s="12">
        <v>50302</v>
      </c>
      <c r="B210" s="9" t="s">
        <v>237</v>
      </c>
      <c r="C210" s="32"/>
      <c r="D210" s="32"/>
    </row>
    <row r="211" spans="1:4">
      <c r="A211" s="12">
        <v>50303</v>
      </c>
      <c r="B211" s="9" t="s">
        <v>238</v>
      </c>
      <c r="C211" s="32"/>
      <c r="D211" s="32"/>
    </row>
    <row r="212" spans="1:4">
      <c r="A212" s="12">
        <v>50401</v>
      </c>
      <c r="B212" s="9" t="s">
        <v>239</v>
      </c>
      <c r="C212" s="32"/>
      <c r="D212" s="32"/>
    </row>
    <row r="213" spans="1:4">
      <c r="A213" s="12">
        <v>50402</v>
      </c>
      <c r="B213" s="9" t="s">
        <v>240</v>
      </c>
      <c r="C213" s="32"/>
      <c r="D213" s="32"/>
    </row>
    <row r="214" spans="1:4">
      <c r="A214" s="12">
        <v>50403</v>
      </c>
      <c r="B214" s="9" t="s">
        <v>241</v>
      </c>
      <c r="C214" s="32"/>
      <c r="D214" s="32"/>
    </row>
    <row r="215" spans="1:4">
      <c r="A215" s="12">
        <v>50404</v>
      </c>
      <c r="B215" s="9" t="s">
        <v>242</v>
      </c>
      <c r="C215" s="32"/>
      <c r="D215" s="32"/>
    </row>
    <row r="216" spans="1:4">
      <c r="A216" s="12">
        <v>50405</v>
      </c>
      <c r="B216" s="9" t="s">
        <v>243</v>
      </c>
      <c r="C216" s="32"/>
      <c r="D216" s="32"/>
    </row>
    <row r="217" spans="1:4">
      <c r="A217" s="12">
        <v>50501</v>
      </c>
      <c r="B217" s="9" t="s">
        <v>244</v>
      </c>
      <c r="C217" s="32"/>
      <c r="D217" s="32"/>
    </row>
    <row r="218" spans="1:4">
      <c r="A218" s="12">
        <v>50502</v>
      </c>
      <c r="B218" s="9" t="s">
        <v>245</v>
      </c>
      <c r="C218" s="32"/>
      <c r="D218" s="32"/>
    </row>
    <row r="219" spans="1:4">
      <c r="A219" s="12">
        <v>50601</v>
      </c>
      <c r="B219" s="9" t="s">
        <v>246</v>
      </c>
      <c r="C219" s="32"/>
      <c r="D219" s="32"/>
    </row>
    <row r="220" spans="1:4">
      <c r="A220" s="12">
        <v>50602</v>
      </c>
      <c r="B220" s="9" t="s">
        <v>247</v>
      </c>
      <c r="C220" s="32"/>
      <c r="D220" s="32"/>
    </row>
    <row r="221" spans="1:4">
      <c r="A221" s="12">
        <v>50701</v>
      </c>
      <c r="B221" s="9" t="s">
        <v>248</v>
      </c>
      <c r="C221" s="32"/>
      <c r="D221" s="32"/>
    </row>
    <row r="222" spans="1:4">
      <c r="A222" s="12">
        <v>50702</v>
      </c>
      <c r="B222" s="9" t="s">
        <v>249</v>
      </c>
      <c r="C222" s="32"/>
      <c r="D222" s="32"/>
    </row>
    <row r="223" spans="1:4">
      <c r="A223" s="12">
        <v>50801</v>
      </c>
      <c r="B223" s="9" t="s">
        <v>250</v>
      </c>
      <c r="C223" s="32"/>
      <c r="D223" s="32"/>
    </row>
    <row r="224" spans="1:4">
      <c r="A224" s="12">
        <v>50802</v>
      </c>
      <c r="B224" s="9" t="s">
        <v>251</v>
      </c>
      <c r="C224" s="32"/>
      <c r="D224" s="32"/>
    </row>
    <row r="225" spans="1:4">
      <c r="A225" s="12">
        <v>50901</v>
      </c>
      <c r="B225" s="9" t="s">
        <v>252</v>
      </c>
      <c r="C225" s="32"/>
      <c r="D225" s="32"/>
    </row>
    <row r="226" spans="1:4">
      <c r="A226" s="12">
        <v>50902</v>
      </c>
      <c r="B226" s="9" t="s">
        <v>253</v>
      </c>
      <c r="C226" s="32"/>
      <c r="D226" s="32"/>
    </row>
    <row r="227" spans="1:4">
      <c r="A227" s="12">
        <v>51001</v>
      </c>
      <c r="B227" s="9" t="s">
        <v>254</v>
      </c>
      <c r="C227" s="32"/>
      <c r="D227" s="32"/>
    </row>
    <row r="228" spans="1:4">
      <c r="A228" s="12">
        <v>51002</v>
      </c>
      <c r="B228" s="9" t="s">
        <v>255</v>
      </c>
      <c r="C228" s="32"/>
      <c r="D228" s="32"/>
    </row>
    <row r="229" spans="1:4">
      <c r="A229" s="12">
        <v>51003</v>
      </c>
      <c r="B229" s="9" t="s">
        <v>256</v>
      </c>
      <c r="C229" s="32"/>
      <c r="D229" s="32"/>
    </row>
    <row r="230" spans="1:4">
      <c r="A230" s="12">
        <v>51101</v>
      </c>
      <c r="B230" s="9" t="s">
        <v>257</v>
      </c>
      <c r="C230" s="32"/>
      <c r="D230" s="32"/>
    </row>
    <row r="231" spans="1:4">
      <c r="A231" s="12">
        <v>51102</v>
      </c>
      <c r="B231" s="9" t="s">
        <v>258</v>
      </c>
      <c r="C231" s="32"/>
      <c r="D231" s="32"/>
    </row>
    <row r="232" spans="1:4">
      <c r="A232" s="12">
        <v>51103</v>
      </c>
      <c r="B232" s="9" t="s">
        <v>259</v>
      </c>
      <c r="C232" s="32"/>
      <c r="D232" s="32"/>
    </row>
    <row r="233" spans="1:4">
      <c r="A233" s="12">
        <v>51201</v>
      </c>
      <c r="B233" s="9" t="s">
        <v>260</v>
      </c>
      <c r="C233" s="32"/>
      <c r="D233" s="32"/>
    </row>
    <row r="234" spans="1:4">
      <c r="A234" s="12">
        <v>51202</v>
      </c>
      <c r="B234" s="9" t="s">
        <v>261</v>
      </c>
      <c r="C234" s="32"/>
      <c r="D234" s="32"/>
    </row>
    <row r="235" spans="1:4">
      <c r="A235" s="12">
        <v>51203</v>
      </c>
      <c r="B235" s="9" t="s">
        <v>262</v>
      </c>
      <c r="C235" s="32"/>
      <c r="D235" s="32"/>
    </row>
    <row r="236" spans="1:4">
      <c r="A236" s="12">
        <v>51204</v>
      </c>
      <c r="B236" s="9" t="s">
        <v>263</v>
      </c>
      <c r="C236" s="32"/>
      <c r="D236" s="32"/>
    </row>
    <row r="237" spans="1:4">
      <c r="A237" s="12">
        <v>51301</v>
      </c>
      <c r="B237" s="9" t="s">
        <v>264</v>
      </c>
      <c r="C237" s="32"/>
      <c r="D237" s="32"/>
    </row>
    <row r="238" spans="1:4">
      <c r="A238" s="12">
        <v>51302</v>
      </c>
      <c r="B238" s="9" t="s">
        <v>265</v>
      </c>
      <c r="C238" s="32"/>
      <c r="D238" s="32"/>
    </row>
    <row r="239" spans="1:4">
      <c r="A239" s="12">
        <v>51401</v>
      </c>
      <c r="B239" s="9" t="s">
        <v>266</v>
      </c>
      <c r="C239" s="32"/>
      <c r="D239" s="32"/>
    </row>
    <row r="240" spans="1:4">
      <c r="A240" s="12">
        <v>51402</v>
      </c>
      <c r="B240" s="9" t="s">
        <v>267</v>
      </c>
      <c r="C240" s="32"/>
      <c r="D240" s="32"/>
    </row>
    <row r="241" spans="1:4">
      <c r="A241" s="12">
        <v>51501</v>
      </c>
      <c r="B241" s="9" t="s">
        <v>268</v>
      </c>
      <c r="C241" s="32"/>
      <c r="D241" s="32"/>
    </row>
    <row r="242" spans="1:4">
      <c r="A242" s="12">
        <v>51601</v>
      </c>
      <c r="B242" s="9" t="s">
        <v>269</v>
      </c>
      <c r="C242" s="32"/>
      <c r="D242" s="32"/>
    </row>
    <row r="243" spans="1:4">
      <c r="A243" s="12">
        <v>60101</v>
      </c>
      <c r="B243" s="9" t="s">
        <v>30</v>
      </c>
      <c r="C243" s="32"/>
      <c r="D243" s="32"/>
    </row>
    <row r="244" spans="1:4">
      <c r="A244" s="12">
        <v>60201</v>
      </c>
      <c r="B244" s="9" t="s">
        <v>270</v>
      </c>
      <c r="C244" s="32"/>
      <c r="D244" s="32"/>
    </row>
    <row r="245" spans="1:4">
      <c r="A245" s="12">
        <v>60202</v>
      </c>
      <c r="B245" s="9" t="s">
        <v>271</v>
      </c>
      <c r="C245" s="32"/>
      <c r="D245" s="32"/>
    </row>
    <row r="246" spans="1:4">
      <c r="A246" s="12">
        <v>60301</v>
      </c>
      <c r="B246" s="9" t="s">
        <v>272</v>
      </c>
      <c r="C246" s="32"/>
      <c r="D246" s="32"/>
    </row>
    <row r="247" spans="1:4">
      <c r="A247" s="12">
        <v>60302</v>
      </c>
      <c r="B247" s="9" t="s">
        <v>273</v>
      </c>
      <c r="C247" s="32"/>
      <c r="D247" s="32"/>
    </row>
    <row r="248" spans="1:4">
      <c r="A248" s="12">
        <v>60303</v>
      </c>
      <c r="B248" s="9" t="s">
        <v>274</v>
      </c>
      <c r="C248" s="32"/>
      <c r="D248" s="32"/>
    </row>
    <row r="249" spans="1:4">
      <c r="A249" s="12">
        <v>60401</v>
      </c>
      <c r="B249" s="9" t="s">
        <v>275</v>
      </c>
      <c r="C249" s="32"/>
      <c r="D249" s="32"/>
    </row>
    <row r="250" spans="1:4">
      <c r="A250" s="12">
        <v>60402</v>
      </c>
      <c r="B250" s="9" t="s">
        <v>276</v>
      </c>
      <c r="C250" s="32"/>
      <c r="D250" s="32"/>
    </row>
    <row r="251" spans="1:4">
      <c r="A251" s="12">
        <v>60501</v>
      </c>
      <c r="B251" s="9" t="s">
        <v>277</v>
      </c>
      <c r="C251" s="32"/>
      <c r="D251" s="32"/>
    </row>
    <row r="252" spans="1:4">
      <c r="A252" s="12">
        <v>60502</v>
      </c>
      <c r="B252" s="9" t="s">
        <v>278</v>
      </c>
      <c r="C252" s="32"/>
      <c r="D252" s="32"/>
    </row>
    <row r="253" spans="1:4">
      <c r="A253" s="12">
        <v>60601</v>
      </c>
      <c r="B253" s="9" t="s">
        <v>182</v>
      </c>
      <c r="C253" s="32"/>
      <c r="D253" s="32"/>
    </row>
    <row r="254" spans="1:4">
      <c r="A254" s="12">
        <v>70101</v>
      </c>
      <c r="B254" s="9" t="s">
        <v>279</v>
      </c>
      <c r="C254" s="32"/>
      <c r="D254" s="32"/>
    </row>
    <row r="255" spans="1:4">
      <c r="A255" s="12">
        <v>70102</v>
      </c>
      <c r="B255" s="9" t="s">
        <v>280</v>
      </c>
      <c r="C255" s="32"/>
      <c r="D255" s="32"/>
    </row>
    <row r="256" spans="1:4">
      <c r="A256" s="12">
        <v>70103</v>
      </c>
      <c r="B256" s="9" t="s">
        <v>281</v>
      </c>
      <c r="C256" s="32"/>
      <c r="D256" s="32"/>
    </row>
    <row r="257" spans="1:4">
      <c r="A257" s="12">
        <v>70104</v>
      </c>
      <c r="B257" s="9" t="s">
        <v>282</v>
      </c>
      <c r="C257" s="32"/>
      <c r="D257" s="32"/>
    </row>
    <row r="258" spans="1:4">
      <c r="A258" s="12">
        <v>70105</v>
      </c>
      <c r="B258" s="9" t="s">
        <v>283</v>
      </c>
      <c r="C258" s="32"/>
      <c r="D258" s="32"/>
    </row>
    <row r="259" spans="1:4">
      <c r="A259" s="12">
        <v>70201</v>
      </c>
      <c r="B259" s="9" t="s">
        <v>284</v>
      </c>
      <c r="C259" s="32"/>
      <c r="D259" s="32"/>
    </row>
    <row r="260" spans="1:4">
      <c r="A260" s="12">
        <v>70202</v>
      </c>
      <c r="B260" s="9" t="s">
        <v>285</v>
      </c>
      <c r="C260" s="32"/>
      <c r="D260" s="32"/>
    </row>
    <row r="261" spans="1:4">
      <c r="A261" s="12">
        <v>70301</v>
      </c>
      <c r="B261" s="9" t="s">
        <v>286</v>
      </c>
      <c r="C261" s="32"/>
      <c r="D261" s="32"/>
    </row>
    <row r="262" spans="1:4">
      <c r="A262" s="12">
        <v>70302</v>
      </c>
      <c r="B262" s="9" t="s">
        <v>287</v>
      </c>
      <c r="C262" s="32"/>
      <c r="D262" s="32"/>
    </row>
    <row r="263" spans="1:4">
      <c r="A263" s="12">
        <v>70303</v>
      </c>
      <c r="B263" s="9" t="s">
        <v>288</v>
      </c>
      <c r="C263" s="32"/>
      <c r="D263" s="32"/>
    </row>
    <row r="264" spans="1:4">
      <c r="A264" s="12">
        <v>70401</v>
      </c>
      <c r="B264" s="9" t="s">
        <v>289</v>
      </c>
      <c r="C264" s="32"/>
      <c r="D264" s="32"/>
    </row>
    <row r="265" spans="1:4">
      <c r="A265" s="12">
        <v>70402</v>
      </c>
      <c r="B265" s="9" t="s">
        <v>290</v>
      </c>
      <c r="C265" s="32"/>
      <c r="D265" s="32"/>
    </row>
    <row r="266" spans="1:4">
      <c r="A266" s="12">
        <v>70403</v>
      </c>
      <c r="B266" s="9" t="s">
        <v>291</v>
      </c>
      <c r="C266" s="32"/>
      <c r="D266" s="32"/>
    </row>
    <row r="267" spans="1:4">
      <c r="A267" s="12">
        <v>70404</v>
      </c>
      <c r="B267" s="9" t="s">
        <v>292</v>
      </c>
      <c r="C267" s="32"/>
      <c r="D267" s="32"/>
    </row>
    <row r="268" spans="1:4">
      <c r="A268" s="12">
        <v>70501</v>
      </c>
      <c r="B268" s="9" t="s">
        <v>293</v>
      </c>
      <c r="C268" s="32"/>
      <c r="D268" s="32"/>
    </row>
    <row r="269" spans="1:4">
      <c r="A269" s="12">
        <v>70502</v>
      </c>
      <c r="B269" s="9" t="s">
        <v>294</v>
      </c>
      <c r="C269" s="32"/>
      <c r="D269" s="32"/>
    </row>
    <row r="270" spans="1:4">
      <c r="A270" s="12">
        <v>70503</v>
      </c>
      <c r="B270" s="9" t="s">
        <v>295</v>
      </c>
      <c r="C270" s="32"/>
      <c r="D270" s="32"/>
    </row>
    <row r="271" spans="1:4">
      <c r="A271" s="12">
        <v>70601</v>
      </c>
      <c r="B271" s="9" t="s">
        <v>296</v>
      </c>
      <c r="C271" s="32"/>
      <c r="D271" s="32"/>
    </row>
    <row r="272" spans="1:4">
      <c r="A272" s="12">
        <v>70602</v>
      </c>
      <c r="B272" s="9" t="s">
        <v>297</v>
      </c>
      <c r="C272" s="32"/>
      <c r="D272" s="32"/>
    </row>
    <row r="273" spans="1:4">
      <c r="A273" s="12">
        <v>70603</v>
      </c>
      <c r="B273" s="9" t="s">
        <v>298</v>
      </c>
      <c r="C273" s="32"/>
      <c r="D273" s="32"/>
    </row>
    <row r="274" spans="1:4">
      <c r="A274" s="12">
        <v>70701</v>
      </c>
      <c r="B274" s="9" t="s">
        <v>299</v>
      </c>
      <c r="C274" s="32"/>
      <c r="D274" s="32"/>
    </row>
    <row r="275" spans="1:4">
      <c r="A275" s="12">
        <v>70702</v>
      </c>
      <c r="B275" s="9" t="s">
        <v>300</v>
      </c>
      <c r="C275" s="32"/>
      <c r="D275" s="32"/>
    </row>
    <row r="276" spans="1:4">
      <c r="A276" s="12">
        <v>70703</v>
      </c>
      <c r="B276" s="9" t="s">
        <v>301</v>
      </c>
      <c r="C276" s="32"/>
      <c r="D276" s="32"/>
    </row>
    <row r="277" spans="1:4">
      <c r="A277" s="12">
        <v>70704</v>
      </c>
      <c r="B277" s="9" t="s">
        <v>302</v>
      </c>
      <c r="C277" s="32"/>
      <c r="D277" s="32"/>
    </row>
    <row r="278" spans="1:4">
      <c r="A278" s="12">
        <v>70705</v>
      </c>
      <c r="B278" s="9" t="s">
        <v>303</v>
      </c>
      <c r="C278" s="32"/>
      <c r="D278" s="32"/>
    </row>
    <row r="279" spans="1:4">
      <c r="A279" s="12">
        <v>70706</v>
      </c>
      <c r="B279" s="9" t="s">
        <v>304</v>
      </c>
      <c r="C279" s="32"/>
      <c r="D279" s="32"/>
    </row>
    <row r="280" spans="1:4">
      <c r="A280" s="12">
        <v>70707</v>
      </c>
      <c r="B280" s="9" t="s">
        <v>305</v>
      </c>
      <c r="C280" s="32"/>
      <c r="D280" s="32"/>
    </row>
    <row r="281" spans="1:4">
      <c r="A281" s="12">
        <v>70801</v>
      </c>
      <c r="B281" s="9" t="s">
        <v>306</v>
      </c>
      <c r="C281" s="32"/>
      <c r="D281" s="32"/>
    </row>
    <row r="282" spans="1:4">
      <c r="A282" s="12">
        <v>70802</v>
      </c>
      <c r="B282" s="9" t="s">
        <v>307</v>
      </c>
      <c r="C282" s="32"/>
      <c r="D282" s="32"/>
    </row>
    <row r="283" spans="1:4">
      <c r="A283" s="12">
        <v>70803</v>
      </c>
      <c r="B283" s="9" t="s">
        <v>308</v>
      </c>
      <c r="C283" s="32"/>
      <c r="D283" s="32"/>
    </row>
    <row r="284" spans="1:4">
      <c r="A284" s="12">
        <v>70804</v>
      </c>
      <c r="B284" s="9" t="s">
        <v>309</v>
      </c>
      <c r="C284" s="32"/>
      <c r="D284" s="32"/>
    </row>
    <row r="285" spans="1:4">
      <c r="A285" s="12">
        <v>70805</v>
      </c>
      <c r="B285" s="9" t="s">
        <v>310</v>
      </c>
      <c r="C285" s="32"/>
      <c r="D285" s="32"/>
    </row>
    <row r="286" spans="1:4">
      <c r="A286" s="12">
        <v>70901</v>
      </c>
      <c r="B286" s="9" t="s">
        <v>311</v>
      </c>
      <c r="C286" s="32"/>
      <c r="D286" s="32"/>
    </row>
    <row r="287" spans="1:4">
      <c r="A287" s="12">
        <v>70902</v>
      </c>
      <c r="B287" s="9" t="s">
        <v>312</v>
      </c>
      <c r="C287" s="32"/>
      <c r="D287" s="32"/>
    </row>
    <row r="288" spans="1:4">
      <c r="A288" s="12">
        <v>70903</v>
      </c>
      <c r="B288" s="9" t="s">
        <v>313</v>
      </c>
      <c r="C288" s="32"/>
      <c r="D288" s="32"/>
    </row>
    <row r="289" spans="1:4">
      <c r="A289" s="12">
        <v>70904</v>
      </c>
      <c r="B289" s="9" t="s">
        <v>314</v>
      </c>
      <c r="C289" s="32"/>
      <c r="D289" s="32"/>
    </row>
    <row r="290" spans="1:4">
      <c r="A290" s="12">
        <v>71001</v>
      </c>
      <c r="B290" s="9" t="s">
        <v>315</v>
      </c>
      <c r="C290" s="32"/>
      <c r="D290" s="32"/>
    </row>
    <row r="291" spans="1:4">
      <c r="A291" s="12">
        <v>71002</v>
      </c>
      <c r="B291" s="9" t="s">
        <v>316</v>
      </c>
      <c r="C291" s="32"/>
      <c r="D291" s="32"/>
    </row>
    <row r="292" spans="1:4">
      <c r="A292" s="12">
        <v>71003</v>
      </c>
      <c r="B292" s="9" t="s">
        <v>317</v>
      </c>
      <c r="C292" s="32"/>
      <c r="D292" s="32"/>
    </row>
    <row r="293" spans="1:4">
      <c r="A293" s="12">
        <v>71004</v>
      </c>
      <c r="B293" s="9" t="s">
        <v>318</v>
      </c>
      <c r="C293" s="32"/>
      <c r="D293" s="32"/>
    </row>
    <row r="294" spans="1:4">
      <c r="A294" s="12">
        <v>71005</v>
      </c>
      <c r="B294" s="9" t="s">
        <v>319</v>
      </c>
      <c r="C294" s="32"/>
      <c r="D294" s="32"/>
    </row>
    <row r="295" spans="1:4">
      <c r="A295" s="12">
        <v>71101</v>
      </c>
      <c r="B295" s="9" t="s">
        <v>320</v>
      </c>
      <c r="C295" s="32"/>
      <c r="D295" s="32"/>
    </row>
    <row r="296" spans="1:4">
      <c r="A296" s="12">
        <v>71102</v>
      </c>
      <c r="B296" s="9" t="s">
        <v>321</v>
      </c>
      <c r="C296" s="32"/>
      <c r="D296" s="32"/>
    </row>
    <row r="297" spans="1:4">
      <c r="A297" s="12">
        <v>71103</v>
      </c>
      <c r="B297" s="9" t="s">
        <v>322</v>
      </c>
      <c r="C297" s="32"/>
      <c r="D297" s="32"/>
    </row>
    <row r="298" spans="1:4">
      <c r="A298" s="12">
        <v>71104</v>
      </c>
      <c r="B298" s="9" t="s">
        <v>323</v>
      </c>
      <c r="C298" s="32"/>
      <c r="D298" s="32"/>
    </row>
    <row r="299" spans="1:4">
      <c r="A299" s="12">
        <v>71105</v>
      </c>
      <c r="B299" s="9" t="s">
        <v>324</v>
      </c>
      <c r="C299" s="32"/>
      <c r="D299" s="32"/>
    </row>
    <row r="300" spans="1:4">
      <c r="A300" s="12">
        <v>71106</v>
      </c>
      <c r="B300" s="9" t="s">
        <v>325</v>
      </c>
      <c r="C300" s="32"/>
      <c r="D300" s="32"/>
    </row>
    <row r="301" spans="1:4">
      <c r="A301" s="12">
        <v>71201</v>
      </c>
      <c r="B301" s="9" t="s">
        <v>326</v>
      </c>
      <c r="C301" s="32"/>
      <c r="D301" s="32"/>
    </row>
    <row r="302" spans="1:4">
      <c r="A302" s="12">
        <v>71301</v>
      </c>
      <c r="B302" s="9" t="s">
        <v>327</v>
      </c>
      <c r="C302" s="32"/>
      <c r="D302" s="32"/>
    </row>
    <row r="303" spans="1:4">
      <c r="A303" s="12">
        <v>71302</v>
      </c>
      <c r="B303" s="9" t="s">
        <v>328</v>
      </c>
      <c r="C303" s="32"/>
      <c r="D303" s="32"/>
    </row>
    <row r="304" spans="1:4">
      <c r="A304" s="12">
        <v>71401</v>
      </c>
      <c r="B304" s="9" t="s">
        <v>329</v>
      </c>
      <c r="C304" s="32"/>
      <c r="D304" s="32"/>
    </row>
    <row r="305" spans="1:4">
      <c r="A305" s="12">
        <v>71402</v>
      </c>
      <c r="B305" s="9" t="s">
        <v>330</v>
      </c>
      <c r="C305" s="32"/>
      <c r="D305" s="32"/>
    </row>
    <row r="306" spans="1:4">
      <c r="A306" s="12">
        <v>71403</v>
      </c>
      <c r="B306" s="9" t="s">
        <v>331</v>
      </c>
      <c r="C306" s="32"/>
      <c r="D306" s="32"/>
    </row>
    <row r="307" spans="1:4">
      <c r="A307" s="12">
        <v>71501</v>
      </c>
      <c r="B307" s="9" t="s">
        <v>332</v>
      </c>
      <c r="C307" s="32"/>
      <c r="D307" s="32"/>
    </row>
    <row r="308" spans="1:4">
      <c r="A308" s="12">
        <v>71502</v>
      </c>
      <c r="B308" s="9" t="s">
        <v>333</v>
      </c>
      <c r="C308" s="32"/>
      <c r="D308" s="32"/>
    </row>
    <row r="309" spans="1:4">
      <c r="A309" s="12">
        <v>71503</v>
      </c>
      <c r="B309" s="9" t="s">
        <v>278</v>
      </c>
      <c r="C309" s="32"/>
      <c r="D309" s="32"/>
    </row>
    <row r="310" spans="1:4">
      <c r="A310" s="12">
        <v>80101</v>
      </c>
      <c r="B310" s="9" t="s">
        <v>334</v>
      </c>
      <c r="C310" s="32"/>
      <c r="D310" s="32"/>
    </row>
    <row r="311" spans="1:4">
      <c r="A311" s="12">
        <v>80102</v>
      </c>
      <c r="B311" s="9" t="s">
        <v>321</v>
      </c>
      <c r="C311" s="32"/>
      <c r="D311" s="32"/>
    </row>
    <row r="312" spans="1:4">
      <c r="A312" s="12">
        <v>80201</v>
      </c>
      <c r="B312" s="9" t="s">
        <v>335</v>
      </c>
      <c r="C312" s="32"/>
      <c r="D312" s="32"/>
    </row>
    <row r="313" spans="1:4">
      <c r="A313" s="12">
        <v>80202</v>
      </c>
      <c r="B313" s="9" t="s">
        <v>336</v>
      </c>
      <c r="C313" s="32"/>
      <c r="D313" s="32"/>
    </row>
    <row r="314" spans="1:4">
      <c r="A314" s="12">
        <v>80301</v>
      </c>
      <c r="B314" s="9" t="s">
        <v>337</v>
      </c>
      <c r="C314" s="32"/>
      <c r="D314" s="32"/>
    </row>
    <row r="315" spans="1:4">
      <c r="A315" s="12">
        <v>80302</v>
      </c>
      <c r="B315" s="9" t="s">
        <v>338</v>
      </c>
      <c r="C315" s="32"/>
      <c r="D315" s="32"/>
    </row>
    <row r="316" spans="1:4">
      <c r="A316" s="12">
        <v>80303</v>
      </c>
      <c r="B316" s="9" t="s">
        <v>339</v>
      </c>
      <c r="C316" s="32"/>
      <c r="D316" s="32"/>
    </row>
    <row r="317" spans="1:4">
      <c r="A317" s="12">
        <v>80304</v>
      </c>
      <c r="B317" s="9" t="s">
        <v>340</v>
      </c>
      <c r="C317" s="32"/>
      <c r="D317" s="32"/>
    </row>
    <row r="318" spans="1:4">
      <c r="A318" s="12">
        <v>80401</v>
      </c>
      <c r="B318" s="9" t="s">
        <v>341</v>
      </c>
      <c r="C318" s="32"/>
      <c r="D318" s="32"/>
    </row>
    <row r="319" spans="1:4">
      <c r="A319" s="12">
        <v>80402</v>
      </c>
      <c r="B319" s="9" t="s">
        <v>342</v>
      </c>
      <c r="C319" s="32"/>
      <c r="D319" s="32"/>
    </row>
    <row r="320" spans="1:4">
      <c r="A320" s="12">
        <v>80501</v>
      </c>
      <c r="B320" s="9" t="s">
        <v>343</v>
      </c>
      <c r="C320" s="32"/>
      <c r="D320" s="32"/>
    </row>
    <row r="321" spans="1:4">
      <c r="A321" s="12">
        <v>80601</v>
      </c>
      <c r="B321" s="9" t="s">
        <v>344</v>
      </c>
      <c r="C321" s="32"/>
      <c r="D321" s="32"/>
    </row>
    <row r="322" spans="1:4">
      <c r="A322" s="12">
        <v>80602</v>
      </c>
      <c r="B322" s="9" t="s">
        <v>345</v>
      </c>
      <c r="C322" s="32"/>
      <c r="D322" s="32"/>
    </row>
    <row r="323" spans="1:4">
      <c r="A323" s="12">
        <v>80701</v>
      </c>
      <c r="B323" s="9" t="s">
        <v>346</v>
      </c>
      <c r="C323" s="32"/>
      <c r="D323" s="32"/>
    </row>
    <row r="324" spans="1:4">
      <c r="A324" s="12">
        <v>80702</v>
      </c>
      <c r="B324" s="9" t="s">
        <v>322</v>
      </c>
      <c r="C324" s="32"/>
      <c r="D324" s="32"/>
    </row>
    <row r="325" spans="1:4">
      <c r="A325" s="12">
        <v>80703</v>
      </c>
      <c r="B325" s="9" t="s">
        <v>347</v>
      </c>
      <c r="C325" s="32"/>
      <c r="D325" s="32"/>
    </row>
    <row r="326" spans="1:4">
      <c r="A326" s="12">
        <v>80801</v>
      </c>
      <c r="B326" s="9" t="s">
        <v>348</v>
      </c>
      <c r="C326" s="32"/>
      <c r="D326" s="32"/>
    </row>
    <row r="327" spans="1:4">
      <c r="A327" s="12">
        <v>80802</v>
      </c>
      <c r="B327" s="9" t="s">
        <v>349</v>
      </c>
      <c r="C327" s="32"/>
      <c r="D327" s="32"/>
    </row>
    <row r="328" spans="1:4">
      <c r="A328" s="12">
        <v>80803</v>
      </c>
      <c r="B328" s="9" t="s">
        <v>350</v>
      </c>
      <c r="C328" s="32"/>
      <c r="D328" s="32"/>
    </row>
    <row r="329" spans="1:4">
      <c r="A329" s="12">
        <v>80901</v>
      </c>
      <c r="B329" s="9" t="s">
        <v>351</v>
      </c>
      <c r="C329" s="32"/>
      <c r="D329" s="32"/>
    </row>
    <row r="330" spans="1:4">
      <c r="A330" s="12">
        <v>90101</v>
      </c>
      <c r="B330" s="9" t="s">
        <v>352</v>
      </c>
      <c r="C330" s="32"/>
      <c r="D330" s="32"/>
    </row>
    <row r="331" spans="1:4">
      <c r="A331" s="12">
        <v>90102</v>
      </c>
      <c r="B331" s="9" t="s">
        <v>353</v>
      </c>
      <c r="C331" s="32"/>
      <c r="D331" s="32"/>
    </row>
    <row r="332" spans="1:4">
      <c r="A332" s="12">
        <v>90103</v>
      </c>
      <c r="B332" s="9" t="s">
        <v>354</v>
      </c>
      <c r="C332" s="32"/>
      <c r="D332" s="32"/>
    </row>
    <row r="333" spans="1:4">
      <c r="A333" s="12">
        <v>90104</v>
      </c>
      <c r="B333" s="9" t="s">
        <v>355</v>
      </c>
      <c r="C333" s="32"/>
      <c r="D333" s="32"/>
    </row>
    <row r="334" spans="1:4">
      <c r="A334" s="12">
        <v>90201</v>
      </c>
      <c r="B334" s="9" t="s">
        <v>356</v>
      </c>
      <c r="C334" s="32"/>
      <c r="D334" s="32"/>
    </row>
    <row r="335" spans="1:4">
      <c r="A335" s="12">
        <v>90202</v>
      </c>
      <c r="B335" s="9" t="s">
        <v>319</v>
      </c>
      <c r="C335" s="32"/>
      <c r="D335" s="32"/>
    </row>
    <row r="336" spans="1:4">
      <c r="A336" s="12">
        <v>90203</v>
      </c>
      <c r="B336" s="9" t="s">
        <v>357</v>
      </c>
      <c r="C336" s="32"/>
      <c r="D336" s="32"/>
    </row>
    <row r="337" spans="1:4">
      <c r="A337" s="12">
        <v>90301</v>
      </c>
      <c r="B337" s="9" t="s">
        <v>358</v>
      </c>
      <c r="C337" s="32"/>
      <c r="D337" s="32"/>
    </row>
    <row r="338" spans="1:4">
      <c r="A338" s="12">
        <v>90302</v>
      </c>
      <c r="B338" s="9" t="s">
        <v>359</v>
      </c>
      <c r="C338" s="32"/>
      <c r="D338" s="32"/>
    </row>
    <row r="339" spans="1:4">
      <c r="A339" s="12">
        <v>90303</v>
      </c>
      <c r="B339" s="9" t="s">
        <v>360</v>
      </c>
      <c r="C339" s="32"/>
      <c r="D339" s="32"/>
    </row>
    <row r="340" spans="1:4">
      <c r="A340" s="12">
        <v>90401</v>
      </c>
      <c r="B340" s="9" t="s">
        <v>361</v>
      </c>
      <c r="C340" s="32"/>
      <c r="D340" s="32"/>
    </row>
    <row r="341" spans="1:4">
      <c r="A341" s="12">
        <v>90402</v>
      </c>
      <c r="B341" s="9" t="s">
        <v>362</v>
      </c>
      <c r="C341" s="32"/>
      <c r="D341" s="32"/>
    </row>
    <row r="342" spans="1:4">
      <c r="A342" s="12">
        <v>90501</v>
      </c>
      <c r="B342" s="9" t="s">
        <v>363</v>
      </c>
      <c r="C342" s="32"/>
      <c r="D342" s="32"/>
    </row>
    <row r="343" spans="1:4">
      <c r="A343" s="12">
        <v>90502</v>
      </c>
      <c r="B343" s="9" t="s">
        <v>364</v>
      </c>
      <c r="C343" s="32"/>
      <c r="D343" s="32"/>
    </row>
    <row r="344" spans="1:4">
      <c r="A344" s="12">
        <v>90503</v>
      </c>
      <c r="B344" s="9" t="s">
        <v>365</v>
      </c>
      <c r="C344" s="32"/>
      <c r="D344" s="32"/>
    </row>
    <row r="345" spans="1:4">
      <c r="A345" s="35"/>
      <c r="B345" s="36"/>
      <c r="C345" s="6"/>
      <c r="D345" s="28"/>
    </row>
    <row r="346" spans="1:4">
      <c r="A346" s="35"/>
      <c r="B346" s="36"/>
      <c r="C346" s="6"/>
      <c r="D346" s="28"/>
    </row>
    <row r="347" spans="1:4">
      <c r="A347" s="35"/>
      <c r="B347" s="36"/>
      <c r="C347" s="6"/>
      <c r="D347" s="6"/>
    </row>
    <row r="348" spans="1:4">
      <c r="A348" s="35"/>
      <c r="B348" s="36"/>
      <c r="C348" s="6"/>
      <c r="D348" s="6"/>
    </row>
    <row r="349" spans="1:4">
      <c r="A349" s="35"/>
      <c r="B349" s="36"/>
      <c r="C349" s="6"/>
      <c r="D349" s="6"/>
    </row>
    <row r="350" spans="1:4">
      <c r="A350" s="35"/>
      <c r="B350" s="36"/>
      <c r="C350" s="6"/>
      <c r="D350" s="6"/>
    </row>
    <row r="351" spans="1:4">
      <c r="A351" s="35"/>
      <c r="B351" s="36"/>
      <c r="C351" s="6"/>
      <c r="D351" s="6"/>
    </row>
    <row r="352" spans="1:4">
      <c r="A352" s="35"/>
      <c r="B352" s="36"/>
      <c r="C352" s="6"/>
      <c r="D352" s="6"/>
    </row>
    <row r="353" spans="1:4">
      <c r="A353" s="35"/>
      <c r="B353" s="36"/>
      <c r="C353" s="6"/>
      <c r="D353" s="6"/>
    </row>
    <row r="354" spans="1:4">
      <c r="A354" s="35"/>
      <c r="B354" s="36"/>
      <c r="C354" s="6"/>
      <c r="D354" s="6"/>
    </row>
    <row r="355" spans="1:4">
      <c r="A355" s="35"/>
      <c r="B355" s="36"/>
      <c r="C355" s="6"/>
      <c r="D355" s="6"/>
    </row>
    <row r="356" spans="1:4">
      <c r="A356" s="35"/>
      <c r="B356" s="36"/>
      <c r="C356" s="6"/>
      <c r="D356" s="6"/>
    </row>
    <row r="357" spans="1:4">
      <c r="A357" s="35"/>
      <c r="B357" s="36"/>
      <c r="C357" s="6"/>
      <c r="D357" s="6"/>
    </row>
    <row r="358" spans="1:4">
      <c r="A358" s="35"/>
      <c r="B358" s="36"/>
      <c r="C358" s="6"/>
      <c r="D358" s="6"/>
    </row>
    <row r="359" spans="1:4">
      <c r="A359" s="35"/>
      <c r="B359" s="36"/>
      <c r="C359" s="6"/>
      <c r="D359" s="6"/>
    </row>
    <row r="360" spans="1:4">
      <c r="A360" s="35"/>
      <c r="B360" s="36"/>
      <c r="C360" s="6"/>
      <c r="D360" s="6"/>
    </row>
    <row r="361" spans="1:4">
      <c r="A361" s="35"/>
      <c r="B361" s="36"/>
      <c r="C361" s="6"/>
      <c r="D361" s="6"/>
    </row>
    <row r="362" spans="1:4">
      <c r="A362" s="35"/>
      <c r="B362" s="36"/>
      <c r="C362" s="6"/>
      <c r="D362" s="6"/>
    </row>
    <row r="363" spans="1:4">
      <c r="A363" s="35"/>
      <c r="B363" s="36"/>
      <c r="C363" s="6"/>
      <c r="D363" s="6"/>
    </row>
    <row r="364" spans="1:4">
      <c r="A364" s="35"/>
      <c r="B364" s="36"/>
      <c r="C364" s="6"/>
      <c r="D364" s="6"/>
    </row>
    <row r="365" spans="1:4">
      <c r="A365" s="35"/>
      <c r="B365" s="36"/>
      <c r="C365" s="6"/>
      <c r="D365" s="6"/>
    </row>
    <row r="366" spans="1:4">
      <c r="A366" s="35"/>
      <c r="B366" s="36"/>
      <c r="C366" s="6"/>
      <c r="D366" s="6"/>
    </row>
    <row r="367" spans="1:4">
      <c r="A367" s="35"/>
      <c r="B367" s="36"/>
      <c r="C367" s="6"/>
      <c r="D367" s="6"/>
    </row>
    <row r="368" spans="1:4">
      <c r="A368" s="35"/>
      <c r="B368" s="36"/>
      <c r="C368" s="6"/>
      <c r="D368" s="6"/>
    </row>
    <row r="369" spans="1:4">
      <c r="A369" s="35"/>
      <c r="B369" s="36"/>
      <c r="C369" s="6"/>
      <c r="D369" s="6"/>
    </row>
    <row r="370" spans="1:4">
      <c r="A370" s="35"/>
      <c r="B370" s="36"/>
      <c r="C370" s="6"/>
      <c r="D370" s="6"/>
    </row>
    <row r="371" spans="1:4">
      <c r="A371" s="35"/>
      <c r="B371" s="36"/>
      <c r="C371" s="6"/>
      <c r="D371" s="6"/>
    </row>
    <row r="372" spans="1:4">
      <c r="A372" s="35"/>
      <c r="B372" s="36"/>
      <c r="C372" s="6"/>
      <c r="D372" s="6"/>
    </row>
    <row r="373" spans="1:4">
      <c r="A373" s="35"/>
      <c r="B373" s="36"/>
      <c r="C373" s="6"/>
      <c r="D373" s="6"/>
    </row>
    <row r="374" spans="1:4">
      <c r="A374" s="35"/>
      <c r="B374" s="36"/>
      <c r="C374" s="6"/>
      <c r="D374" s="6"/>
    </row>
    <row r="375" spans="1:4">
      <c r="A375" s="35"/>
      <c r="B375" s="36"/>
      <c r="C375" s="6"/>
      <c r="D375" s="6"/>
    </row>
    <row r="376" spans="1:4">
      <c r="A376" s="35"/>
      <c r="B376" s="36"/>
      <c r="C376" s="6"/>
      <c r="D376" s="6"/>
    </row>
    <row r="377" spans="1:4">
      <c r="A377" s="35"/>
      <c r="B377" s="36"/>
      <c r="C377" s="6"/>
      <c r="D377" s="6"/>
    </row>
    <row r="378" spans="1:4">
      <c r="A378" s="35"/>
      <c r="B378" s="36"/>
      <c r="C378" s="6"/>
      <c r="D378" s="6"/>
    </row>
    <row r="379" spans="1:4">
      <c r="A379" s="35"/>
      <c r="B379" s="36"/>
      <c r="C379" s="6"/>
      <c r="D379" s="6"/>
    </row>
    <row r="380" spans="1:4">
      <c r="A380" s="35"/>
      <c r="B380" s="36"/>
      <c r="C380" s="6"/>
      <c r="D380" s="6"/>
    </row>
    <row r="381" spans="1:4">
      <c r="A381" s="35"/>
      <c r="B381" s="36"/>
      <c r="C381" s="6"/>
      <c r="D381" s="6"/>
    </row>
    <row r="382" spans="1:4">
      <c r="A382" s="35"/>
      <c r="B382" s="36"/>
      <c r="C382" s="6"/>
      <c r="D382" s="6"/>
    </row>
    <row r="383" spans="1:4">
      <c r="A383" s="35"/>
      <c r="B383" s="36"/>
      <c r="C383" s="6"/>
      <c r="D383" s="6"/>
    </row>
    <row r="384" spans="1:4">
      <c r="A384" s="35"/>
      <c r="B384" s="36"/>
      <c r="C384" s="6"/>
      <c r="D384" s="6"/>
    </row>
    <row r="385" spans="1:4">
      <c r="A385" s="35"/>
      <c r="B385" s="36"/>
      <c r="C385" s="6"/>
      <c r="D385" s="6"/>
    </row>
    <row r="386" spans="1:4">
      <c r="A386" s="35"/>
      <c r="B386" s="36"/>
      <c r="C386" s="6"/>
      <c r="D386" s="6"/>
    </row>
    <row r="387" spans="1:4">
      <c r="A387" s="35"/>
      <c r="B387" s="36"/>
      <c r="C387" s="6"/>
      <c r="D387" s="6"/>
    </row>
    <row r="388" spans="1:4">
      <c r="A388" s="35"/>
      <c r="B388" s="36"/>
      <c r="C388" s="6"/>
      <c r="D388" s="6"/>
    </row>
    <row r="389" spans="1:4">
      <c r="A389" s="35"/>
      <c r="B389" s="36"/>
      <c r="C389" s="6"/>
      <c r="D389" s="6"/>
    </row>
    <row r="390" spans="1:4">
      <c r="A390" s="35"/>
      <c r="B390" s="36"/>
      <c r="C390" s="6"/>
      <c r="D390" s="6"/>
    </row>
    <row r="391" spans="1:4">
      <c r="A391" s="35"/>
      <c r="B391" s="36"/>
      <c r="C391" s="6"/>
      <c r="D391" s="6"/>
    </row>
    <row r="392" spans="1:4">
      <c r="A392" s="35"/>
      <c r="B392" s="36"/>
      <c r="C392" s="6"/>
      <c r="D392" s="6"/>
    </row>
    <row r="393" spans="1:4">
      <c r="A393" s="35"/>
      <c r="B393" s="36"/>
      <c r="C393" s="6"/>
      <c r="D393" s="6"/>
    </row>
    <row r="394" spans="1:4">
      <c r="A394" s="35"/>
      <c r="B394" s="36"/>
      <c r="C394" s="6"/>
      <c r="D394" s="6"/>
    </row>
    <row r="395" spans="1:4">
      <c r="A395" s="35"/>
      <c r="B395" s="36"/>
      <c r="C395" s="6"/>
      <c r="D395" s="6"/>
    </row>
    <row r="396" spans="1:4">
      <c r="A396" s="35"/>
      <c r="B396" s="36"/>
      <c r="C396" s="6"/>
      <c r="D396" s="6"/>
    </row>
    <row r="397" spans="1:4">
      <c r="A397" s="35"/>
      <c r="B397" s="36"/>
      <c r="C397" s="6"/>
      <c r="D397" s="6"/>
    </row>
    <row r="398" spans="1:4">
      <c r="A398" s="35"/>
      <c r="B398" s="36"/>
      <c r="C398" s="6"/>
      <c r="D398" s="6"/>
    </row>
    <row r="399" spans="1:4">
      <c r="A399" s="35"/>
      <c r="B399" s="36"/>
      <c r="C399" s="6"/>
      <c r="D399" s="6"/>
    </row>
    <row r="400" spans="1:4">
      <c r="A400" s="35"/>
      <c r="B400" s="36"/>
      <c r="C400" s="6"/>
      <c r="D400" s="6"/>
    </row>
    <row r="401" spans="1:4">
      <c r="A401" s="35"/>
      <c r="B401" s="36"/>
      <c r="C401" s="6"/>
      <c r="D401" s="6"/>
    </row>
    <row r="402" spans="1:4">
      <c r="A402" s="35"/>
      <c r="B402" s="36"/>
      <c r="C402" s="6"/>
      <c r="D402" s="6"/>
    </row>
    <row r="403" spans="1:4">
      <c r="A403" s="35"/>
      <c r="B403" s="36"/>
      <c r="C403" s="6"/>
      <c r="D403" s="6"/>
    </row>
    <row r="404" spans="1:4">
      <c r="A404" s="35"/>
      <c r="B404" s="36"/>
      <c r="C404" s="6"/>
      <c r="D404" s="6"/>
    </row>
    <row r="405" spans="1:4">
      <c r="A405" s="35"/>
      <c r="B405" s="36"/>
      <c r="C405" s="6"/>
      <c r="D405" s="6"/>
    </row>
    <row r="406" spans="1:4">
      <c r="A406" s="35"/>
      <c r="B406" s="36"/>
      <c r="C406" s="6"/>
      <c r="D406" s="6"/>
    </row>
    <row r="407" spans="1:4">
      <c r="A407" s="35"/>
      <c r="B407" s="36"/>
      <c r="C407" s="6"/>
      <c r="D407" s="6"/>
    </row>
    <row r="408" spans="1:4">
      <c r="A408" s="35"/>
      <c r="B408" s="36"/>
      <c r="C408" s="6"/>
      <c r="D408" s="6"/>
    </row>
    <row r="409" spans="1:4">
      <c r="A409" s="35"/>
      <c r="B409" s="36"/>
      <c r="C409" s="6"/>
      <c r="D409" s="6"/>
    </row>
    <row r="410" spans="1:4">
      <c r="A410" s="35"/>
      <c r="B410" s="36"/>
      <c r="C410" s="6"/>
      <c r="D410" s="6"/>
    </row>
    <row r="411" spans="1:4">
      <c r="A411" s="35"/>
      <c r="B411" s="36"/>
      <c r="C411" s="6"/>
      <c r="D411" s="6"/>
    </row>
    <row r="412" spans="1:4">
      <c r="A412" s="35"/>
      <c r="B412" s="36"/>
      <c r="C412" s="6"/>
      <c r="D412" s="6"/>
    </row>
    <row r="413" spans="1:4">
      <c r="A413" s="35"/>
      <c r="B413" s="36"/>
      <c r="C413" s="6"/>
      <c r="D413" s="6"/>
    </row>
    <row r="414" spans="1:4">
      <c r="A414" s="35"/>
      <c r="B414" s="36"/>
      <c r="C414" s="6"/>
      <c r="D414" s="6"/>
    </row>
    <row r="415" spans="1:4">
      <c r="A415" s="35"/>
      <c r="B415" s="36"/>
      <c r="C415" s="6"/>
      <c r="D415" s="6"/>
    </row>
    <row r="416" spans="1:4">
      <c r="A416" s="35"/>
      <c r="B416" s="36"/>
      <c r="C416" s="6"/>
      <c r="D416" s="6"/>
    </row>
    <row r="417" spans="1:4">
      <c r="A417" s="35"/>
      <c r="B417" s="36"/>
      <c r="C417" s="6"/>
      <c r="D417" s="6"/>
    </row>
    <row r="418" spans="1:4">
      <c r="A418" s="35"/>
      <c r="B418" s="36"/>
      <c r="C418" s="6"/>
      <c r="D418" s="6"/>
    </row>
    <row r="419" spans="1:4">
      <c r="A419" s="35"/>
      <c r="B419" s="36"/>
      <c r="C419" s="6"/>
      <c r="D419" s="6"/>
    </row>
    <row r="420" spans="1:4">
      <c r="A420" s="35"/>
      <c r="B420" s="36"/>
      <c r="C420" s="6"/>
      <c r="D420" s="6"/>
    </row>
    <row r="421" spans="1:4">
      <c r="A421" s="35"/>
      <c r="B421" s="36"/>
      <c r="C421" s="6"/>
      <c r="D421" s="6"/>
    </row>
    <row r="422" spans="1:4">
      <c r="A422" s="35"/>
      <c r="B422" s="36"/>
      <c r="C422" s="6"/>
      <c r="D422" s="6"/>
    </row>
    <row r="423" spans="1:4">
      <c r="A423" s="35"/>
      <c r="B423" s="36"/>
      <c r="C423" s="6"/>
      <c r="D423" s="6"/>
    </row>
    <row r="424" spans="1:4">
      <c r="A424" s="35"/>
      <c r="B424" s="36"/>
      <c r="C424" s="6"/>
      <c r="D424" s="6"/>
    </row>
    <row r="425" spans="1:4">
      <c r="A425" s="35"/>
      <c r="B425" s="36"/>
      <c r="C425" s="6"/>
      <c r="D425" s="6"/>
    </row>
    <row r="426" spans="1:4">
      <c r="A426" s="35"/>
      <c r="B426" s="36"/>
      <c r="C426" s="6"/>
      <c r="D426" s="6"/>
    </row>
    <row r="427" spans="1:4">
      <c r="A427" s="35"/>
      <c r="B427" s="36"/>
      <c r="C427" s="6"/>
      <c r="D427" s="6"/>
    </row>
    <row r="428" spans="1:4">
      <c r="A428" s="35"/>
      <c r="B428" s="36"/>
      <c r="C428" s="6"/>
      <c r="D428" s="6"/>
    </row>
    <row r="429" spans="1:4">
      <c r="A429" s="35"/>
      <c r="B429" s="36"/>
      <c r="C429" s="6"/>
      <c r="D429" s="6"/>
    </row>
    <row r="430" spans="1:4">
      <c r="A430" s="35"/>
      <c r="B430" s="36"/>
      <c r="C430" s="6"/>
      <c r="D430" s="6"/>
    </row>
    <row r="431" spans="1:4">
      <c r="A431" s="35"/>
      <c r="B431" s="36"/>
      <c r="C431" s="6"/>
      <c r="D431" s="6"/>
    </row>
    <row r="432" spans="1:4">
      <c r="A432" s="35"/>
      <c r="B432" s="36"/>
      <c r="C432" s="6"/>
      <c r="D432" s="6"/>
    </row>
    <row r="433" spans="1:4">
      <c r="A433" s="35"/>
      <c r="B433" s="36"/>
      <c r="C433" s="6"/>
      <c r="D433" s="6"/>
    </row>
    <row r="434" spans="1:4">
      <c r="A434" s="35"/>
      <c r="B434" s="36"/>
      <c r="C434" s="6"/>
      <c r="D434" s="6"/>
    </row>
    <row r="435" spans="1:4">
      <c r="A435" s="35"/>
      <c r="B435" s="36"/>
      <c r="C435" s="6"/>
      <c r="D435" s="6"/>
    </row>
    <row r="436" spans="1:4">
      <c r="A436" s="35"/>
      <c r="B436" s="36"/>
      <c r="C436" s="6"/>
      <c r="D436" s="6"/>
    </row>
    <row r="437" spans="1:4">
      <c r="A437" s="35"/>
      <c r="B437" s="36"/>
      <c r="C437" s="6"/>
      <c r="D437" s="6"/>
    </row>
    <row r="438" spans="1:4">
      <c r="A438" s="35"/>
      <c r="B438" s="36"/>
      <c r="C438" s="6"/>
      <c r="D438" s="6"/>
    </row>
    <row r="439" spans="1:4">
      <c r="A439" s="35"/>
      <c r="B439" s="36"/>
      <c r="C439" s="6"/>
      <c r="D439" s="6"/>
    </row>
    <row r="440" spans="1:4">
      <c r="A440" s="35"/>
      <c r="B440" s="36"/>
      <c r="C440" s="6"/>
      <c r="D440" s="6"/>
    </row>
    <row r="441" spans="1:4">
      <c r="A441" s="35"/>
      <c r="B441" s="36"/>
      <c r="C441" s="6"/>
      <c r="D441" s="6"/>
    </row>
    <row r="442" spans="1:4">
      <c r="A442" s="35"/>
      <c r="B442" s="36"/>
      <c r="C442" s="6"/>
      <c r="D442" s="6"/>
    </row>
    <row r="443" spans="1:4">
      <c r="A443" s="35"/>
      <c r="B443" s="36"/>
      <c r="C443" s="6"/>
      <c r="D443" s="6"/>
    </row>
    <row r="444" spans="1:4">
      <c r="A444" s="35"/>
      <c r="B444" s="36"/>
      <c r="C444" s="6"/>
      <c r="D444" s="6"/>
    </row>
    <row r="445" spans="1:4">
      <c r="A445" s="35"/>
      <c r="B445" s="36"/>
      <c r="C445" s="6"/>
      <c r="D445" s="6"/>
    </row>
    <row r="446" spans="1:4">
      <c r="A446" s="35"/>
      <c r="B446" s="36"/>
      <c r="C446" s="6"/>
      <c r="D446" s="6"/>
    </row>
    <row r="447" spans="1:4">
      <c r="A447" s="35"/>
      <c r="B447" s="36"/>
      <c r="C447" s="6"/>
      <c r="D447" s="6"/>
    </row>
    <row r="448" spans="1:4">
      <c r="A448" s="35"/>
      <c r="B448" s="36"/>
      <c r="C448" s="6"/>
      <c r="D448" s="6"/>
    </row>
    <row r="449" spans="1:4">
      <c r="A449" s="35"/>
      <c r="B449" s="36"/>
      <c r="C449" s="6"/>
      <c r="D449" s="6"/>
    </row>
    <row r="450" spans="1:4">
      <c r="A450" s="35"/>
      <c r="B450" s="36"/>
      <c r="C450" s="6"/>
      <c r="D450" s="6"/>
    </row>
    <row r="451" spans="1:4">
      <c r="A451" s="35"/>
      <c r="B451" s="36"/>
      <c r="C451" s="6"/>
      <c r="D451" s="6"/>
    </row>
    <row r="452" spans="1:4">
      <c r="A452" s="35"/>
      <c r="B452" s="36"/>
      <c r="C452" s="6"/>
      <c r="D452" s="6"/>
    </row>
    <row r="453" spans="1:4">
      <c r="A453" s="35"/>
      <c r="B453" s="36"/>
      <c r="C453" s="6"/>
      <c r="D453" s="6"/>
    </row>
    <row r="454" spans="1:4">
      <c r="A454" s="35"/>
      <c r="B454" s="36"/>
      <c r="C454" s="6"/>
      <c r="D454" s="6"/>
    </row>
    <row r="455" spans="1:4">
      <c r="A455" s="35"/>
      <c r="B455" s="36"/>
      <c r="C455" s="6"/>
      <c r="D455" s="6"/>
    </row>
    <row r="456" spans="1:4">
      <c r="A456" s="35"/>
      <c r="B456" s="36"/>
      <c r="C456" s="6"/>
      <c r="D456" s="6"/>
    </row>
    <row r="457" spans="1:4">
      <c r="A457" s="35"/>
      <c r="B457" s="36"/>
      <c r="C457" s="6"/>
      <c r="D457" s="6"/>
    </row>
    <row r="458" spans="1:4">
      <c r="A458" s="35"/>
      <c r="B458" s="36"/>
      <c r="C458" s="6"/>
      <c r="D458" s="6"/>
    </row>
    <row r="459" spans="1:4">
      <c r="A459" s="35"/>
      <c r="B459" s="36"/>
      <c r="C459" s="6"/>
      <c r="D459" s="6"/>
    </row>
    <row r="460" spans="1:4">
      <c r="A460" s="35"/>
      <c r="B460" s="36"/>
      <c r="C460" s="6"/>
      <c r="D460" s="6"/>
    </row>
    <row r="461" spans="1:4">
      <c r="A461" s="35"/>
      <c r="B461" s="36"/>
      <c r="C461" s="6"/>
      <c r="D461" s="6"/>
    </row>
    <row r="462" spans="1:4">
      <c r="A462" s="35"/>
      <c r="B462" s="36"/>
      <c r="C462" s="6"/>
      <c r="D462" s="6"/>
    </row>
    <row r="463" spans="1:4">
      <c r="A463" s="35"/>
      <c r="B463" s="36"/>
      <c r="C463" s="6"/>
      <c r="D463" s="6"/>
    </row>
    <row r="464" spans="1:4">
      <c r="A464" s="35"/>
      <c r="B464" s="36"/>
      <c r="C464" s="6"/>
      <c r="D464" s="6"/>
    </row>
    <row r="465" spans="1:4">
      <c r="A465" s="35"/>
      <c r="B465" s="36"/>
      <c r="C465" s="6"/>
      <c r="D465" s="6"/>
    </row>
    <row r="466" spans="1:4">
      <c r="A466" s="35"/>
      <c r="B466" s="36"/>
      <c r="C466" s="6"/>
      <c r="D466" s="6"/>
    </row>
    <row r="467" spans="1:4">
      <c r="A467" s="35"/>
      <c r="B467" s="36"/>
      <c r="C467" s="6"/>
      <c r="D467" s="6"/>
    </row>
    <row r="468" spans="1:4">
      <c r="A468" s="35"/>
      <c r="B468" s="36"/>
      <c r="C468" s="6"/>
      <c r="D468" s="6"/>
    </row>
    <row r="469" spans="1:4">
      <c r="A469" s="35"/>
      <c r="B469" s="36"/>
      <c r="C469" s="6"/>
      <c r="D469" s="6"/>
    </row>
    <row r="470" spans="1:4">
      <c r="A470" s="35"/>
      <c r="B470" s="36"/>
      <c r="C470" s="6"/>
      <c r="D470" s="6"/>
    </row>
    <row r="471" spans="1:4">
      <c r="A471" s="35"/>
      <c r="B471" s="36"/>
      <c r="C471" s="6"/>
      <c r="D471" s="6"/>
    </row>
    <row r="472" spans="1:4">
      <c r="A472" s="35"/>
      <c r="B472" s="36"/>
      <c r="C472" s="6"/>
      <c r="D472" s="6"/>
    </row>
    <row r="473" spans="1:4">
      <c r="A473" s="35"/>
      <c r="B473" s="36"/>
      <c r="C473" s="6"/>
      <c r="D473" s="6"/>
    </row>
    <row r="474" spans="1:4">
      <c r="A474" s="35"/>
      <c r="B474" s="36"/>
      <c r="C474" s="6"/>
      <c r="D474" s="6"/>
    </row>
    <row r="475" spans="1:4">
      <c r="A475" s="35"/>
      <c r="B475" s="36"/>
      <c r="C475" s="6"/>
      <c r="D475" s="6"/>
    </row>
    <row r="476" spans="1:4">
      <c r="A476" s="35"/>
      <c r="B476" s="36"/>
      <c r="C476" s="6"/>
      <c r="D476" s="6"/>
    </row>
    <row r="477" spans="1:4">
      <c r="A477" s="35"/>
      <c r="B477" s="36"/>
      <c r="C477" s="6"/>
      <c r="D477" s="6"/>
    </row>
    <row r="478" spans="1:4">
      <c r="A478" s="35"/>
      <c r="B478" s="36"/>
      <c r="C478" s="6"/>
      <c r="D478" s="6"/>
    </row>
    <row r="479" spans="1:4">
      <c r="A479" s="35"/>
      <c r="B479" s="36"/>
      <c r="C479" s="6"/>
      <c r="D479" s="6"/>
    </row>
    <row r="480" spans="1:4">
      <c r="A480" s="35"/>
      <c r="B480" s="36"/>
      <c r="C480" s="6"/>
      <c r="D480" s="6"/>
    </row>
    <row r="481" spans="1:4">
      <c r="A481" s="35"/>
      <c r="B481" s="36"/>
      <c r="C481" s="6"/>
      <c r="D481" s="6"/>
    </row>
    <row r="482" spans="1:4">
      <c r="A482" s="35"/>
      <c r="B482" s="36"/>
      <c r="C482" s="6"/>
      <c r="D482" s="6"/>
    </row>
    <row r="483" spans="1:4">
      <c r="A483" s="35"/>
      <c r="B483" s="36"/>
      <c r="C483" s="6"/>
      <c r="D483" s="6"/>
    </row>
    <row r="484" spans="1:4">
      <c r="A484" s="35"/>
      <c r="B484" s="36"/>
      <c r="C484" s="6"/>
      <c r="D484" s="6"/>
    </row>
    <row r="485" spans="1:4">
      <c r="A485" s="35"/>
      <c r="B485" s="36"/>
      <c r="C485" s="6"/>
      <c r="D485" s="6"/>
    </row>
    <row r="486" spans="1:4">
      <c r="A486" s="35"/>
      <c r="B486" s="36"/>
      <c r="C486" s="6"/>
      <c r="D486" s="6"/>
    </row>
    <row r="487" spans="1:4">
      <c r="A487" s="35"/>
      <c r="B487" s="36"/>
      <c r="C487" s="6"/>
      <c r="D487" s="6"/>
    </row>
    <row r="488" spans="1:4">
      <c r="A488" s="35"/>
      <c r="B488" s="36"/>
      <c r="C488" s="6"/>
      <c r="D488" s="6"/>
    </row>
    <row r="489" spans="1:4">
      <c r="A489" s="35"/>
      <c r="B489" s="36"/>
      <c r="C489" s="6"/>
      <c r="D489" s="6"/>
    </row>
    <row r="490" spans="1:4">
      <c r="A490" s="35"/>
      <c r="B490" s="36"/>
      <c r="C490" s="6"/>
      <c r="D490" s="6"/>
    </row>
    <row r="491" spans="1:4">
      <c r="A491" s="35"/>
      <c r="B491" s="36"/>
      <c r="C491" s="6"/>
      <c r="D491" s="6"/>
    </row>
    <row r="492" spans="1:4">
      <c r="A492" s="35"/>
      <c r="B492" s="36"/>
      <c r="C492" s="6"/>
      <c r="D492" s="6"/>
    </row>
    <row r="493" spans="1:4">
      <c r="A493" s="35"/>
      <c r="B493" s="36"/>
      <c r="C493" s="6"/>
      <c r="D493" s="6"/>
    </row>
    <row r="494" spans="1:4">
      <c r="A494" s="35"/>
      <c r="B494" s="36"/>
      <c r="C494" s="6"/>
      <c r="D494" s="6"/>
    </row>
    <row r="495" spans="1:4">
      <c r="A495" s="35"/>
      <c r="B495" s="36"/>
      <c r="C495" s="6"/>
      <c r="D495" s="6"/>
    </row>
    <row r="496" spans="1:4">
      <c r="A496" s="35"/>
      <c r="B496" s="36"/>
      <c r="C496" s="6"/>
      <c r="D496" s="6"/>
    </row>
    <row r="497" spans="1:4">
      <c r="A497" s="35"/>
      <c r="B497" s="36"/>
      <c r="C497" s="6"/>
      <c r="D497" s="6"/>
    </row>
    <row r="498" spans="1:4">
      <c r="A498" s="35"/>
      <c r="B498" s="36"/>
      <c r="C498" s="6"/>
      <c r="D498" s="6"/>
    </row>
    <row r="499" spans="1:4">
      <c r="A499" s="35"/>
      <c r="B499" s="36"/>
      <c r="C499" s="6"/>
      <c r="D499" s="6"/>
    </row>
    <row r="500" spans="1:4">
      <c r="A500" s="35"/>
      <c r="B500" s="36"/>
      <c r="C500" s="6"/>
      <c r="D500" s="6"/>
    </row>
    <row r="501" spans="1:4">
      <c r="A501" s="35"/>
      <c r="B501" s="36"/>
      <c r="C501" s="6"/>
      <c r="D501" s="6"/>
    </row>
    <row r="502" spans="1:4">
      <c r="A502" s="35"/>
      <c r="B502" s="36"/>
      <c r="C502" s="6"/>
      <c r="D502" s="6"/>
    </row>
    <row r="503" spans="1:4">
      <c r="A503" s="35"/>
      <c r="B503" s="36"/>
      <c r="C503" s="6"/>
      <c r="D503" s="6"/>
    </row>
    <row r="504" spans="1:4">
      <c r="A504" s="35"/>
      <c r="B504" s="36"/>
      <c r="C504" s="6"/>
      <c r="D504" s="6"/>
    </row>
    <row r="505" spans="1:4">
      <c r="A505" s="35"/>
      <c r="B505" s="36"/>
      <c r="C505" s="6"/>
      <c r="D505" s="6"/>
    </row>
    <row r="506" spans="1:4">
      <c r="A506" s="35"/>
      <c r="B506" s="36"/>
      <c r="C506" s="6"/>
      <c r="D506" s="6"/>
    </row>
    <row r="507" spans="1:4">
      <c r="A507" s="35"/>
      <c r="B507" s="36"/>
      <c r="C507" s="6"/>
      <c r="D507" s="6"/>
    </row>
    <row r="508" spans="1:4">
      <c r="A508" s="35"/>
      <c r="B508" s="36"/>
      <c r="C508" s="6"/>
      <c r="D508" s="6"/>
    </row>
    <row r="509" spans="1:4">
      <c r="A509" s="35"/>
      <c r="B509" s="36"/>
      <c r="C509" s="6"/>
      <c r="D509" s="6"/>
    </row>
    <row r="510" spans="1:4">
      <c r="A510" s="35"/>
      <c r="B510" s="36"/>
      <c r="C510" s="6"/>
      <c r="D510" s="6"/>
    </row>
    <row r="511" spans="1:4">
      <c r="A511" s="35"/>
      <c r="B511" s="36"/>
      <c r="C511" s="6"/>
      <c r="D511" s="6"/>
    </row>
    <row r="512" spans="1:4">
      <c r="A512" s="35"/>
      <c r="B512" s="36"/>
      <c r="C512" s="6"/>
      <c r="D512" s="6"/>
    </row>
    <row r="513" spans="1:4">
      <c r="A513" s="35"/>
      <c r="B513" s="36"/>
      <c r="C513" s="6"/>
      <c r="D513" s="6"/>
    </row>
    <row r="514" spans="1:4">
      <c r="A514" s="35"/>
      <c r="B514" s="36"/>
      <c r="C514" s="6"/>
      <c r="D514" s="6"/>
    </row>
    <row r="515" spans="1:4">
      <c r="A515" s="35"/>
      <c r="B515" s="36"/>
      <c r="C515" s="6"/>
      <c r="D515" s="6"/>
    </row>
    <row r="516" spans="1:4">
      <c r="A516" s="35"/>
      <c r="B516" s="36"/>
      <c r="C516" s="6"/>
      <c r="D516" s="6"/>
    </row>
    <row r="517" spans="1:4">
      <c r="A517" s="35"/>
      <c r="B517" s="36"/>
      <c r="C517" s="6"/>
      <c r="D517" s="6"/>
    </row>
    <row r="518" spans="1:4">
      <c r="A518" s="35"/>
      <c r="B518" s="36"/>
      <c r="C518" s="6"/>
      <c r="D518" s="6"/>
    </row>
    <row r="519" spans="1:4">
      <c r="A519" s="35"/>
      <c r="B519" s="36"/>
      <c r="C519" s="6"/>
      <c r="D519" s="6"/>
    </row>
    <row r="520" spans="1:4">
      <c r="A520" s="35"/>
      <c r="B520" s="36"/>
      <c r="C520" s="6"/>
      <c r="D520" s="6"/>
    </row>
    <row r="521" spans="1:4">
      <c r="A521" s="35"/>
      <c r="B521" s="36"/>
      <c r="C521" s="6"/>
      <c r="D521" s="6"/>
    </row>
    <row r="522" spans="1:4">
      <c r="A522" s="35"/>
      <c r="B522" s="36"/>
      <c r="C522" s="6"/>
      <c r="D522" s="6"/>
    </row>
    <row r="523" spans="1:4">
      <c r="A523" s="35"/>
      <c r="B523" s="36"/>
      <c r="C523" s="6"/>
      <c r="D523" s="6"/>
    </row>
    <row r="524" spans="1:4">
      <c r="A524" s="35"/>
      <c r="B524" s="36"/>
      <c r="C524" s="6"/>
      <c r="D524" s="6"/>
    </row>
    <row r="525" spans="1:4">
      <c r="A525" s="35"/>
      <c r="B525" s="36"/>
      <c r="C525" s="6"/>
      <c r="D525" s="6"/>
    </row>
    <row r="526" spans="1:4">
      <c r="A526" s="35"/>
      <c r="B526" s="36"/>
      <c r="C526" s="6"/>
      <c r="D526" s="6"/>
    </row>
    <row r="527" spans="1:4">
      <c r="A527" s="35"/>
      <c r="B527" s="36"/>
      <c r="C527" s="6"/>
      <c r="D527" s="6"/>
    </row>
    <row r="528" spans="1:4">
      <c r="A528" s="35"/>
      <c r="B528" s="36"/>
      <c r="C528" s="6"/>
      <c r="D528" s="6"/>
    </row>
    <row r="529" spans="1:4">
      <c r="A529" s="35"/>
      <c r="B529" s="36"/>
      <c r="C529" s="6"/>
      <c r="D529" s="6"/>
    </row>
    <row r="530" spans="1:4">
      <c r="A530" s="35"/>
      <c r="B530" s="36"/>
      <c r="C530" s="6"/>
      <c r="D530" s="6"/>
    </row>
    <row r="531" spans="1:4">
      <c r="A531" s="35"/>
      <c r="B531" s="36"/>
      <c r="C531" s="6"/>
      <c r="D531" s="6"/>
    </row>
    <row r="532" spans="1:4">
      <c r="A532" s="35"/>
      <c r="B532" s="36"/>
      <c r="C532" s="6"/>
      <c r="D532" s="6"/>
    </row>
    <row r="533" spans="1:4">
      <c r="A533" s="35"/>
      <c r="B533" s="36"/>
      <c r="C533" s="6"/>
      <c r="D533" s="6"/>
    </row>
    <row r="534" spans="1:4">
      <c r="A534" s="35"/>
      <c r="B534" s="36"/>
      <c r="C534" s="6"/>
      <c r="D534" s="6"/>
    </row>
    <row r="535" spans="1:4">
      <c r="A535" s="35"/>
      <c r="B535" s="36"/>
      <c r="C535" s="6"/>
      <c r="D535" s="6"/>
    </row>
    <row r="536" spans="1:4">
      <c r="A536" s="35"/>
      <c r="B536" s="36"/>
      <c r="C536" s="6"/>
      <c r="D536" s="6"/>
    </row>
    <row r="537" spans="1:4">
      <c r="A537" s="35"/>
      <c r="B537" s="36"/>
      <c r="C537" s="6"/>
      <c r="D537" s="6"/>
    </row>
    <row r="538" spans="1:4">
      <c r="A538" s="35"/>
      <c r="B538" s="36"/>
      <c r="C538" s="6"/>
      <c r="D538" s="6"/>
    </row>
    <row r="539" spans="1:4">
      <c r="A539" s="35"/>
      <c r="B539" s="36"/>
      <c r="C539" s="6"/>
      <c r="D539" s="6"/>
    </row>
    <row r="540" spans="1:4">
      <c r="A540" s="35"/>
      <c r="B540" s="36"/>
      <c r="C540" s="6"/>
      <c r="D540" s="6"/>
    </row>
    <row r="541" spans="1:4">
      <c r="A541" s="35"/>
      <c r="B541" s="36"/>
      <c r="C541" s="6"/>
      <c r="D541" s="6"/>
    </row>
    <row r="542" spans="1:4">
      <c r="A542" s="35"/>
      <c r="B542" s="36"/>
      <c r="C542" s="6"/>
      <c r="D542" s="6"/>
    </row>
    <row r="543" spans="1:4">
      <c r="A543" s="35"/>
      <c r="B543" s="36"/>
      <c r="C543" s="6"/>
      <c r="D543" s="6"/>
    </row>
    <row r="544" spans="1:4">
      <c r="A544" s="35"/>
      <c r="B544" s="36"/>
      <c r="C544" s="6"/>
      <c r="D544" s="6"/>
    </row>
    <row r="545" spans="1:4">
      <c r="A545" s="35"/>
      <c r="B545" s="36"/>
      <c r="C545" s="6"/>
      <c r="D545" s="6"/>
    </row>
    <row r="546" spans="1:4">
      <c r="A546" s="35"/>
      <c r="B546" s="36"/>
      <c r="C546" s="6"/>
      <c r="D546" s="6"/>
    </row>
    <row r="547" spans="1:4">
      <c r="A547" s="35"/>
      <c r="B547" s="36"/>
      <c r="C547" s="6"/>
      <c r="D547" s="6"/>
    </row>
    <row r="548" spans="1:4">
      <c r="A548" s="35"/>
      <c r="B548" s="36"/>
      <c r="C548" s="6"/>
      <c r="D548" s="6"/>
    </row>
    <row r="549" spans="1:4">
      <c r="A549" s="35"/>
      <c r="B549" s="36"/>
      <c r="C549" s="6"/>
      <c r="D549" s="6"/>
    </row>
    <row r="550" spans="1:4">
      <c r="A550" s="35"/>
      <c r="B550" s="36"/>
      <c r="C550" s="6"/>
      <c r="D550" s="6"/>
    </row>
    <row r="551" spans="1:4">
      <c r="A551" s="35"/>
      <c r="B551" s="36"/>
      <c r="C551" s="6"/>
      <c r="D551" s="6"/>
    </row>
    <row r="552" spans="1:4">
      <c r="A552" s="35"/>
      <c r="B552" s="36"/>
      <c r="C552" s="6"/>
      <c r="D552" s="6"/>
    </row>
    <row r="553" spans="1:4">
      <c r="A553" s="35"/>
      <c r="B553" s="36"/>
      <c r="C553" s="6"/>
      <c r="D553" s="6"/>
    </row>
    <row r="554" spans="1:4">
      <c r="A554" s="35"/>
      <c r="B554" s="36"/>
      <c r="C554" s="6"/>
      <c r="D554" s="6"/>
    </row>
    <row r="555" spans="1:4">
      <c r="A555" s="35"/>
      <c r="B555" s="36"/>
      <c r="C555" s="6"/>
      <c r="D555" s="6"/>
    </row>
    <row r="556" spans="1:4">
      <c r="A556" s="35"/>
      <c r="B556" s="36"/>
      <c r="C556" s="6"/>
      <c r="D556" s="6"/>
    </row>
    <row r="557" spans="1:4">
      <c r="A557" s="35"/>
      <c r="B557" s="36"/>
      <c r="C557" s="6"/>
      <c r="D557" s="6"/>
    </row>
    <row r="558" spans="1:4">
      <c r="A558" s="35"/>
      <c r="B558" s="36"/>
      <c r="C558" s="6"/>
      <c r="D558" s="6"/>
    </row>
    <row r="559" spans="1:4">
      <c r="A559" s="35"/>
      <c r="B559" s="36"/>
      <c r="C559" s="6"/>
      <c r="D559" s="6"/>
    </row>
    <row r="560" spans="1:4">
      <c r="A560" s="35"/>
      <c r="B560" s="36"/>
      <c r="C560" s="6"/>
      <c r="D560" s="6"/>
    </row>
    <row r="561" spans="1:4">
      <c r="A561" s="35"/>
      <c r="B561" s="36"/>
      <c r="C561" s="6"/>
      <c r="D561" s="6"/>
    </row>
    <row r="562" spans="1:4">
      <c r="A562" s="35"/>
      <c r="B562" s="36"/>
      <c r="C562" s="6"/>
      <c r="D562" s="6"/>
    </row>
    <row r="563" spans="1:4">
      <c r="A563" s="35"/>
      <c r="B563" s="36"/>
      <c r="C563" s="6"/>
      <c r="D563" s="6"/>
    </row>
    <row r="564" spans="1:4">
      <c r="A564" s="35"/>
      <c r="B564" s="36"/>
      <c r="C564" s="6"/>
      <c r="D564" s="6"/>
    </row>
    <row r="565" spans="1:4">
      <c r="A565" s="35"/>
      <c r="B565" s="36"/>
      <c r="C565" s="6"/>
      <c r="D565" s="6"/>
    </row>
    <row r="566" spans="1:4">
      <c r="A566" s="35"/>
      <c r="B566" s="36"/>
      <c r="C566" s="6"/>
      <c r="D566" s="6"/>
    </row>
    <row r="567" spans="1:4">
      <c r="A567" s="35"/>
      <c r="B567" s="36"/>
      <c r="C567" s="6"/>
      <c r="D567" s="6"/>
    </row>
    <row r="568" spans="1:4">
      <c r="A568" s="35"/>
      <c r="B568" s="36"/>
      <c r="C568" s="6"/>
      <c r="D568" s="6"/>
    </row>
    <row r="569" spans="1:4">
      <c r="A569" s="35"/>
      <c r="B569" s="36"/>
      <c r="C569" s="6"/>
      <c r="D569" s="6"/>
    </row>
    <row r="570" spans="1:4">
      <c r="A570" s="35"/>
      <c r="B570" s="36"/>
      <c r="C570" s="6"/>
      <c r="D570" s="6"/>
    </row>
    <row r="571" spans="1:4">
      <c r="A571" s="35"/>
      <c r="B571" s="36"/>
      <c r="C571" s="6"/>
      <c r="D571" s="6"/>
    </row>
    <row r="572" spans="1:4">
      <c r="A572" s="35"/>
      <c r="B572" s="36"/>
      <c r="C572" s="6"/>
      <c r="D572" s="6"/>
    </row>
    <row r="573" spans="1:4">
      <c r="A573" s="35"/>
      <c r="B573" s="36"/>
      <c r="C573" s="6"/>
      <c r="D573" s="6"/>
    </row>
    <row r="574" spans="1:4">
      <c r="A574" s="35"/>
      <c r="B574" s="36"/>
      <c r="C574" s="6"/>
      <c r="D574" s="6"/>
    </row>
    <row r="575" spans="1:4">
      <c r="A575" s="35"/>
      <c r="B575" s="36"/>
      <c r="C575" s="6"/>
      <c r="D575" s="6"/>
    </row>
    <row r="576" spans="1:4">
      <c r="A576" s="35"/>
      <c r="B576" s="36"/>
      <c r="C576" s="6"/>
      <c r="D576" s="6"/>
    </row>
    <row r="577" spans="1:4">
      <c r="A577" s="35"/>
      <c r="B577" s="36"/>
      <c r="C577" s="6"/>
      <c r="D577" s="6"/>
    </row>
    <row r="578" spans="1:4">
      <c r="A578" s="35"/>
      <c r="B578" s="36"/>
      <c r="C578" s="6"/>
      <c r="D578" s="6"/>
    </row>
    <row r="579" spans="1:4">
      <c r="A579" s="35"/>
      <c r="B579" s="36"/>
      <c r="C579" s="6"/>
      <c r="D579" s="6"/>
    </row>
    <row r="580" spans="1:4">
      <c r="A580" s="35"/>
      <c r="B580" s="36"/>
      <c r="C580" s="6"/>
      <c r="D580" s="6"/>
    </row>
    <row r="581" spans="1:4">
      <c r="A581" s="35"/>
      <c r="B581" s="36"/>
      <c r="C581" s="6"/>
      <c r="D581" s="6"/>
    </row>
    <row r="582" spans="1:4">
      <c r="A582" s="35"/>
      <c r="B582" s="36"/>
      <c r="C582" s="6"/>
      <c r="D582" s="6"/>
    </row>
    <row r="583" spans="1:4">
      <c r="A583" s="35"/>
      <c r="B583" s="36"/>
      <c r="C583" s="6"/>
      <c r="D583" s="6"/>
    </row>
    <row r="584" spans="1:4">
      <c r="A584" s="35"/>
      <c r="B584" s="36"/>
      <c r="C584" s="6"/>
      <c r="D584" s="6"/>
    </row>
    <row r="585" spans="1:4">
      <c r="A585" s="35"/>
      <c r="B585" s="36"/>
      <c r="C585" s="6"/>
      <c r="D585" s="6"/>
    </row>
    <row r="586" spans="1:4">
      <c r="A586" s="35"/>
      <c r="B586" s="36"/>
      <c r="C586" s="6"/>
      <c r="D586" s="6"/>
    </row>
    <row r="587" spans="1:4">
      <c r="A587" s="35"/>
      <c r="B587" s="36"/>
      <c r="C587" s="6"/>
      <c r="D587" s="6"/>
    </row>
    <row r="588" spans="1:4">
      <c r="A588" s="35"/>
      <c r="B588" s="36"/>
      <c r="C588" s="6"/>
      <c r="D588" s="6"/>
    </row>
    <row r="589" spans="1:4">
      <c r="A589" s="35"/>
      <c r="B589" s="36"/>
      <c r="C589" s="6"/>
      <c r="D589" s="6"/>
    </row>
    <row r="590" spans="1:4">
      <c r="A590" s="35"/>
      <c r="B590" s="36"/>
      <c r="C590" s="6"/>
      <c r="D590" s="6"/>
    </row>
    <row r="591" spans="1:4">
      <c r="A591" s="35"/>
      <c r="B591" s="36"/>
      <c r="C591" s="6"/>
      <c r="D591" s="6"/>
    </row>
    <row r="592" spans="1:4">
      <c r="A592" s="35"/>
      <c r="B592" s="36"/>
      <c r="C592" s="6"/>
      <c r="D592" s="6"/>
    </row>
    <row r="593" spans="1:4">
      <c r="A593" s="35"/>
      <c r="B593" s="36"/>
      <c r="C593" s="6"/>
      <c r="D593" s="6"/>
    </row>
    <row r="594" spans="1:4">
      <c r="A594" s="35"/>
      <c r="B594" s="36"/>
      <c r="C594" s="6"/>
      <c r="D594" s="6"/>
    </row>
    <row r="595" spans="1:4">
      <c r="A595" s="35"/>
      <c r="B595" s="36"/>
      <c r="C595" s="6"/>
      <c r="D595" s="6"/>
    </row>
    <row r="596" spans="1:4">
      <c r="A596" s="35"/>
      <c r="B596" s="36"/>
      <c r="C596" s="6"/>
      <c r="D596" s="6"/>
    </row>
    <row r="597" spans="1:4">
      <c r="A597" s="35"/>
      <c r="B597" s="36"/>
      <c r="C597" s="6"/>
      <c r="D597" s="6"/>
    </row>
    <row r="598" spans="1:4">
      <c r="A598" s="35"/>
      <c r="B598" s="36"/>
      <c r="C598" s="6"/>
      <c r="D598" s="6"/>
    </row>
    <row r="599" spans="1:4">
      <c r="A599" s="35"/>
      <c r="B599" s="36"/>
      <c r="C599" s="6"/>
      <c r="D599" s="6"/>
    </row>
    <row r="600" spans="1:4">
      <c r="A600" s="35"/>
      <c r="B600" s="36"/>
      <c r="C600" s="6"/>
      <c r="D600" s="6"/>
    </row>
    <row r="601" spans="1:4">
      <c r="A601" s="35"/>
      <c r="B601" s="36"/>
      <c r="C601" s="6"/>
      <c r="D601" s="6"/>
    </row>
    <row r="602" spans="1:4">
      <c r="A602" s="35"/>
      <c r="B602" s="36"/>
      <c r="C602" s="6"/>
      <c r="D602" s="6"/>
    </row>
    <row r="603" spans="1:4">
      <c r="A603" s="35"/>
      <c r="B603" s="36"/>
      <c r="C603" s="6"/>
      <c r="D603" s="6"/>
    </row>
    <row r="604" spans="1:4">
      <c r="A604" s="35"/>
      <c r="B604" s="36"/>
      <c r="C604" s="6"/>
      <c r="D604" s="6"/>
    </row>
    <row r="605" spans="1:4">
      <c r="A605" s="35"/>
      <c r="B605" s="36"/>
      <c r="C605" s="6"/>
      <c r="D605" s="6"/>
    </row>
    <row r="606" spans="1:4">
      <c r="A606" s="35"/>
      <c r="B606" s="36"/>
      <c r="C606" s="6"/>
      <c r="D606" s="6"/>
    </row>
    <row r="607" spans="1:4">
      <c r="A607" s="35"/>
      <c r="B607" s="36"/>
      <c r="C607" s="6"/>
      <c r="D607" s="6"/>
    </row>
    <row r="608" spans="1:4">
      <c r="A608" s="35"/>
      <c r="B608" s="36"/>
      <c r="C608" s="6"/>
      <c r="D608" s="6"/>
    </row>
    <row r="609" spans="1:4">
      <c r="A609" s="35"/>
      <c r="B609" s="36"/>
      <c r="C609" s="6"/>
      <c r="D609" s="6"/>
    </row>
    <row r="610" spans="1:4">
      <c r="A610" s="35"/>
      <c r="B610" s="36"/>
      <c r="C610" s="6"/>
      <c r="D610" s="6"/>
    </row>
    <row r="611" spans="1:4">
      <c r="A611" s="35"/>
      <c r="B611" s="36"/>
      <c r="C611" s="6"/>
      <c r="D611" s="6"/>
    </row>
    <row r="612" spans="1:4">
      <c r="A612" s="35"/>
      <c r="B612" s="36"/>
      <c r="C612" s="6"/>
      <c r="D612" s="6"/>
    </row>
    <row r="613" spans="1:4">
      <c r="A613" s="35"/>
      <c r="B613" s="36"/>
      <c r="C613" s="6"/>
      <c r="D613" s="6"/>
    </row>
    <row r="614" spans="1:4">
      <c r="A614" s="35"/>
      <c r="B614" s="36"/>
      <c r="C614" s="6"/>
      <c r="D614" s="6"/>
    </row>
    <row r="615" spans="1:4">
      <c r="A615" s="35"/>
      <c r="B615" s="36"/>
      <c r="C615" s="6"/>
      <c r="D615" s="6"/>
    </row>
    <row r="616" spans="1:4">
      <c r="A616" s="35"/>
      <c r="B616" s="36"/>
      <c r="C616" s="6"/>
      <c r="D616" s="6"/>
    </row>
    <row r="617" spans="1:4">
      <c r="A617" s="35"/>
      <c r="B617" s="36"/>
      <c r="C617" s="6"/>
      <c r="D617" s="6"/>
    </row>
    <row r="618" spans="1:4">
      <c r="A618" s="35"/>
      <c r="B618" s="36"/>
      <c r="C618" s="6"/>
      <c r="D618" s="6"/>
    </row>
    <row r="619" spans="1:4">
      <c r="A619" s="35"/>
      <c r="B619" s="36"/>
      <c r="C619" s="6"/>
      <c r="D619" s="6"/>
    </row>
    <row r="620" spans="1:4">
      <c r="A620" s="35"/>
      <c r="B620" s="36"/>
      <c r="C620" s="6"/>
      <c r="D620" s="6"/>
    </row>
    <row r="621" spans="1:4">
      <c r="A621" s="35"/>
      <c r="B621" s="36"/>
      <c r="C621" s="6"/>
      <c r="D621" s="6"/>
    </row>
    <row r="622" spans="1:4">
      <c r="A622" s="35"/>
      <c r="B622" s="36"/>
      <c r="C622" s="6"/>
      <c r="D622" s="6"/>
    </row>
    <row r="623" spans="1:4">
      <c r="A623" s="35"/>
      <c r="B623" s="36"/>
      <c r="C623" s="6"/>
      <c r="D623" s="6"/>
    </row>
    <row r="624" spans="1:4">
      <c r="A624" s="35"/>
      <c r="B624" s="36"/>
      <c r="C624" s="6"/>
      <c r="D624" s="6"/>
    </row>
    <row r="625" spans="1:4">
      <c r="A625" s="35"/>
      <c r="B625" s="36"/>
      <c r="C625" s="6"/>
      <c r="D625" s="6"/>
    </row>
    <row r="626" spans="1:4">
      <c r="A626" s="35"/>
      <c r="B626" s="36"/>
      <c r="C626" s="6"/>
      <c r="D626" s="6"/>
    </row>
    <row r="627" spans="1:4">
      <c r="A627" s="35"/>
      <c r="B627" s="36"/>
      <c r="C627" s="6"/>
      <c r="D627" s="6"/>
    </row>
    <row r="628" spans="1:4">
      <c r="A628" s="35"/>
      <c r="B628" s="36"/>
      <c r="C628" s="6"/>
      <c r="D628" s="6"/>
    </row>
    <row r="629" spans="1:4">
      <c r="A629" s="35"/>
      <c r="B629" s="36"/>
      <c r="C629" s="6"/>
      <c r="D629" s="6"/>
    </row>
    <row r="630" spans="1:4">
      <c r="A630" s="35"/>
      <c r="B630" s="36"/>
      <c r="C630" s="6"/>
      <c r="D630" s="6"/>
    </row>
    <row r="631" spans="1:4">
      <c r="A631" s="35"/>
      <c r="B631" s="36"/>
      <c r="C631" s="6"/>
      <c r="D631" s="6"/>
    </row>
    <row r="632" spans="1:4">
      <c r="A632" s="35"/>
      <c r="B632" s="36"/>
      <c r="C632" s="6"/>
      <c r="D632" s="6"/>
    </row>
    <row r="633" spans="1:4">
      <c r="A633" s="35"/>
      <c r="B633" s="36"/>
      <c r="C633" s="6"/>
      <c r="D633" s="6"/>
    </row>
    <row r="634" spans="1:4">
      <c r="A634" s="35"/>
      <c r="B634" s="36"/>
      <c r="C634" s="6"/>
      <c r="D634" s="6"/>
    </row>
    <row r="635" spans="1:4">
      <c r="A635" s="35"/>
      <c r="B635" s="36"/>
      <c r="C635" s="6"/>
      <c r="D635" s="6"/>
    </row>
    <row r="636" spans="1:4">
      <c r="A636" s="35"/>
      <c r="B636" s="36"/>
      <c r="C636" s="6"/>
      <c r="D636" s="6"/>
    </row>
    <row r="637" spans="1:4">
      <c r="A637" s="35"/>
      <c r="B637" s="36"/>
      <c r="C637" s="6"/>
      <c r="D637" s="6"/>
    </row>
    <row r="638" spans="1:4">
      <c r="A638" s="35"/>
      <c r="B638" s="36"/>
      <c r="C638" s="6"/>
      <c r="D638" s="6"/>
    </row>
    <row r="639" spans="1:4">
      <c r="A639" s="35"/>
      <c r="B639" s="36"/>
      <c r="C639" s="6"/>
      <c r="D639" s="6"/>
    </row>
    <row r="640" spans="1:4">
      <c r="A640" s="35"/>
      <c r="B640" s="36"/>
      <c r="C640" s="6"/>
      <c r="D640" s="6"/>
    </row>
    <row r="641" spans="1:4">
      <c r="A641" s="35"/>
      <c r="B641" s="36"/>
      <c r="C641" s="6"/>
      <c r="D641" s="6"/>
    </row>
    <row r="642" spans="1:4">
      <c r="A642" s="35"/>
      <c r="B642" s="36"/>
      <c r="C642" s="6"/>
      <c r="D642" s="6"/>
    </row>
    <row r="643" spans="1:4">
      <c r="A643" s="35"/>
      <c r="B643" s="36"/>
      <c r="C643" s="6"/>
      <c r="D643" s="6"/>
    </row>
    <row r="644" spans="1:4">
      <c r="A644" s="35"/>
      <c r="B644" s="36"/>
      <c r="C644" s="6"/>
      <c r="D644" s="6"/>
    </row>
    <row r="645" spans="1:4">
      <c r="A645" s="35"/>
      <c r="B645" s="36"/>
      <c r="C645" s="6"/>
      <c r="D645" s="6"/>
    </row>
    <row r="646" spans="1:4">
      <c r="A646" s="35"/>
      <c r="B646" s="36"/>
      <c r="C646" s="6"/>
      <c r="D646" s="6"/>
    </row>
    <row r="647" spans="1:4">
      <c r="A647" s="35"/>
      <c r="B647" s="36"/>
      <c r="C647" s="6"/>
      <c r="D647" s="6"/>
    </row>
    <row r="648" spans="1:4">
      <c r="A648" s="35"/>
      <c r="B648" s="36"/>
      <c r="C648" s="6"/>
      <c r="D648" s="6"/>
    </row>
    <row r="649" spans="1:4">
      <c r="A649" s="35"/>
      <c r="B649" s="36"/>
      <c r="C649" s="6"/>
      <c r="D649" s="6"/>
    </row>
    <row r="650" spans="1:4">
      <c r="A650" s="35"/>
      <c r="B650" s="36"/>
      <c r="C650" s="6"/>
      <c r="D650" s="6"/>
    </row>
    <row r="651" spans="1:4">
      <c r="A651" s="35"/>
      <c r="B651" s="36"/>
      <c r="C651" s="6"/>
      <c r="D651" s="6"/>
    </row>
    <row r="652" spans="1:4">
      <c r="A652" s="35"/>
      <c r="B652" s="36"/>
      <c r="C652" s="6"/>
      <c r="D652" s="6"/>
    </row>
    <row r="653" spans="1:4">
      <c r="A653" s="35"/>
      <c r="B653" s="36"/>
      <c r="C653" s="6"/>
      <c r="D653" s="6"/>
    </row>
    <row r="654" spans="1:4">
      <c r="A654" s="35"/>
      <c r="B654" s="36"/>
      <c r="C654" s="6"/>
      <c r="D654" s="6"/>
    </row>
    <row r="655" spans="1:4">
      <c r="A655" s="35"/>
      <c r="B655" s="36"/>
      <c r="C655" s="6"/>
      <c r="D655" s="6"/>
    </row>
    <row r="656" spans="1:4">
      <c r="A656" s="35"/>
      <c r="B656" s="36"/>
      <c r="C656" s="6"/>
      <c r="D656" s="6"/>
    </row>
    <row r="657" spans="1:4">
      <c r="A657" s="35"/>
      <c r="B657" s="36"/>
      <c r="C657" s="6"/>
      <c r="D657" s="6"/>
    </row>
    <row r="658" spans="1:4">
      <c r="A658" s="35"/>
      <c r="B658" s="36"/>
      <c r="C658" s="6"/>
      <c r="D658" s="6"/>
    </row>
    <row r="659" spans="1:4">
      <c r="A659" s="35"/>
      <c r="B659" s="36"/>
      <c r="C659" s="6"/>
      <c r="D659" s="6"/>
    </row>
    <row r="660" spans="1:4">
      <c r="A660" s="35"/>
      <c r="B660" s="36"/>
      <c r="C660" s="6"/>
      <c r="D660" s="6"/>
    </row>
    <row r="661" spans="1:4">
      <c r="A661" s="35"/>
      <c r="B661" s="36"/>
      <c r="C661" s="6"/>
      <c r="D661" s="6"/>
    </row>
    <row r="662" spans="1:4">
      <c r="A662" s="35"/>
      <c r="B662" s="36"/>
      <c r="C662" s="6"/>
      <c r="D662" s="6"/>
    </row>
    <row r="663" spans="1:4">
      <c r="A663" s="35"/>
      <c r="B663" s="36"/>
      <c r="C663" s="6"/>
      <c r="D663" s="6"/>
    </row>
    <row r="664" spans="1:4">
      <c r="A664" s="35"/>
      <c r="B664" s="36"/>
      <c r="C664" s="6"/>
      <c r="D664" s="6"/>
    </row>
    <row r="665" spans="1:4">
      <c r="A665" s="35"/>
      <c r="B665" s="36"/>
      <c r="C665" s="6"/>
      <c r="D665" s="6"/>
    </row>
    <row r="666" spans="1:4">
      <c r="A666" s="35"/>
      <c r="B666" s="36"/>
      <c r="C666" s="6"/>
      <c r="D666" s="6"/>
    </row>
    <row r="667" spans="1:4">
      <c r="A667" s="35"/>
      <c r="B667" s="36"/>
      <c r="C667" s="6"/>
      <c r="D667" s="6"/>
    </row>
    <row r="668" spans="1:4">
      <c r="A668" s="35"/>
      <c r="B668" s="36"/>
      <c r="C668" s="6"/>
      <c r="D668" s="6"/>
    </row>
    <row r="669" spans="1:4">
      <c r="A669" s="35"/>
      <c r="B669" s="36"/>
      <c r="C669" s="6"/>
      <c r="D669" s="6"/>
    </row>
    <row r="670" spans="1:4">
      <c r="A670" s="35"/>
      <c r="B670" s="36"/>
      <c r="C670" s="6"/>
      <c r="D670" s="6"/>
    </row>
    <row r="671" spans="1:4">
      <c r="A671" s="35"/>
      <c r="B671" s="36"/>
      <c r="C671" s="6"/>
      <c r="D671" s="6"/>
    </row>
    <row r="672" spans="1:4">
      <c r="A672" s="35"/>
      <c r="B672" s="36"/>
      <c r="C672" s="6"/>
      <c r="D672" s="6"/>
    </row>
    <row r="673" spans="1:4">
      <c r="A673" s="35"/>
      <c r="B673" s="36"/>
      <c r="C673" s="6"/>
      <c r="D673" s="6"/>
    </row>
    <row r="674" spans="1:4">
      <c r="A674" s="35"/>
      <c r="B674" s="36"/>
      <c r="C674" s="6"/>
      <c r="D674" s="6"/>
    </row>
    <row r="675" spans="1:4">
      <c r="A675" s="35"/>
      <c r="B675" s="36"/>
      <c r="C675" s="6"/>
      <c r="D675" s="6"/>
    </row>
    <row r="676" spans="1:4">
      <c r="A676" s="35"/>
      <c r="B676" s="36"/>
      <c r="C676" s="6"/>
      <c r="D676" s="6"/>
    </row>
    <row r="677" spans="1:4">
      <c r="A677" s="35"/>
      <c r="B677" s="36"/>
      <c r="C677" s="6"/>
      <c r="D677" s="6"/>
    </row>
    <row r="678" spans="1:4">
      <c r="A678" s="35"/>
      <c r="B678" s="36"/>
      <c r="C678" s="6"/>
      <c r="D678" s="6"/>
    </row>
    <row r="679" spans="1:4">
      <c r="A679" s="35"/>
      <c r="B679" s="36"/>
      <c r="C679" s="6"/>
      <c r="D679" s="6"/>
    </row>
    <row r="680" spans="1:4">
      <c r="A680" s="35"/>
      <c r="B680" s="36"/>
      <c r="C680" s="6"/>
      <c r="D680" s="6"/>
    </row>
    <row r="681" spans="1:4">
      <c r="A681" s="35"/>
      <c r="B681" s="36"/>
      <c r="C681" s="6"/>
      <c r="D681" s="6"/>
    </row>
    <row r="682" spans="1:4">
      <c r="A682" s="35"/>
      <c r="B682" s="36"/>
      <c r="C682" s="6"/>
      <c r="D682" s="6"/>
    </row>
    <row r="683" spans="1:4">
      <c r="A683" s="35"/>
      <c r="B683" s="36"/>
      <c r="C683" s="6"/>
      <c r="D683" s="6"/>
    </row>
    <row r="684" spans="1:4">
      <c r="A684" s="35"/>
      <c r="B684" s="36"/>
      <c r="C684" s="6"/>
      <c r="D684" s="6"/>
    </row>
    <row r="685" spans="1:4">
      <c r="A685" s="35"/>
      <c r="B685" s="36"/>
      <c r="C685" s="6"/>
      <c r="D685" s="6"/>
    </row>
    <row r="686" spans="1:4">
      <c r="A686" s="35"/>
      <c r="B686" s="36"/>
      <c r="C686" s="6"/>
      <c r="D686" s="6"/>
    </row>
    <row r="687" spans="1:4">
      <c r="A687" s="35"/>
      <c r="B687" s="36"/>
      <c r="C687" s="6"/>
      <c r="D687" s="6"/>
    </row>
    <row r="688" spans="1:4">
      <c r="A688" s="35"/>
      <c r="B688" s="36"/>
      <c r="C688" s="6"/>
      <c r="D688" s="6"/>
    </row>
    <row r="689" spans="1:4">
      <c r="A689" s="35"/>
      <c r="B689" s="36"/>
      <c r="C689" s="6"/>
      <c r="D689" s="6"/>
    </row>
    <row r="690" spans="1:4">
      <c r="A690" s="35"/>
      <c r="B690" s="36"/>
      <c r="C690" s="6"/>
      <c r="D690" s="6"/>
    </row>
    <row r="691" spans="1:4">
      <c r="A691" s="35"/>
      <c r="B691" s="36"/>
      <c r="C691" s="6"/>
      <c r="D691" s="6"/>
    </row>
    <row r="692" spans="1:4">
      <c r="A692" s="35"/>
      <c r="B692" s="36"/>
      <c r="C692" s="6"/>
      <c r="D692" s="6"/>
    </row>
    <row r="693" spans="1:4">
      <c r="A693" s="35"/>
      <c r="B693" s="36"/>
      <c r="C693" s="6"/>
      <c r="D693" s="6"/>
    </row>
    <row r="694" spans="1:4">
      <c r="A694" s="35"/>
      <c r="B694" s="36"/>
      <c r="C694" s="6"/>
      <c r="D694" s="6"/>
    </row>
    <row r="695" spans="1:4">
      <c r="A695" s="35"/>
      <c r="B695" s="36"/>
      <c r="C695" s="6"/>
      <c r="D695" s="6"/>
    </row>
    <row r="696" spans="1:4">
      <c r="A696" s="35"/>
      <c r="B696" s="36"/>
      <c r="C696" s="6"/>
      <c r="D696" s="6"/>
    </row>
    <row r="697" spans="1:4">
      <c r="A697" s="35"/>
      <c r="B697" s="36"/>
      <c r="C697" s="6"/>
      <c r="D697" s="6"/>
    </row>
    <row r="698" spans="1:4">
      <c r="A698" s="35"/>
      <c r="B698" s="36"/>
      <c r="C698" s="6"/>
      <c r="D698" s="6"/>
    </row>
    <row r="699" spans="1:4">
      <c r="A699" s="35"/>
      <c r="B699" s="36"/>
      <c r="C699" s="6"/>
      <c r="D699" s="6"/>
    </row>
    <row r="700" spans="1:4">
      <c r="A700" s="35"/>
      <c r="B700" s="36"/>
      <c r="C700" s="6"/>
      <c r="D700" s="6"/>
    </row>
    <row r="701" spans="1:4">
      <c r="A701" s="35"/>
      <c r="B701" s="36"/>
      <c r="C701" s="6"/>
      <c r="D701" s="6"/>
    </row>
    <row r="702" spans="1:4">
      <c r="A702" s="35"/>
      <c r="B702" s="36"/>
      <c r="C702" s="6"/>
      <c r="D702" s="6"/>
    </row>
    <row r="703" spans="1:4">
      <c r="A703" s="35"/>
      <c r="B703" s="36"/>
      <c r="C703" s="6"/>
      <c r="D703" s="6"/>
    </row>
    <row r="704" spans="1:4">
      <c r="A704" s="35"/>
      <c r="B704" s="36"/>
      <c r="C704" s="6"/>
      <c r="D704" s="6"/>
    </row>
    <row r="705" spans="1:4">
      <c r="A705" s="35"/>
      <c r="B705" s="36"/>
      <c r="C705" s="6"/>
      <c r="D705" s="6"/>
    </row>
    <row r="706" spans="1:4">
      <c r="A706" s="35"/>
      <c r="B706" s="36"/>
      <c r="C706" s="6"/>
      <c r="D706" s="6"/>
    </row>
    <row r="707" spans="1:4">
      <c r="A707" s="35"/>
      <c r="B707" s="36"/>
      <c r="C707" s="6"/>
      <c r="D707" s="6"/>
    </row>
    <row r="708" spans="1:4">
      <c r="A708" s="35"/>
      <c r="B708" s="36"/>
      <c r="C708" s="6"/>
      <c r="D708" s="6"/>
    </row>
    <row r="709" spans="1:4">
      <c r="A709" s="35"/>
      <c r="B709" s="36"/>
      <c r="C709" s="6"/>
      <c r="D709" s="6"/>
    </row>
    <row r="710" spans="1:4">
      <c r="A710" s="35"/>
      <c r="B710" s="36"/>
      <c r="C710" s="6"/>
      <c r="D710" s="6"/>
    </row>
    <row r="711" spans="1:4">
      <c r="A711" s="35"/>
      <c r="B711" s="36"/>
      <c r="C711" s="6"/>
      <c r="D711" s="6"/>
    </row>
    <row r="712" spans="1:4">
      <c r="A712" s="35"/>
      <c r="B712" s="36"/>
      <c r="C712" s="6"/>
      <c r="D712" s="6"/>
    </row>
    <row r="713" spans="1:4">
      <c r="A713" s="35"/>
      <c r="B713" s="36"/>
      <c r="C713" s="6"/>
      <c r="D713" s="6"/>
    </row>
    <row r="714" spans="1:4">
      <c r="A714" s="35"/>
      <c r="B714" s="36"/>
      <c r="C714" s="6"/>
      <c r="D714" s="6"/>
    </row>
    <row r="715" spans="1:4">
      <c r="A715" s="35"/>
      <c r="B715" s="36"/>
      <c r="C715" s="6"/>
      <c r="D715" s="6"/>
    </row>
    <row r="716" spans="1:4">
      <c r="A716" s="35"/>
      <c r="B716" s="36"/>
      <c r="C716" s="6"/>
      <c r="D716" s="6"/>
    </row>
    <row r="717" spans="1:4">
      <c r="A717" s="35"/>
      <c r="B717" s="36"/>
      <c r="C717" s="6"/>
      <c r="D717" s="6"/>
    </row>
    <row r="718" spans="1:4">
      <c r="A718" s="35"/>
      <c r="B718" s="36"/>
      <c r="C718" s="6"/>
      <c r="D718" s="6"/>
    </row>
    <row r="719" spans="1:4">
      <c r="A719" s="35"/>
      <c r="B719" s="36"/>
      <c r="C719" s="6"/>
      <c r="D719" s="6"/>
    </row>
    <row r="720" spans="1:4">
      <c r="A720" s="35"/>
      <c r="B720" s="36"/>
      <c r="C720" s="6"/>
      <c r="D720" s="6"/>
    </row>
    <row r="721" spans="1:4">
      <c r="A721" s="35"/>
      <c r="B721" s="36"/>
      <c r="C721" s="6"/>
      <c r="D721" s="6"/>
    </row>
    <row r="722" spans="1:4">
      <c r="A722" s="35"/>
      <c r="B722" s="36"/>
      <c r="C722" s="6"/>
      <c r="D722" s="6"/>
    </row>
    <row r="723" spans="1:4">
      <c r="A723" s="35"/>
      <c r="B723" s="36"/>
      <c r="C723" s="6"/>
      <c r="D723" s="6"/>
    </row>
    <row r="724" spans="1:4">
      <c r="A724" s="35"/>
      <c r="B724" s="36"/>
      <c r="C724" s="6"/>
      <c r="D724" s="6"/>
    </row>
    <row r="725" spans="1:4">
      <c r="A725" s="35"/>
      <c r="B725" s="36"/>
      <c r="C725" s="6"/>
      <c r="D725" s="6"/>
    </row>
    <row r="726" spans="1:4">
      <c r="A726" s="35"/>
      <c r="B726" s="36"/>
      <c r="C726" s="6"/>
      <c r="D726" s="6"/>
    </row>
    <row r="727" spans="1:4">
      <c r="A727" s="35"/>
      <c r="B727" s="36"/>
      <c r="C727" s="6"/>
      <c r="D727" s="6"/>
    </row>
    <row r="728" spans="1:4">
      <c r="A728" s="35"/>
      <c r="B728" s="36"/>
      <c r="C728" s="6"/>
      <c r="D728" s="6"/>
    </row>
    <row r="729" spans="1:4">
      <c r="A729" s="35"/>
      <c r="B729" s="36"/>
      <c r="C729" s="6"/>
      <c r="D729" s="6"/>
    </row>
    <row r="730" spans="1:4">
      <c r="A730" s="35"/>
      <c r="B730" s="36"/>
      <c r="C730" s="6"/>
      <c r="D730" s="6"/>
    </row>
    <row r="731" spans="1:4">
      <c r="A731" s="35"/>
      <c r="B731" s="36"/>
      <c r="C731" s="6"/>
      <c r="D731" s="6"/>
    </row>
    <row r="732" spans="1:4">
      <c r="A732" s="35"/>
      <c r="B732" s="36"/>
      <c r="C732" s="6"/>
      <c r="D732" s="6"/>
    </row>
    <row r="733" spans="1:4">
      <c r="A733" s="35"/>
      <c r="B733" s="36"/>
      <c r="C733" s="6"/>
      <c r="D733" s="6"/>
    </row>
    <row r="734" spans="1:4">
      <c r="A734" s="35"/>
      <c r="B734" s="36"/>
      <c r="C734" s="6"/>
      <c r="D734" s="6"/>
    </row>
    <row r="735" spans="1:4">
      <c r="A735" s="35"/>
      <c r="B735" s="36"/>
      <c r="C735" s="6"/>
      <c r="D735" s="6"/>
    </row>
    <row r="736" spans="1:4">
      <c r="A736" s="35"/>
      <c r="B736" s="36"/>
      <c r="C736" s="6"/>
      <c r="D736" s="6"/>
    </row>
    <row r="737" spans="1:4">
      <c r="A737" s="35"/>
      <c r="B737" s="36"/>
      <c r="C737" s="6"/>
      <c r="D737" s="6"/>
    </row>
    <row r="738" spans="1:4">
      <c r="A738" s="35"/>
      <c r="B738" s="36"/>
      <c r="C738" s="6"/>
      <c r="D738" s="6"/>
    </row>
    <row r="739" spans="1:4">
      <c r="A739" s="35"/>
      <c r="B739" s="36"/>
      <c r="C739" s="6"/>
      <c r="D739" s="6"/>
    </row>
    <row r="740" spans="1:4">
      <c r="A740" s="35"/>
      <c r="B740" s="36"/>
      <c r="C740" s="6"/>
      <c r="D740" s="6"/>
    </row>
    <row r="741" spans="1:4">
      <c r="A741" s="35"/>
      <c r="B741" s="36"/>
      <c r="C741" s="6"/>
      <c r="D741" s="6"/>
    </row>
    <row r="742" spans="1:4">
      <c r="A742" s="35"/>
      <c r="B742" s="36"/>
      <c r="C742" s="6"/>
      <c r="D742" s="6"/>
    </row>
    <row r="743" spans="1:4">
      <c r="A743" s="35"/>
      <c r="B743" s="36"/>
      <c r="C743" s="6"/>
      <c r="D743" s="6"/>
    </row>
    <row r="744" spans="1:4">
      <c r="A744" s="35"/>
      <c r="B744" s="36"/>
      <c r="C744" s="6"/>
      <c r="D744" s="6"/>
    </row>
    <row r="745" spans="1:4">
      <c r="A745" s="35"/>
      <c r="B745" s="36"/>
      <c r="C745" s="6"/>
      <c r="D745" s="6"/>
    </row>
    <row r="746" spans="1:4">
      <c r="A746" s="35"/>
      <c r="B746" s="36"/>
      <c r="C746" s="6"/>
      <c r="D746" s="6"/>
    </row>
    <row r="747" spans="1:4">
      <c r="A747" s="35"/>
      <c r="B747" s="36"/>
      <c r="C747" s="6"/>
      <c r="D747" s="6"/>
    </row>
    <row r="748" spans="1:4">
      <c r="A748" s="35"/>
      <c r="B748" s="36"/>
      <c r="C748" s="6"/>
      <c r="D748" s="6"/>
    </row>
    <row r="749" spans="1:4">
      <c r="A749" s="35"/>
      <c r="B749" s="36"/>
      <c r="C749" s="6"/>
      <c r="D749" s="6"/>
    </row>
    <row r="750" spans="1:4">
      <c r="A750" s="35"/>
      <c r="B750" s="36"/>
      <c r="C750" s="6"/>
      <c r="D750" s="6"/>
    </row>
    <row r="751" spans="1:4">
      <c r="A751" s="35"/>
      <c r="B751" s="36"/>
      <c r="C751" s="6"/>
      <c r="D751" s="6"/>
    </row>
    <row r="752" spans="1:4">
      <c r="A752" s="35"/>
      <c r="B752" s="36"/>
      <c r="C752" s="6"/>
      <c r="D752" s="6"/>
    </row>
    <row r="753" spans="1:4">
      <c r="A753" s="35"/>
      <c r="B753" s="36"/>
      <c r="C753" s="6"/>
      <c r="D753" s="6"/>
    </row>
    <row r="754" spans="1:4">
      <c r="A754" s="35"/>
      <c r="B754" s="36"/>
      <c r="C754" s="6"/>
      <c r="D754" s="6"/>
    </row>
    <row r="755" spans="1:4">
      <c r="A755" s="35"/>
      <c r="B755" s="36"/>
      <c r="C755" s="6"/>
      <c r="D755" s="6"/>
    </row>
    <row r="756" spans="1:4">
      <c r="A756" s="35"/>
      <c r="B756" s="36"/>
      <c r="C756" s="6"/>
      <c r="D756" s="6"/>
    </row>
    <row r="757" spans="1:4">
      <c r="A757" s="35"/>
      <c r="B757" s="36"/>
      <c r="C757" s="6"/>
      <c r="D757" s="6"/>
    </row>
    <row r="758" spans="1:4">
      <c r="A758" s="35"/>
      <c r="B758" s="36"/>
      <c r="C758" s="6"/>
      <c r="D758" s="6"/>
    </row>
    <row r="759" spans="1:4">
      <c r="A759" s="35"/>
      <c r="B759" s="36"/>
      <c r="C759" s="6"/>
      <c r="D759" s="6"/>
    </row>
    <row r="760" spans="1:4">
      <c r="A760" s="35"/>
      <c r="B760" s="36"/>
      <c r="C760" s="6"/>
      <c r="D760" s="6"/>
    </row>
    <row r="761" spans="1:4">
      <c r="A761" s="35"/>
      <c r="B761" s="36"/>
      <c r="C761" s="6"/>
      <c r="D761" s="6"/>
    </row>
    <row r="762" spans="1:4">
      <c r="A762" s="35"/>
      <c r="B762" s="36"/>
      <c r="C762" s="6"/>
      <c r="D762" s="6"/>
    </row>
    <row r="763" spans="1:4">
      <c r="A763" s="35"/>
      <c r="B763" s="36"/>
      <c r="C763" s="6"/>
      <c r="D763" s="6"/>
    </row>
    <row r="764" spans="1:4">
      <c r="A764" s="35"/>
      <c r="B764" s="36"/>
      <c r="C764" s="6"/>
      <c r="D764" s="6"/>
    </row>
    <row r="765" spans="1:4">
      <c r="A765" s="35"/>
      <c r="B765" s="36"/>
      <c r="C765" s="6"/>
      <c r="D765" s="6"/>
    </row>
    <row r="766" spans="1:4">
      <c r="A766" s="35"/>
      <c r="B766" s="36"/>
      <c r="C766" s="6"/>
      <c r="D766" s="6"/>
    </row>
    <row r="767" spans="1:4">
      <c r="A767" s="35"/>
      <c r="B767" s="36"/>
      <c r="C767" s="6"/>
      <c r="D767" s="6"/>
    </row>
    <row r="768" spans="1:4">
      <c r="A768" s="35"/>
      <c r="B768" s="36"/>
      <c r="C768" s="6"/>
      <c r="D768" s="6"/>
    </row>
    <row r="769" spans="1:4">
      <c r="A769" s="35"/>
      <c r="B769" s="36"/>
      <c r="C769" s="6"/>
      <c r="D769" s="6"/>
    </row>
    <row r="770" spans="1:4">
      <c r="A770" s="35"/>
      <c r="B770" s="36"/>
      <c r="C770" s="6"/>
      <c r="D770" s="6"/>
    </row>
    <row r="771" spans="1:4">
      <c r="A771" s="35"/>
      <c r="B771" s="36"/>
      <c r="C771" s="6"/>
      <c r="D771" s="6"/>
    </row>
    <row r="772" spans="1:4">
      <c r="A772" s="35"/>
      <c r="B772" s="36"/>
      <c r="C772" s="6"/>
      <c r="D772" s="6"/>
    </row>
    <row r="773" spans="1:4">
      <c r="A773" s="35"/>
      <c r="B773" s="36"/>
      <c r="C773" s="6"/>
      <c r="D773" s="6"/>
    </row>
    <row r="774" spans="1:4">
      <c r="A774" s="35"/>
      <c r="B774" s="36"/>
      <c r="C774" s="6"/>
      <c r="D774" s="6"/>
    </row>
    <row r="775" spans="1:4">
      <c r="A775" s="35"/>
      <c r="B775" s="36"/>
      <c r="C775" s="6"/>
      <c r="D775" s="6"/>
    </row>
    <row r="776" spans="1:4">
      <c r="A776" s="35"/>
      <c r="B776" s="36"/>
      <c r="C776" s="6"/>
      <c r="D776" s="6"/>
    </row>
    <row r="777" spans="1:4">
      <c r="A777" s="35"/>
      <c r="B777" s="36"/>
      <c r="C777" s="6"/>
      <c r="D777" s="6"/>
    </row>
    <row r="778" spans="1:4">
      <c r="A778" s="35"/>
      <c r="B778" s="36"/>
      <c r="C778" s="6"/>
      <c r="D778" s="6"/>
    </row>
    <row r="779" spans="1:4">
      <c r="A779" s="35"/>
      <c r="B779" s="36"/>
      <c r="C779" s="6"/>
      <c r="D779" s="6"/>
    </row>
    <row r="780" spans="1:4">
      <c r="A780" s="35"/>
      <c r="B780" s="36"/>
      <c r="C780" s="6"/>
      <c r="D780" s="6"/>
    </row>
    <row r="781" spans="1:4">
      <c r="A781" s="35"/>
      <c r="B781" s="36"/>
      <c r="C781" s="6"/>
      <c r="D781" s="6"/>
    </row>
    <row r="782" spans="1:4">
      <c r="A782" s="35"/>
      <c r="B782" s="36"/>
      <c r="C782" s="6"/>
      <c r="D782" s="6"/>
    </row>
    <row r="783" spans="1:4">
      <c r="A783" s="35"/>
      <c r="B783" s="36"/>
      <c r="C783" s="6"/>
      <c r="D783" s="6"/>
    </row>
    <row r="784" spans="1:4">
      <c r="A784" s="35"/>
      <c r="B784" s="36"/>
      <c r="C784" s="6"/>
      <c r="D784" s="6"/>
    </row>
    <row r="785" spans="1:4">
      <c r="A785" s="35"/>
      <c r="B785" s="36"/>
      <c r="C785" s="6"/>
      <c r="D785" s="6"/>
    </row>
    <row r="786" spans="1:4">
      <c r="A786" s="35"/>
      <c r="B786" s="36"/>
      <c r="C786" s="6"/>
      <c r="D786" s="6"/>
    </row>
    <row r="787" spans="1:4">
      <c r="A787" s="35"/>
      <c r="B787" s="36"/>
      <c r="C787" s="6"/>
      <c r="D787" s="6"/>
    </row>
    <row r="788" spans="1:4">
      <c r="A788" s="35"/>
      <c r="B788" s="36"/>
      <c r="C788" s="6"/>
      <c r="D788" s="6"/>
    </row>
    <row r="789" spans="1:4">
      <c r="A789" s="35"/>
      <c r="B789" s="36"/>
      <c r="C789" s="6"/>
      <c r="D789" s="6"/>
    </row>
    <row r="790" spans="1:4">
      <c r="A790" s="35"/>
      <c r="B790" s="36"/>
      <c r="C790" s="6"/>
      <c r="D790" s="6"/>
    </row>
    <row r="791" spans="1:4">
      <c r="A791" s="35"/>
      <c r="B791" s="36"/>
      <c r="C791" s="6"/>
      <c r="D791" s="6"/>
    </row>
    <row r="792" spans="1:4">
      <c r="A792" s="35"/>
      <c r="B792" s="36"/>
      <c r="C792" s="6"/>
      <c r="D792" s="6"/>
    </row>
    <row r="793" spans="1:4">
      <c r="A793" s="35"/>
      <c r="B793" s="36"/>
      <c r="C793" s="6"/>
      <c r="D793" s="6"/>
    </row>
    <row r="794" spans="1:4">
      <c r="A794" s="35"/>
      <c r="B794" s="36"/>
      <c r="C794" s="6"/>
      <c r="D794" s="6"/>
    </row>
    <row r="795" spans="1:4">
      <c r="A795" s="35"/>
      <c r="B795" s="36"/>
      <c r="C795" s="6"/>
      <c r="D795" s="6"/>
    </row>
    <row r="796" spans="1:4">
      <c r="A796" s="35"/>
      <c r="B796" s="36"/>
      <c r="C796" s="6"/>
      <c r="D796" s="6"/>
    </row>
    <row r="797" spans="1:4">
      <c r="A797" s="35"/>
      <c r="B797" s="36"/>
      <c r="C797" s="6"/>
      <c r="D797" s="6"/>
    </row>
    <row r="798" spans="1:4">
      <c r="A798" s="35"/>
      <c r="B798" s="36"/>
      <c r="C798" s="6"/>
      <c r="D798" s="6"/>
    </row>
    <row r="799" spans="1:4">
      <c r="A799" s="35"/>
      <c r="B799" s="36"/>
      <c r="C799" s="6"/>
      <c r="D799" s="6"/>
    </row>
    <row r="800" spans="1:4">
      <c r="A800" s="35"/>
      <c r="B800" s="36"/>
      <c r="C800" s="6"/>
      <c r="D800" s="6"/>
    </row>
    <row r="801" spans="1:4">
      <c r="A801" s="35"/>
      <c r="B801" s="36"/>
      <c r="C801" s="6"/>
      <c r="D801" s="6"/>
    </row>
    <row r="802" spans="1:4">
      <c r="A802" s="35"/>
      <c r="B802" s="36"/>
      <c r="C802" s="6"/>
      <c r="D802" s="6"/>
    </row>
    <row r="803" spans="1:4">
      <c r="A803" s="35"/>
      <c r="B803" s="36"/>
      <c r="C803" s="6"/>
      <c r="D803" s="6"/>
    </row>
    <row r="804" spans="1:4">
      <c r="A804" s="35"/>
      <c r="B804" s="36"/>
      <c r="C804" s="6"/>
      <c r="D804" s="6"/>
    </row>
    <row r="805" spans="1:4">
      <c r="A805" s="35"/>
      <c r="B805" s="36"/>
      <c r="C805" s="6"/>
      <c r="D805" s="6"/>
    </row>
    <row r="806" spans="1:4">
      <c r="A806" s="35"/>
      <c r="B806" s="36"/>
      <c r="C806" s="6"/>
      <c r="D806" s="6"/>
    </row>
    <row r="807" spans="1:4">
      <c r="A807" s="35"/>
      <c r="B807" s="36"/>
      <c r="C807" s="6"/>
      <c r="D807" s="6"/>
    </row>
    <row r="808" spans="1:4">
      <c r="A808" s="35"/>
      <c r="B808" s="36"/>
      <c r="C808" s="6"/>
      <c r="D808" s="6"/>
    </row>
    <row r="809" spans="1:4">
      <c r="A809" s="35"/>
      <c r="B809" s="36"/>
      <c r="C809" s="6"/>
      <c r="D809" s="6"/>
    </row>
    <row r="810" spans="1:4">
      <c r="A810" s="35"/>
      <c r="B810" s="36"/>
      <c r="C810" s="6"/>
      <c r="D810" s="6"/>
    </row>
    <row r="811" spans="1:4">
      <c r="A811" s="35"/>
      <c r="B811" s="36"/>
      <c r="C811" s="6"/>
      <c r="D811" s="6"/>
    </row>
    <row r="812" spans="1:4">
      <c r="A812" s="35"/>
      <c r="B812" s="36"/>
      <c r="C812" s="6"/>
      <c r="D812" s="6"/>
    </row>
    <row r="813" spans="1:4">
      <c r="A813" s="35"/>
      <c r="B813" s="36"/>
      <c r="C813" s="6"/>
      <c r="D813" s="6"/>
    </row>
    <row r="814" spans="1:4">
      <c r="A814" s="35"/>
      <c r="B814" s="36"/>
      <c r="C814" s="6"/>
      <c r="D814" s="6"/>
    </row>
    <row r="815" spans="1:4">
      <c r="A815" s="35"/>
      <c r="B815" s="36"/>
      <c r="C815" s="6"/>
      <c r="D815" s="6"/>
    </row>
    <row r="816" spans="1:4">
      <c r="A816" s="35"/>
      <c r="B816" s="36"/>
      <c r="C816" s="6"/>
      <c r="D816" s="6"/>
    </row>
    <row r="817" spans="1:4">
      <c r="A817" s="35"/>
      <c r="B817" s="36"/>
      <c r="C817" s="6"/>
      <c r="D817" s="6"/>
    </row>
    <row r="818" spans="1:4">
      <c r="A818" s="35"/>
      <c r="B818" s="36"/>
      <c r="C818" s="6"/>
      <c r="D818" s="6"/>
    </row>
    <row r="819" spans="1:4">
      <c r="A819" s="35"/>
      <c r="B819" s="36"/>
      <c r="C819" s="6"/>
      <c r="D819" s="6"/>
    </row>
    <row r="820" spans="1:4">
      <c r="A820" s="35"/>
      <c r="B820" s="36"/>
      <c r="C820" s="6"/>
      <c r="D820" s="6"/>
    </row>
    <row r="821" spans="1:4">
      <c r="A821" s="35"/>
      <c r="B821" s="36"/>
      <c r="C821" s="6"/>
      <c r="D821" s="6"/>
    </row>
    <row r="822" spans="1:4">
      <c r="A822" s="35"/>
      <c r="B822" s="36"/>
      <c r="C822" s="6"/>
      <c r="D822" s="6"/>
    </row>
    <row r="823" spans="1:4">
      <c r="A823" s="35"/>
      <c r="B823" s="36"/>
      <c r="C823" s="6"/>
      <c r="D823" s="6"/>
    </row>
    <row r="824" spans="1:4">
      <c r="A824" s="35"/>
      <c r="B824" s="36"/>
      <c r="C824" s="6"/>
      <c r="D824" s="6"/>
    </row>
    <row r="825" spans="1:4">
      <c r="A825" s="35"/>
      <c r="B825" s="36"/>
      <c r="C825" s="6"/>
      <c r="D825" s="6"/>
    </row>
    <row r="826" spans="1:4">
      <c r="A826" s="35"/>
      <c r="B826" s="36"/>
      <c r="C826" s="6"/>
      <c r="D826" s="6"/>
    </row>
    <row r="827" spans="1:4">
      <c r="A827" s="35"/>
      <c r="B827" s="36"/>
      <c r="C827" s="6"/>
      <c r="D827" s="6"/>
    </row>
    <row r="828" spans="1:4">
      <c r="A828" s="35"/>
      <c r="B828" s="36"/>
      <c r="C828" s="6"/>
      <c r="D828" s="6"/>
    </row>
    <row r="829" spans="1:4">
      <c r="A829" s="35"/>
      <c r="B829" s="36"/>
      <c r="C829" s="6"/>
      <c r="D829" s="6"/>
    </row>
    <row r="830" spans="1:4">
      <c r="A830" s="35"/>
      <c r="B830" s="36"/>
      <c r="C830" s="6"/>
      <c r="D830" s="6"/>
    </row>
    <row r="831" spans="1:4">
      <c r="A831" s="35"/>
      <c r="B831" s="36"/>
      <c r="C831" s="6"/>
      <c r="D831" s="6"/>
    </row>
    <row r="832" spans="1:4">
      <c r="A832" s="35"/>
      <c r="B832" s="36"/>
      <c r="C832" s="6"/>
      <c r="D832" s="6"/>
    </row>
    <row r="833" spans="1:4">
      <c r="A833" s="35"/>
      <c r="B833" s="36"/>
      <c r="C833" s="6"/>
      <c r="D833" s="6"/>
    </row>
    <row r="834" spans="1:4">
      <c r="A834" s="35"/>
      <c r="B834" s="36"/>
      <c r="C834" s="6"/>
      <c r="D834" s="6"/>
    </row>
    <row r="835" spans="1:4">
      <c r="A835" s="35"/>
      <c r="B835" s="36"/>
      <c r="C835" s="6"/>
      <c r="D835" s="6"/>
    </row>
    <row r="836" spans="1:4">
      <c r="A836" s="35"/>
      <c r="B836" s="36"/>
      <c r="C836" s="6"/>
      <c r="D836" s="6"/>
    </row>
    <row r="837" spans="1:4">
      <c r="A837" s="35"/>
      <c r="B837" s="36"/>
      <c r="C837" s="6"/>
      <c r="D837" s="6"/>
    </row>
    <row r="838" spans="1:4">
      <c r="A838" s="35"/>
      <c r="B838" s="36"/>
      <c r="C838" s="6"/>
      <c r="D838" s="6"/>
    </row>
    <row r="839" spans="1:4">
      <c r="A839" s="35"/>
      <c r="B839" s="36"/>
      <c r="C839" s="6"/>
      <c r="D839" s="6"/>
    </row>
    <row r="840" spans="1:4">
      <c r="A840" s="35"/>
      <c r="B840" s="36"/>
      <c r="C840" s="6"/>
      <c r="D840" s="6"/>
    </row>
    <row r="841" spans="1:4">
      <c r="A841" s="35"/>
      <c r="B841" s="36"/>
      <c r="C841" s="6"/>
      <c r="D841" s="6"/>
    </row>
    <row r="842" spans="1:4">
      <c r="A842" s="35"/>
      <c r="B842" s="36"/>
      <c r="C842" s="6"/>
      <c r="D842" s="6"/>
    </row>
    <row r="843" spans="1:4">
      <c r="A843" s="35"/>
      <c r="B843" s="36"/>
      <c r="C843" s="6"/>
      <c r="D843" s="6"/>
    </row>
    <row r="844" spans="1:4">
      <c r="A844" s="35"/>
      <c r="B844" s="36"/>
      <c r="C844" s="6"/>
      <c r="D844" s="6"/>
    </row>
    <row r="845" spans="1:4">
      <c r="A845" s="35"/>
      <c r="B845" s="36"/>
      <c r="C845" s="6"/>
      <c r="D845" s="6"/>
    </row>
    <row r="846" spans="1:4">
      <c r="A846" s="35"/>
      <c r="B846" s="36"/>
      <c r="C846" s="6"/>
      <c r="D846" s="6"/>
    </row>
    <row r="847" spans="1:4">
      <c r="A847" s="35"/>
      <c r="B847" s="36"/>
      <c r="C847" s="6"/>
      <c r="D847" s="6"/>
    </row>
    <row r="848" spans="1:4">
      <c r="A848" s="35"/>
      <c r="B848" s="36"/>
      <c r="C848" s="6"/>
      <c r="D848" s="6"/>
    </row>
    <row r="849" spans="1:4">
      <c r="A849" s="35"/>
      <c r="B849" s="36"/>
      <c r="C849" s="6"/>
      <c r="D849" s="6"/>
    </row>
    <row r="850" spans="1:4">
      <c r="A850" s="35"/>
      <c r="B850" s="36"/>
      <c r="C850" s="6"/>
      <c r="D850" s="6"/>
    </row>
    <row r="851" spans="1:4">
      <c r="A851" s="35"/>
      <c r="B851" s="36"/>
      <c r="C851" s="6"/>
      <c r="D851" s="6"/>
    </row>
    <row r="852" spans="1:4">
      <c r="A852" s="35"/>
      <c r="B852" s="36"/>
      <c r="C852" s="6"/>
      <c r="D852" s="6"/>
    </row>
    <row r="853" spans="1:4">
      <c r="A853" s="35"/>
      <c r="B853" s="36"/>
      <c r="C853" s="6"/>
      <c r="D853" s="6"/>
    </row>
    <row r="854" spans="1:4">
      <c r="A854" s="35"/>
      <c r="B854" s="36"/>
      <c r="C854" s="6"/>
      <c r="D854" s="6"/>
    </row>
    <row r="855" spans="1:4">
      <c r="A855" s="35"/>
      <c r="B855" s="36"/>
      <c r="C855" s="6"/>
      <c r="D855" s="6"/>
    </row>
    <row r="856" spans="1:4">
      <c r="A856" s="35"/>
      <c r="B856" s="36"/>
      <c r="C856" s="6"/>
      <c r="D856" s="6"/>
    </row>
    <row r="857" spans="1:4">
      <c r="A857" s="35"/>
      <c r="B857" s="36"/>
      <c r="C857" s="6"/>
      <c r="D857" s="6"/>
    </row>
    <row r="858" spans="1:4">
      <c r="A858" s="35"/>
      <c r="B858" s="36"/>
      <c r="C858" s="6"/>
      <c r="D858" s="6"/>
    </row>
    <row r="859" spans="1:4">
      <c r="A859" s="35"/>
      <c r="B859" s="36"/>
      <c r="C859" s="6"/>
      <c r="D859" s="6"/>
    </row>
    <row r="860" spans="1:4">
      <c r="A860" s="35"/>
      <c r="B860" s="36"/>
      <c r="C860" s="6"/>
      <c r="D860" s="6"/>
    </row>
    <row r="861" spans="1:4">
      <c r="A861" s="35"/>
      <c r="B861" s="36"/>
      <c r="C861" s="6"/>
      <c r="D861" s="6"/>
    </row>
    <row r="862" spans="1:4">
      <c r="A862" s="35"/>
      <c r="B862" s="36"/>
      <c r="C862" s="6"/>
      <c r="D862" s="6"/>
    </row>
    <row r="863" spans="1:4">
      <c r="A863" s="35"/>
      <c r="B863" s="36"/>
      <c r="C863" s="6"/>
      <c r="D863" s="6"/>
    </row>
    <row r="864" spans="1:4">
      <c r="A864" s="35"/>
      <c r="B864" s="36"/>
      <c r="C864" s="6"/>
      <c r="D864" s="6"/>
    </row>
    <row r="865" spans="1:4">
      <c r="A865" s="35"/>
      <c r="B865" s="36"/>
      <c r="C865" s="6"/>
      <c r="D865" s="6"/>
    </row>
    <row r="866" spans="1:4">
      <c r="A866" s="35"/>
      <c r="B866" s="36"/>
      <c r="C866" s="6"/>
      <c r="D866" s="6"/>
    </row>
    <row r="867" spans="1:4">
      <c r="A867" s="35"/>
      <c r="B867" s="36"/>
      <c r="C867" s="6"/>
      <c r="D867" s="6"/>
    </row>
    <row r="868" spans="1:4">
      <c r="A868" s="35"/>
      <c r="B868" s="36"/>
      <c r="C868" s="6"/>
      <c r="D868" s="6"/>
    </row>
    <row r="869" spans="1:4">
      <c r="A869" s="35"/>
      <c r="B869" s="36"/>
      <c r="C869" s="6"/>
      <c r="D869" s="6"/>
    </row>
    <row r="870" spans="1:4">
      <c r="A870" s="35"/>
      <c r="B870" s="36"/>
      <c r="C870" s="6"/>
      <c r="D870" s="6"/>
    </row>
    <row r="871" spans="1:4">
      <c r="A871" s="35"/>
      <c r="B871" s="36"/>
      <c r="C871" s="6"/>
      <c r="D871" s="6"/>
    </row>
    <row r="872" spans="1:4">
      <c r="A872" s="35"/>
      <c r="B872" s="36"/>
      <c r="C872" s="6"/>
      <c r="D872" s="6"/>
    </row>
    <row r="873" spans="1:4">
      <c r="A873" s="35"/>
      <c r="B873" s="36"/>
      <c r="C873" s="6"/>
      <c r="D873" s="6"/>
    </row>
    <row r="874" spans="1:4">
      <c r="A874" s="35"/>
      <c r="B874" s="36"/>
      <c r="C874" s="6"/>
      <c r="D874" s="6"/>
    </row>
    <row r="875" spans="1:4">
      <c r="A875" s="35"/>
      <c r="B875" s="36"/>
      <c r="C875" s="6"/>
      <c r="D875" s="6"/>
    </row>
    <row r="876" spans="1:4">
      <c r="A876" s="35"/>
      <c r="B876" s="36"/>
      <c r="C876" s="6"/>
      <c r="D876" s="6"/>
    </row>
    <row r="877" spans="1:4">
      <c r="A877" s="35"/>
      <c r="B877" s="36"/>
      <c r="C877" s="6"/>
      <c r="D877" s="6"/>
    </row>
    <row r="878" spans="1:4">
      <c r="A878" s="35"/>
      <c r="B878" s="36"/>
      <c r="C878" s="6"/>
      <c r="D878" s="6"/>
    </row>
    <row r="879" spans="1:4">
      <c r="A879" s="35"/>
      <c r="B879" s="36"/>
      <c r="C879" s="6"/>
      <c r="D879" s="6"/>
    </row>
    <row r="880" spans="1:4">
      <c r="A880" s="35"/>
      <c r="B880" s="36"/>
      <c r="C880" s="6"/>
      <c r="D880" s="6"/>
    </row>
    <row r="881" spans="1:4">
      <c r="A881" s="35"/>
      <c r="B881" s="36"/>
      <c r="C881" s="6"/>
      <c r="D881" s="6"/>
    </row>
    <row r="882" spans="1:4">
      <c r="A882" s="35"/>
      <c r="B882" s="36"/>
      <c r="C882" s="6"/>
      <c r="D882" s="6"/>
    </row>
    <row r="883" spans="1:4">
      <c r="A883" s="35"/>
      <c r="B883" s="36"/>
      <c r="C883" s="6"/>
      <c r="D883" s="6"/>
    </row>
    <row r="884" spans="1:4">
      <c r="A884" s="35"/>
      <c r="B884" s="36"/>
      <c r="C884" s="6"/>
      <c r="D884" s="6"/>
    </row>
    <row r="885" spans="1:4">
      <c r="A885" s="35"/>
      <c r="B885" s="36"/>
      <c r="C885" s="6"/>
      <c r="D885" s="6"/>
    </row>
    <row r="886" spans="1:4">
      <c r="A886" s="35"/>
      <c r="B886" s="36"/>
      <c r="C886" s="6"/>
      <c r="D886" s="6"/>
    </row>
    <row r="887" spans="1:4">
      <c r="A887" s="35"/>
      <c r="B887" s="36"/>
      <c r="C887" s="6"/>
      <c r="D887" s="6"/>
    </row>
    <row r="888" spans="1:4">
      <c r="A888" s="35"/>
      <c r="B888" s="36"/>
      <c r="C888" s="6"/>
      <c r="D888" s="6"/>
    </row>
    <row r="889" spans="1:4">
      <c r="A889" s="35"/>
      <c r="B889" s="36"/>
      <c r="C889" s="6"/>
      <c r="D889" s="6"/>
    </row>
    <row r="890" spans="1:4">
      <c r="A890" s="35"/>
      <c r="B890" s="36"/>
      <c r="C890" s="6"/>
      <c r="D890" s="6"/>
    </row>
    <row r="891" spans="1:4">
      <c r="A891" s="35"/>
      <c r="B891" s="36"/>
      <c r="C891" s="6"/>
      <c r="D891" s="6"/>
    </row>
    <row r="892" spans="1:4">
      <c r="A892" s="35"/>
      <c r="B892" s="36"/>
      <c r="C892" s="6"/>
      <c r="D892" s="6"/>
    </row>
    <row r="893" spans="1:4">
      <c r="A893" s="35"/>
      <c r="B893" s="36"/>
      <c r="C893" s="6"/>
      <c r="D893" s="6"/>
    </row>
    <row r="894" spans="1:4">
      <c r="A894" s="35"/>
      <c r="B894" s="36"/>
      <c r="C894" s="6"/>
      <c r="D894" s="6"/>
    </row>
    <row r="895" spans="1:4">
      <c r="A895" s="35"/>
      <c r="B895" s="36"/>
      <c r="C895" s="6"/>
      <c r="D895" s="6"/>
    </row>
    <row r="896" spans="1:4">
      <c r="A896" s="35"/>
      <c r="B896" s="36"/>
      <c r="C896" s="6"/>
      <c r="D896" s="6"/>
    </row>
    <row r="897" spans="1:4">
      <c r="A897" s="35"/>
      <c r="B897" s="36"/>
      <c r="C897" s="6"/>
      <c r="D897" s="6"/>
    </row>
    <row r="898" spans="1:4">
      <c r="A898" s="35"/>
      <c r="B898" s="36"/>
      <c r="C898" s="6"/>
      <c r="D898" s="6"/>
    </row>
    <row r="899" spans="1:4">
      <c r="A899" s="35"/>
      <c r="B899" s="36"/>
      <c r="C899" s="6"/>
      <c r="D899" s="6"/>
    </row>
    <row r="900" spans="1:4">
      <c r="A900" s="35"/>
      <c r="B900" s="36"/>
      <c r="C900" s="6"/>
      <c r="D900" s="6"/>
    </row>
    <row r="901" spans="1:4">
      <c r="A901" s="35"/>
      <c r="B901" s="36"/>
      <c r="C901" s="6"/>
      <c r="D901" s="6"/>
    </row>
    <row r="902" spans="1:4">
      <c r="A902" s="35"/>
      <c r="B902" s="36"/>
      <c r="C902" s="6"/>
      <c r="D902" s="6"/>
    </row>
    <row r="903" spans="1:4">
      <c r="A903" s="35"/>
      <c r="B903" s="36"/>
      <c r="C903" s="6"/>
      <c r="D903" s="6"/>
    </row>
    <row r="904" spans="1:4">
      <c r="A904" s="35"/>
      <c r="B904" s="36"/>
      <c r="C904" s="6"/>
      <c r="D904" s="6"/>
    </row>
    <row r="905" spans="1:4">
      <c r="A905" s="35"/>
      <c r="B905" s="36"/>
      <c r="C905" s="6"/>
      <c r="D905" s="6"/>
    </row>
    <row r="906" spans="1:4">
      <c r="A906" s="35"/>
      <c r="B906" s="36"/>
      <c r="C906" s="6"/>
      <c r="D906" s="6"/>
    </row>
    <row r="907" spans="1:4">
      <c r="A907" s="35"/>
      <c r="B907" s="36"/>
      <c r="C907" s="6"/>
      <c r="D907" s="6"/>
    </row>
    <row r="908" spans="1:4">
      <c r="A908" s="35"/>
      <c r="B908" s="36"/>
      <c r="C908" s="6"/>
      <c r="D908" s="6"/>
    </row>
    <row r="909" spans="1:4">
      <c r="A909" s="35"/>
      <c r="B909" s="36"/>
      <c r="C909" s="6"/>
      <c r="D909" s="6"/>
    </row>
    <row r="910" spans="1:4">
      <c r="A910" s="35"/>
      <c r="B910" s="36"/>
      <c r="C910" s="6"/>
      <c r="D910" s="6"/>
    </row>
    <row r="911" spans="1:4">
      <c r="A911" s="35"/>
      <c r="B911" s="36"/>
      <c r="C911" s="6"/>
      <c r="D911" s="6"/>
    </row>
    <row r="912" spans="1:4">
      <c r="A912" s="35"/>
      <c r="B912" s="36"/>
      <c r="C912" s="6"/>
      <c r="D912" s="6"/>
    </row>
    <row r="913" spans="1:4">
      <c r="A913" s="35"/>
      <c r="B913" s="36"/>
      <c r="C913" s="6"/>
      <c r="D913" s="6"/>
    </row>
    <row r="914" spans="1:4">
      <c r="A914" s="35"/>
      <c r="B914" s="36"/>
      <c r="C914" s="6"/>
      <c r="D914" s="6"/>
    </row>
    <row r="915" spans="1:4">
      <c r="A915" s="35"/>
      <c r="B915" s="36"/>
      <c r="C915" s="6"/>
      <c r="D915" s="6"/>
    </row>
    <row r="916" spans="1:4">
      <c r="A916" s="35"/>
      <c r="B916" s="36"/>
      <c r="C916" s="6"/>
      <c r="D916" s="6"/>
    </row>
    <row r="917" spans="1:4">
      <c r="A917" s="35"/>
      <c r="B917" s="36"/>
      <c r="C917" s="6"/>
      <c r="D917" s="6"/>
    </row>
    <row r="918" spans="1:4">
      <c r="A918" s="35"/>
      <c r="B918" s="36"/>
      <c r="C918" s="6"/>
      <c r="D918" s="6"/>
    </row>
    <row r="919" spans="1:4">
      <c r="A919" s="35"/>
      <c r="B919" s="36"/>
      <c r="C919" s="6"/>
      <c r="D919" s="6"/>
    </row>
    <row r="920" spans="1:4">
      <c r="A920" s="35"/>
      <c r="B920" s="36"/>
      <c r="C920" s="6"/>
      <c r="D920" s="6"/>
    </row>
    <row r="921" spans="1:4">
      <c r="A921" s="35"/>
      <c r="B921" s="36"/>
      <c r="C921" s="6"/>
      <c r="D921" s="6"/>
    </row>
    <row r="922" spans="1:4">
      <c r="A922" s="35"/>
      <c r="B922" s="36"/>
      <c r="C922" s="6"/>
      <c r="D922" s="6"/>
    </row>
    <row r="923" spans="1:4">
      <c r="A923" s="35"/>
      <c r="B923" s="36"/>
      <c r="C923" s="6"/>
      <c r="D923" s="6"/>
    </row>
    <row r="924" spans="1:4">
      <c r="A924" s="35"/>
      <c r="B924" s="36"/>
      <c r="C924" s="6"/>
      <c r="D924" s="6"/>
    </row>
    <row r="925" spans="1:4">
      <c r="A925" s="35"/>
      <c r="B925" s="36"/>
      <c r="C925" s="6"/>
      <c r="D925" s="6"/>
    </row>
    <row r="926" spans="1:4">
      <c r="A926" s="35"/>
      <c r="B926" s="36"/>
      <c r="C926" s="6"/>
      <c r="D926" s="6"/>
    </row>
    <row r="927" spans="1:4">
      <c r="A927" s="35"/>
      <c r="B927" s="36"/>
      <c r="C927" s="6"/>
      <c r="D927" s="6"/>
    </row>
    <row r="928" spans="1:4">
      <c r="A928" s="35"/>
      <c r="B928" s="36"/>
      <c r="C928" s="6"/>
      <c r="D928" s="6"/>
    </row>
    <row r="929" spans="1:4">
      <c r="A929" s="35"/>
      <c r="B929" s="36"/>
      <c r="C929" s="6"/>
      <c r="D929" s="6"/>
    </row>
    <row r="930" spans="1:4">
      <c r="A930" s="35"/>
      <c r="B930" s="36"/>
      <c r="C930" s="6"/>
      <c r="D930" s="6"/>
    </row>
    <row r="931" spans="1:4">
      <c r="A931" s="35"/>
      <c r="B931" s="36"/>
      <c r="C931" s="6"/>
      <c r="D931" s="6"/>
    </row>
    <row r="932" spans="1:4">
      <c r="A932" s="35"/>
      <c r="B932" s="36"/>
      <c r="C932" s="6"/>
      <c r="D932" s="6"/>
    </row>
    <row r="933" spans="1:4">
      <c r="A933" s="35"/>
      <c r="B933" s="36"/>
      <c r="C933" s="6"/>
      <c r="D933" s="6"/>
    </row>
    <row r="934" spans="1:4">
      <c r="A934" s="35"/>
      <c r="B934" s="36"/>
      <c r="C934" s="6"/>
      <c r="D934" s="6"/>
    </row>
    <row r="935" spans="1:4">
      <c r="A935" s="35"/>
      <c r="B935" s="36"/>
      <c r="C935" s="6"/>
      <c r="D935" s="6"/>
    </row>
    <row r="936" spans="1:4">
      <c r="A936" s="35"/>
      <c r="B936" s="36"/>
      <c r="C936" s="6"/>
      <c r="D936" s="6"/>
    </row>
    <row r="937" spans="1:4">
      <c r="A937" s="35"/>
      <c r="B937" s="36"/>
      <c r="C937" s="6"/>
      <c r="D937" s="6"/>
    </row>
    <row r="938" spans="1:4">
      <c r="A938" s="35"/>
      <c r="B938" s="36"/>
      <c r="C938" s="6"/>
      <c r="D938" s="6"/>
    </row>
    <row r="939" spans="1:4">
      <c r="A939" s="35"/>
      <c r="B939" s="36"/>
      <c r="C939" s="6"/>
      <c r="D939" s="6"/>
    </row>
    <row r="940" spans="1:4">
      <c r="A940" s="35"/>
      <c r="B940" s="36"/>
      <c r="C940" s="6"/>
      <c r="D940" s="6"/>
    </row>
    <row r="941" spans="1:4">
      <c r="A941" s="35"/>
      <c r="B941" s="36"/>
      <c r="C941" s="6"/>
      <c r="D941" s="6"/>
    </row>
    <row r="942" spans="1:4">
      <c r="A942" s="35"/>
      <c r="B942" s="36"/>
      <c r="C942" s="6"/>
      <c r="D942" s="6"/>
    </row>
    <row r="943" spans="1:4">
      <c r="A943" s="35"/>
      <c r="B943" s="36"/>
      <c r="C943" s="6"/>
      <c r="D943" s="6"/>
    </row>
    <row r="944" spans="1:4">
      <c r="A944" s="35"/>
      <c r="B944" s="36"/>
      <c r="C944" s="6"/>
      <c r="D944" s="6"/>
    </row>
    <row r="945" spans="1:4">
      <c r="A945" s="35"/>
      <c r="B945" s="36"/>
      <c r="C945" s="6"/>
      <c r="D945" s="6"/>
    </row>
    <row r="946" spans="1:4">
      <c r="A946" s="35"/>
      <c r="B946" s="36"/>
      <c r="C946" s="6"/>
      <c r="D946" s="6"/>
    </row>
    <row r="947" spans="1:4">
      <c r="A947" s="35"/>
      <c r="B947" s="36"/>
      <c r="C947" s="6"/>
      <c r="D947" s="6"/>
    </row>
    <row r="948" spans="1:4">
      <c r="A948" s="35"/>
      <c r="B948" s="36"/>
      <c r="C948" s="6"/>
      <c r="D948" s="6"/>
    </row>
    <row r="949" spans="1:4">
      <c r="A949" s="35"/>
      <c r="B949" s="36"/>
      <c r="C949" s="6"/>
      <c r="D949" s="6"/>
    </row>
    <row r="950" spans="1:4">
      <c r="A950" s="35"/>
      <c r="B950" s="36"/>
      <c r="C950" s="6"/>
      <c r="D950" s="6"/>
    </row>
    <row r="951" spans="1:4">
      <c r="A951" s="35"/>
      <c r="B951" s="36"/>
      <c r="C951" s="6"/>
      <c r="D951" s="6"/>
    </row>
    <row r="952" spans="1:4">
      <c r="A952" s="35"/>
      <c r="B952" s="36"/>
      <c r="C952" s="6"/>
      <c r="D952" s="6"/>
    </row>
    <row r="953" spans="1:4">
      <c r="A953" s="35"/>
      <c r="B953" s="36"/>
      <c r="C953" s="6"/>
      <c r="D953" s="6"/>
    </row>
    <row r="954" spans="1:4">
      <c r="A954" s="35"/>
      <c r="B954" s="36"/>
      <c r="C954" s="6"/>
      <c r="D954" s="6"/>
    </row>
    <row r="955" spans="1:4">
      <c r="A955" s="35"/>
      <c r="B955" s="36"/>
      <c r="C955" s="6"/>
      <c r="D955" s="6"/>
    </row>
    <row r="956" spans="1:4">
      <c r="A956" s="35"/>
      <c r="B956" s="36"/>
      <c r="C956" s="6"/>
      <c r="D956" s="6"/>
    </row>
    <row r="957" spans="1:4">
      <c r="A957" s="35"/>
      <c r="B957" s="36"/>
      <c r="C957" s="6"/>
      <c r="D957" s="6"/>
    </row>
    <row r="958" spans="1:4">
      <c r="A958" s="35"/>
      <c r="B958" s="36"/>
      <c r="C958" s="6"/>
      <c r="D958" s="6"/>
    </row>
    <row r="959" spans="1:4">
      <c r="A959" s="35"/>
      <c r="B959" s="36"/>
      <c r="C959" s="6"/>
      <c r="D959" s="6"/>
    </row>
    <row r="960" spans="1:4">
      <c r="A960" s="35"/>
      <c r="B960" s="36"/>
      <c r="C960" s="6"/>
      <c r="D960" s="6"/>
    </row>
    <row r="961" spans="1:4">
      <c r="A961" s="35"/>
      <c r="B961" s="36"/>
      <c r="C961" s="6"/>
      <c r="D961" s="6"/>
    </row>
    <row r="962" spans="1:4">
      <c r="A962" s="35"/>
      <c r="B962" s="36"/>
      <c r="C962" s="6"/>
      <c r="D962" s="6"/>
    </row>
    <row r="963" spans="1:4">
      <c r="A963" s="35"/>
      <c r="B963" s="36"/>
      <c r="C963" s="6"/>
      <c r="D963" s="6"/>
    </row>
    <row r="964" spans="1:4">
      <c r="A964" s="35"/>
      <c r="B964" s="36"/>
      <c r="C964" s="6"/>
      <c r="D964" s="6"/>
    </row>
    <row r="965" spans="1:4">
      <c r="A965" s="35"/>
      <c r="B965" s="36"/>
      <c r="C965" s="6"/>
      <c r="D965" s="6"/>
    </row>
    <row r="966" spans="1:4">
      <c r="A966" s="35"/>
      <c r="B966" s="36"/>
      <c r="C966" s="6"/>
      <c r="D966" s="6"/>
    </row>
    <row r="967" spans="1:4">
      <c r="A967" s="35"/>
      <c r="B967" s="36"/>
      <c r="C967" s="6"/>
      <c r="D967" s="6"/>
    </row>
    <row r="968" spans="1:4">
      <c r="A968" s="35"/>
      <c r="B968" s="36"/>
      <c r="C968" s="6"/>
      <c r="D968" s="6"/>
    </row>
    <row r="969" spans="1:4">
      <c r="A969" s="35"/>
      <c r="B969" s="36"/>
      <c r="C969" s="6"/>
      <c r="D969" s="6"/>
    </row>
    <row r="970" spans="1:4">
      <c r="A970" s="35"/>
      <c r="B970" s="36"/>
      <c r="C970" s="6"/>
      <c r="D970" s="6"/>
    </row>
    <row r="971" spans="1:4">
      <c r="A971" s="35"/>
      <c r="B971" s="36"/>
      <c r="C971" s="6"/>
      <c r="D971" s="6"/>
    </row>
    <row r="972" spans="1:4">
      <c r="A972" s="35"/>
      <c r="B972" s="36"/>
      <c r="C972" s="6"/>
      <c r="D972" s="6"/>
    </row>
    <row r="973" spans="1:4">
      <c r="A973" s="35"/>
      <c r="B973" s="36"/>
      <c r="C973" s="6"/>
      <c r="D973" s="6"/>
    </row>
    <row r="974" spans="1:4">
      <c r="A974" s="35"/>
      <c r="B974" s="36"/>
      <c r="C974" s="6"/>
      <c r="D974" s="6"/>
    </row>
    <row r="975" spans="1:4">
      <c r="A975" s="35"/>
      <c r="B975" s="36"/>
      <c r="C975" s="6"/>
      <c r="D975" s="6"/>
    </row>
    <row r="976" spans="1:4">
      <c r="A976" s="35"/>
      <c r="B976" s="36"/>
      <c r="C976" s="6"/>
      <c r="D976" s="6"/>
    </row>
    <row r="977" spans="1:4">
      <c r="A977" s="35"/>
      <c r="B977" s="36"/>
      <c r="C977" s="6"/>
      <c r="D977" s="6"/>
    </row>
    <row r="978" spans="1:4">
      <c r="A978" s="35"/>
      <c r="B978" s="36"/>
      <c r="C978" s="6"/>
      <c r="D978" s="6"/>
    </row>
    <row r="979" spans="1:4">
      <c r="A979" s="35"/>
      <c r="B979" s="36"/>
      <c r="C979" s="6"/>
      <c r="D979" s="6"/>
    </row>
    <row r="980" spans="1:4">
      <c r="A980" s="35"/>
      <c r="B980" s="36"/>
      <c r="C980" s="6"/>
      <c r="D980" s="6"/>
    </row>
    <row r="981" spans="1:4">
      <c r="A981" s="35"/>
      <c r="B981" s="36"/>
      <c r="C981" s="6"/>
      <c r="D981" s="6"/>
    </row>
    <row r="982" spans="1:4">
      <c r="A982" s="35"/>
      <c r="B982" s="36"/>
      <c r="C982" s="6"/>
      <c r="D982" s="6"/>
    </row>
    <row r="983" spans="1:4">
      <c r="A983" s="35"/>
      <c r="B983" s="36"/>
      <c r="C983" s="6"/>
      <c r="D983" s="6"/>
    </row>
    <row r="984" spans="1:4">
      <c r="A984" s="35"/>
      <c r="B984" s="36"/>
      <c r="C984" s="6"/>
      <c r="D984" s="6"/>
    </row>
    <row r="985" spans="1:4">
      <c r="A985" s="35"/>
      <c r="B985" s="36"/>
      <c r="C985" s="6"/>
      <c r="D985" s="6"/>
    </row>
    <row r="986" spans="1:4">
      <c r="A986" s="35"/>
      <c r="B986" s="36"/>
      <c r="C986" s="6"/>
      <c r="D986" s="6"/>
    </row>
    <row r="987" spans="1:4">
      <c r="A987" s="35"/>
      <c r="B987" s="36"/>
      <c r="C987" s="6"/>
      <c r="D987" s="6"/>
    </row>
    <row r="988" spans="1:4">
      <c r="A988" s="35"/>
      <c r="B988" s="36"/>
      <c r="C988" s="6"/>
      <c r="D988" s="6"/>
    </row>
    <row r="989" spans="1:4">
      <c r="A989" s="35"/>
      <c r="B989" s="36"/>
      <c r="C989" s="6"/>
      <c r="D989" s="6"/>
    </row>
    <row r="990" spans="1:4">
      <c r="A990" s="35"/>
      <c r="B990" s="36"/>
      <c r="C990" s="6"/>
      <c r="D990" s="6"/>
    </row>
    <row r="991" spans="1:4">
      <c r="A991" s="35"/>
      <c r="B991" s="36"/>
      <c r="C991" s="6"/>
      <c r="D991" s="6"/>
    </row>
    <row r="992" spans="1:4">
      <c r="A992" s="35"/>
      <c r="B992" s="36"/>
      <c r="C992" s="6"/>
      <c r="D992" s="6"/>
    </row>
    <row r="993" spans="1:4">
      <c r="A993" s="35"/>
      <c r="B993" s="36"/>
      <c r="C993" s="6"/>
      <c r="D993" s="6"/>
    </row>
    <row r="994" spans="1:4">
      <c r="A994" s="35"/>
      <c r="B994" s="36"/>
      <c r="C994" s="6"/>
      <c r="D994" s="6"/>
    </row>
    <row r="995" spans="1:4">
      <c r="A995" s="35"/>
      <c r="B995" s="36"/>
      <c r="C995" s="6"/>
      <c r="D995" s="6"/>
    </row>
    <row r="996" spans="1:4">
      <c r="A996" s="35"/>
      <c r="B996" s="36"/>
      <c r="C996" s="6"/>
      <c r="D996" s="6"/>
    </row>
    <row r="997" spans="1:4">
      <c r="A997" s="35"/>
      <c r="B997" s="36"/>
      <c r="C997" s="6"/>
      <c r="D997" s="6"/>
    </row>
    <row r="998" spans="1:4">
      <c r="A998" s="35"/>
      <c r="B998" s="36"/>
      <c r="C998" s="6"/>
      <c r="D998" s="6"/>
    </row>
    <row r="999" spans="1:4">
      <c r="A999" s="35"/>
      <c r="B999" s="36"/>
      <c r="C999" s="6"/>
      <c r="D999" s="6"/>
    </row>
    <row r="1000" spans="1:4">
      <c r="A1000" s="35"/>
      <c r="B1000" s="36"/>
      <c r="C1000" s="6"/>
      <c r="D1000" s="6"/>
    </row>
    <row r="1001" spans="1:4">
      <c r="A1001" s="35"/>
      <c r="B1001" s="36"/>
      <c r="C1001" s="6"/>
      <c r="D1001" s="6"/>
    </row>
    <row r="1002" spans="1:4">
      <c r="A1002" s="35"/>
      <c r="B1002" s="36"/>
      <c r="C1002" s="6"/>
      <c r="D1002" s="6"/>
    </row>
    <row r="1003" spans="1:4">
      <c r="A1003" s="35"/>
      <c r="B1003" s="36"/>
      <c r="C1003" s="6"/>
      <c r="D1003" s="6"/>
    </row>
    <row r="1004" spans="1:4">
      <c r="A1004" s="35"/>
      <c r="B1004" s="36"/>
      <c r="C1004" s="6"/>
      <c r="D1004" s="6"/>
    </row>
    <row r="1005" spans="1:4">
      <c r="A1005" s="35"/>
      <c r="B1005" s="36"/>
      <c r="C1005" s="6"/>
      <c r="D1005" s="6"/>
    </row>
    <row r="1006" spans="1:4">
      <c r="A1006" s="35"/>
      <c r="B1006" s="36"/>
      <c r="C1006" s="6"/>
      <c r="D1006" s="6"/>
    </row>
    <row r="1007" spans="1:4">
      <c r="A1007" s="35"/>
      <c r="B1007" s="36"/>
      <c r="C1007" s="6"/>
      <c r="D1007" s="6"/>
    </row>
    <row r="1008" spans="1:4">
      <c r="A1008" s="35"/>
      <c r="B1008" s="36"/>
      <c r="C1008" s="6"/>
      <c r="D1008" s="6"/>
    </row>
    <row r="1009" spans="1:4">
      <c r="A1009" s="35"/>
      <c r="B1009" s="36"/>
      <c r="C1009" s="6"/>
      <c r="D1009" s="6"/>
    </row>
    <row r="1010" spans="1:4">
      <c r="A1010" s="35"/>
      <c r="B1010" s="36"/>
      <c r="C1010" s="6"/>
      <c r="D1010" s="6"/>
    </row>
    <row r="1011" spans="1:4">
      <c r="A1011" s="35"/>
      <c r="B1011" s="36"/>
      <c r="C1011" s="6"/>
      <c r="D1011" s="6"/>
    </row>
    <row r="1012" spans="1:4">
      <c r="A1012" s="35"/>
      <c r="B1012" s="36"/>
      <c r="C1012" s="6"/>
      <c r="D1012" s="6"/>
    </row>
    <row r="1013" spans="1:4">
      <c r="A1013" s="35"/>
      <c r="B1013" s="36"/>
      <c r="C1013" s="6"/>
      <c r="D1013" s="6"/>
    </row>
    <row r="1014" spans="1:4">
      <c r="A1014" s="35"/>
      <c r="B1014" s="36"/>
      <c r="C1014" s="6"/>
      <c r="D1014" s="6"/>
    </row>
    <row r="1015" spans="1:4">
      <c r="A1015" s="35"/>
      <c r="B1015" s="36"/>
      <c r="C1015" s="6"/>
      <c r="D1015" s="6"/>
    </row>
    <row r="1016" spans="1:4">
      <c r="A1016" s="35"/>
      <c r="B1016" s="36"/>
      <c r="C1016" s="6"/>
      <c r="D1016" s="6"/>
    </row>
    <row r="1017" spans="1:4">
      <c r="A1017" s="35"/>
      <c r="B1017" s="36"/>
      <c r="C1017" s="6"/>
      <c r="D1017" s="6"/>
    </row>
    <row r="1018" spans="1:4">
      <c r="A1018" s="35"/>
      <c r="B1018" s="36"/>
      <c r="C1018" s="6"/>
      <c r="D1018" s="6"/>
    </row>
    <row r="1019" spans="1:4">
      <c r="A1019" s="35"/>
      <c r="B1019" s="36"/>
      <c r="C1019" s="6"/>
      <c r="D1019" s="6"/>
    </row>
    <row r="1020" spans="1:4">
      <c r="A1020" s="35"/>
      <c r="B1020" s="36"/>
      <c r="C1020" s="6"/>
      <c r="D1020" s="6"/>
    </row>
    <row r="1021" spans="1:4">
      <c r="A1021" s="35"/>
      <c r="B1021" s="36"/>
      <c r="C1021" s="6"/>
      <c r="D1021" s="6"/>
    </row>
    <row r="1022" spans="1:4">
      <c r="A1022" s="35"/>
      <c r="B1022" s="36"/>
      <c r="C1022" s="6"/>
      <c r="D1022" s="6"/>
    </row>
    <row r="1023" spans="1:4">
      <c r="A1023" s="35"/>
      <c r="B1023" s="36"/>
      <c r="C1023" s="6"/>
      <c r="D1023" s="6"/>
    </row>
    <row r="1024" spans="1:4">
      <c r="A1024" s="35"/>
      <c r="B1024" s="36"/>
      <c r="C1024" s="6"/>
      <c r="D1024" s="6"/>
    </row>
    <row r="1025" spans="1:4">
      <c r="A1025" s="35"/>
      <c r="B1025" s="36"/>
      <c r="C1025" s="6"/>
      <c r="D1025" s="6"/>
    </row>
    <row r="1026" spans="1:4">
      <c r="A1026" s="35"/>
      <c r="B1026" s="36"/>
      <c r="C1026" s="6"/>
      <c r="D1026" s="6"/>
    </row>
    <row r="1027" spans="1:4">
      <c r="A1027" s="35"/>
      <c r="B1027" s="36"/>
      <c r="C1027" s="6"/>
      <c r="D1027" s="6"/>
    </row>
    <row r="1028" spans="1:4">
      <c r="A1028" s="35"/>
      <c r="B1028" s="36"/>
      <c r="C1028" s="6"/>
      <c r="D1028" s="6"/>
    </row>
    <row r="1029" spans="1:4">
      <c r="A1029" s="35"/>
      <c r="B1029" s="36"/>
      <c r="C1029" s="6"/>
      <c r="D1029" s="6"/>
    </row>
    <row r="1030" spans="1:4">
      <c r="A1030" s="35"/>
      <c r="B1030" s="36"/>
      <c r="C1030" s="6"/>
      <c r="D1030" s="6"/>
    </row>
    <row r="1031" spans="1:4">
      <c r="A1031" s="35"/>
      <c r="B1031" s="36"/>
      <c r="C1031" s="6"/>
      <c r="D1031" s="6"/>
    </row>
    <row r="1032" spans="1:4">
      <c r="A1032" s="35"/>
      <c r="B1032" s="36"/>
      <c r="C1032" s="6"/>
      <c r="D1032" s="6"/>
    </row>
    <row r="1033" spans="1:4">
      <c r="A1033" s="35"/>
      <c r="B1033" s="36"/>
      <c r="C1033" s="6"/>
      <c r="D1033" s="6"/>
    </row>
    <row r="1034" spans="1:4">
      <c r="A1034" s="35"/>
      <c r="B1034" s="36"/>
      <c r="C1034" s="6"/>
      <c r="D1034" s="6"/>
    </row>
    <row r="1035" spans="1:4">
      <c r="A1035" s="35"/>
      <c r="B1035" s="36"/>
      <c r="C1035" s="6"/>
      <c r="D1035" s="6"/>
    </row>
    <row r="1036" spans="1:4">
      <c r="A1036" s="35"/>
      <c r="B1036" s="36"/>
      <c r="C1036" s="6"/>
      <c r="D1036" s="6"/>
    </row>
    <row r="1037" spans="1:4">
      <c r="A1037" s="35"/>
      <c r="B1037" s="36"/>
      <c r="C1037" s="6"/>
      <c r="D1037" s="6"/>
    </row>
    <row r="1038" spans="1:4">
      <c r="A1038" s="35"/>
      <c r="B1038" s="36"/>
      <c r="C1038" s="6"/>
      <c r="D1038" s="6"/>
    </row>
    <row r="1039" spans="1:4">
      <c r="A1039" s="35"/>
      <c r="B1039" s="36"/>
      <c r="C1039" s="6"/>
      <c r="D1039" s="6"/>
    </row>
    <row r="1040" spans="1:4">
      <c r="A1040" s="35"/>
      <c r="B1040" s="36"/>
      <c r="C1040" s="6"/>
      <c r="D1040" s="6"/>
    </row>
    <row r="1041" spans="1:4">
      <c r="A1041" s="35"/>
      <c r="B1041" s="36"/>
      <c r="C1041" s="6"/>
      <c r="D1041" s="6"/>
    </row>
    <row r="1042" spans="1:4">
      <c r="A1042" s="35"/>
      <c r="B1042" s="36"/>
      <c r="C1042" s="6"/>
      <c r="D1042" s="6"/>
    </row>
    <row r="1043" spans="1:4">
      <c r="A1043" s="35"/>
      <c r="B1043" s="36"/>
      <c r="C1043" s="6"/>
      <c r="D1043" s="6"/>
    </row>
    <row r="1044" spans="1:4">
      <c r="A1044" s="35"/>
      <c r="B1044" s="36"/>
      <c r="C1044" s="6"/>
      <c r="D1044" s="6"/>
    </row>
    <row r="1045" spans="1:4">
      <c r="A1045" s="35"/>
      <c r="B1045" s="36"/>
      <c r="C1045" s="6"/>
      <c r="D1045" s="6"/>
    </row>
    <row r="1046" spans="1:4">
      <c r="A1046" s="35"/>
      <c r="B1046" s="36"/>
      <c r="C1046" s="6"/>
      <c r="D1046" s="6"/>
    </row>
    <row r="1047" spans="1:4">
      <c r="A1047" s="35"/>
      <c r="B1047" s="36"/>
      <c r="C1047" s="6"/>
      <c r="D1047" s="6"/>
    </row>
    <row r="1048" spans="1:4">
      <c r="A1048" s="35"/>
      <c r="B1048" s="36"/>
      <c r="C1048" s="6"/>
      <c r="D1048" s="6"/>
    </row>
    <row r="1049" spans="1:4">
      <c r="A1049" s="35"/>
      <c r="B1049" s="36"/>
      <c r="C1049" s="6"/>
      <c r="D1049" s="6"/>
    </row>
    <row r="1050" spans="1:4">
      <c r="A1050" s="35"/>
      <c r="B1050" s="36"/>
      <c r="C1050" s="6"/>
      <c r="D1050" s="6"/>
    </row>
    <row r="1051" spans="1:4">
      <c r="A1051" s="35"/>
      <c r="B1051" s="36"/>
      <c r="C1051" s="6"/>
      <c r="D1051" s="6"/>
    </row>
    <row r="1052" spans="1:4">
      <c r="A1052" s="35"/>
      <c r="B1052" s="36"/>
      <c r="C1052" s="6"/>
      <c r="D1052" s="6"/>
    </row>
    <row r="1053" spans="1:4">
      <c r="A1053" s="35"/>
      <c r="B1053" s="36"/>
      <c r="C1053" s="6"/>
      <c r="D1053" s="6"/>
    </row>
    <row r="1054" spans="1:4">
      <c r="A1054" s="35"/>
      <c r="B1054" s="36"/>
      <c r="C1054" s="6"/>
      <c r="D1054" s="6"/>
    </row>
    <row r="1055" spans="1:4">
      <c r="A1055" s="35"/>
      <c r="B1055" s="36"/>
      <c r="C1055" s="6"/>
      <c r="D1055" s="6"/>
    </row>
    <row r="1056" spans="1:4">
      <c r="A1056" s="35"/>
      <c r="B1056" s="36"/>
      <c r="C1056" s="6"/>
      <c r="D1056" s="6"/>
    </row>
    <row r="1057" spans="1:4">
      <c r="A1057" s="35"/>
      <c r="B1057" s="36"/>
      <c r="C1057" s="6"/>
      <c r="D1057" s="6"/>
    </row>
    <row r="1058" spans="1:4">
      <c r="A1058" s="35"/>
      <c r="B1058" s="36"/>
      <c r="C1058" s="6"/>
      <c r="D1058" s="6"/>
    </row>
    <row r="1059" spans="1:4">
      <c r="A1059" s="35"/>
      <c r="B1059" s="36"/>
      <c r="C1059" s="6"/>
      <c r="D1059" s="6"/>
    </row>
    <row r="1060" spans="1:4">
      <c r="A1060" s="35"/>
      <c r="B1060" s="36"/>
      <c r="C1060" s="6"/>
      <c r="D1060" s="6"/>
    </row>
    <row r="1061" spans="1:4">
      <c r="A1061" s="35"/>
      <c r="B1061" s="36"/>
      <c r="C1061" s="6"/>
      <c r="D1061" s="6"/>
    </row>
    <row r="1062" spans="1:4">
      <c r="A1062" s="35"/>
      <c r="B1062" s="36"/>
      <c r="C1062" s="6"/>
      <c r="D1062" s="6"/>
    </row>
    <row r="1063" spans="1:4">
      <c r="A1063" s="35"/>
      <c r="B1063" s="36"/>
      <c r="C1063" s="6"/>
      <c r="D1063" s="6"/>
    </row>
    <row r="1064" spans="1:4">
      <c r="A1064" s="35"/>
      <c r="B1064" s="36"/>
      <c r="C1064" s="6"/>
      <c r="D1064" s="6"/>
    </row>
    <row r="1065" spans="1:4">
      <c r="A1065" s="35"/>
      <c r="B1065" s="36"/>
      <c r="C1065" s="6"/>
      <c r="D1065" s="6"/>
    </row>
    <row r="1066" spans="1:4">
      <c r="A1066" s="35"/>
      <c r="B1066" s="36"/>
      <c r="C1066" s="6"/>
      <c r="D1066" s="6"/>
    </row>
    <row r="1067" spans="1:4">
      <c r="A1067" s="35"/>
      <c r="B1067" s="36"/>
      <c r="C1067" s="6"/>
      <c r="D1067" s="6"/>
    </row>
    <row r="1068" spans="1:4">
      <c r="A1068" s="35"/>
      <c r="B1068" s="36"/>
      <c r="C1068" s="6"/>
      <c r="D1068" s="6"/>
    </row>
    <row r="1069" spans="1:4">
      <c r="A1069" s="35"/>
      <c r="B1069" s="36"/>
      <c r="C1069" s="6"/>
      <c r="D1069" s="6"/>
    </row>
    <row r="1070" spans="1:4">
      <c r="A1070" s="35"/>
      <c r="B1070" s="36"/>
      <c r="C1070" s="6"/>
      <c r="D1070" s="6"/>
    </row>
    <row r="1071" spans="1:4">
      <c r="A1071" s="35"/>
      <c r="B1071" s="36"/>
      <c r="C1071" s="6"/>
      <c r="D1071" s="6"/>
    </row>
    <row r="1072" spans="1:4">
      <c r="A1072" s="35"/>
      <c r="B1072" s="36"/>
      <c r="C1072" s="6"/>
      <c r="D1072" s="6"/>
    </row>
    <row r="1073" spans="1:4">
      <c r="A1073" s="35"/>
      <c r="B1073" s="36"/>
      <c r="C1073" s="6"/>
      <c r="D1073" s="6"/>
    </row>
    <row r="1074" spans="1:4">
      <c r="A1074" s="35"/>
      <c r="B1074" s="36"/>
      <c r="C1074" s="6"/>
      <c r="D1074" s="6"/>
    </row>
    <row r="1075" spans="1:4">
      <c r="A1075" s="35"/>
      <c r="B1075" s="36"/>
      <c r="C1075" s="6"/>
      <c r="D1075" s="6"/>
    </row>
    <row r="1076" spans="1:4">
      <c r="A1076" s="35"/>
      <c r="B1076" s="36"/>
      <c r="C1076" s="6"/>
      <c r="D1076" s="6"/>
    </row>
    <row r="1077" spans="1:4">
      <c r="A1077" s="35"/>
      <c r="B1077" s="36"/>
      <c r="C1077" s="6"/>
      <c r="D1077" s="6"/>
    </row>
    <row r="1078" spans="1:4">
      <c r="A1078" s="35"/>
      <c r="B1078" s="36"/>
      <c r="C1078" s="6"/>
      <c r="D1078" s="6"/>
    </row>
    <row r="1079" spans="1:4">
      <c r="A1079" s="35"/>
      <c r="B1079" s="36"/>
      <c r="C1079" s="6"/>
      <c r="D1079" s="6"/>
    </row>
    <row r="1080" spans="1:4">
      <c r="A1080" s="35"/>
      <c r="B1080" s="36"/>
      <c r="C1080" s="6"/>
      <c r="D1080" s="6"/>
    </row>
    <row r="1081" spans="1:4">
      <c r="A1081" s="35"/>
      <c r="B1081" s="36"/>
      <c r="C1081" s="6"/>
      <c r="D1081" s="6"/>
    </row>
    <row r="1082" spans="1:4">
      <c r="A1082" s="35"/>
      <c r="B1082" s="36"/>
      <c r="C1082" s="6"/>
      <c r="D1082" s="6"/>
    </row>
    <row r="1083" spans="1:4">
      <c r="A1083" s="35"/>
      <c r="B1083" s="36"/>
      <c r="C1083" s="6"/>
      <c r="D1083" s="6"/>
    </row>
    <row r="1084" spans="1:4">
      <c r="A1084" s="35"/>
      <c r="B1084" s="36"/>
      <c r="C1084" s="6"/>
      <c r="D1084" s="6"/>
    </row>
    <row r="1085" spans="1:4">
      <c r="A1085" s="35"/>
      <c r="B1085" s="36"/>
      <c r="C1085" s="6"/>
      <c r="D1085" s="6"/>
    </row>
    <row r="1086" spans="1:4">
      <c r="A1086" s="35"/>
      <c r="B1086" s="36"/>
      <c r="C1086" s="6"/>
      <c r="D1086" s="6"/>
    </row>
    <row r="1087" spans="1:4">
      <c r="A1087" s="35"/>
      <c r="B1087" s="36"/>
      <c r="C1087" s="6"/>
      <c r="D1087" s="6"/>
    </row>
    <row r="1088" spans="1:4">
      <c r="A1088" s="35"/>
      <c r="B1088" s="36"/>
      <c r="C1088" s="6"/>
      <c r="D1088" s="6"/>
    </row>
    <row r="1089" spans="1:4">
      <c r="A1089" s="35"/>
      <c r="B1089" s="36"/>
      <c r="C1089" s="6"/>
      <c r="D1089" s="6"/>
    </row>
    <row r="1090" spans="1:4">
      <c r="A1090" s="35"/>
      <c r="B1090" s="36"/>
      <c r="C1090" s="6"/>
      <c r="D1090" s="6"/>
    </row>
    <row r="1091" spans="1:4">
      <c r="A1091" s="35"/>
      <c r="B1091" s="36"/>
      <c r="C1091" s="6"/>
      <c r="D1091" s="6"/>
    </row>
    <row r="1092" spans="1:4">
      <c r="A1092" s="35"/>
      <c r="B1092" s="36"/>
      <c r="C1092" s="6"/>
      <c r="D1092" s="6"/>
    </row>
    <row r="1093" spans="1:4">
      <c r="A1093" s="35"/>
      <c r="B1093" s="36"/>
      <c r="C1093" s="6"/>
      <c r="D1093" s="6"/>
    </row>
    <row r="1094" spans="1:4">
      <c r="A1094" s="35"/>
      <c r="B1094" s="36"/>
      <c r="C1094" s="6"/>
      <c r="D1094" s="6"/>
    </row>
    <row r="1095" spans="1:4">
      <c r="A1095" s="35"/>
      <c r="B1095" s="36"/>
      <c r="C1095" s="6"/>
      <c r="D1095" s="6"/>
    </row>
    <row r="1096" spans="1:4">
      <c r="A1096" s="35"/>
      <c r="B1096" s="36"/>
      <c r="C1096" s="6"/>
      <c r="D1096" s="6"/>
    </row>
    <row r="1097" spans="1:4">
      <c r="A1097" s="35"/>
      <c r="B1097" s="36"/>
      <c r="C1097" s="6"/>
      <c r="D1097" s="6"/>
    </row>
    <row r="1098" spans="1:4">
      <c r="A1098" s="35"/>
      <c r="B1098" s="36"/>
      <c r="C1098" s="6"/>
      <c r="D1098" s="6"/>
    </row>
    <row r="1099" spans="1:4">
      <c r="A1099" s="35"/>
      <c r="B1099" s="36"/>
      <c r="C1099" s="6"/>
      <c r="D1099" s="6"/>
    </row>
    <row r="1100" spans="1:4">
      <c r="A1100" s="35"/>
      <c r="B1100" s="36"/>
      <c r="C1100" s="6"/>
      <c r="D1100" s="6"/>
    </row>
    <row r="1101" spans="1:4">
      <c r="A1101" s="35"/>
      <c r="B1101" s="36"/>
      <c r="C1101" s="6"/>
      <c r="D1101" s="6"/>
    </row>
    <row r="1102" spans="1:4">
      <c r="A1102" s="35"/>
      <c r="B1102" s="36"/>
      <c r="C1102" s="6"/>
      <c r="D1102" s="6"/>
    </row>
    <row r="1103" spans="1:4">
      <c r="A1103" s="35"/>
      <c r="B1103" s="36"/>
      <c r="C1103" s="6"/>
      <c r="D1103" s="6"/>
    </row>
    <row r="1104" spans="1:4">
      <c r="A1104" s="35"/>
      <c r="B1104" s="36"/>
      <c r="C1104" s="6"/>
      <c r="D1104" s="6"/>
    </row>
    <row r="1105" spans="1:4">
      <c r="A1105" s="35"/>
      <c r="B1105" s="36"/>
      <c r="C1105" s="6"/>
      <c r="D1105" s="6"/>
    </row>
    <row r="1106" spans="1:4">
      <c r="A1106" s="35"/>
      <c r="B1106" s="36"/>
      <c r="C1106" s="6"/>
      <c r="D1106" s="6"/>
    </row>
    <row r="1107" spans="1:4">
      <c r="A1107" s="35"/>
      <c r="B1107" s="36"/>
      <c r="C1107" s="6"/>
      <c r="D1107" s="6"/>
    </row>
    <row r="1108" spans="1:4">
      <c r="A1108" s="35"/>
      <c r="B1108" s="36"/>
      <c r="C1108" s="6"/>
      <c r="D1108" s="6"/>
    </row>
    <row r="1109" spans="1:4">
      <c r="A1109" s="35"/>
      <c r="B1109" s="36"/>
      <c r="C1109" s="6"/>
      <c r="D1109" s="6"/>
    </row>
    <row r="1110" spans="1:4">
      <c r="A1110" s="35"/>
      <c r="B1110" s="36"/>
      <c r="C1110" s="6"/>
      <c r="D1110" s="6"/>
    </row>
    <row r="1111" spans="1:4">
      <c r="A1111" s="35"/>
      <c r="B1111" s="36"/>
      <c r="C1111" s="6"/>
      <c r="D1111" s="6"/>
    </row>
    <row r="1112" spans="1:4">
      <c r="A1112" s="35"/>
      <c r="B1112" s="36"/>
      <c r="C1112" s="6"/>
      <c r="D1112" s="6"/>
    </row>
    <row r="1113" spans="1:4">
      <c r="A1113" s="35"/>
      <c r="B1113" s="36"/>
      <c r="C1113" s="6"/>
      <c r="D1113" s="6"/>
    </row>
    <row r="1114" spans="1:4">
      <c r="A1114" s="35"/>
      <c r="B1114" s="36"/>
      <c r="C1114" s="6"/>
      <c r="D1114" s="6"/>
    </row>
    <row r="1115" spans="1:4">
      <c r="A1115" s="35"/>
      <c r="B1115" s="36"/>
      <c r="C1115" s="6"/>
      <c r="D1115" s="6"/>
    </row>
    <row r="1116" spans="1:4">
      <c r="A1116" s="35"/>
      <c r="B1116" s="36"/>
      <c r="C1116" s="6"/>
      <c r="D1116" s="6"/>
    </row>
    <row r="1117" spans="1:4">
      <c r="A1117" s="35"/>
      <c r="B1117" s="36"/>
      <c r="C1117" s="6"/>
      <c r="D1117" s="6"/>
    </row>
    <row r="1118" spans="1:4">
      <c r="A1118" s="35"/>
      <c r="B1118" s="36"/>
      <c r="C1118" s="6"/>
      <c r="D1118" s="6"/>
    </row>
    <row r="1119" spans="1:4">
      <c r="A1119" s="35"/>
      <c r="B1119" s="36"/>
      <c r="C1119" s="6"/>
      <c r="D1119" s="6"/>
    </row>
    <row r="1120" spans="1:4">
      <c r="A1120" s="35"/>
      <c r="B1120" s="36"/>
      <c r="C1120" s="6"/>
      <c r="D1120" s="6"/>
    </row>
    <row r="1121" spans="1:4">
      <c r="A1121" s="35"/>
      <c r="B1121" s="36"/>
      <c r="C1121" s="6"/>
      <c r="D1121" s="6"/>
    </row>
    <row r="1122" spans="1:4">
      <c r="A1122" s="35"/>
      <c r="B1122" s="36"/>
      <c r="C1122" s="6"/>
      <c r="D1122" s="6"/>
    </row>
    <row r="1123" spans="1:4">
      <c r="A1123" s="35"/>
      <c r="B1123" s="36"/>
      <c r="C1123" s="6"/>
      <c r="D1123" s="6"/>
    </row>
    <row r="1124" spans="1:4">
      <c r="A1124" s="35"/>
      <c r="B1124" s="36"/>
      <c r="C1124" s="6"/>
      <c r="D1124" s="6"/>
    </row>
    <row r="1125" spans="1:4">
      <c r="A1125" s="35"/>
      <c r="B1125" s="36"/>
      <c r="C1125" s="6"/>
      <c r="D1125" s="6"/>
    </row>
    <row r="1126" spans="1:4">
      <c r="A1126" s="35"/>
      <c r="B1126" s="36"/>
      <c r="C1126" s="6"/>
      <c r="D1126" s="6"/>
    </row>
    <row r="1127" spans="1:4">
      <c r="A1127" s="35"/>
      <c r="B1127" s="36"/>
      <c r="C1127" s="6"/>
      <c r="D1127" s="6"/>
    </row>
    <row r="1128" spans="1:4">
      <c r="A1128" s="35"/>
      <c r="B1128" s="36"/>
      <c r="C1128" s="6"/>
      <c r="D1128" s="6"/>
    </row>
    <row r="1129" spans="1:4">
      <c r="A1129" s="35"/>
      <c r="B1129" s="36"/>
      <c r="C1129" s="6"/>
      <c r="D1129" s="6"/>
    </row>
    <row r="1130" spans="1:4">
      <c r="A1130" s="35"/>
      <c r="B1130" s="36"/>
      <c r="C1130" s="6"/>
      <c r="D1130" s="6"/>
    </row>
    <row r="1131" spans="1:4">
      <c r="A1131" s="35"/>
      <c r="B1131" s="36"/>
      <c r="C1131" s="6"/>
      <c r="D1131" s="6"/>
    </row>
    <row r="1132" spans="1:4">
      <c r="A1132" s="35"/>
      <c r="B1132" s="36"/>
      <c r="C1132" s="6"/>
      <c r="D1132" s="6"/>
    </row>
    <row r="1133" spans="1:4">
      <c r="A1133" s="35"/>
      <c r="B1133" s="36"/>
      <c r="C1133" s="6"/>
      <c r="D1133" s="6"/>
    </row>
    <row r="1134" spans="1:4">
      <c r="A1134" s="35"/>
      <c r="B1134" s="36"/>
      <c r="C1134" s="6"/>
      <c r="D1134" s="6"/>
    </row>
    <row r="1135" spans="1:4">
      <c r="A1135" s="35"/>
      <c r="B1135" s="36"/>
      <c r="C1135" s="6"/>
      <c r="D1135" s="6"/>
    </row>
    <row r="1136" spans="1:4">
      <c r="A1136" s="35"/>
      <c r="B1136" s="36"/>
      <c r="C1136" s="6"/>
      <c r="D1136" s="6"/>
    </row>
    <row r="1137" spans="1:4">
      <c r="A1137" s="35"/>
      <c r="B1137" s="36"/>
      <c r="C1137" s="6"/>
      <c r="D1137" s="6"/>
    </row>
    <row r="1138" spans="1:4">
      <c r="A1138" s="35"/>
      <c r="B1138" s="36"/>
      <c r="C1138" s="6"/>
      <c r="D1138" s="6"/>
    </row>
    <row r="1139" spans="1:4">
      <c r="A1139" s="35"/>
      <c r="B1139" s="36"/>
      <c r="C1139" s="6"/>
      <c r="D1139" s="6"/>
    </row>
    <row r="1140" spans="1:4">
      <c r="A1140" s="35"/>
      <c r="B1140" s="36"/>
      <c r="C1140" s="6"/>
      <c r="D1140" s="6"/>
    </row>
    <row r="1141" spans="1:4">
      <c r="A1141" s="35"/>
      <c r="B1141" s="36"/>
      <c r="C1141" s="6"/>
      <c r="D1141" s="6"/>
    </row>
    <row r="1142" spans="1:4">
      <c r="A1142" s="35"/>
      <c r="B1142" s="36"/>
      <c r="C1142" s="6"/>
      <c r="D1142" s="6"/>
    </row>
    <row r="1143" spans="1:4">
      <c r="A1143" s="35"/>
      <c r="B1143" s="36"/>
      <c r="C1143" s="6"/>
      <c r="D1143" s="6"/>
    </row>
    <row r="1144" spans="1:4">
      <c r="A1144" s="35"/>
      <c r="B1144" s="36"/>
      <c r="C1144" s="6"/>
      <c r="D1144" s="6"/>
    </row>
    <row r="1145" spans="1:4">
      <c r="A1145" s="35"/>
      <c r="B1145" s="36"/>
      <c r="C1145" s="6"/>
      <c r="D1145" s="6"/>
    </row>
    <row r="1146" spans="1:4">
      <c r="A1146" s="35"/>
      <c r="B1146" s="36"/>
      <c r="C1146" s="6"/>
      <c r="D1146" s="6"/>
    </row>
    <row r="1147" spans="1:4">
      <c r="A1147" s="35"/>
      <c r="B1147" s="36"/>
      <c r="C1147" s="6"/>
      <c r="D1147" s="6"/>
    </row>
    <row r="1148" spans="1:4">
      <c r="A1148" s="35"/>
      <c r="B1148" s="36"/>
      <c r="C1148" s="6"/>
      <c r="D1148" s="6"/>
    </row>
    <row r="1149" spans="1:4">
      <c r="A1149" s="35"/>
      <c r="B1149" s="36"/>
      <c r="C1149" s="6"/>
      <c r="D1149" s="6"/>
    </row>
    <row r="1150" spans="1:4">
      <c r="A1150" s="35"/>
      <c r="B1150" s="36"/>
      <c r="C1150" s="6"/>
      <c r="D1150" s="6"/>
    </row>
    <row r="1151" spans="1:4">
      <c r="A1151" s="35"/>
      <c r="B1151" s="36"/>
      <c r="C1151" s="6"/>
      <c r="D1151" s="6"/>
    </row>
    <row r="1152" spans="1:4">
      <c r="A1152" s="35"/>
      <c r="B1152" s="36"/>
      <c r="C1152" s="6"/>
      <c r="D1152" s="6"/>
    </row>
    <row r="1153" spans="1:4">
      <c r="A1153" s="35"/>
      <c r="B1153" s="36"/>
      <c r="C1153" s="6"/>
      <c r="D1153" s="6"/>
    </row>
    <row r="1154" spans="1:4">
      <c r="A1154" s="35"/>
      <c r="B1154" s="36"/>
      <c r="C1154" s="6"/>
      <c r="D1154" s="6"/>
    </row>
    <row r="1155" spans="1:4">
      <c r="A1155" s="35"/>
      <c r="B1155" s="36"/>
      <c r="C1155" s="6"/>
      <c r="D1155" s="6"/>
    </row>
    <row r="1156" spans="1:4">
      <c r="A1156" s="35"/>
      <c r="B1156" s="36"/>
      <c r="C1156" s="6"/>
      <c r="D1156" s="6"/>
    </row>
    <row r="1157" spans="1:4">
      <c r="A1157" s="35"/>
      <c r="B1157" s="36"/>
      <c r="C1157" s="6"/>
      <c r="D1157" s="6"/>
    </row>
    <row r="1158" spans="1:4">
      <c r="A1158" s="35"/>
      <c r="B1158" s="36"/>
      <c r="C1158" s="6"/>
      <c r="D1158" s="6"/>
    </row>
    <row r="1159" spans="1:4">
      <c r="A1159" s="35"/>
      <c r="B1159" s="36"/>
      <c r="C1159" s="6"/>
      <c r="D1159" s="6"/>
    </row>
    <row r="1160" spans="1:4">
      <c r="A1160" s="35"/>
      <c r="B1160" s="36"/>
      <c r="C1160" s="6"/>
      <c r="D1160" s="6"/>
    </row>
    <row r="1161" spans="1:4">
      <c r="A1161" s="35"/>
      <c r="B1161" s="36"/>
      <c r="C1161" s="6"/>
      <c r="D1161" s="6"/>
    </row>
    <row r="1162" spans="1:4">
      <c r="A1162" s="35"/>
      <c r="B1162" s="36"/>
      <c r="C1162" s="6"/>
      <c r="D1162" s="6"/>
    </row>
    <row r="1163" spans="1:4">
      <c r="A1163" s="35"/>
      <c r="B1163" s="36"/>
      <c r="C1163" s="6"/>
      <c r="D1163" s="6"/>
    </row>
    <row r="1164" spans="1:4">
      <c r="A1164" s="35"/>
      <c r="B1164" s="36"/>
      <c r="C1164" s="6"/>
      <c r="D1164" s="6"/>
    </row>
    <row r="1165" spans="1:4">
      <c r="A1165" s="35"/>
      <c r="B1165" s="36"/>
      <c r="C1165" s="6"/>
      <c r="D1165" s="6"/>
    </row>
    <row r="1166" spans="1:4">
      <c r="A1166" s="35"/>
      <c r="B1166" s="36"/>
      <c r="C1166" s="6"/>
      <c r="D1166" s="6"/>
    </row>
    <row r="1167" spans="1:4">
      <c r="A1167" s="35"/>
      <c r="B1167" s="36"/>
      <c r="C1167" s="6"/>
      <c r="D1167" s="6"/>
    </row>
    <row r="1168" spans="1:4">
      <c r="A1168" s="35"/>
      <c r="B1168" s="36"/>
      <c r="C1168" s="6"/>
      <c r="D1168" s="6"/>
    </row>
    <row r="1169" spans="1:4">
      <c r="A1169" s="35"/>
      <c r="B1169" s="36"/>
      <c r="C1169" s="6"/>
      <c r="D1169" s="6"/>
    </row>
    <row r="1170" spans="1:4">
      <c r="A1170" s="35"/>
      <c r="B1170" s="36"/>
      <c r="C1170" s="6"/>
      <c r="D1170" s="6"/>
    </row>
    <row r="1171" spans="1:4">
      <c r="A1171" s="35"/>
      <c r="B1171" s="36"/>
      <c r="C1171" s="6"/>
      <c r="D1171" s="6"/>
    </row>
    <row r="1172" spans="1:4">
      <c r="A1172" s="35"/>
      <c r="B1172" s="36"/>
      <c r="C1172" s="6"/>
      <c r="D1172" s="6"/>
    </row>
    <row r="1173" spans="1:4">
      <c r="A1173" s="35"/>
      <c r="B1173" s="36"/>
      <c r="C1173" s="6"/>
      <c r="D1173" s="6"/>
    </row>
    <row r="1174" spans="1:4">
      <c r="A1174" s="35"/>
      <c r="B1174" s="36"/>
      <c r="C1174" s="6"/>
      <c r="D1174" s="6"/>
    </row>
    <row r="1175" spans="1:4">
      <c r="A1175" s="35"/>
      <c r="B1175" s="36"/>
      <c r="C1175" s="6"/>
      <c r="D1175" s="6"/>
    </row>
    <row r="1176" spans="1:4">
      <c r="A1176" s="35"/>
      <c r="B1176" s="36"/>
      <c r="C1176" s="6"/>
      <c r="D1176" s="6"/>
    </row>
    <row r="1177" spans="1:4">
      <c r="A1177" s="35"/>
      <c r="B1177" s="36"/>
      <c r="C1177" s="6"/>
      <c r="D1177" s="6"/>
    </row>
    <row r="1178" spans="1:4">
      <c r="A1178" s="35"/>
      <c r="B1178" s="36"/>
      <c r="C1178" s="6"/>
      <c r="D1178" s="6"/>
    </row>
    <row r="1179" spans="1:4">
      <c r="A1179" s="35"/>
      <c r="B1179" s="36"/>
      <c r="C1179" s="6"/>
      <c r="D1179" s="6"/>
    </row>
    <row r="1180" spans="1:4">
      <c r="A1180" s="35"/>
      <c r="B1180" s="36"/>
      <c r="C1180" s="6"/>
      <c r="D1180" s="6"/>
    </row>
    <row r="1181" spans="1:4">
      <c r="A1181" s="35"/>
      <c r="B1181" s="36"/>
      <c r="C1181" s="6"/>
      <c r="D1181" s="6"/>
    </row>
    <row r="1182" spans="1:4">
      <c r="A1182" s="35"/>
      <c r="B1182" s="36"/>
      <c r="C1182" s="6"/>
      <c r="D1182" s="6"/>
    </row>
    <row r="1183" spans="1:4">
      <c r="A1183" s="35"/>
      <c r="B1183" s="36"/>
      <c r="C1183" s="6"/>
      <c r="D1183" s="6"/>
    </row>
    <row r="1184" spans="1:4">
      <c r="A1184" s="35"/>
      <c r="B1184" s="36"/>
      <c r="C1184" s="6"/>
      <c r="D1184" s="6"/>
    </row>
    <row r="1185" spans="1:4">
      <c r="A1185" s="35"/>
      <c r="B1185" s="36"/>
      <c r="C1185" s="6"/>
      <c r="D1185" s="6"/>
    </row>
    <row r="1186" spans="1:4">
      <c r="A1186" s="35"/>
      <c r="B1186" s="36"/>
      <c r="C1186" s="6"/>
      <c r="D1186" s="6"/>
    </row>
    <row r="1187" spans="1:4">
      <c r="A1187" s="35"/>
      <c r="B1187" s="36"/>
      <c r="C1187" s="6"/>
      <c r="D1187" s="6"/>
    </row>
    <row r="1188" spans="1:4">
      <c r="A1188" s="35"/>
      <c r="B1188" s="36"/>
      <c r="C1188" s="6"/>
      <c r="D1188" s="6"/>
    </row>
    <row r="1189" spans="1:4">
      <c r="A1189" s="35"/>
      <c r="B1189" s="36"/>
      <c r="C1189" s="6"/>
      <c r="D1189" s="6"/>
    </row>
    <row r="1190" spans="1:4">
      <c r="A1190" s="35"/>
      <c r="B1190" s="36"/>
      <c r="C1190" s="6"/>
      <c r="D1190" s="6"/>
    </row>
    <row r="1191" spans="1:4">
      <c r="A1191" s="35"/>
      <c r="B1191" s="36"/>
      <c r="C1191" s="6"/>
      <c r="D1191" s="6"/>
    </row>
    <row r="1192" spans="1:4">
      <c r="A1192" s="35"/>
      <c r="B1192" s="36"/>
      <c r="C1192" s="6"/>
      <c r="D1192" s="6"/>
    </row>
    <row r="1193" spans="1:4">
      <c r="A1193" s="35"/>
      <c r="B1193" s="36"/>
      <c r="C1193" s="6"/>
      <c r="D1193" s="6"/>
    </row>
    <row r="1194" spans="1:4">
      <c r="A1194" s="35"/>
      <c r="B1194" s="36"/>
      <c r="C1194" s="6"/>
      <c r="D1194" s="6"/>
    </row>
    <row r="1195" spans="1:4">
      <c r="A1195" s="35"/>
      <c r="B1195" s="36"/>
      <c r="C1195" s="6"/>
      <c r="D1195" s="6"/>
    </row>
    <row r="1196" spans="1:4">
      <c r="A1196" s="35"/>
      <c r="B1196" s="36"/>
      <c r="C1196" s="6"/>
      <c r="D1196" s="6"/>
    </row>
    <row r="1197" spans="1:4">
      <c r="A1197" s="35"/>
      <c r="B1197" s="36"/>
      <c r="C1197" s="6"/>
      <c r="D1197" s="6"/>
    </row>
    <row r="1198" spans="1:4">
      <c r="A1198" s="35"/>
      <c r="B1198" s="36"/>
      <c r="C1198" s="6"/>
      <c r="D1198" s="6"/>
    </row>
    <row r="1199" spans="1:4">
      <c r="A1199" s="35"/>
      <c r="B1199" s="36"/>
      <c r="C1199" s="6"/>
      <c r="D1199" s="6"/>
    </row>
    <row r="1200" spans="1:4">
      <c r="A1200" s="35"/>
      <c r="B1200" s="36"/>
      <c r="C1200" s="6"/>
      <c r="D1200" s="6"/>
    </row>
    <row r="1201" spans="1:4">
      <c r="A1201" s="35"/>
      <c r="B1201" s="36"/>
      <c r="C1201" s="6"/>
      <c r="D1201" s="6"/>
    </row>
    <row r="1202" spans="1:4">
      <c r="A1202" s="35"/>
      <c r="B1202" s="36"/>
      <c r="C1202" s="6"/>
      <c r="D1202" s="6"/>
    </row>
    <row r="1203" spans="1:4">
      <c r="A1203" s="35"/>
      <c r="B1203" s="36"/>
      <c r="C1203" s="6"/>
      <c r="D1203" s="6"/>
    </row>
    <row r="1204" spans="1:4">
      <c r="A1204" s="35"/>
      <c r="B1204" s="36"/>
      <c r="C1204" s="6"/>
      <c r="D1204" s="6"/>
    </row>
    <row r="1205" spans="1:4">
      <c r="A1205" s="35"/>
      <c r="B1205" s="36"/>
      <c r="C1205" s="6"/>
      <c r="D1205" s="6"/>
    </row>
    <row r="1206" spans="1:4">
      <c r="A1206" s="35"/>
      <c r="B1206" s="36"/>
      <c r="C1206" s="6"/>
      <c r="D1206" s="6"/>
    </row>
    <row r="1207" spans="1:4">
      <c r="A1207" s="35"/>
      <c r="B1207" s="36"/>
      <c r="C1207" s="6"/>
      <c r="D1207" s="6"/>
    </row>
    <row r="1208" spans="1:4">
      <c r="A1208" s="35"/>
      <c r="B1208" s="36"/>
      <c r="C1208" s="6"/>
      <c r="D1208" s="6"/>
    </row>
    <row r="1209" spans="1:4">
      <c r="A1209" s="35"/>
      <c r="B1209" s="36"/>
      <c r="C1209" s="6"/>
      <c r="D1209" s="6"/>
    </row>
    <row r="1210" spans="1:4">
      <c r="A1210" s="35"/>
      <c r="B1210" s="36"/>
      <c r="C1210" s="6"/>
      <c r="D1210" s="6"/>
    </row>
    <row r="1211" spans="1:4">
      <c r="A1211" s="35"/>
      <c r="B1211" s="36"/>
      <c r="C1211" s="6"/>
      <c r="D1211" s="6"/>
    </row>
    <row r="1212" spans="1:4">
      <c r="A1212" s="35"/>
      <c r="B1212" s="36"/>
      <c r="C1212" s="6"/>
      <c r="D1212" s="6"/>
    </row>
    <row r="1213" spans="1:4">
      <c r="A1213" s="35"/>
      <c r="B1213" s="36"/>
      <c r="C1213" s="6"/>
      <c r="D1213" s="6"/>
    </row>
    <row r="1214" spans="1:4">
      <c r="A1214" s="35"/>
      <c r="B1214" s="36"/>
      <c r="C1214" s="6"/>
      <c r="D1214" s="6"/>
    </row>
    <row r="1215" spans="1:4">
      <c r="A1215" s="35"/>
      <c r="B1215" s="36"/>
      <c r="C1215" s="6"/>
      <c r="D1215" s="6"/>
    </row>
    <row r="1216" spans="1:4">
      <c r="A1216" s="35"/>
      <c r="B1216" s="36"/>
      <c r="C1216" s="6"/>
      <c r="D1216" s="6"/>
    </row>
    <row r="1217" spans="1:4">
      <c r="A1217" s="35"/>
      <c r="B1217" s="36"/>
      <c r="C1217" s="6"/>
      <c r="D1217" s="6"/>
    </row>
    <row r="1218" spans="1:4">
      <c r="A1218" s="35"/>
      <c r="B1218" s="36"/>
      <c r="C1218" s="6"/>
      <c r="D1218" s="6"/>
    </row>
    <row r="1219" spans="1:4">
      <c r="A1219" s="35"/>
      <c r="B1219" s="36"/>
      <c r="C1219" s="6"/>
      <c r="D1219" s="6"/>
    </row>
    <row r="1220" spans="1:4">
      <c r="A1220" s="35"/>
      <c r="B1220" s="36"/>
      <c r="C1220" s="6"/>
      <c r="D1220" s="6"/>
    </row>
    <row r="1221" spans="1:4">
      <c r="A1221" s="35"/>
      <c r="B1221" s="36"/>
      <c r="C1221" s="6"/>
      <c r="D1221" s="6"/>
    </row>
    <row r="1222" spans="1:4">
      <c r="A1222" s="35"/>
      <c r="B1222" s="36"/>
      <c r="C1222" s="6"/>
      <c r="D1222" s="6"/>
    </row>
    <row r="1223" spans="1:4">
      <c r="A1223" s="35"/>
      <c r="B1223" s="36"/>
      <c r="C1223" s="6"/>
      <c r="D1223" s="6"/>
    </row>
    <row r="1224" spans="1:4">
      <c r="A1224" s="35"/>
      <c r="B1224" s="36"/>
      <c r="C1224" s="6"/>
      <c r="D1224" s="6"/>
    </row>
    <row r="1225" spans="1:4">
      <c r="A1225" s="35"/>
      <c r="B1225" s="36"/>
      <c r="C1225" s="6"/>
      <c r="D1225" s="6"/>
    </row>
    <row r="1226" spans="1:4">
      <c r="A1226" s="35"/>
      <c r="B1226" s="36"/>
      <c r="C1226" s="6"/>
      <c r="D1226" s="6"/>
    </row>
    <row r="1227" spans="1:4">
      <c r="A1227" s="35"/>
      <c r="B1227" s="36"/>
      <c r="C1227" s="6"/>
      <c r="D1227" s="6"/>
    </row>
    <row r="1228" spans="1:4">
      <c r="A1228" s="35"/>
      <c r="B1228" s="36"/>
      <c r="C1228" s="6"/>
      <c r="D1228" s="6"/>
    </row>
    <row r="1229" spans="1:4">
      <c r="A1229" s="35"/>
      <c r="B1229" s="36"/>
      <c r="C1229" s="6"/>
      <c r="D1229" s="6"/>
    </row>
    <row r="1230" spans="1:4">
      <c r="A1230" s="35"/>
      <c r="B1230" s="36"/>
      <c r="C1230" s="6"/>
      <c r="D1230" s="6"/>
    </row>
    <row r="1231" spans="1:4">
      <c r="A1231" s="35"/>
      <c r="B1231" s="36"/>
      <c r="C1231" s="6"/>
      <c r="D1231" s="6"/>
    </row>
    <row r="1232" spans="1:4">
      <c r="A1232" s="35"/>
      <c r="B1232" s="36"/>
      <c r="C1232" s="6"/>
      <c r="D1232" s="6"/>
    </row>
    <row r="1233" spans="1:4">
      <c r="A1233" s="35"/>
      <c r="B1233" s="36"/>
      <c r="C1233" s="6"/>
      <c r="D1233" s="6"/>
    </row>
    <row r="1234" spans="1:4">
      <c r="A1234" s="35"/>
      <c r="B1234" s="36"/>
      <c r="C1234" s="6"/>
      <c r="D1234" s="6"/>
    </row>
    <row r="1235" spans="1:4">
      <c r="A1235" s="35"/>
      <c r="B1235" s="36"/>
      <c r="C1235" s="6"/>
      <c r="D1235" s="6"/>
    </row>
    <row r="1236" spans="1:4">
      <c r="A1236" s="35"/>
      <c r="B1236" s="36"/>
      <c r="C1236" s="6"/>
      <c r="D1236" s="6"/>
    </row>
    <row r="1237" spans="1:4">
      <c r="A1237" s="35"/>
      <c r="B1237" s="36"/>
      <c r="C1237" s="6"/>
      <c r="D1237" s="6"/>
    </row>
    <row r="1238" spans="1:4">
      <c r="A1238" s="35"/>
      <c r="B1238" s="36"/>
      <c r="C1238" s="6"/>
      <c r="D1238" s="6"/>
    </row>
    <row r="1239" spans="1:4">
      <c r="A1239" s="35"/>
      <c r="B1239" s="36"/>
      <c r="C1239" s="6"/>
      <c r="D1239" s="6"/>
    </row>
    <row r="1240" spans="1:4">
      <c r="A1240" s="35"/>
      <c r="B1240" s="36"/>
      <c r="C1240" s="6"/>
      <c r="D1240" s="6"/>
    </row>
    <row r="1241" spans="1:4">
      <c r="A1241" s="35"/>
      <c r="B1241" s="36"/>
      <c r="C1241" s="6"/>
      <c r="D1241" s="6"/>
    </row>
    <row r="1242" spans="1:4">
      <c r="A1242" s="35"/>
      <c r="B1242" s="36"/>
      <c r="C1242" s="6"/>
      <c r="D1242" s="6"/>
    </row>
    <row r="1243" spans="1:4">
      <c r="A1243" s="35"/>
      <c r="B1243" s="36"/>
      <c r="C1243" s="6"/>
      <c r="D1243" s="6"/>
    </row>
    <row r="1244" spans="1:4">
      <c r="A1244" s="35"/>
      <c r="B1244" s="36"/>
      <c r="C1244" s="6"/>
      <c r="D1244" s="6"/>
    </row>
    <row r="1245" spans="1:4">
      <c r="A1245" s="35"/>
      <c r="B1245" s="36"/>
      <c r="C1245" s="6"/>
      <c r="D1245" s="6"/>
    </row>
    <row r="1246" spans="1:4">
      <c r="A1246" s="35"/>
      <c r="B1246" s="36"/>
      <c r="C1246" s="6"/>
      <c r="D1246" s="6"/>
    </row>
    <row r="1247" spans="1:4">
      <c r="A1247" s="35"/>
      <c r="B1247" s="36"/>
      <c r="C1247" s="6"/>
      <c r="D1247" s="6"/>
    </row>
    <row r="1248" spans="1:4">
      <c r="A1248" s="35"/>
      <c r="B1248" s="36"/>
      <c r="C1248" s="6"/>
      <c r="D1248" s="6"/>
    </row>
    <row r="1249" spans="1:4">
      <c r="A1249" s="35"/>
      <c r="B1249" s="36"/>
      <c r="C1249" s="6"/>
      <c r="D1249" s="6"/>
    </row>
    <row r="1250" spans="1:4">
      <c r="A1250" s="35"/>
      <c r="B1250" s="36"/>
      <c r="C1250" s="6"/>
      <c r="D1250" s="6"/>
    </row>
    <row r="1251" spans="1:4">
      <c r="A1251" s="35"/>
      <c r="B1251" s="36"/>
      <c r="C1251" s="6"/>
      <c r="D1251" s="6"/>
    </row>
    <row r="1252" spans="1:4">
      <c r="A1252" s="35"/>
      <c r="B1252" s="36"/>
      <c r="C1252" s="6"/>
      <c r="D1252" s="6"/>
    </row>
    <row r="1253" spans="1:4">
      <c r="A1253" s="35"/>
      <c r="B1253" s="36"/>
      <c r="C1253" s="6"/>
      <c r="D1253" s="6"/>
    </row>
    <row r="1254" spans="1:4">
      <c r="A1254" s="35"/>
      <c r="B1254" s="36"/>
      <c r="C1254" s="6"/>
      <c r="D1254" s="6"/>
    </row>
    <row r="1255" spans="1:4">
      <c r="A1255" s="35"/>
      <c r="B1255" s="36"/>
      <c r="C1255" s="6"/>
      <c r="D1255" s="6"/>
    </row>
    <row r="1256" spans="1:4">
      <c r="A1256" s="35"/>
      <c r="B1256" s="36"/>
      <c r="C1256" s="6"/>
      <c r="D1256" s="6"/>
    </row>
    <row r="1257" spans="1:4">
      <c r="A1257" s="35"/>
      <c r="B1257" s="36"/>
      <c r="C1257" s="6"/>
      <c r="D1257" s="6"/>
    </row>
    <row r="1258" spans="1:4">
      <c r="A1258" s="35"/>
      <c r="B1258" s="36"/>
      <c r="C1258" s="6"/>
      <c r="D1258" s="6"/>
    </row>
    <row r="1259" spans="1:4">
      <c r="A1259" s="35"/>
      <c r="B1259" s="36"/>
      <c r="C1259" s="6"/>
      <c r="D1259" s="6"/>
    </row>
    <row r="1260" spans="1:4">
      <c r="A1260" s="35"/>
      <c r="B1260" s="36"/>
      <c r="C1260" s="6"/>
      <c r="D1260" s="6"/>
    </row>
    <row r="1261" spans="1:4">
      <c r="A1261" s="35"/>
      <c r="B1261" s="36"/>
      <c r="C1261" s="6"/>
      <c r="D1261" s="6"/>
    </row>
    <row r="1262" spans="1:4">
      <c r="A1262" s="35"/>
      <c r="B1262" s="36"/>
      <c r="C1262" s="6"/>
      <c r="D1262" s="6"/>
    </row>
    <row r="1263" spans="1:4">
      <c r="A1263" s="35"/>
      <c r="B1263" s="36"/>
      <c r="C1263" s="6"/>
      <c r="D1263" s="6"/>
    </row>
    <row r="1264" spans="1:4">
      <c r="A1264" s="35"/>
      <c r="B1264" s="36"/>
      <c r="C1264" s="6"/>
      <c r="D1264" s="6"/>
    </row>
    <row r="1265" spans="1:4">
      <c r="A1265" s="35"/>
      <c r="B1265" s="36"/>
      <c r="C1265" s="6"/>
      <c r="D1265" s="6"/>
    </row>
    <row r="1266" spans="1:4">
      <c r="A1266" s="35"/>
      <c r="B1266" s="36"/>
      <c r="C1266" s="6"/>
      <c r="D1266" s="6"/>
    </row>
    <row r="1267" spans="1:4">
      <c r="A1267" s="35"/>
      <c r="B1267" s="36"/>
      <c r="C1267" s="6"/>
      <c r="D1267" s="6"/>
    </row>
    <row r="1268" spans="1:4">
      <c r="A1268" s="35"/>
      <c r="B1268" s="36"/>
      <c r="C1268" s="6"/>
      <c r="D1268" s="6"/>
    </row>
    <row r="1269" spans="1:4">
      <c r="A1269" s="35"/>
      <c r="B1269" s="36"/>
      <c r="C1269" s="6"/>
      <c r="D1269" s="6"/>
    </row>
    <row r="1270" spans="1:4">
      <c r="A1270" s="35"/>
      <c r="B1270" s="36"/>
      <c r="C1270" s="6"/>
      <c r="D1270" s="6"/>
    </row>
    <row r="1271" spans="1:4">
      <c r="A1271" s="35"/>
      <c r="B1271" s="36"/>
      <c r="C1271" s="6"/>
      <c r="D1271" s="6"/>
    </row>
    <row r="1272" spans="1:4">
      <c r="A1272" s="35"/>
      <c r="B1272" s="36"/>
      <c r="C1272" s="6"/>
      <c r="D1272" s="6"/>
    </row>
    <row r="1273" spans="1:4">
      <c r="A1273" s="35"/>
      <c r="B1273" s="36"/>
      <c r="C1273" s="6"/>
      <c r="D1273" s="6"/>
    </row>
    <row r="1274" spans="1:4">
      <c r="A1274" s="35"/>
      <c r="B1274" s="36"/>
      <c r="C1274" s="6"/>
      <c r="D1274" s="6"/>
    </row>
    <row r="1275" spans="1:4">
      <c r="A1275" s="35"/>
      <c r="B1275" s="36"/>
      <c r="C1275" s="6"/>
      <c r="D1275" s="6"/>
    </row>
    <row r="1276" spans="1:4">
      <c r="A1276" s="35"/>
      <c r="B1276" s="36"/>
      <c r="C1276" s="6"/>
      <c r="D1276" s="6"/>
    </row>
    <row r="1277" spans="1:4">
      <c r="A1277" s="35"/>
      <c r="B1277" s="36"/>
      <c r="C1277" s="6"/>
      <c r="D1277" s="6"/>
    </row>
    <row r="1278" spans="1:4">
      <c r="A1278" s="35"/>
      <c r="B1278" s="36"/>
      <c r="C1278" s="6"/>
      <c r="D1278" s="6"/>
    </row>
    <row r="1279" spans="1:4">
      <c r="A1279" s="35"/>
      <c r="B1279" s="36"/>
      <c r="C1279" s="6"/>
      <c r="D1279" s="6"/>
    </row>
    <row r="1280" spans="1:4">
      <c r="A1280" s="35"/>
      <c r="B1280" s="36"/>
      <c r="C1280" s="6"/>
      <c r="D1280" s="6"/>
    </row>
    <row r="1281" spans="1:4">
      <c r="A1281" s="35"/>
      <c r="B1281" s="36"/>
      <c r="C1281" s="6"/>
      <c r="D1281" s="6"/>
    </row>
    <row r="1282" spans="1:4">
      <c r="A1282" s="35"/>
      <c r="B1282" s="36"/>
      <c r="C1282" s="6"/>
      <c r="D1282" s="6"/>
    </row>
    <row r="1283" spans="1:4">
      <c r="A1283" s="35"/>
      <c r="B1283" s="36"/>
      <c r="C1283" s="6"/>
      <c r="D1283" s="6"/>
    </row>
    <row r="1284" spans="1:4">
      <c r="A1284" s="35"/>
      <c r="B1284" s="36"/>
      <c r="C1284" s="6"/>
      <c r="D1284" s="6"/>
    </row>
    <row r="1285" spans="1:4">
      <c r="A1285" s="35"/>
      <c r="B1285" s="36"/>
      <c r="C1285" s="6"/>
      <c r="D1285" s="6"/>
    </row>
    <row r="1286" spans="1:4">
      <c r="A1286" s="35"/>
      <c r="B1286" s="36"/>
      <c r="C1286" s="6"/>
      <c r="D1286" s="6"/>
    </row>
    <row r="1287" spans="1:4">
      <c r="A1287" s="35"/>
      <c r="B1287" s="36"/>
      <c r="C1287" s="6"/>
      <c r="D1287" s="6"/>
    </row>
    <row r="1288" spans="1:4">
      <c r="A1288" s="35"/>
      <c r="B1288" s="36"/>
      <c r="C1288" s="6"/>
      <c r="D1288" s="6"/>
    </row>
    <row r="1289" spans="1:4">
      <c r="A1289" s="35"/>
      <c r="B1289" s="36"/>
      <c r="C1289" s="6"/>
      <c r="D1289" s="6"/>
    </row>
    <row r="1290" spans="1:4">
      <c r="A1290" s="35"/>
      <c r="B1290" s="36"/>
      <c r="C1290" s="6"/>
      <c r="D1290" s="6"/>
    </row>
    <row r="1291" spans="1:4">
      <c r="A1291" s="35"/>
      <c r="B1291" s="36"/>
      <c r="C1291" s="6"/>
      <c r="D1291" s="6"/>
    </row>
    <row r="1292" spans="1:4">
      <c r="A1292" s="35"/>
      <c r="B1292" s="36"/>
      <c r="C1292" s="6"/>
      <c r="D1292" s="6"/>
    </row>
    <row r="1293" spans="1:4">
      <c r="A1293" s="35"/>
      <c r="B1293" s="36"/>
      <c r="C1293" s="6"/>
      <c r="D1293" s="6"/>
    </row>
    <row r="1294" spans="1:4">
      <c r="A1294" s="35"/>
      <c r="B1294" s="36"/>
      <c r="C1294" s="6"/>
      <c r="D1294" s="6"/>
    </row>
    <row r="1295" spans="1:4">
      <c r="A1295" s="35"/>
      <c r="B1295" s="36"/>
      <c r="C1295" s="6"/>
      <c r="D1295" s="6"/>
    </row>
    <row r="1296" spans="1:4">
      <c r="A1296" s="35"/>
      <c r="B1296" s="36"/>
      <c r="C1296" s="6"/>
      <c r="D1296" s="6"/>
    </row>
    <row r="1297" spans="1:4">
      <c r="A1297" s="35"/>
      <c r="B1297" s="36"/>
      <c r="C1297" s="6"/>
      <c r="D1297" s="6"/>
    </row>
    <row r="1298" spans="1:4">
      <c r="A1298" s="35"/>
      <c r="B1298" s="36"/>
      <c r="C1298" s="6"/>
      <c r="D1298" s="6"/>
    </row>
    <row r="1299" spans="1:4">
      <c r="A1299" s="35"/>
      <c r="B1299" s="36"/>
      <c r="C1299" s="6"/>
      <c r="D1299" s="6"/>
    </row>
    <row r="1300" spans="1:4">
      <c r="A1300" s="35"/>
      <c r="B1300" s="36"/>
      <c r="C1300" s="6"/>
      <c r="D1300" s="6"/>
    </row>
    <row r="1301" spans="1:4">
      <c r="A1301" s="35"/>
      <c r="B1301" s="36"/>
      <c r="C1301" s="6"/>
      <c r="D1301" s="6"/>
    </row>
    <row r="1302" spans="1:4">
      <c r="A1302" s="35"/>
      <c r="B1302" s="36"/>
      <c r="C1302" s="6"/>
      <c r="D1302" s="6"/>
    </row>
    <row r="1303" spans="1:4">
      <c r="A1303" s="35"/>
      <c r="B1303" s="36"/>
      <c r="C1303" s="6"/>
      <c r="D1303" s="6"/>
    </row>
    <row r="1304" spans="1:4">
      <c r="A1304" s="35"/>
      <c r="B1304" s="36"/>
      <c r="C1304" s="6"/>
      <c r="D1304" s="6"/>
    </row>
    <row r="1305" spans="1:4">
      <c r="A1305" s="35"/>
      <c r="B1305" s="36"/>
      <c r="C1305" s="6"/>
      <c r="D1305" s="6"/>
    </row>
    <row r="1306" spans="1:4">
      <c r="A1306" s="35"/>
      <c r="B1306" s="36"/>
      <c r="C1306" s="6"/>
      <c r="D1306" s="6"/>
    </row>
    <row r="1307" spans="1:4">
      <c r="A1307" s="35"/>
      <c r="B1307" s="36"/>
      <c r="C1307" s="6"/>
      <c r="D1307" s="6"/>
    </row>
    <row r="1308" spans="1:4">
      <c r="A1308" s="35"/>
      <c r="B1308" s="36"/>
      <c r="C1308" s="6"/>
      <c r="D1308" s="6"/>
    </row>
    <row r="1309" spans="1:4">
      <c r="A1309" s="35"/>
      <c r="B1309" s="36"/>
      <c r="C1309" s="6"/>
      <c r="D1309" s="6"/>
    </row>
    <row r="1310" spans="1:4">
      <c r="A1310" s="35"/>
      <c r="B1310" s="36"/>
      <c r="C1310" s="6"/>
      <c r="D1310" s="6"/>
    </row>
    <row r="1311" spans="1:4">
      <c r="A1311" s="35"/>
      <c r="B1311" s="36"/>
      <c r="C1311" s="6"/>
      <c r="D1311" s="6"/>
    </row>
    <row r="1312" spans="1:4">
      <c r="A1312" s="35"/>
      <c r="B1312" s="36"/>
      <c r="C1312" s="6"/>
      <c r="D1312" s="6"/>
    </row>
    <row r="1313" spans="1:4">
      <c r="A1313" s="35"/>
      <c r="B1313" s="36"/>
      <c r="C1313" s="6"/>
      <c r="D1313" s="6"/>
    </row>
    <row r="1314" spans="1:4">
      <c r="A1314" s="35"/>
      <c r="B1314" s="36"/>
      <c r="C1314" s="6"/>
      <c r="D1314" s="6"/>
    </row>
    <row r="1315" spans="1:4">
      <c r="A1315" s="35"/>
      <c r="B1315" s="36"/>
      <c r="C1315" s="6"/>
      <c r="D1315" s="6"/>
    </row>
    <row r="1316" spans="1:4">
      <c r="A1316" s="35"/>
      <c r="B1316" s="36"/>
      <c r="C1316" s="6"/>
      <c r="D1316" s="6"/>
    </row>
    <row r="1317" spans="1:4">
      <c r="A1317" s="35"/>
      <c r="B1317" s="36"/>
      <c r="C1317" s="6"/>
      <c r="D1317" s="6"/>
    </row>
    <row r="1318" spans="1:4">
      <c r="A1318" s="35"/>
      <c r="B1318" s="36"/>
      <c r="C1318" s="6"/>
      <c r="D1318" s="6"/>
    </row>
    <row r="1319" spans="1:4">
      <c r="A1319" s="35"/>
      <c r="B1319" s="36"/>
      <c r="C1319" s="6"/>
      <c r="D1319" s="6"/>
    </row>
    <row r="1320" spans="1:4">
      <c r="A1320" s="35"/>
      <c r="B1320" s="36"/>
      <c r="C1320" s="6"/>
      <c r="D1320" s="6"/>
    </row>
    <row r="1321" spans="1:4">
      <c r="A1321" s="35"/>
      <c r="B1321" s="36"/>
      <c r="C1321" s="6"/>
      <c r="D1321" s="6"/>
    </row>
    <row r="1322" spans="1:4">
      <c r="A1322" s="35"/>
      <c r="B1322" s="36"/>
      <c r="C1322" s="6"/>
      <c r="D1322" s="6"/>
    </row>
    <row r="1323" spans="1:4">
      <c r="A1323" s="35"/>
      <c r="B1323" s="36"/>
      <c r="C1323" s="6"/>
      <c r="D1323" s="6"/>
    </row>
    <row r="1324" spans="1:4">
      <c r="A1324" s="35"/>
      <c r="B1324" s="36"/>
      <c r="C1324" s="6"/>
      <c r="D1324" s="6"/>
    </row>
    <row r="1325" spans="1:4">
      <c r="A1325" s="35"/>
      <c r="B1325" s="36"/>
      <c r="C1325" s="6"/>
      <c r="D1325" s="6"/>
    </row>
    <row r="1326" spans="1:4">
      <c r="A1326" s="35"/>
      <c r="B1326" s="36"/>
      <c r="C1326" s="6"/>
      <c r="D1326" s="6"/>
    </row>
    <row r="1327" spans="1:4">
      <c r="A1327" s="35"/>
      <c r="B1327" s="36"/>
      <c r="C1327" s="6"/>
      <c r="D1327" s="6"/>
    </row>
    <row r="1328" spans="1:4">
      <c r="A1328" s="35"/>
      <c r="B1328" s="36"/>
      <c r="C1328" s="6"/>
      <c r="D1328" s="6"/>
    </row>
    <row r="1329" spans="1:4">
      <c r="A1329" s="35"/>
      <c r="B1329" s="36"/>
      <c r="C1329" s="6"/>
      <c r="D1329" s="6"/>
    </row>
    <row r="1330" spans="1:4">
      <c r="A1330" s="35"/>
      <c r="B1330" s="36"/>
      <c r="C1330" s="6"/>
      <c r="D1330" s="6"/>
    </row>
    <row r="1331" spans="1:4">
      <c r="A1331" s="35"/>
      <c r="B1331" s="36"/>
      <c r="C1331" s="6"/>
      <c r="D1331" s="6"/>
    </row>
    <row r="1332" spans="1:4">
      <c r="A1332" s="35"/>
      <c r="B1332" s="36"/>
      <c r="C1332" s="6"/>
      <c r="D1332" s="6"/>
    </row>
    <row r="1333" spans="1:4">
      <c r="A1333" s="35"/>
      <c r="B1333" s="36"/>
      <c r="C1333" s="6"/>
      <c r="D1333" s="6"/>
    </row>
    <row r="1334" spans="1:4">
      <c r="A1334" s="35"/>
      <c r="B1334" s="36"/>
      <c r="C1334" s="6"/>
      <c r="D1334" s="6"/>
    </row>
    <row r="1335" spans="1:4">
      <c r="A1335" s="35"/>
      <c r="B1335" s="36"/>
      <c r="C1335" s="6"/>
      <c r="D1335" s="6"/>
    </row>
    <row r="1336" spans="1:4">
      <c r="A1336" s="35"/>
      <c r="B1336" s="36"/>
      <c r="C1336" s="6"/>
      <c r="D1336" s="6"/>
    </row>
    <row r="1337" spans="1:4">
      <c r="A1337" s="35"/>
      <c r="B1337" s="36"/>
      <c r="C1337" s="6"/>
      <c r="D1337" s="6"/>
    </row>
    <row r="1338" spans="1:4">
      <c r="A1338" s="35"/>
      <c r="B1338" s="36"/>
      <c r="C1338" s="6"/>
      <c r="D1338" s="6"/>
    </row>
    <row r="1339" spans="1:4">
      <c r="A1339" s="35"/>
      <c r="B1339" s="36"/>
      <c r="C1339" s="6"/>
      <c r="D1339" s="6"/>
    </row>
    <row r="1340" spans="1:4">
      <c r="A1340" s="35"/>
      <c r="B1340" s="36"/>
      <c r="C1340" s="6"/>
      <c r="D1340" s="6"/>
    </row>
    <row r="1341" spans="1:4">
      <c r="A1341" s="35"/>
      <c r="B1341" s="36"/>
      <c r="C1341" s="6"/>
      <c r="D1341" s="6"/>
    </row>
    <row r="1342" spans="1:4">
      <c r="A1342" s="35"/>
      <c r="B1342" s="36"/>
      <c r="C1342" s="6"/>
      <c r="D1342" s="6"/>
    </row>
    <row r="1343" spans="1:4">
      <c r="A1343" s="35"/>
      <c r="B1343" s="36"/>
      <c r="C1343" s="6"/>
      <c r="D1343" s="6"/>
    </row>
    <row r="1344" spans="1:4">
      <c r="A1344" s="35"/>
      <c r="B1344" s="36"/>
      <c r="C1344" s="6"/>
      <c r="D1344" s="6"/>
    </row>
    <row r="1345" spans="1:4">
      <c r="A1345" s="35"/>
      <c r="B1345" s="36"/>
      <c r="C1345" s="6"/>
      <c r="D1345" s="6"/>
    </row>
    <row r="1346" spans="1:4">
      <c r="A1346" s="35"/>
      <c r="B1346" s="36"/>
      <c r="C1346" s="6"/>
      <c r="D1346" s="6"/>
    </row>
    <row r="1347" spans="1:4">
      <c r="A1347" s="35"/>
      <c r="B1347" s="36"/>
      <c r="C1347" s="6"/>
      <c r="D1347" s="6"/>
    </row>
    <row r="1348" spans="1:4">
      <c r="A1348" s="35"/>
      <c r="B1348" s="36"/>
      <c r="C1348" s="6"/>
      <c r="D1348" s="6"/>
    </row>
    <row r="1349" spans="1:4">
      <c r="A1349" s="35"/>
      <c r="B1349" s="36"/>
      <c r="C1349" s="6"/>
      <c r="D1349" s="6"/>
    </row>
    <row r="1350" spans="1:4">
      <c r="A1350" s="35"/>
      <c r="B1350" s="36"/>
      <c r="C1350" s="6"/>
      <c r="D1350" s="6"/>
    </row>
    <row r="1351" spans="1:4">
      <c r="A1351" s="35"/>
      <c r="B1351" s="36"/>
      <c r="C1351" s="6"/>
      <c r="D1351" s="6"/>
    </row>
    <row r="1352" spans="1:4">
      <c r="A1352" s="35"/>
      <c r="B1352" s="36"/>
      <c r="C1352" s="6"/>
      <c r="D1352" s="6"/>
    </row>
    <row r="1353" spans="1:4">
      <c r="A1353" s="35"/>
      <c r="B1353" s="36"/>
      <c r="C1353" s="6"/>
      <c r="D1353" s="6"/>
    </row>
    <row r="1354" spans="1:4">
      <c r="A1354" s="35"/>
      <c r="B1354" s="36"/>
      <c r="C1354" s="6"/>
      <c r="D1354" s="6"/>
    </row>
    <row r="1355" spans="1:4">
      <c r="A1355" s="35"/>
      <c r="B1355" s="36"/>
      <c r="C1355" s="6"/>
      <c r="D1355" s="6"/>
    </row>
    <row r="1356" spans="1:4">
      <c r="A1356" s="35"/>
      <c r="B1356" s="36"/>
      <c r="C1356" s="6"/>
      <c r="D1356" s="6"/>
    </row>
    <row r="1357" spans="1:4">
      <c r="A1357" s="35"/>
      <c r="B1357" s="36"/>
      <c r="C1357" s="6"/>
      <c r="D1357" s="6"/>
    </row>
    <row r="1358" spans="1:4">
      <c r="A1358" s="35"/>
      <c r="B1358" s="36"/>
      <c r="C1358" s="6"/>
      <c r="D1358" s="6"/>
    </row>
    <row r="1359" spans="1:4">
      <c r="A1359" s="35"/>
      <c r="B1359" s="36"/>
      <c r="C1359" s="6"/>
      <c r="D1359" s="6"/>
    </row>
    <row r="1360" spans="1:4">
      <c r="A1360" s="35"/>
      <c r="B1360" s="36"/>
      <c r="C1360" s="6"/>
      <c r="D1360" s="6"/>
    </row>
    <row r="1361" spans="1:4">
      <c r="A1361" s="35"/>
      <c r="B1361" s="36"/>
      <c r="C1361" s="6"/>
      <c r="D1361" s="6"/>
    </row>
    <row r="1362" spans="1:4">
      <c r="A1362" s="35"/>
      <c r="B1362" s="36"/>
      <c r="C1362" s="6"/>
      <c r="D1362" s="6"/>
    </row>
    <row r="1363" spans="1:4">
      <c r="A1363" s="35"/>
      <c r="B1363" s="36"/>
      <c r="C1363" s="6"/>
      <c r="D1363" s="6"/>
    </row>
    <row r="1364" spans="1:4">
      <c r="A1364" s="35"/>
      <c r="B1364" s="36"/>
      <c r="C1364" s="6"/>
      <c r="D1364" s="6"/>
    </row>
    <row r="1365" spans="1:4">
      <c r="A1365" s="35"/>
      <c r="B1365" s="36"/>
      <c r="C1365" s="6"/>
      <c r="D1365" s="6"/>
    </row>
    <row r="1366" spans="1:4">
      <c r="A1366" s="35"/>
      <c r="B1366" s="36"/>
      <c r="C1366" s="6"/>
      <c r="D1366" s="6"/>
    </row>
    <row r="1367" spans="1:4">
      <c r="A1367" s="35"/>
      <c r="B1367" s="36"/>
      <c r="C1367" s="6"/>
      <c r="D1367" s="6"/>
    </row>
    <row r="1368" spans="1:4">
      <c r="A1368" s="35"/>
      <c r="B1368" s="36"/>
      <c r="C1368" s="6"/>
      <c r="D1368" s="6"/>
    </row>
    <row r="1369" spans="1:4">
      <c r="A1369" s="35"/>
      <c r="B1369" s="36"/>
      <c r="C1369" s="6"/>
      <c r="D1369" s="6"/>
    </row>
    <row r="1370" spans="1:4">
      <c r="A1370" s="35"/>
      <c r="B1370" s="36"/>
      <c r="C1370" s="6"/>
      <c r="D1370" s="6"/>
    </row>
    <row r="1371" spans="1:4">
      <c r="A1371" s="35"/>
      <c r="B1371" s="36"/>
      <c r="C1371" s="6"/>
      <c r="D1371" s="6"/>
    </row>
    <row r="1372" spans="1:4">
      <c r="A1372" s="35"/>
      <c r="B1372" s="36"/>
      <c r="C1372" s="6"/>
      <c r="D1372" s="6"/>
    </row>
    <row r="1373" spans="1:4">
      <c r="A1373" s="35"/>
      <c r="B1373" s="36"/>
      <c r="C1373" s="6"/>
      <c r="D1373" s="6"/>
    </row>
    <row r="1374" spans="1:4">
      <c r="A1374" s="35"/>
      <c r="B1374" s="36"/>
      <c r="C1374" s="6"/>
      <c r="D1374" s="6"/>
    </row>
    <row r="1375" spans="1:4">
      <c r="A1375" s="35"/>
      <c r="B1375" s="36"/>
      <c r="C1375" s="6"/>
      <c r="D1375" s="6"/>
    </row>
    <row r="1376" spans="1:4">
      <c r="A1376" s="35"/>
      <c r="B1376" s="36"/>
      <c r="C1376" s="6"/>
      <c r="D1376" s="6"/>
    </row>
    <row r="1377" spans="1:4">
      <c r="A1377" s="35"/>
      <c r="B1377" s="36"/>
      <c r="C1377" s="6"/>
      <c r="D1377" s="6"/>
    </row>
    <row r="1378" spans="1:4">
      <c r="A1378" s="35"/>
      <c r="B1378" s="36"/>
      <c r="C1378" s="6"/>
      <c r="D1378" s="6"/>
    </row>
    <row r="1379" spans="1:4">
      <c r="A1379" s="35"/>
      <c r="B1379" s="36"/>
      <c r="C1379" s="6"/>
      <c r="D1379" s="6"/>
    </row>
    <row r="1380" spans="1:4">
      <c r="A1380" s="35"/>
      <c r="B1380" s="36"/>
      <c r="C1380" s="6"/>
      <c r="D1380" s="6"/>
    </row>
    <row r="1381" spans="1:4">
      <c r="A1381" s="35"/>
      <c r="B1381" s="36"/>
      <c r="C1381" s="6"/>
      <c r="D1381" s="6"/>
    </row>
    <row r="1382" spans="1:4">
      <c r="A1382" s="35"/>
      <c r="B1382" s="36"/>
      <c r="C1382" s="6"/>
      <c r="D1382" s="6"/>
    </row>
    <row r="1383" spans="1:4">
      <c r="A1383" s="35"/>
      <c r="B1383" s="36"/>
      <c r="C1383" s="6"/>
      <c r="D1383" s="6"/>
    </row>
    <row r="1384" spans="1:4">
      <c r="A1384" s="35"/>
      <c r="B1384" s="36"/>
      <c r="C1384" s="6"/>
      <c r="D1384" s="6"/>
    </row>
    <row r="1385" spans="1:4">
      <c r="A1385" s="35"/>
      <c r="B1385" s="36"/>
      <c r="C1385" s="6"/>
      <c r="D1385" s="6"/>
    </row>
    <row r="1386" spans="1:4">
      <c r="A1386" s="35"/>
      <c r="B1386" s="36"/>
      <c r="C1386" s="6"/>
      <c r="D1386" s="6"/>
    </row>
    <row r="1387" spans="1:4">
      <c r="A1387" s="35"/>
      <c r="B1387" s="36"/>
      <c r="C1387" s="6"/>
      <c r="D1387" s="6"/>
    </row>
    <row r="1388" spans="1:4">
      <c r="A1388" s="35"/>
      <c r="B1388" s="36"/>
      <c r="C1388" s="6"/>
      <c r="D1388" s="6"/>
    </row>
    <row r="1389" spans="1:4">
      <c r="A1389" s="35"/>
      <c r="B1389" s="36"/>
      <c r="C1389" s="6"/>
      <c r="D1389" s="6"/>
    </row>
    <row r="1390" spans="1:4">
      <c r="A1390" s="35"/>
      <c r="B1390" s="36"/>
      <c r="C1390" s="6"/>
      <c r="D1390" s="6"/>
    </row>
    <row r="1391" spans="1:4">
      <c r="A1391" s="35"/>
      <c r="B1391" s="36"/>
      <c r="C1391" s="6"/>
      <c r="D1391" s="6"/>
    </row>
    <row r="1392" spans="1:4">
      <c r="A1392" s="35"/>
      <c r="B1392" s="36"/>
      <c r="C1392" s="6"/>
      <c r="D1392" s="6"/>
    </row>
    <row r="1393" spans="1:4">
      <c r="A1393" s="35"/>
      <c r="B1393" s="36"/>
      <c r="C1393" s="6"/>
      <c r="D1393" s="6"/>
    </row>
    <row r="1394" spans="1:4">
      <c r="A1394" s="35"/>
      <c r="B1394" s="36"/>
      <c r="C1394" s="6"/>
      <c r="D1394" s="6"/>
    </row>
    <row r="1395" spans="1:4">
      <c r="A1395" s="35"/>
      <c r="B1395" s="36"/>
      <c r="C1395" s="6"/>
      <c r="D1395" s="6"/>
    </row>
    <row r="1396" spans="1:4">
      <c r="A1396" s="35"/>
      <c r="B1396" s="36"/>
      <c r="C1396" s="6"/>
      <c r="D1396" s="6"/>
    </row>
    <row r="1397" spans="1:4">
      <c r="A1397" s="35"/>
      <c r="B1397" s="36"/>
      <c r="C1397" s="6"/>
      <c r="D1397" s="6"/>
    </row>
    <row r="1398" spans="1:4">
      <c r="A1398" s="35"/>
      <c r="B1398" s="36"/>
      <c r="C1398" s="6"/>
      <c r="D1398" s="6"/>
    </row>
    <row r="1399" spans="1:4">
      <c r="A1399" s="35"/>
      <c r="B1399" s="36"/>
      <c r="C1399" s="6"/>
      <c r="D1399" s="6"/>
    </row>
    <row r="1400" spans="1:4">
      <c r="A1400" s="35"/>
      <c r="B1400" s="36"/>
      <c r="C1400" s="6"/>
      <c r="D1400" s="6"/>
    </row>
    <row r="1401" spans="1:4">
      <c r="A1401" s="35"/>
      <c r="B1401" s="36"/>
      <c r="C1401" s="6"/>
      <c r="D1401" s="6"/>
    </row>
    <row r="1402" spans="1:4">
      <c r="A1402" s="35"/>
      <c r="B1402" s="36"/>
      <c r="C1402" s="6"/>
      <c r="D1402" s="6"/>
    </row>
    <row r="1403" spans="1:4">
      <c r="A1403" s="35"/>
      <c r="B1403" s="36"/>
      <c r="C1403" s="6"/>
      <c r="D1403" s="6"/>
    </row>
    <row r="1404" spans="1:4">
      <c r="A1404" s="35"/>
      <c r="B1404" s="36"/>
      <c r="C1404" s="6"/>
      <c r="D1404" s="6"/>
    </row>
    <row r="1405" spans="1:4">
      <c r="A1405" s="35"/>
      <c r="B1405" s="36"/>
      <c r="C1405" s="6"/>
      <c r="D1405" s="6"/>
    </row>
    <row r="1406" spans="1:4">
      <c r="A1406" s="35"/>
      <c r="B1406" s="36"/>
      <c r="C1406" s="6"/>
      <c r="D1406" s="6"/>
    </row>
    <row r="1407" spans="1:4">
      <c r="A1407" s="35"/>
      <c r="B1407" s="36"/>
      <c r="C1407" s="6"/>
      <c r="D1407" s="6"/>
    </row>
    <row r="1408" spans="1:4">
      <c r="A1408" s="35"/>
      <c r="B1408" s="36"/>
      <c r="C1408" s="6"/>
      <c r="D1408" s="6"/>
    </row>
    <row r="1409" spans="1:4">
      <c r="A1409" s="35"/>
      <c r="B1409" s="36"/>
      <c r="C1409" s="6"/>
      <c r="D1409" s="6"/>
    </row>
    <row r="1410" spans="1:4">
      <c r="A1410" s="35"/>
      <c r="B1410" s="36"/>
      <c r="C1410" s="6"/>
      <c r="D1410" s="6"/>
    </row>
    <row r="1411" spans="1:4">
      <c r="A1411" s="35"/>
      <c r="B1411" s="36"/>
      <c r="C1411" s="6"/>
      <c r="D1411" s="6"/>
    </row>
    <row r="1412" spans="1:4">
      <c r="A1412" s="35"/>
      <c r="B1412" s="36"/>
      <c r="C1412" s="6"/>
      <c r="D1412" s="6"/>
    </row>
    <row r="1413" spans="1:4">
      <c r="A1413" s="35"/>
      <c r="B1413" s="36"/>
      <c r="C1413" s="6"/>
      <c r="D1413" s="6"/>
    </row>
    <row r="1414" spans="1:4">
      <c r="A1414" s="35"/>
      <c r="B1414" s="36"/>
      <c r="C1414" s="6"/>
      <c r="D1414" s="6"/>
    </row>
    <row r="1415" spans="1:4">
      <c r="A1415" s="35"/>
      <c r="B1415" s="36"/>
      <c r="C1415" s="6"/>
      <c r="D1415" s="6"/>
    </row>
    <row r="1416" spans="1:4">
      <c r="A1416" s="35"/>
      <c r="B1416" s="36"/>
      <c r="C1416" s="6"/>
      <c r="D1416" s="6"/>
    </row>
    <row r="1417" spans="1:4">
      <c r="A1417" s="35"/>
      <c r="B1417" s="36"/>
      <c r="C1417" s="6"/>
      <c r="D1417" s="6"/>
    </row>
    <row r="1418" spans="1:4">
      <c r="A1418" s="35"/>
      <c r="B1418" s="36"/>
      <c r="C1418" s="6"/>
      <c r="D1418" s="6"/>
    </row>
    <row r="1419" spans="1:4">
      <c r="A1419" s="35"/>
      <c r="B1419" s="36"/>
      <c r="C1419" s="6"/>
      <c r="D1419" s="6"/>
    </row>
    <row r="1420" spans="1:4">
      <c r="A1420" s="35"/>
      <c r="B1420" s="36"/>
      <c r="C1420" s="6"/>
      <c r="D1420" s="6"/>
    </row>
    <row r="1421" spans="1:4">
      <c r="A1421" s="35"/>
      <c r="B1421" s="36"/>
      <c r="C1421" s="6"/>
      <c r="D1421" s="6"/>
    </row>
    <row r="1422" spans="1:4">
      <c r="A1422" s="35"/>
      <c r="B1422" s="36"/>
      <c r="C1422" s="6"/>
      <c r="D1422" s="6"/>
    </row>
    <row r="1423" spans="1:4">
      <c r="A1423" s="35"/>
      <c r="B1423" s="36"/>
      <c r="C1423" s="6"/>
      <c r="D1423" s="6"/>
    </row>
    <row r="1424" spans="1:4">
      <c r="A1424" s="35"/>
      <c r="B1424" s="36"/>
      <c r="C1424" s="6"/>
      <c r="D1424" s="6"/>
    </row>
    <row r="1425" spans="1:4">
      <c r="A1425" s="35"/>
      <c r="B1425" s="36"/>
      <c r="C1425" s="6"/>
      <c r="D1425" s="6"/>
    </row>
    <row r="1426" spans="1:4">
      <c r="A1426" s="35"/>
      <c r="B1426" s="36"/>
      <c r="C1426" s="6"/>
      <c r="D1426" s="6"/>
    </row>
    <row r="1427" spans="1:4">
      <c r="A1427" s="35"/>
      <c r="B1427" s="36"/>
      <c r="C1427" s="6"/>
      <c r="D1427" s="6"/>
    </row>
    <row r="1428" spans="1:4">
      <c r="A1428" s="35"/>
      <c r="B1428" s="36"/>
      <c r="C1428" s="6"/>
      <c r="D1428" s="6"/>
    </row>
    <row r="1429" spans="1:4">
      <c r="A1429" s="35"/>
      <c r="B1429" s="36"/>
      <c r="C1429" s="6"/>
      <c r="D1429" s="6"/>
    </row>
    <row r="1430" spans="1:4">
      <c r="A1430" s="35"/>
      <c r="B1430" s="36"/>
      <c r="C1430" s="6"/>
      <c r="D1430" s="6"/>
    </row>
    <row r="1431" spans="1:4">
      <c r="A1431" s="35"/>
      <c r="B1431" s="36"/>
      <c r="C1431" s="6"/>
      <c r="D1431" s="6"/>
    </row>
    <row r="1432" spans="1:4">
      <c r="A1432" s="35"/>
      <c r="B1432" s="36"/>
      <c r="C1432" s="6"/>
      <c r="D1432" s="6"/>
    </row>
    <row r="1433" spans="1:4">
      <c r="A1433" s="35"/>
      <c r="B1433" s="36"/>
      <c r="C1433" s="6"/>
      <c r="D1433" s="6"/>
    </row>
    <row r="1434" spans="1:4">
      <c r="A1434" s="35"/>
      <c r="B1434" s="36"/>
      <c r="C1434" s="6"/>
      <c r="D1434" s="6"/>
    </row>
    <row r="1435" spans="1:4">
      <c r="A1435" s="35"/>
      <c r="B1435" s="36"/>
      <c r="C1435" s="6"/>
      <c r="D1435" s="6"/>
    </row>
    <row r="1436" spans="1:4">
      <c r="A1436" s="35"/>
      <c r="B1436" s="36"/>
      <c r="C1436" s="6"/>
      <c r="D1436" s="6"/>
    </row>
    <row r="1437" spans="1:4">
      <c r="A1437" s="35"/>
      <c r="B1437" s="36"/>
      <c r="C1437" s="6"/>
      <c r="D1437" s="6"/>
    </row>
    <row r="1438" spans="1:4">
      <c r="A1438" s="35"/>
      <c r="B1438" s="36"/>
      <c r="C1438" s="6"/>
      <c r="D1438" s="6"/>
    </row>
    <row r="1439" spans="1:4">
      <c r="A1439" s="35"/>
      <c r="B1439" s="36"/>
      <c r="C1439" s="6"/>
      <c r="D1439" s="6"/>
    </row>
    <row r="1440" spans="1:4">
      <c r="A1440" s="35"/>
      <c r="B1440" s="36"/>
      <c r="C1440" s="6"/>
      <c r="D1440" s="6"/>
    </row>
    <row r="1441" spans="1:4">
      <c r="A1441" s="35"/>
      <c r="B1441" s="36"/>
      <c r="C1441" s="6"/>
      <c r="D1441" s="6"/>
    </row>
    <row r="1442" spans="1:4">
      <c r="A1442" s="35"/>
      <c r="B1442" s="36"/>
      <c r="C1442" s="6"/>
      <c r="D1442" s="6"/>
    </row>
    <row r="1443" spans="1:4">
      <c r="A1443" s="35"/>
      <c r="B1443" s="36"/>
      <c r="C1443" s="6"/>
      <c r="D1443" s="6"/>
    </row>
    <row r="1444" spans="1:4">
      <c r="A1444" s="35"/>
      <c r="B1444" s="36"/>
      <c r="C1444" s="6"/>
      <c r="D1444" s="6"/>
    </row>
    <row r="1445" spans="1:4">
      <c r="A1445" s="35"/>
      <c r="B1445" s="36"/>
      <c r="C1445" s="6"/>
      <c r="D1445" s="6"/>
    </row>
    <row r="1446" spans="1:4">
      <c r="A1446" s="35"/>
      <c r="B1446" s="36"/>
      <c r="C1446" s="6"/>
      <c r="D1446" s="6"/>
    </row>
    <row r="1447" spans="1:4">
      <c r="A1447" s="35"/>
      <c r="B1447" s="36"/>
      <c r="C1447" s="6"/>
      <c r="D1447" s="6"/>
    </row>
    <row r="1448" spans="1:4">
      <c r="A1448" s="35"/>
      <c r="B1448" s="36"/>
      <c r="C1448" s="6"/>
      <c r="D1448" s="6"/>
    </row>
    <row r="1449" spans="1:4">
      <c r="A1449" s="35"/>
      <c r="B1449" s="36"/>
      <c r="C1449" s="6"/>
      <c r="D1449" s="6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Q1004"/>
  <sheetViews>
    <sheetView tabSelected="1" workbookViewId="0">
      <selection activeCell="I15" sqref="I15"/>
    </sheetView>
  </sheetViews>
  <sheetFormatPr baseColWidth="10" defaultColWidth="14.44140625" defaultRowHeight="15" customHeight="1"/>
  <cols>
    <col min="3" max="3" width="15.109375" customWidth="1"/>
    <col min="4" max="4" width="15.5546875" customWidth="1"/>
  </cols>
  <sheetData>
    <row r="1" spans="1:17">
      <c r="A1" s="10" t="s">
        <v>15</v>
      </c>
      <c r="B1" s="9" t="s">
        <v>16</v>
      </c>
      <c r="C1" s="31" t="s">
        <v>368</v>
      </c>
      <c r="D1" s="31" t="s">
        <v>370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>
      <c r="A2" s="12">
        <v>1</v>
      </c>
      <c r="B2" s="9" t="s">
        <v>18</v>
      </c>
      <c r="C2" s="31">
        <v>0.73811753127824753</v>
      </c>
      <c r="D2" s="32">
        <v>0.78941077649226554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7">
      <c r="A3" s="12">
        <v>2</v>
      </c>
      <c r="B3" s="9" t="s">
        <v>21</v>
      </c>
      <c r="C3" s="31">
        <v>1.0063794177575189</v>
      </c>
      <c r="D3" s="32">
        <v>1.1136381492602803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7">
      <c r="A4" s="12">
        <v>3</v>
      </c>
      <c r="B4" s="9" t="s">
        <v>23</v>
      </c>
      <c r="C4" s="31">
        <v>1.0015036985937036</v>
      </c>
      <c r="D4" s="32">
        <v>1.1077137189215223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7">
      <c r="A5" s="12">
        <v>4</v>
      </c>
      <c r="B5" s="9" t="s">
        <v>26</v>
      </c>
      <c r="C5" s="31">
        <v>0.98429988946350122</v>
      </c>
      <c r="D5" s="32">
        <v>0.947451921202491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7">
      <c r="A6" s="12">
        <v>5</v>
      </c>
      <c r="B6" s="9" t="s">
        <v>28</v>
      </c>
      <c r="C6" s="31">
        <v>0.87291362222462432</v>
      </c>
      <c r="D6" s="32">
        <v>1.0041222933431739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7">
      <c r="A7" s="12">
        <v>6</v>
      </c>
      <c r="B7" s="9" t="s">
        <v>30</v>
      </c>
      <c r="C7" s="31">
        <v>0.93270404346739522</v>
      </c>
      <c r="D7" s="32">
        <v>1.0075235947173027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7">
      <c r="A8" s="12">
        <v>7</v>
      </c>
      <c r="B8" s="9" t="s">
        <v>32</v>
      </c>
      <c r="C8" s="31">
        <v>0.966513797439151</v>
      </c>
      <c r="D8" s="32">
        <v>0.92914176224164124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7">
      <c r="A9" s="12">
        <v>8</v>
      </c>
      <c r="B9" s="9" t="s">
        <v>34</v>
      </c>
      <c r="C9" s="31">
        <v>0.92124873615027458</v>
      </c>
      <c r="D9" s="32">
        <v>0.87086482906838492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7">
      <c r="A10" s="12">
        <v>9</v>
      </c>
      <c r="B10" s="9" t="s">
        <v>36</v>
      </c>
      <c r="C10" s="31">
        <v>0.7369593347902671</v>
      </c>
      <c r="D10" s="32">
        <v>0.82105107223382845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7">
      <c r="A11" s="10">
        <v>10</v>
      </c>
      <c r="B11" s="9" t="s">
        <v>38</v>
      </c>
      <c r="C11" s="31">
        <v>0.9123271859329366</v>
      </c>
      <c r="D11" s="31">
        <v>0.87121674771675306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7">
      <c r="A12" s="10">
        <v>11</v>
      </c>
      <c r="B12" s="9" t="s">
        <v>40</v>
      </c>
      <c r="C12" s="31">
        <v>0.93339380361580482</v>
      </c>
      <c r="D12" s="31">
        <v>1.0048559787611824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7">
      <c r="A13" s="35"/>
      <c r="B13" s="36"/>
      <c r="C13" s="39"/>
      <c r="D13" s="6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7">
      <c r="A14" s="35"/>
      <c r="B14" s="36"/>
      <c r="C14" s="39"/>
      <c r="D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7">
      <c r="A15" s="35"/>
      <c r="B15" s="36"/>
      <c r="C15" s="39"/>
      <c r="D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7">
      <c r="A16" s="35"/>
      <c r="B16" s="36"/>
      <c r="C16" s="39"/>
      <c r="D16" s="6"/>
      <c r="E16" s="16"/>
      <c r="F16" s="7"/>
      <c r="G16" s="7"/>
      <c r="H16" s="7"/>
      <c r="I16" s="16"/>
      <c r="J16" s="16"/>
      <c r="K16" s="16"/>
      <c r="L16" s="16"/>
      <c r="M16" s="16"/>
      <c r="N16" s="6"/>
      <c r="O16" s="6"/>
      <c r="P16" s="6"/>
    </row>
    <row r="17" spans="1:16">
      <c r="A17" s="35"/>
      <c r="B17" s="36"/>
      <c r="C17" s="39"/>
      <c r="D17" s="6"/>
      <c r="E17" s="16"/>
      <c r="F17" s="7"/>
      <c r="G17" s="7"/>
      <c r="H17" s="7"/>
      <c r="I17" s="16"/>
      <c r="J17" s="16"/>
      <c r="K17" s="16"/>
      <c r="L17" s="16"/>
      <c r="M17" s="16"/>
      <c r="N17" s="6"/>
      <c r="O17" s="6"/>
      <c r="P17" s="6"/>
    </row>
    <row r="18" spans="1:16">
      <c r="A18" s="35"/>
      <c r="B18" s="36"/>
      <c r="C18" s="39"/>
      <c r="D18" s="6"/>
      <c r="E18" s="16"/>
      <c r="F18" s="7"/>
      <c r="G18" s="7"/>
      <c r="H18" s="7"/>
      <c r="I18" s="16"/>
      <c r="J18" s="16"/>
      <c r="K18" s="16"/>
      <c r="L18" s="16"/>
      <c r="M18" s="16"/>
      <c r="N18" s="6"/>
      <c r="O18" s="6"/>
      <c r="P18" s="6"/>
    </row>
    <row r="19" spans="1:16">
      <c r="A19" s="35"/>
      <c r="B19" s="36"/>
      <c r="C19" s="39"/>
      <c r="D19" s="6"/>
      <c r="E19" s="16"/>
      <c r="F19" s="7"/>
      <c r="G19" s="7"/>
      <c r="H19" s="7"/>
      <c r="I19" s="16"/>
      <c r="J19" s="16"/>
      <c r="K19" s="16"/>
      <c r="L19" s="16"/>
      <c r="M19" s="16"/>
      <c r="N19" s="6"/>
      <c r="O19" s="6"/>
      <c r="P19" s="6"/>
    </row>
    <row r="20" spans="1:16">
      <c r="A20" s="35"/>
      <c r="B20" s="36"/>
      <c r="C20" s="39"/>
      <c r="D20" s="6"/>
      <c r="E20" s="16"/>
      <c r="F20" s="7"/>
      <c r="G20" s="7"/>
      <c r="H20" s="7"/>
      <c r="I20" s="16"/>
      <c r="J20" s="16"/>
      <c r="K20" s="16"/>
      <c r="L20" s="16"/>
      <c r="M20" s="16"/>
      <c r="N20" s="6"/>
      <c r="O20" s="6"/>
      <c r="P20" s="6"/>
    </row>
    <row r="21" spans="1:16">
      <c r="A21" s="35"/>
      <c r="B21" s="36"/>
      <c r="C21" s="39"/>
      <c r="D21" s="6"/>
      <c r="E21" s="16"/>
      <c r="F21" s="7"/>
      <c r="G21" s="7"/>
      <c r="H21" s="7"/>
      <c r="I21" s="16"/>
      <c r="J21" s="16"/>
      <c r="K21" s="16"/>
      <c r="L21" s="16"/>
      <c r="M21" s="16"/>
      <c r="N21" s="6"/>
      <c r="O21" s="6"/>
      <c r="P21" s="6"/>
    </row>
    <row r="22" spans="1:16">
      <c r="A22" s="35"/>
      <c r="B22" s="36"/>
      <c r="C22" s="39"/>
      <c r="D22" s="6"/>
      <c r="E22" s="16"/>
      <c r="F22" s="7"/>
      <c r="G22" s="7"/>
      <c r="H22" s="7"/>
      <c r="I22" s="16"/>
      <c r="J22" s="16"/>
      <c r="K22" s="16"/>
      <c r="L22" s="16"/>
      <c r="M22" s="16"/>
      <c r="N22" s="6"/>
      <c r="O22" s="6"/>
      <c r="P22" s="6"/>
    </row>
    <row r="23" spans="1:16">
      <c r="A23" s="35"/>
      <c r="B23" s="36"/>
      <c r="C23" s="39"/>
      <c r="D23" s="6"/>
      <c r="E23" s="16"/>
      <c r="F23" s="7"/>
      <c r="G23" s="7"/>
      <c r="H23" s="7"/>
      <c r="I23" s="16"/>
      <c r="J23" s="16"/>
      <c r="K23" s="16"/>
      <c r="L23" s="16"/>
      <c r="M23" s="16"/>
      <c r="N23" s="6"/>
      <c r="O23" s="6"/>
      <c r="P23" s="6"/>
    </row>
    <row r="24" spans="1:16">
      <c r="A24" s="35"/>
      <c r="B24" s="36"/>
      <c r="C24" s="39"/>
      <c r="D24" s="6"/>
      <c r="E24" s="16"/>
      <c r="F24" s="7"/>
      <c r="G24" s="7"/>
      <c r="H24" s="7"/>
      <c r="I24" s="16"/>
      <c r="J24" s="16"/>
      <c r="K24" s="16"/>
      <c r="L24" s="16"/>
      <c r="M24" s="16"/>
      <c r="N24" s="6"/>
      <c r="O24" s="6"/>
      <c r="P24" s="6"/>
    </row>
    <row r="25" spans="1:16">
      <c r="A25" s="35"/>
      <c r="B25" s="36"/>
      <c r="C25" s="39"/>
      <c r="D25" s="6"/>
      <c r="E25" s="16"/>
      <c r="F25" s="7"/>
      <c r="G25" s="7"/>
      <c r="H25" s="7"/>
      <c r="I25" s="16"/>
      <c r="J25" s="16"/>
      <c r="K25" s="16"/>
      <c r="L25" s="16"/>
      <c r="M25" s="16"/>
      <c r="N25" s="6"/>
      <c r="O25" s="6"/>
      <c r="P25" s="6"/>
    </row>
    <row r="26" spans="1:16">
      <c r="A26" s="35"/>
      <c r="B26" s="36"/>
      <c r="C26" s="39"/>
      <c r="D26" s="6"/>
      <c r="E26" s="16"/>
      <c r="F26" s="7"/>
      <c r="G26" s="7"/>
      <c r="H26" s="7"/>
      <c r="I26" s="16"/>
      <c r="J26" s="16"/>
      <c r="K26" s="16"/>
      <c r="L26" s="16"/>
      <c r="M26" s="16"/>
      <c r="N26" s="6"/>
      <c r="O26" s="6"/>
      <c r="P26" s="6"/>
    </row>
    <row r="27" spans="1:16">
      <c r="A27" s="35"/>
      <c r="B27" s="36"/>
      <c r="C27" s="39"/>
      <c r="D27" s="6"/>
      <c r="E27" s="16"/>
      <c r="F27" s="7"/>
      <c r="G27" s="7"/>
      <c r="H27" s="7"/>
      <c r="I27" s="16"/>
      <c r="J27" s="16"/>
      <c r="K27" s="16"/>
      <c r="L27" s="16"/>
      <c r="M27" s="16"/>
      <c r="N27" s="6"/>
      <c r="O27" s="6"/>
      <c r="P27" s="6"/>
    </row>
    <row r="28" spans="1:16">
      <c r="A28" s="35"/>
      <c r="B28" s="36"/>
      <c r="C28" s="39"/>
      <c r="D28" s="6"/>
      <c r="E28" s="16"/>
      <c r="F28" s="7"/>
      <c r="G28" s="7"/>
      <c r="H28" s="7"/>
      <c r="I28" s="16"/>
      <c r="J28" s="16"/>
      <c r="K28" s="16"/>
      <c r="L28" s="16"/>
      <c r="M28" s="16"/>
      <c r="N28" s="6"/>
      <c r="O28" s="6"/>
      <c r="P28" s="6"/>
    </row>
    <row r="29" spans="1:16">
      <c r="A29" s="35"/>
      <c r="B29" s="36"/>
      <c r="C29" s="39"/>
      <c r="D29" s="6"/>
      <c r="E29" s="16"/>
      <c r="F29" s="7"/>
      <c r="G29" s="7"/>
      <c r="H29" s="7"/>
      <c r="I29" s="16"/>
      <c r="J29" s="16"/>
      <c r="K29" s="16"/>
      <c r="L29" s="16"/>
      <c r="M29" s="16"/>
      <c r="N29" s="6"/>
      <c r="O29" s="6"/>
      <c r="P29" s="6"/>
    </row>
    <row r="30" spans="1:16">
      <c r="A30" s="35"/>
      <c r="B30" s="36"/>
      <c r="C30" s="39"/>
      <c r="D30" s="6"/>
      <c r="E30" s="16"/>
      <c r="F30" s="7"/>
      <c r="G30" s="7"/>
      <c r="H30" s="7"/>
      <c r="I30" s="16"/>
      <c r="J30" s="16"/>
      <c r="K30" s="16"/>
      <c r="L30" s="16"/>
      <c r="M30" s="16"/>
      <c r="N30" s="6"/>
      <c r="O30" s="6"/>
      <c r="P30" s="6"/>
    </row>
    <row r="31" spans="1:16">
      <c r="A31" s="35"/>
      <c r="B31" s="36"/>
      <c r="C31" s="39"/>
      <c r="D31" s="6"/>
      <c r="E31" s="16"/>
      <c r="F31" s="7"/>
      <c r="G31" s="7"/>
      <c r="H31" s="7"/>
      <c r="I31" s="16"/>
      <c r="J31" s="16"/>
      <c r="K31" s="16"/>
      <c r="L31" s="16"/>
      <c r="M31" s="16"/>
      <c r="N31" s="6"/>
      <c r="O31" s="6"/>
      <c r="P31" s="6"/>
    </row>
    <row r="32" spans="1:16">
      <c r="A32" s="35"/>
      <c r="B32" s="36"/>
      <c r="C32" s="39"/>
      <c r="D32" s="6"/>
      <c r="E32" s="16"/>
      <c r="F32" s="7"/>
      <c r="G32" s="7"/>
      <c r="H32" s="7"/>
      <c r="I32" s="16"/>
      <c r="J32" s="16"/>
      <c r="K32" s="16"/>
      <c r="L32" s="16"/>
      <c r="M32" s="16"/>
      <c r="N32" s="6"/>
      <c r="O32" s="6"/>
      <c r="P32" s="6"/>
    </row>
    <row r="33" spans="1:16">
      <c r="A33" s="35"/>
      <c r="B33" s="36"/>
      <c r="C33" s="39"/>
      <c r="D33" s="6"/>
      <c r="E33" s="16"/>
      <c r="F33" s="7"/>
      <c r="G33" s="7"/>
      <c r="H33" s="7"/>
      <c r="I33" s="16"/>
      <c r="J33" s="16"/>
      <c r="K33" s="16"/>
      <c r="L33" s="16"/>
      <c r="M33" s="16"/>
      <c r="N33" s="6"/>
      <c r="O33" s="6"/>
      <c r="P33" s="6"/>
    </row>
    <row r="34" spans="1:16">
      <c r="A34" s="35"/>
      <c r="B34" s="36"/>
      <c r="C34" s="39"/>
      <c r="D34" s="6"/>
      <c r="E34" s="16"/>
      <c r="F34" s="7"/>
      <c r="G34" s="7"/>
      <c r="H34" s="7"/>
      <c r="I34" s="16"/>
      <c r="J34" s="16"/>
      <c r="K34" s="16"/>
      <c r="L34" s="16"/>
      <c r="M34" s="16"/>
      <c r="N34" s="6"/>
      <c r="O34" s="6"/>
      <c r="P34" s="6"/>
    </row>
    <row r="35" spans="1:16">
      <c r="A35" s="35"/>
      <c r="B35" s="36"/>
      <c r="C35" s="39"/>
      <c r="D35" s="6"/>
      <c r="E35" s="16"/>
      <c r="F35" s="7"/>
      <c r="G35" s="7"/>
      <c r="H35" s="7"/>
      <c r="I35" s="16"/>
      <c r="J35" s="16"/>
      <c r="K35" s="16"/>
      <c r="L35" s="16"/>
      <c r="M35" s="16"/>
      <c r="N35" s="6"/>
      <c r="O35" s="6"/>
      <c r="P35" s="6"/>
    </row>
    <row r="36" spans="1:16">
      <c r="A36" s="35"/>
      <c r="B36" s="36"/>
      <c r="C36" s="39"/>
      <c r="D36" s="6"/>
      <c r="E36" s="16"/>
      <c r="F36" s="7"/>
      <c r="G36" s="7"/>
      <c r="H36" s="7"/>
      <c r="I36" s="16"/>
      <c r="J36" s="16"/>
      <c r="K36" s="16"/>
      <c r="L36" s="16"/>
      <c r="M36" s="16"/>
      <c r="N36" s="6"/>
      <c r="O36" s="6"/>
      <c r="P36" s="6"/>
    </row>
    <row r="37" spans="1:16">
      <c r="A37" s="35"/>
      <c r="B37" s="36"/>
      <c r="C37" s="39"/>
      <c r="D37" s="6"/>
      <c r="E37" s="16"/>
      <c r="F37" s="7"/>
      <c r="G37" s="7"/>
      <c r="H37" s="7"/>
      <c r="I37" s="16"/>
      <c r="J37" s="16"/>
      <c r="K37" s="16"/>
      <c r="L37" s="16"/>
      <c r="M37" s="16"/>
      <c r="N37" s="6"/>
      <c r="O37" s="6"/>
      <c r="P37" s="6"/>
    </row>
    <row r="38" spans="1:16">
      <c r="A38" s="35"/>
      <c r="B38" s="36"/>
      <c r="C38" s="39"/>
      <c r="D38" s="6"/>
      <c r="E38" s="16"/>
      <c r="F38" s="7"/>
      <c r="G38" s="7"/>
      <c r="H38" s="7"/>
      <c r="I38" s="16"/>
      <c r="J38" s="16"/>
      <c r="K38" s="16"/>
      <c r="L38" s="16"/>
      <c r="M38" s="16"/>
      <c r="N38" s="6"/>
      <c r="O38" s="6"/>
      <c r="P38" s="6"/>
    </row>
    <row r="39" spans="1:16">
      <c r="A39" s="35"/>
      <c r="B39" s="36"/>
      <c r="C39" s="39"/>
      <c r="D39" s="6"/>
      <c r="E39" s="16"/>
      <c r="F39" s="7"/>
      <c r="G39" s="7"/>
      <c r="H39" s="7"/>
      <c r="I39" s="16"/>
      <c r="J39" s="16"/>
      <c r="K39" s="16"/>
      <c r="L39" s="16"/>
      <c r="M39" s="16"/>
      <c r="N39" s="6"/>
      <c r="O39" s="6"/>
      <c r="P39" s="6"/>
    </row>
    <row r="40" spans="1:16">
      <c r="A40" s="35"/>
      <c r="B40" s="36"/>
      <c r="C40" s="39"/>
      <c r="D40" s="6"/>
      <c r="E40" s="16"/>
      <c r="F40" s="7"/>
      <c r="G40" s="7"/>
      <c r="H40" s="7"/>
      <c r="I40" s="16"/>
      <c r="J40" s="16"/>
      <c r="K40" s="16"/>
      <c r="L40" s="16"/>
      <c r="M40" s="16"/>
      <c r="N40" s="6"/>
      <c r="O40" s="6"/>
      <c r="P40" s="6"/>
    </row>
    <row r="41" spans="1:16">
      <c r="A41" s="35"/>
      <c r="B41" s="36"/>
      <c r="C41" s="39"/>
      <c r="D41" s="6"/>
      <c r="E41" s="16"/>
      <c r="F41" s="7"/>
      <c r="G41" s="7"/>
      <c r="H41" s="7"/>
      <c r="I41" s="16"/>
      <c r="J41" s="16"/>
      <c r="K41" s="16"/>
      <c r="L41" s="16"/>
      <c r="M41" s="16"/>
      <c r="N41" s="6"/>
      <c r="O41" s="6"/>
      <c r="P41" s="6"/>
    </row>
    <row r="42" spans="1:16">
      <c r="A42" s="35"/>
      <c r="B42" s="36"/>
      <c r="C42" s="39"/>
      <c r="D42" s="6"/>
      <c r="E42" s="16"/>
      <c r="F42" s="7"/>
      <c r="G42" s="7"/>
      <c r="H42" s="7"/>
      <c r="I42" s="16"/>
      <c r="J42" s="16"/>
      <c r="K42" s="16"/>
      <c r="L42" s="16"/>
      <c r="M42" s="16"/>
      <c r="N42" s="6"/>
      <c r="O42" s="6"/>
      <c r="P42" s="6"/>
    </row>
    <row r="43" spans="1:16">
      <c r="A43" s="35"/>
      <c r="B43" s="36"/>
      <c r="C43" s="39"/>
      <c r="D43" s="6"/>
      <c r="E43" s="16"/>
      <c r="F43" s="7"/>
      <c r="G43" s="7"/>
      <c r="H43" s="7"/>
      <c r="I43" s="16"/>
      <c r="J43" s="16"/>
      <c r="K43" s="16"/>
      <c r="L43" s="16"/>
      <c r="M43" s="16"/>
      <c r="N43" s="6"/>
      <c r="O43" s="6"/>
      <c r="P43" s="6"/>
    </row>
    <row r="44" spans="1:16">
      <c r="A44" s="35"/>
      <c r="B44" s="36"/>
      <c r="C44" s="39"/>
      <c r="D44" s="6"/>
      <c r="E44" s="16"/>
      <c r="F44" s="7"/>
      <c r="G44" s="7"/>
      <c r="H44" s="7"/>
      <c r="I44" s="16"/>
      <c r="J44" s="16"/>
      <c r="K44" s="16"/>
      <c r="L44" s="16"/>
      <c r="M44" s="16"/>
      <c r="N44" s="6"/>
      <c r="O44" s="6"/>
      <c r="P44" s="6"/>
    </row>
    <row r="45" spans="1:16">
      <c r="A45" s="35"/>
      <c r="B45" s="36"/>
      <c r="C45" s="39"/>
      <c r="D45" s="6"/>
      <c r="E45" s="16"/>
      <c r="F45" s="7"/>
      <c r="G45" s="7"/>
      <c r="H45" s="7"/>
      <c r="I45" s="16"/>
      <c r="J45" s="16"/>
      <c r="K45" s="16"/>
      <c r="L45" s="16"/>
      <c r="M45" s="16"/>
      <c r="N45" s="6"/>
      <c r="O45" s="6"/>
      <c r="P45" s="6"/>
    </row>
    <row r="46" spans="1:16">
      <c r="A46" s="35"/>
      <c r="B46" s="36"/>
      <c r="C46" s="39"/>
      <c r="D46" s="6"/>
      <c r="E46" s="16"/>
      <c r="F46" s="7"/>
      <c r="G46" s="7"/>
      <c r="H46" s="7"/>
      <c r="I46" s="16"/>
      <c r="J46" s="16"/>
      <c r="K46" s="16"/>
      <c r="L46" s="16"/>
      <c r="M46" s="16"/>
      <c r="N46" s="6"/>
      <c r="O46" s="6"/>
      <c r="P46" s="6"/>
    </row>
    <row r="47" spans="1:16">
      <c r="A47" s="35"/>
      <c r="B47" s="36"/>
      <c r="C47" s="39"/>
      <c r="D47" s="6"/>
      <c r="E47" s="16"/>
      <c r="F47" s="7"/>
      <c r="G47" s="7"/>
      <c r="H47" s="7"/>
      <c r="I47" s="16"/>
      <c r="J47" s="16"/>
      <c r="K47" s="16"/>
      <c r="L47" s="16"/>
      <c r="M47" s="16"/>
      <c r="N47" s="6"/>
      <c r="O47" s="6"/>
      <c r="P47" s="6"/>
    </row>
    <row r="48" spans="1:16">
      <c r="A48" s="35"/>
      <c r="B48" s="36"/>
      <c r="C48" s="39"/>
      <c r="D48" s="6"/>
      <c r="E48" s="16"/>
      <c r="F48" s="7"/>
      <c r="G48" s="7"/>
      <c r="H48" s="7"/>
      <c r="I48" s="16"/>
      <c r="J48" s="16"/>
      <c r="K48" s="16"/>
      <c r="L48" s="16"/>
      <c r="M48" s="16"/>
      <c r="N48" s="6"/>
      <c r="O48" s="6"/>
      <c r="P48" s="6"/>
    </row>
    <row r="49" spans="1:16">
      <c r="A49" s="35"/>
      <c r="B49" s="36"/>
      <c r="C49" s="39"/>
      <c r="D49" s="6"/>
      <c r="E49" s="16"/>
      <c r="F49" s="7"/>
      <c r="G49" s="7"/>
      <c r="H49" s="7"/>
      <c r="I49" s="16"/>
      <c r="J49" s="16"/>
      <c r="K49" s="16"/>
      <c r="L49" s="16"/>
      <c r="M49" s="16"/>
      <c r="N49" s="6"/>
      <c r="O49" s="6"/>
      <c r="P49" s="6"/>
    </row>
    <row r="50" spans="1:16">
      <c r="A50" s="35"/>
      <c r="B50" s="36"/>
      <c r="C50" s="39"/>
      <c r="D50" s="6"/>
      <c r="E50" s="16"/>
      <c r="F50" s="7"/>
      <c r="G50" s="7"/>
      <c r="H50" s="7"/>
      <c r="I50" s="16"/>
      <c r="J50" s="16"/>
      <c r="K50" s="16"/>
      <c r="L50" s="16"/>
      <c r="M50" s="16"/>
      <c r="N50" s="6"/>
      <c r="O50" s="6"/>
      <c r="P50" s="6"/>
    </row>
    <row r="51" spans="1:16">
      <c r="A51" s="35"/>
      <c r="B51" s="36"/>
      <c r="C51" s="39"/>
      <c r="D51" s="6"/>
      <c r="E51" s="16"/>
      <c r="F51" s="7"/>
      <c r="G51" s="7"/>
      <c r="H51" s="7"/>
      <c r="I51" s="16"/>
      <c r="J51" s="16"/>
      <c r="K51" s="16"/>
      <c r="L51" s="16"/>
      <c r="M51" s="16"/>
      <c r="N51" s="6"/>
      <c r="O51" s="6"/>
      <c r="P51" s="6"/>
    </row>
    <row r="52" spans="1:16">
      <c r="A52" s="35"/>
      <c r="B52" s="36"/>
      <c r="C52" s="39"/>
      <c r="D52" s="6"/>
      <c r="E52" s="16"/>
      <c r="F52" s="7"/>
      <c r="G52" s="7"/>
      <c r="H52" s="7"/>
      <c r="I52" s="16"/>
      <c r="J52" s="16"/>
      <c r="K52" s="16"/>
      <c r="L52" s="16"/>
      <c r="M52" s="16"/>
      <c r="N52" s="6"/>
      <c r="O52" s="6"/>
      <c r="P52" s="6"/>
    </row>
    <row r="53" spans="1:16">
      <c r="A53" s="35"/>
      <c r="B53" s="36"/>
      <c r="C53" s="39"/>
      <c r="D53" s="6"/>
      <c r="E53" s="16"/>
      <c r="F53" s="7"/>
      <c r="G53" s="7"/>
      <c r="H53" s="7"/>
      <c r="I53" s="16"/>
      <c r="J53" s="16"/>
      <c r="K53" s="16"/>
      <c r="L53" s="16"/>
      <c r="M53" s="16"/>
      <c r="N53" s="6"/>
      <c r="O53" s="6"/>
      <c r="P53" s="6"/>
    </row>
    <row r="54" spans="1:16">
      <c r="A54" s="35"/>
      <c r="B54" s="36"/>
      <c r="C54" s="39"/>
      <c r="D54" s="6"/>
      <c r="E54" s="16"/>
      <c r="F54" s="7"/>
      <c r="G54" s="7"/>
      <c r="H54" s="7"/>
      <c r="I54" s="16"/>
      <c r="J54" s="16"/>
      <c r="K54" s="16"/>
      <c r="L54" s="16"/>
      <c r="M54" s="16"/>
      <c r="N54" s="6"/>
      <c r="O54" s="6"/>
      <c r="P54" s="6"/>
    </row>
    <row r="55" spans="1:16">
      <c r="A55" s="35"/>
      <c r="B55" s="36"/>
      <c r="C55" s="39"/>
      <c r="D55" s="6"/>
      <c r="E55" s="16"/>
      <c r="F55" s="7"/>
      <c r="G55" s="7"/>
      <c r="H55" s="7"/>
      <c r="I55" s="16"/>
      <c r="J55" s="16"/>
      <c r="K55" s="16"/>
      <c r="L55" s="16"/>
      <c r="M55" s="16"/>
      <c r="N55" s="6"/>
      <c r="O55" s="6"/>
      <c r="P55" s="6"/>
    </row>
    <row r="56" spans="1:16">
      <c r="A56" s="35"/>
      <c r="B56" s="36"/>
      <c r="C56" s="39"/>
      <c r="D56" s="6"/>
      <c r="E56" s="16"/>
      <c r="F56" s="7"/>
      <c r="G56" s="7"/>
      <c r="H56" s="7"/>
      <c r="I56" s="16"/>
      <c r="J56" s="16"/>
      <c r="K56" s="16"/>
      <c r="L56" s="16"/>
      <c r="M56" s="16"/>
      <c r="N56" s="6"/>
      <c r="O56" s="6"/>
      <c r="P56" s="6"/>
    </row>
    <row r="57" spans="1:16">
      <c r="A57" s="35"/>
      <c r="B57" s="36"/>
      <c r="C57" s="39"/>
      <c r="D57" s="6"/>
      <c r="E57" s="16"/>
      <c r="F57" s="7"/>
      <c r="G57" s="7"/>
      <c r="H57" s="7"/>
      <c r="I57" s="16"/>
      <c r="J57" s="16"/>
      <c r="K57" s="16"/>
      <c r="L57" s="16"/>
      <c r="M57" s="16"/>
      <c r="N57" s="6"/>
      <c r="O57" s="6"/>
      <c r="P57" s="6"/>
    </row>
    <row r="58" spans="1:16">
      <c r="A58" s="35"/>
      <c r="B58" s="36"/>
      <c r="C58" s="39"/>
      <c r="D58" s="6"/>
      <c r="E58" s="16"/>
      <c r="F58" s="7"/>
      <c r="G58" s="7"/>
      <c r="H58" s="7"/>
      <c r="I58" s="16"/>
      <c r="J58" s="16"/>
      <c r="K58" s="16"/>
      <c r="L58" s="16"/>
      <c r="M58" s="16"/>
      <c r="N58" s="6"/>
      <c r="O58" s="6"/>
      <c r="P58" s="6"/>
    </row>
    <row r="59" spans="1:16">
      <c r="A59" s="35"/>
      <c r="B59" s="36"/>
      <c r="C59" s="39"/>
      <c r="D59" s="6"/>
      <c r="E59" s="16"/>
      <c r="F59" s="7"/>
      <c r="G59" s="7"/>
      <c r="H59" s="7"/>
      <c r="I59" s="16"/>
      <c r="J59" s="16"/>
      <c r="K59" s="16"/>
      <c r="L59" s="16"/>
      <c r="M59" s="16"/>
      <c r="N59" s="6"/>
      <c r="O59" s="6"/>
      <c r="P59" s="6"/>
    </row>
    <row r="60" spans="1:16">
      <c r="A60" s="35"/>
      <c r="B60" s="36"/>
      <c r="C60" s="39"/>
      <c r="D60" s="6"/>
      <c r="E60" s="16"/>
      <c r="F60" s="7"/>
      <c r="G60" s="7"/>
      <c r="H60" s="7"/>
      <c r="I60" s="16"/>
      <c r="J60" s="16"/>
      <c r="K60" s="16"/>
      <c r="L60" s="16"/>
      <c r="M60" s="16"/>
      <c r="N60" s="6"/>
      <c r="O60" s="6"/>
      <c r="P60" s="6"/>
    </row>
    <row r="61" spans="1:16">
      <c r="A61" s="35"/>
      <c r="B61" s="36"/>
      <c r="C61" s="39"/>
      <c r="D61" s="6"/>
      <c r="E61" s="16"/>
      <c r="F61" s="7"/>
      <c r="G61" s="7"/>
      <c r="H61" s="7"/>
      <c r="I61" s="16"/>
      <c r="J61" s="16"/>
      <c r="K61" s="16"/>
      <c r="L61" s="16"/>
      <c r="M61" s="16"/>
      <c r="N61" s="6"/>
      <c r="O61" s="6"/>
      <c r="P61" s="6"/>
    </row>
    <row r="62" spans="1:16">
      <c r="A62" s="35"/>
      <c r="B62" s="36"/>
      <c r="C62" s="39"/>
      <c r="D62" s="6"/>
      <c r="E62" s="16"/>
      <c r="F62" s="7"/>
      <c r="G62" s="7"/>
      <c r="H62" s="7"/>
      <c r="I62" s="16"/>
      <c r="J62" s="16"/>
      <c r="K62" s="16"/>
      <c r="L62" s="16"/>
      <c r="M62" s="16"/>
      <c r="N62" s="6"/>
      <c r="O62" s="6"/>
      <c r="P62" s="6"/>
    </row>
    <row r="63" spans="1:16">
      <c r="A63" s="35"/>
      <c r="B63" s="36"/>
      <c r="C63" s="39"/>
      <c r="D63" s="6"/>
      <c r="E63" s="16"/>
      <c r="F63" s="7"/>
      <c r="G63" s="7"/>
      <c r="H63" s="7"/>
      <c r="I63" s="16"/>
      <c r="J63" s="16"/>
      <c r="K63" s="16"/>
      <c r="L63" s="16"/>
      <c r="M63" s="16"/>
      <c r="N63" s="6"/>
      <c r="O63" s="6"/>
      <c r="P63" s="6"/>
    </row>
    <row r="64" spans="1:16">
      <c r="A64" s="35"/>
      <c r="B64" s="36"/>
      <c r="C64" s="39"/>
      <c r="D64" s="6"/>
      <c r="E64" s="16"/>
      <c r="F64" s="7"/>
      <c r="G64" s="7"/>
      <c r="H64" s="7"/>
      <c r="I64" s="16"/>
      <c r="J64" s="16"/>
      <c r="K64" s="16"/>
      <c r="L64" s="16"/>
      <c r="M64" s="16"/>
      <c r="N64" s="6"/>
      <c r="O64" s="6"/>
      <c r="P64" s="6"/>
    </row>
    <row r="65" spans="1:16">
      <c r="A65" s="35"/>
      <c r="B65" s="36"/>
      <c r="C65" s="39"/>
      <c r="D65" s="6"/>
      <c r="E65" s="16"/>
      <c r="F65" s="7"/>
      <c r="G65" s="7"/>
      <c r="H65" s="7"/>
      <c r="I65" s="16"/>
      <c r="J65" s="16"/>
      <c r="K65" s="16"/>
      <c r="L65" s="16"/>
      <c r="M65" s="16"/>
      <c r="N65" s="6"/>
      <c r="O65" s="6"/>
      <c r="P65" s="6"/>
    </row>
    <row r="66" spans="1:16">
      <c r="A66" s="35"/>
      <c r="B66" s="36"/>
      <c r="C66" s="39"/>
      <c r="D66" s="6"/>
      <c r="E66" s="16"/>
      <c r="F66" s="7"/>
      <c r="G66" s="7"/>
      <c r="H66" s="7"/>
      <c r="I66" s="16"/>
      <c r="J66" s="16"/>
      <c r="K66" s="16"/>
      <c r="L66" s="16"/>
      <c r="M66" s="16"/>
      <c r="N66" s="6"/>
      <c r="O66" s="6"/>
      <c r="P66" s="6"/>
    </row>
    <row r="67" spans="1:16">
      <c r="A67" s="35"/>
      <c r="B67" s="36"/>
      <c r="C67" s="39"/>
      <c r="D67" s="6"/>
      <c r="E67" s="16"/>
      <c r="F67" s="7"/>
      <c r="G67" s="7"/>
      <c r="H67" s="7"/>
      <c r="I67" s="16"/>
      <c r="J67" s="16"/>
      <c r="K67" s="16"/>
      <c r="L67" s="16"/>
      <c r="M67" s="16"/>
      <c r="N67" s="6"/>
      <c r="O67" s="6"/>
      <c r="P67" s="6"/>
    </row>
    <row r="68" spans="1:16">
      <c r="A68" s="35"/>
      <c r="B68" s="36"/>
      <c r="C68" s="39"/>
      <c r="D68" s="6"/>
      <c r="E68" s="16"/>
      <c r="F68" s="7"/>
      <c r="G68" s="7"/>
      <c r="H68" s="7"/>
      <c r="I68" s="16"/>
      <c r="J68" s="16"/>
      <c r="K68" s="16"/>
      <c r="L68" s="16"/>
      <c r="M68" s="16"/>
      <c r="N68" s="6"/>
      <c r="O68" s="6"/>
      <c r="P68" s="6"/>
    </row>
    <row r="69" spans="1:16">
      <c r="A69" s="35"/>
      <c r="B69" s="36"/>
      <c r="C69" s="39"/>
      <c r="D69" s="6"/>
      <c r="E69" s="16"/>
      <c r="F69" s="7"/>
      <c r="G69" s="7"/>
      <c r="H69" s="7"/>
      <c r="I69" s="16"/>
      <c r="J69" s="16"/>
      <c r="K69" s="16"/>
      <c r="L69" s="16"/>
      <c r="M69" s="16"/>
      <c r="N69" s="6"/>
      <c r="O69" s="6"/>
      <c r="P69" s="6"/>
    </row>
    <row r="70" spans="1:16">
      <c r="A70" s="35"/>
      <c r="B70" s="36"/>
      <c r="C70" s="39"/>
      <c r="D70" s="6"/>
      <c r="E70" s="16"/>
      <c r="F70" s="7"/>
      <c r="G70" s="7"/>
      <c r="H70" s="7"/>
      <c r="I70" s="16"/>
      <c r="J70" s="16"/>
      <c r="K70" s="16"/>
      <c r="L70" s="16"/>
      <c r="M70" s="16"/>
      <c r="N70" s="6"/>
      <c r="O70" s="6"/>
      <c r="P70" s="6"/>
    </row>
    <row r="71" spans="1:16">
      <c r="A71" s="35"/>
      <c r="B71" s="36"/>
      <c r="C71" s="39"/>
      <c r="D71" s="6"/>
      <c r="E71" s="16"/>
      <c r="F71" s="7"/>
      <c r="G71" s="7"/>
      <c r="H71" s="7"/>
      <c r="I71" s="16"/>
      <c r="J71" s="16"/>
      <c r="K71" s="16"/>
      <c r="L71" s="16"/>
      <c r="M71" s="16"/>
      <c r="N71" s="6"/>
      <c r="O71" s="6"/>
      <c r="P71" s="6"/>
    </row>
    <row r="72" spans="1:16">
      <c r="A72" s="35"/>
      <c r="B72" s="36"/>
      <c r="C72" s="39"/>
      <c r="D72" s="6"/>
      <c r="E72" s="16"/>
      <c r="F72" s="7"/>
      <c r="G72" s="7"/>
      <c r="H72" s="7"/>
      <c r="I72" s="16"/>
      <c r="J72" s="16"/>
      <c r="K72" s="16"/>
      <c r="L72" s="16"/>
      <c r="M72" s="16"/>
      <c r="N72" s="6"/>
      <c r="O72" s="6"/>
      <c r="P72" s="6"/>
    </row>
    <row r="73" spans="1:16">
      <c r="A73" s="35"/>
      <c r="B73" s="36"/>
      <c r="C73" s="39"/>
      <c r="D73" s="6"/>
      <c r="E73" s="16"/>
      <c r="F73" s="7"/>
      <c r="G73" s="7"/>
      <c r="H73" s="7"/>
      <c r="I73" s="16"/>
      <c r="J73" s="16"/>
      <c r="K73" s="16"/>
      <c r="L73" s="16"/>
      <c r="M73" s="16"/>
      <c r="N73" s="6"/>
      <c r="O73" s="6"/>
      <c r="P73" s="6"/>
    </row>
    <row r="74" spans="1:16">
      <c r="A74" s="35"/>
      <c r="B74" s="36"/>
      <c r="C74" s="39"/>
      <c r="D74" s="6"/>
      <c r="E74" s="16"/>
      <c r="F74" s="7"/>
      <c r="G74" s="7"/>
      <c r="H74" s="7"/>
      <c r="I74" s="16"/>
      <c r="J74" s="16"/>
      <c r="K74" s="16"/>
      <c r="L74" s="16"/>
      <c r="M74" s="16"/>
      <c r="N74" s="6"/>
      <c r="O74" s="6"/>
      <c r="P74" s="6"/>
    </row>
    <row r="75" spans="1:16">
      <c r="A75" s="35"/>
      <c r="B75" s="36"/>
      <c r="C75" s="39"/>
      <c r="D75" s="6"/>
      <c r="E75" s="16"/>
      <c r="F75" s="7"/>
      <c r="G75" s="7"/>
      <c r="H75" s="7"/>
      <c r="I75" s="16"/>
      <c r="J75" s="16"/>
      <c r="K75" s="16"/>
      <c r="L75" s="16"/>
      <c r="M75" s="16"/>
      <c r="N75" s="6"/>
      <c r="O75" s="6"/>
      <c r="P75" s="6"/>
    </row>
    <row r="76" spans="1:16">
      <c r="A76" s="35"/>
      <c r="B76" s="36"/>
      <c r="C76" s="39"/>
      <c r="D76" s="6"/>
      <c r="E76" s="16"/>
      <c r="F76" s="7"/>
      <c r="G76" s="7"/>
      <c r="H76" s="7"/>
      <c r="I76" s="16"/>
      <c r="J76" s="16"/>
      <c r="K76" s="16"/>
      <c r="L76" s="16"/>
      <c r="M76" s="16"/>
      <c r="N76" s="6"/>
      <c r="O76" s="6"/>
      <c r="P76" s="6"/>
    </row>
    <row r="77" spans="1:16">
      <c r="A77" s="35"/>
      <c r="B77" s="36"/>
      <c r="C77" s="39"/>
      <c r="D77" s="6"/>
      <c r="E77" s="16"/>
      <c r="F77" s="7"/>
      <c r="G77" s="7"/>
      <c r="H77" s="7"/>
      <c r="I77" s="16"/>
      <c r="J77" s="16"/>
      <c r="K77" s="16"/>
      <c r="L77" s="16"/>
      <c r="M77" s="16"/>
      <c r="N77" s="6"/>
      <c r="O77" s="6"/>
      <c r="P77" s="6"/>
    </row>
    <row r="78" spans="1:16">
      <c r="A78" s="35"/>
      <c r="B78" s="36"/>
      <c r="C78" s="39"/>
      <c r="D78" s="6"/>
      <c r="E78" s="16"/>
      <c r="F78" s="7"/>
      <c r="G78" s="7"/>
      <c r="H78" s="7"/>
      <c r="I78" s="16"/>
      <c r="J78" s="16"/>
      <c r="K78" s="16"/>
      <c r="L78" s="16"/>
      <c r="M78" s="16"/>
      <c r="N78" s="6"/>
      <c r="O78" s="6"/>
      <c r="P78" s="6"/>
    </row>
    <row r="79" spans="1:16">
      <c r="A79" s="35"/>
      <c r="B79" s="36"/>
      <c r="C79" s="39"/>
      <c r="D79" s="6"/>
      <c r="E79" s="16"/>
      <c r="F79" s="7"/>
      <c r="G79" s="7"/>
      <c r="H79" s="7"/>
      <c r="I79" s="16"/>
      <c r="J79" s="16"/>
      <c r="K79" s="16"/>
      <c r="L79" s="16"/>
      <c r="M79" s="16"/>
      <c r="N79" s="6"/>
      <c r="O79" s="6"/>
      <c r="P79" s="6"/>
    </row>
    <row r="80" spans="1:16">
      <c r="A80" s="35"/>
      <c r="B80" s="36"/>
      <c r="C80" s="39"/>
      <c r="D80" s="6"/>
      <c r="E80" s="16"/>
      <c r="F80" s="7"/>
      <c r="G80" s="7"/>
      <c r="H80" s="7"/>
      <c r="I80" s="16"/>
      <c r="J80" s="16"/>
      <c r="K80" s="16"/>
      <c r="L80" s="16"/>
      <c r="M80" s="16"/>
      <c r="N80" s="6"/>
      <c r="O80" s="6"/>
      <c r="P80" s="6"/>
    </row>
    <row r="81" spans="1:16">
      <c r="A81" s="35"/>
      <c r="B81" s="36"/>
      <c r="C81" s="39"/>
      <c r="D81" s="6"/>
      <c r="E81" s="16"/>
      <c r="F81" s="7"/>
      <c r="G81" s="7"/>
      <c r="H81" s="7"/>
      <c r="I81" s="16"/>
      <c r="J81" s="16"/>
      <c r="K81" s="16"/>
      <c r="L81" s="16"/>
      <c r="M81" s="16"/>
      <c r="N81" s="6"/>
      <c r="O81" s="6"/>
      <c r="P81" s="6"/>
    </row>
    <row r="82" spans="1:16">
      <c r="A82" s="35"/>
      <c r="B82" s="36"/>
      <c r="C82" s="39"/>
      <c r="D82" s="6"/>
      <c r="E82" s="16"/>
      <c r="F82" s="7"/>
      <c r="G82" s="7"/>
      <c r="H82" s="7"/>
      <c r="I82" s="16"/>
      <c r="J82" s="16"/>
      <c r="K82" s="16"/>
      <c r="L82" s="16"/>
      <c r="M82" s="16"/>
      <c r="N82" s="6"/>
      <c r="O82" s="6"/>
      <c r="P82" s="6"/>
    </row>
    <row r="83" spans="1:16">
      <c r="A83" s="35"/>
      <c r="B83" s="36"/>
      <c r="C83" s="39"/>
      <c r="D83" s="6"/>
      <c r="E83" s="16"/>
      <c r="F83" s="7"/>
      <c r="G83" s="7"/>
      <c r="H83" s="7"/>
      <c r="I83" s="16"/>
      <c r="J83" s="16"/>
      <c r="K83" s="16"/>
      <c r="L83" s="16"/>
      <c r="M83" s="16"/>
      <c r="N83" s="6"/>
      <c r="O83" s="6"/>
      <c r="P83" s="6"/>
    </row>
    <row r="84" spans="1:16">
      <c r="A84" s="35"/>
      <c r="B84" s="36"/>
      <c r="C84" s="39"/>
      <c r="D84" s="6"/>
      <c r="E84" s="16"/>
      <c r="F84" s="7"/>
      <c r="G84" s="7"/>
      <c r="H84" s="7"/>
      <c r="I84" s="16"/>
      <c r="J84" s="16"/>
      <c r="K84" s="16"/>
      <c r="L84" s="16"/>
      <c r="M84" s="16"/>
      <c r="N84" s="6"/>
      <c r="O84" s="6"/>
      <c r="P84" s="6"/>
    </row>
    <row r="85" spans="1:16">
      <c r="A85" s="35"/>
      <c r="B85" s="36"/>
      <c r="C85" s="39"/>
      <c r="D85" s="6"/>
      <c r="E85" s="16"/>
      <c r="F85" s="7"/>
      <c r="G85" s="7"/>
      <c r="H85" s="7"/>
      <c r="I85" s="16"/>
      <c r="J85" s="16"/>
      <c r="K85" s="16"/>
      <c r="L85" s="16"/>
      <c r="M85" s="16"/>
      <c r="N85" s="6"/>
      <c r="O85" s="6"/>
      <c r="P85" s="6"/>
    </row>
    <row r="86" spans="1:16">
      <c r="A86" s="35"/>
      <c r="B86" s="36"/>
      <c r="C86" s="39"/>
      <c r="D86" s="6"/>
      <c r="E86" s="16"/>
      <c r="F86" s="7"/>
      <c r="G86" s="7"/>
      <c r="H86" s="7"/>
      <c r="I86" s="16"/>
      <c r="J86" s="16"/>
      <c r="K86" s="16"/>
      <c r="L86" s="16"/>
      <c r="M86" s="16"/>
      <c r="N86" s="6"/>
      <c r="O86" s="6"/>
      <c r="P86" s="6"/>
    </row>
    <row r="87" spans="1:16">
      <c r="A87" s="35"/>
      <c r="B87" s="36"/>
      <c r="C87" s="39"/>
      <c r="D87" s="6"/>
      <c r="E87" s="16"/>
      <c r="F87" s="7"/>
      <c r="G87" s="7"/>
      <c r="H87" s="7"/>
      <c r="I87" s="16"/>
      <c r="J87" s="16"/>
      <c r="K87" s="16"/>
      <c r="L87" s="16"/>
      <c r="M87" s="16"/>
      <c r="N87" s="6"/>
      <c r="O87" s="6"/>
      <c r="P87" s="6"/>
    </row>
    <row r="88" spans="1:16">
      <c r="A88" s="35"/>
      <c r="B88" s="36"/>
      <c r="C88" s="39"/>
      <c r="D88" s="6"/>
      <c r="E88" s="16"/>
      <c r="F88" s="7"/>
      <c r="G88" s="7"/>
      <c r="H88" s="7"/>
      <c r="I88" s="16"/>
      <c r="J88" s="16"/>
      <c r="K88" s="16"/>
      <c r="L88" s="16"/>
      <c r="M88" s="16"/>
      <c r="N88" s="6"/>
      <c r="O88" s="6"/>
      <c r="P88" s="6"/>
    </row>
    <row r="89" spans="1:16">
      <c r="A89" s="35"/>
      <c r="B89" s="36"/>
      <c r="C89" s="39"/>
      <c r="D89" s="6"/>
      <c r="E89" s="16"/>
      <c r="F89" s="7"/>
      <c r="G89" s="7"/>
      <c r="H89" s="7"/>
      <c r="I89" s="16"/>
      <c r="J89" s="16"/>
      <c r="K89" s="16"/>
      <c r="L89" s="16"/>
      <c r="M89" s="16"/>
      <c r="N89" s="6"/>
      <c r="O89" s="6"/>
      <c r="P89" s="6"/>
    </row>
    <row r="90" spans="1:16">
      <c r="A90" s="35"/>
      <c r="B90" s="36"/>
      <c r="C90" s="39"/>
      <c r="D90" s="6"/>
      <c r="E90" s="16"/>
      <c r="F90" s="7"/>
      <c r="G90" s="7"/>
      <c r="H90" s="7"/>
      <c r="I90" s="16"/>
      <c r="J90" s="16"/>
      <c r="K90" s="16"/>
      <c r="L90" s="16"/>
      <c r="M90" s="16"/>
      <c r="N90" s="6"/>
      <c r="O90" s="6"/>
      <c r="P90" s="6"/>
    </row>
    <row r="91" spans="1:16">
      <c r="A91" s="35"/>
      <c r="B91" s="36"/>
      <c r="C91" s="39"/>
      <c r="D91" s="6"/>
      <c r="E91" s="16"/>
      <c r="F91" s="7"/>
      <c r="G91" s="7"/>
      <c r="H91" s="7"/>
      <c r="I91" s="16"/>
      <c r="J91" s="16"/>
      <c r="K91" s="16"/>
      <c r="L91" s="16"/>
      <c r="M91" s="16"/>
      <c r="N91" s="6"/>
      <c r="O91" s="6"/>
      <c r="P91" s="6"/>
    </row>
    <row r="92" spans="1:16">
      <c r="A92" s="35"/>
      <c r="B92" s="36"/>
      <c r="C92" s="39"/>
      <c r="D92" s="6"/>
      <c r="E92" s="16"/>
      <c r="F92" s="7"/>
      <c r="G92" s="7"/>
      <c r="H92" s="7"/>
      <c r="I92" s="16"/>
      <c r="J92" s="16"/>
      <c r="K92" s="16"/>
      <c r="L92" s="16"/>
      <c r="M92" s="16"/>
      <c r="N92" s="6"/>
      <c r="O92" s="6"/>
      <c r="P92" s="6"/>
    </row>
    <row r="93" spans="1:16">
      <c r="A93" s="35"/>
      <c r="B93" s="36"/>
      <c r="C93" s="39"/>
      <c r="D93" s="6"/>
      <c r="E93" s="16"/>
      <c r="F93" s="7"/>
      <c r="G93" s="7"/>
      <c r="H93" s="7"/>
      <c r="I93" s="16"/>
      <c r="J93" s="16"/>
      <c r="K93" s="16"/>
      <c r="L93" s="16"/>
      <c r="M93" s="16"/>
      <c r="N93" s="6"/>
      <c r="O93" s="6"/>
      <c r="P93" s="6"/>
    </row>
    <row r="94" spans="1:16">
      <c r="A94" s="35"/>
      <c r="B94" s="36"/>
      <c r="C94" s="39"/>
      <c r="D94" s="6"/>
      <c r="E94" s="16"/>
      <c r="F94" s="7"/>
      <c r="G94" s="7"/>
      <c r="H94" s="7"/>
      <c r="I94" s="16"/>
      <c r="J94" s="16"/>
      <c r="K94" s="16"/>
      <c r="L94" s="16"/>
      <c r="M94" s="16"/>
      <c r="N94" s="6"/>
      <c r="O94" s="6"/>
      <c r="P94" s="6"/>
    </row>
    <row r="95" spans="1:16">
      <c r="A95" s="35"/>
      <c r="B95" s="36"/>
      <c r="C95" s="39"/>
      <c r="D95" s="6"/>
      <c r="E95" s="16"/>
      <c r="F95" s="7"/>
      <c r="G95" s="7"/>
      <c r="H95" s="7"/>
      <c r="I95" s="16"/>
      <c r="J95" s="16"/>
      <c r="K95" s="16"/>
      <c r="L95" s="16"/>
      <c r="M95" s="16"/>
      <c r="N95" s="6"/>
      <c r="O95" s="6"/>
      <c r="P95" s="6"/>
    </row>
    <row r="96" spans="1:16">
      <c r="A96" s="35"/>
      <c r="B96" s="36"/>
      <c r="C96" s="39"/>
      <c r="D96" s="6"/>
      <c r="E96" s="16"/>
      <c r="F96" s="7"/>
      <c r="G96" s="7"/>
      <c r="H96" s="7"/>
      <c r="I96" s="16"/>
      <c r="J96" s="16"/>
      <c r="K96" s="16"/>
      <c r="L96" s="16"/>
      <c r="M96" s="16"/>
      <c r="N96" s="6"/>
      <c r="O96" s="6"/>
      <c r="P96" s="6"/>
    </row>
    <row r="97" spans="1:16">
      <c r="A97" s="35"/>
      <c r="B97" s="36"/>
      <c r="C97" s="39"/>
      <c r="D97" s="6"/>
      <c r="E97" s="16"/>
      <c r="F97" s="7"/>
      <c r="G97" s="7"/>
      <c r="H97" s="7"/>
      <c r="I97" s="16"/>
      <c r="J97" s="16"/>
      <c r="K97" s="16"/>
      <c r="L97" s="16"/>
      <c r="M97" s="16"/>
      <c r="N97" s="6"/>
      <c r="O97" s="6"/>
      <c r="P97" s="6"/>
    </row>
    <row r="98" spans="1:16">
      <c r="A98" s="35"/>
      <c r="B98" s="36"/>
      <c r="C98" s="39"/>
      <c r="D98" s="6"/>
      <c r="E98" s="16"/>
      <c r="F98" s="7"/>
      <c r="G98" s="7"/>
      <c r="H98" s="7"/>
      <c r="I98" s="16"/>
      <c r="J98" s="16"/>
      <c r="K98" s="16"/>
      <c r="L98" s="16"/>
      <c r="M98" s="16"/>
      <c r="N98" s="6"/>
      <c r="O98" s="6"/>
      <c r="P98" s="6"/>
    </row>
    <row r="99" spans="1:16">
      <c r="A99" s="35"/>
      <c r="B99" s="36"/>
      <c r="C99" s="39"/>
      <c r="D99" s="6"/>
      <c r="E99" s="16"/>
      <c r="F99" s="7"/>
      <c r="G99" s="7"/>
      <c r="H99" s="7"/>
      <c r="I99" s="16"/>
      <c r="J99" s="16"/>
      <c r="K99" s="16"/>
      <c r="L99" s="16"/>
      <c r="M99" s="16"/>
      <c r="N99" s="6"/>
      <c r="O99" s="6"/>
      <c r="P99" s="6"/>
    </row>
    <row r="100" spans="1:16">
      <c r="A100" s="35"/>
      <c r="B100" s="36"/>
      <c r="C100" s="39"/>
      <c r="D100" s="6"/>
      <c r="E100" s="16"/>
      <c r="F100" s="7"/>
      <c r="G100" s="7"/>
      <c r="H100" s="7"/>
      <c r="I100" s="16"/>
      <c r="J100" s="16"/>
      <c r="K100" s="16"/>
      <c r="L100" s="16"/>
      <c r="M100" s="16"/>
      <c r="N100" s="6"/>
      <c r="O100" s="6"/>
      <c r="P100" s="6"/>
    </row>
    <row r="101" spans="1:16">
      <c r="A101" s="35"/>
      <c r="B101" s="36"/>
      <c r="C101" s="39"/>
      <c r="D101" s="6"/>
      <c r="E101" s="16"/>
      <c r="F101" s="7"/>
      <c r="G101" s="7"/>
      <c r="H101" s="7"/>
      <c r="I101" s="16"/>
      <c r="J101" s="16"/>
      <c r="K101" s="16"/>
      <c r="L101" s="16"/>
      <c r="M101" s="16"/>
      <c r="N101" s="6"/>
      <c r="O101" s="6"/>
      <c r="P101" s="6"/>
    </row>
    <row r="102" spans="1:16">
      <c r="A102" s="35"/>
      <c r="B102" s="36"/>
      <c r="C102" s="39"/>
      <c r="D102" s="6"/>
      <c r="E102" s="16"/>
      <c r="F102" s="7"/>
      <c r="G102" s="7"/>
      <c r="H102" s="7"/>
      <c r="I102" s="16"/>
      <c r="J102" s="16"/>
      <c r="K102" s="16"/>
      <c r="L102" s="16"/>
      <c r="M102" s="16"/>
      <c r="N102" s="6"/>
      <c r="O102" s="6"/>
      <c r="P102" s="6"/>
    </row>
    <row r="103" spans="1:16">
      <c r="A103" s="35"/>
      <c r="B103" s="36"/>
      <c r="C103" s="39"/>
      <c r="D103" s="6"/>
      <c r="E103" s="16"/>
      <c r="F103" s="7"/>
      <c r="G103" s="7"/>
      <c r="H103" s="7"/>
      <c r="I103" s="16"/>
      <c r="J103" s="16"/>
      <c r="K103" s="16"/>
      <c r="L103" s="16"/>
      <c r="M103" s="16"/>
      <c r="N103" s="6"/>
      <c r="O103" s="6"/>
      <c r="P103" s="6"/>
    </row>
    <row r="104" spans="1:16">
      <c r="A104" s="35"/>
      <c r="B104" s="36"/>
      <c r="C104" s="39"/>
      <c r="D104" s="6"/>
      <c r="E104" s="16"/>
      <c r="F104" s="7"/>
      <c r="G104" s="7"/>
      <c r="H104" s="7"/>
      <c r="I104" s="16"/>
      <c r="J104" s="16"/>
      <c r="K104" s="16"/>
      <c r="L104" s="16"/>
      <c r="M104" s="16"/>
      <c r="N104" s="6"/>
      <c r="O104" s="6"/>
      <c r="P104" s="6"/>
    </row>
    <row r="105" spans="1:16">
      <c r="A105" s="35"/>
      <c r="B105" s="36"/>
      <c r="C105" s="39"/>
      <c r="D105" s="6"/>
      <c r="E105" s="16"/>
      <c r="F105" s="7"/>
      <c r="G105" s="7"/>
      <c r="H105" s="7"/>
      <c r="I105" s="16"/>
      <c r="J105" s="16"/>
      <c r="K105" s="16"/>
      <c r="L105" s="16"/>
      <c r="M105" s="16"/>
      <c r="N105" s="6"/>
      <c r="O105" s="6"/>
      <c r="P105" s="6"/>
    </row>
    <row r="106" spans="1:16">
      <c r="A106" s="35"/>
      <c r="B106" s="36"/>
      <c r="C106" s="39"/>
      <c r="D106" s="6"/>
      <c r="E106" s="16"/>
      <c r="F106" s="7"/>
      <c r="G106" s="7"/>
      <c r="H106" s="7"/>
      <c r="I106" s="16"/>
      <c r="J106" s="16"/>
      <c r="K106" s="16"/>
      <c r="L106" s="16"/>
      <c r="M106" s="16"/>
      <c r="N106" s="6"/>
      <c r="O106" s="6"/>
      <c r="P106" s="6"/>
    </row>
    <row r="107" spans="1:16">
      <c r="A107" s="35"/>
      <c r="B107" s="36"/>
      <c r="C107" s="39"/>
      <c r="D107" s="6"/>
      <c r="E107" s="16"/>
      <c r="F107" s="7"/>
      <c r="G107" s="7"/>
      <c r="H107" s="7"/>
      <c r="I107" s="16"/>
      <c r="J107" s="16"/>
      <c r="K107" s="16"/>
      <c r="L107" s="16"/>
      <c r="M107" s="16"/>
      <c r="N107" s="6"/>
      <c r="O107" s="6"/>
      <c r="P107" s="6"/>
    </row>
    <row r="108" spans="1:16">
      <c r="A108" s="35"/>
      <c r="B108" s="36"/>
      <c r="C108" s="39"/>
      <c r="D108" s="6"/>
      <c r="E108" s="16"/>
      <c r="F108" s="7"/>
      <c r="G108" s="7"/>
      <c r="H108" s="7"/>
      <c r="I108" s="16"/>
      <c r="J108" s="16"/>
      <c r="K108" s="16"/>
      <c r="L108" s="16"/>
      <c r="M108" s="16"/>
      <c r="N108" s="6"/>
      <c r="O108" s="6"/>
      <c r="P108" s="6"/>
    </row>
    <row r="109" spans="1:16">
      <c r="A109" s="35"/>
      <c r="B109" s="36"/>
      <c r="C109" s="39"/>
      <c r="D109" s="6"/>
      <c r="E109" s="16"/>
      <c r="F109" s="7"/>
      <c r="G109" s="7"/>
      <c r="H109" s="7"/>
      <c r="I109" s="16"/>
      <c r="J109" s="16"/>
      <c r="K109" s="16"/>
      <c r="L109" s="16"/>
      <c r="M109" s="16"/>
      <c r="N109" s="6"/>
      <c r="O109" s="6"/>
      <c r="P109" s="6"/>
    </row>
    <row r="110" spans="1:16">
      <c r="A110" s="35"/>
      <c r="B110" s="36"/>
      <c r="C110" s="39"/>
      <c r="D110" s="6"/>
      <c r="E110" s="16"/>
      <c r="F110" s="7"/>
      <c r="G110" s="7"/>
      <c r="H110" s="7"/>
      <c r="I110" s="16"/>
      <c r="J110" s="16"/>
      <c r="K110" s="16"/>
      <c r="L110" s="16"/>
      <c r="M110" s="16"/>
      <c r="N110" s="6"/>
      <c r="O110" s="6"/>
      <c r="P110" s="6"/>
    </row>
    <row r="111" spans="1:16">
      <c r="A111" s="35"/>
      <c r="B111" s="36"/>
      <c r="C111" s="39"/>
      <c r="D111" s="6"/>
      <c r="E111" s="16"/>
      <c r="F111" s="7"/>
      <c r="G111" s="7"/>
      <c r="H111" s="7"/>
      <c r="I111" s="16"/>
      <c r="J111" s="16"/>
      <c r="K111" s="16"/>
      <c r="L111" s="16"/>
      <c r="M111" s="16"/>
      <c r="N111" s="6"/>
      <c r="O111" s="6"/>
      <c r="P111" s="6"/>
    </row>
    <row r="112" spans="1:16">
      <c r="A112" s="35"/>
      <c r="B112" s="36"/>
      <c r="C112" s="39"/>
      <c r="D112" s="6"/>
      <c r="E112" s="16"/>
      <c r="F112" s="7"/>
      <c r="G112" s="7"/>
      <c r="H112" s="7"/>
      <c r="I112" s="16"/>
      <c r="J112" s="16"/>
      <c r="K112" s="16"/>
      <c r="L112" s="16"/>
      <c r="M112" s="16"/>
      <c r="N112" s="6"/>
      <c r="O112" s="6"/>
      <c r="P112" s="6"/>
    </row>
    <row r="113" spans="1:16">
      <c r="A113" s="35"/>
      <c r="B113" s="36"/>
      <c r="C113" s="39"/>
      <c r="D113" s="6"/>
      <c r="E113" s="16"/>
      <c r="F113" s="7"/>
      <c r="G113" s="7"/>
      <c r="H113" s="7"/>
      <c r="I113" s="16"/>
      <c r="J113" s="16"/>
      <c r="K113" s="16"/>
      <c r="L113" s="16"/>
      <c r="M113" s="16"/>
      <c r="N113" s="6"/>
      <c r="O113" s="6"/>
      <c r="P113" s="6"/>
    </row>
    <row r="114" spans="1:16">
      <c r="A114" s="35"/>
      <c r="B114" s="36"/>
      <c r="C114" s="39"/>
      <c r="D114" s="6"/>
      <c r="E114" s="16"/>
      <c r="F114" s="7"/>
      <c r="G114" s="7"/>
      <c r="H114" s="7"/>
      <c r="I114" s="16"/>
      <c r="J114" s="16"/>
      <c r="K114" s="16"/>
      <c r="L114" s="16"/>
      <c r="M114" s="16"/>
      <c r="N114" s="6"/>
      <c r="O114" s="6"/>
      <c r="P114" s="6"/>
    </row>
    <row r="115" spans="1:16">
      <c r="A115" s="35"/>
      <c r="B115" s="36"/>
      <c r="C115" s="39"/>
      <c r="D115" s="6"/>
      <c r="E115" s="16"/>
      <c r="F115" s="7"/>
      <c r="G115" s="7"/>
      <c r="H115" s="7"/>
      <c r="I115" s="16"/>
      <c r="J115" s="16"/>
      <c r="K115" s="16"/>
      <c r="L115" s="16"/>
      <c r="M115" s="16"/>
      <c r="N115" s="6"/>
      <c r="O115" s="6"/>
      <c r="P115" s="6"/>
    </row>
    <row r="116" spans="1:16">
      <c r="A116" s="35"/>
      <c r="B116" s="36"/>
      <c r="C116" s="39"/>
      <c r="D116" s="6"/>
      <c r="E116" s="16"/>
      <c r="F116" s="7"/>
      <c r="G116" s="7"/>
      <c r="H116" s="7"/>
      <c r="I116" s="16"/>
      <c r="J116" s="16"/>
      <c r="K116" s="16"/>
      <c r="L116" s="16"/>
      <c r="M116" s="16"/>
      <c r="N116" s="6"/>
      <c r="O116" s="6"/>
      <c r="P116" s="6"/>
    </row>
    <row r="117" spans="1:16">
      <c r="A117" s="35"/>
      <c r="B117" s="36"/>
      <c r="C117" s="39"/>
      <c r="D117" s="6"/>
      <c r="E117" s="16"/>
      <c r="F117" s="7"/>
      <c r="G117" s="7"/>
      <c r="H117" s="7"/>
      <c r="I117" s="16"/>
      <c r="J117" s="16"/>
      <c r="K117" s="16"/>
      <c r="L117" s="16"/>
      <c r="M117" s="16"/>
      <c r="N117" s="6"/>
      <c r="O117" s="6"/>
      <c r="P117" s="6"/>
    </row>
    <row r="118" spans="1:16">
      <c r="A118" s="35"/>
      <c r="B118" s="36"/>
      <c r="C118" s="39"/>
      <c r="D118" s="6"/>
      <c r="E118" s="16"/>
      <c r="F118" s="7"/>
      <c r="G118" s="7"/>
      <c r="H118" s="7"/>
      <c r="I118" s="16"/>
      <c r="J118" s="16"/>
      <c r="K118" s="16"/>
      <c r="L118" s="16"/>
      <c r="M118" s="16"/>
      <c r="N118" s="6"/>
      <c r="O118" s="6"/>
      <c r="P118" s="6"/>
    </row>
    <row r="119" spans="1:16">
      <c r="A119" s="35"/>
      <c r="B119" s="36"/>
      <c r="C119" s="39"/>
      <c r="D119" s="6"/>
      <c r="E119" s="16"/>
      <c r="F119" s="7"/>
      <c r="G119" s="7"/>
      <c r="H119" s="7"/>
      <c r="I119" s="16"/>
      <c r="J119" s="16"/>
      <c r="K119" s="16"/>
      <c r="L119" s="16"/>
      <c r="M119" s="16"/>
      <c r="N119" s="6"/>
      <c r="O119" s="6"/>
      <c r="P119" s="6"/>
    </row>
    <row r="120" spans="1:16">
      <c r="A120" s="35"/>
      <c r="B120" s="36"/>
      <c r="C120" s="39"/>
      <c r="D120" s="6"/>
      <c r="E120" s="16"/>
      <c r="F120" s="7"/>
      <c r="G120" s="7"/>
      <c r="H120" s="7"/>
      <c r="I120" s="16"/>
      <c r="J120" s="16"/>
      <c r="K120" s="16"/>
      <c r="L120" s="16"/>
      <c r="M120" s="16"/>
      <c r="N120" s="6"/>
      <c r="O120" s="6"/>
      <c r="P120" s="6"/>
    </row>
    <row r="121" spans="1:16">
      <c r="A121" s="35"/>
      <c r="B121" s="36"/>
      <c r="C121" s="39"/>
      <c r="D121" s="6"/>
      <c r="E121" s="16"/>
      <c r="F121" s="7"/>
      <c r="G121" s="7"/>
      <c r="H121" s="7"/>
      <c r="I121" s="16"/>
      <c r="J121" s="16"/>
      <c r="K121" s="16"/>
      <c r="L121" s="16"/>
      <c r="M121" s="16"/>
      <c r="N121" s="6"/>
      <c r="O121" s="6"/>
      <c r="P121" s="6"/>
    </row>
    <row r="122" spans="1:16">
      <c r="A122" s="35"/>
      <c r="B122" s="36"/>
      <c r="C122" s="39"/>
      <c r="D122" s="6"/>
      <c r="E122" s="16"/>
      <c r="F122" s="7"/>
      <c r="G122" s="7"/>
      <c r="H122" s="7"/>
      <c r="I122" s="16"/>
      <c r="J122" s="16"/>
      <c r="K122" s="16"/>
      <c r="L122" s="16"/>
      <c r="M122" s="16"/>
      <c r="N122" s="6"/>
      <c r="O122" s="6"/>
      <c r="P122" s="6"/>
    </row>
    <row r="123" spans="1:16">
      <c r="A123" s="35"/>
      <c r="B123" s="36"/>
      <c r="C123" s="39"/>
      <c r="D123" s="6"/>
      <c r="E123" s="16"/>
      <c r="F123" s="7"/>
      <c r="G123" s="7"/>
      <c r="H123" s="7"/>
      <c r="I123" s="16"/>
      <c r="J123" s="16"/>
      <c r="K123" s="16"/>
      <c r="L123" s="16"/>
      <c r="M123" s="16"/>
      <c r="N123" s="6"/>
      <c r="O123" s="6"/>
      <c r="P123" s="6"/>
    </row>
    <row r="124" spans="1:16">
      <c r="A124" s="35"/>
      <c r="B124" s="36"/>
      <c r="C124" s="39"/>
      <c r="D124" s="6"/>
      <c r="E124" s="16"/>
      <c r="F124" s="7"/>
      <c r="G124" s="7"/>
      <c r="H124" s="7"/>
      <c r="I124" s="16"/>
      <c r="J124" s="16"/>
      <c r="K124" s="16"/>
      <c r="L124" s="16"/>
      <c r="M124" s="16"/>
      <c r="N124" s="6"/>
      <c r="O124" s="6"/>
      <c r="P124" s="6"/>
    </row>
    <row r="125" spans="1:16">
      <c r="A125" s="35"/>
      <c r="B125" s="36"/>
      <c r="C125" s="39"/>
      <c r="D125" s="6"/>
      <c r="E125" s="16"/>
      <c r="F125" s="7"/>
      <c r="G125" s="7"/>
      <c r="H125" s="7"/>
      <c r="I125" s="16"/>
      <c r="J125" s="16"/>
      <c r="K125" s="16"/>
      <c r="L125" s="16"/>
      <c r="M125" s="16"/>
      <c r="N125" s="6"/>
      <c r="O125" s="6"/>
      <c r="P125" s="6"/>
    </row>
    <row r="126" spans="1:16">
      <c r="A126" s="35"/>
      <c r="B126" s="36"/>
      <c r="C126" s="39"/>
      <c r="D126" s="6"/>
      <c r="E126" s="16"/>
      <c r="F126" s="7"/>
      <c r="G126" s="7"/>
      <c r="H126" s="7"/>
      <c r="I126" s="16"/>
      <c r="J126" s="16"/>
      <c r="K126" s="16"/>
      <c r="L126" s="16"/>
      <c r="M126" s="16"/>
      <c r="N126" s="6"/>
      <c r="O126" s="6"/>
      <c r="P126" s="6"/>
    </row>
    <row r="127" spans="1:16">
      <c r="A127" s="35"/>
      <c r="B127" s="36"/>
      <c r="C127" s="39"/>
      <c r="D127" s="6"/>
      <c r="E127" s="16"/>
      <c r="F127" s="7"/>
      <c r="G127" s="7"/>
      <c r="H127" s="7"/>
      <c r="I127" s="16"/>
      <c r="J127" s="16"/>
      <c r="K127" s="16"/>
      <c r="L127" s="16"/>
      <c r="M127" s="16"/>
      <c r="N127" s="6"/>
      <c r="O127" s="6"/>
      <c r="P127" s="6"/>
    </row>
    <row r="128" spans="1:16">
      <c r="A128" s="35"/>
      <c r="B128" s="36"/>
      <c r="C128" s="39"/>
      <c r="D128" s="6"/>
      <c r="E128" s="16"/>
      <c r="F128" s="7"/>
      <c r="G128" s="7"/>
      <c r="H128" s="7"/>
      <c r="I128" s="16"/>
      <c r="J128" s="16"/>
      <c r="K128" s="16"/>
      <c r="L128" s="16"/>
      <c r="M128" s="16"/>
      <c r="N128" s="6"/>
      <c r="O128" s="6"/>
      <c r="P128" s="6"/>
    </row>
    <row r="129" spans="1:16">
      <c r="A129" s="35"/>
      <c r="B129" s="36"/>
      <c r="C129" s="39"/>
      <c r="D129" s="6"/>
      <c r="E129" s="16"/>
      <c r="F129" s="7"/>
      <c r="G129" s="7"/>
      <c r="H129" s="7"/>
      <c r="I129" s="16"/>
      <c r="J129" s="16"/>
      <c r="K129" s="16"/>
      <c r="L129" s="16"/>
      <c r="M129" s="16"/>
      <c r="N129" s="6"/>
      <c r="O129" s="6"/>
      <c r="P129" s="6"/>
    </row>
    <row r="130" spans="1:16">
      <c r="A130" s="35"/>
      <c r="B130" s="36"/>
      <c r="C130" s="39"/>
      <c r="D130" s="6"/>
      <c r="E130" s="16"/>
      <c r="F130" s="7"/>
      <c r="G130" s="7"/>
      <c r="H130" s="7"/>
      <c r="I130" s="16"/>
      <c r="J130" s="16"/>
      <c r="K130" s="16"/>
      <c r="L130" s="16"/>
      <c r="M130" s="16"/>
      <c r="N130" s="6"/>
      <c r="O130" s="6"/>
      <c r="P130" s="6"/>
    </row>
    <row r="131" spans="1:16">
      <c r="A131" s="35"/>
      <c r="B131" s="36"/>
      <c r="C131" s="39"/>
      <c r="D131" s="6"/>
      <c r="E131" s="16"/>
      <c r="F131" s="7"/>
      <c r="G131" s="7"/>
      <c r="H131" s="7"/>
      <c r="I131" s="16"/>
      <c r="J131" s="16"/>
      <c r="K131" s="16"/>
      <c r="L131" s="16"/>
      <c r="M131" s="16"/>
      <c r="N131" s="6"/>
      <c r="O131" s="6"/>
      <c r="P131" s="6"/>
    </row>
    <row r="132" spans="1:16">
      <c r="A132" s="35"/>
      <c r="B132" s="36"/>
      <c r="C132" s="39"/>
      <c r="D132" s="6"/>
      <c r="E132" s="16"/>
      <c r="F132" s="7"/>
      <c r="G132" s="7"/>
      <c r="H132" s="7"/>
      <c r="I132" s="16"/>
      <c r="J132" s="16"/>
      <c r="K132" s="16"/>
      <c r="L132" s="16"/>
      <c r="M132" s="16"/>
      <c r="N132" s="6"/>
      <c r="O132" s="6"/>
      <c r="P132" s="6"/>
    </row>
    <row r="133" spans="1:16">
      <c r="A133" s="35"/>
      <c r="B133" s="36"/>
      <c r="C133" s="39"/>
      <c r="D133" s="6"/>
      <c r="E133" s="16"/>
      <c r="F133" s="7"/>
      <c r="G133" s="7"/>
      <c r="H133" s="7"/>
      <c r="I133" s="16"/>
      <c r="J133" s="16"/>
      <c r="K133" s="16"/>
      <c r="L133" s="16"/>
      <c r="M133" s="16"/>
      <c r="N133" s="6"/>
      <c r="O133" s="6"/>
      <c r="P133" s="6"/>
    </row>
    <row r="134" spans="1:16">
      <c r="A134" s="35"/>
      <c r="B134" s="36"/>
      <c r="C134" s="39"/>
      <c r="D134" s="6"/>
      <c r="E134" s="16"/>
      <c r="F134" s="7"/>
      <c r="G134" s="7"/>
      <c r="H134" s="7"/>
      <c r="I134" s="16"/>
      <c r="J134" s="16"/>
      <c r="K134" s="16"/>
      <c r="L134" s="16"/>
      <c r="M134" s="16"/>
      <c r="N134" s="6"/>
      <c r="O134" s="6"/>
      <c r="P134" s="6"/>
    </row>
    <row r="135" spans="1:16">
      <c r="A135" s="35"/>
      <c r="B135" s="36"/>
      <c r="C135" s="39"/>
      <c r="D135" s="6"/>
      <c r="E135" s="16"/>
      <c r="F135" s="7"/>
      <c r="G135" s="7"/>
      <c r="H135" s="7"/>
      <c r="I135" s="16"/>
      <c r="J135" s="16"/>
      <c r="K135" s="16"/>
      <c r="L135" s="16"/>
      <c r="M135" s="16"/>
      <c r="N135" s="6"/>
      <c r="O135" s="6"/>
      <c r="P135" s="6"/>
    </row>
    <row r="136" spans="1:16">
      <c r="A136" s="35"/>
      <c r="B136" s="36"/>
      <c r="C136" s="39"/>
      <c r="D136" s="6"/>
      <c r="E136" s="16"/>
      <c r="F136" s="7"/>
      <c r="G136" s="7"/>
      <c r="H136" s="7"/>
      <c r="I136" s="16"/>
      <c r="J136" s="16"/>
      <c r="K136" s="16"/>
      <c r="L136" s="16"/>
      <c r="M136" s="16"/>
      <c r="N136" s="6"/>
      <c r="O136" s="6"/>
      <c r="P136" s="6"/>
    </row>
    <row r="137" spans="1:16">
      <c r="A137" s="35"/>
      <c r="B137" s="36"/>
      <c r="C137" s="39"/>
      <c r="D137" s="6"/>
      <c r="E137" s="16"/>
      <c r="F137" s="7"/>
      <c r="G137" s="7"/>
      <c r="H137" s="7"/>
      <c r="I137" s="16"/>
      <c r="J137" s="16"/>
      <c r="K137" s="16"/>
      <c r="L137" s="16"/>
      <c r="M137" s="16"/>
      <c r="N137" s="6"/>
      <c r="O137" s="6"/>
      <c r="P137" s="6"/>
    </row>
    <row r="138" spans="1:16">
      <c r="A138" s="35"/>
      <c r="B138" s="36"/>
      <c r="C138" s="39"/>
      <c r="D138" s="6"/>
      <c r="E138" s="16"/>
      <c r="F138" s="7"/>
      <c r="G138" s="7"/>
      <c r="H138" s="7"/>
      <c r="I138" s="16"/>
      <c r="J138" s="16"/>
      <c r="K138" s="16"/>
      <c r="L138" s="16"/>
      <c r="M138" s="16"/>
      <c r="N138" s="6"/>
      <c r="O138" s="6"/>
      <c r="P138" s="6"/>
    </row>
    <row r="139" spans="1:16">
      <c r="A139" s="35"/>
      <c r="B139" s="36"/>
      <c r="C139" s="39"/>
      <c r="D139" s="6"/>
      <c r="E139" s="16"/>
      <c r="F139" s="7"/>
      <c r="G139" s="7"/>
      <c r="H139" s="7"/>
      <c r="I139" s="16"/>
      <c r="J139" s="16"/>
      <c r="K139" s="16"/>
      <c r="L139" s="16"/>
      <c r="M139" s="16"/>
      <c r="N139" s="6"/>
      <c r="O139" s="6"/>
      <c r="P139" s="6"/>
    </row>
    <row r="140" spans="1:16">
      <c r="A140" s="35"/>
      <c r="B140" s="36"/>
      <c r="C140" s="39"/>
      <c r="D140" s="6"/>
      <c r="E140" s="16"/>
      <c r="F140" s="7"/>
      <c r="G140" s="7"/>
      <c r="H140" s="7"/>
      <c r="I140" s="16"/>
      <c r="J140" s="16"/>
      <c r="K140" s="16"/>
      <c r="L140" s="16"/>
      <c r="M140" s="16"/>
      <c r="N140" s="6"/>
      <c r="O140" s="6"/>
      <c r="P140" s="6"/>
    </row>
    <row r="141" spans="1:16">
      <c r="A141" s="35"/>
      <c r="B141" s="36"/>
      <c r="C141" s="39"/>
      <c r="D141" s="6"/>
      <c r="E141" s="16"/>
      <c r="F141" s="7"/>
      <c r="G141" s="7"/>
      <c r="H141" s="7"/>
      <c r="I141" s="16"/>
      <c r="J141" s="16"/>
      <c r="K141" s="16"/>
      <c r="L141" s="16"/>
      <c r="M141" s="16"/>
      <c r="N141" s="6"/>
      <c r="O141" s="6"/>
      <c r="P141" s="6"/>
    </row>
    <row r="142" spans="1:16">
      <c r="A142" s="35"/>
      <c r="B142" s="36"/>
      <c r="C142" s="39"/>
      <c r="D142" s="6"/>
      <c r="E142" s="16"/>
      <c r="F142" s="7"/>
      <c r="G142" s="7"/>
      <c r="H142" s="7"/>
      <c r="I142" s="16"/>
      <c r="J142" s="16"/>
      <c r="K142" s="16"/>
      <c r="L142" s="16"/>
      <c r="M142" s="16"/>
      <c r="N142" s="6"/>
      <c r="O142" s="6"/>
      <c r="P142" s="6"/>
    </row>
    <row r="143" spans="1:16">
      <c r="A143" s="35"/>
      <c r="B143" s="36"/>
      <c r="C143" s="39"/>
      <c r="D143" s="6"/>
      <c r="E143" s="16"/>
      <c r="F143" s="7"/>
      <c r="G143" s="7"/>
      <c r="H143" s="7"/>
      <c r="I143" s="16"/>
      <c r="J143" s="16"/>
      <c r="K143" s="16"/>
      <c r="L143" s="16"/>
      <c r="M143" s="16"/>
      <c r="N143" s="6"/>
      <c r="O143" s="6"/>
      <c r="P143" s="6"/>
    </row>
    <row r="144" spans="1:16">
      <c r="A144" s="35"/>
      <c r="B144" s="36"/>
      <c r="C144" s="39"/>
      <c r="D144" s="6"/>
      <c r="E144" s="16"/>
      <c r="F144" s="7"/>
      <c r="G144" s="7"/>
      <c r="H144" s="7"/>
      <c r="I144" s="16"/>
      <c r="J144" s="16"/>
      <c r="K144" s="16"/>
      <c r="L144" s="16"/>
      <c r="M144" s="16"/>
      <c r="N144" s="6"/>
      <c r="O144" s="6"/>
      <c r="P144" s="6"/>
    </row>
    <row r="145" spans="1:16">
      <c r="A145" s="35"/>
      <c r="B145" s="36"/>
      <c r="C145" s="39"/>
      <c r="D145" s="6"/>
      <c r="E145" s="16"/>
      <c r="F145" s="7"/>
      <c r="G145" s="7"/>
      <c r="H145" s="7"/>
      <c r="I145" s="16"/>
      <c r="J145" s="16"/>
      <c r="K145" s="16"/>
      <c r="L145" s="16"/>
      <c r="M145" s="16"/>
      <c r="N145" s="6"/>
      <c r="O145" s="6"/>
      <c r="P145" s="6"/>
    </row>
    <row r="146" spans="1:16">
      <c r="A146" s="35"/>
      <c r="B146" s="36"/>
      <c r="C146" s="39"/>
      <c r="D146" s="6"/>
      <c r="E146" s="16"/>
      <c r="F146" s="7"/>
      <c r="G146" s="7"/>
      <c r="H146" s="7"/>
      <c r="I146" s="16"/>
      <c r="J146" s="16"/>
      <c r="K146" s="16"/>
      <c r="L146" s="16"/>
      <c r="M146" s="16"/>
      <c r="N146" s="6"/>
      <c r="O146" s="6"/>
      <c r="P146" s="6"/>
    </row>
    <row r="147" spans="1:16">
      <c r="A147" s="35"/>
      <c r="B147" s="36"/>
      <c r="C147" s="39"/>
      <c r="D147" s="6"/>
      <c r="E147" s="16"/>
      <c r="F147" s="7"/>
      <c r="G147" s="7"/>
      <c r="H147" s="7"/>
      <c r="I147" s="16"/>
      <c r="J147" s="16"/>
      <c r="K147" s="16"/>
      <c r="L147" s="16"/>
      <c r="M147" s="16"/>
      <c r="N147" s="6"/>
      <c r="O147" s="6"/>
      <c r="P147" s="6"/>
    </row>
    <row r="148" spans="1:16">
      <c r="A148" s="35"/>
      <c r="B148" s="36"/>
      <c r="C148" s="39"/>
      <c r="D148" s="6"/>
      <c r="E148" s="16"/>
      <c r="F148" s="7"/>
      <c r="G148" s="7"/>
      <c r="H148" s="7"/>
      <c r="I148" s="16"/>
      <c r="J148" s="16"/>
      <c r="K148" s="16"/>
      <c r="L148" s="16"/>
      <c r="M148" s="16"/>
      <c r="N148" s="6"/>
      <c r="O148" s="6"/>
      <c r="P148" s="6"/>
    </row>
    <row r="149" spans="1:16">
      <c r="A149" s="35"/>
      <c r="B149" s="36"/>
      <c r="C149" s="39"/>
      <c r="D149" s="6"/>
      <c r="E149" s="16"/>
      <c r="F149" s="7"/>
      <c r="G149" s="7"/>
      <c r="H149" s="7"/>
      <c r="I149" s="16"/>
      <c r="J149" s="16"/>
      <c r="K149" s="16"/>
      <c r="L149" s="16"/>
      <c r="M149" s="16"/>
      <c r="N149" s="6"/>
      <c r="O149" s="6"/>
      <c r="P149" s="6"/>
    </row>
    <row r="150" spans="1:16">
      <c r="A150" s="35"/>
      <c r="B150" s="36"/>
      <c r="C150" s="39"/>
      <c r="D150" s="6"/>
      <c r="E150" s="16"/>
      <c r="F150" s="7"/>
      <c r="G150" s="7"/>
      <c r="H150" s="7"/>
      <c r="I150" s="16"/>
      <c r="J150" s="16"/>
      <c r="K150" s="16"/>
      <c r="L150" s="16"/>
      <c r="M150" s="16"/>
      <c r="N150" s="6"/>
      <c r="O150" s="6"/>
      <c r="P150" s="6"/>
    </row>
    <row r="151" spans="1:16">
      <c r="A151" s="35"/>
      <c r="B151" s="36"/>
      <c r="C151" s="39"/>
      <c r="D151" s="6"/>
      <c r="E151" s="16"/>
      <c r="F151" s="7"/>
      <c r="G151" s="7"/>
      <c r="H151" s="7"/>
      <c r="I151" s="16"/>
      <c r="J151" s="16"/>
      <c r="K151" s="16"/>
      <c r="L151" s="16"/>
      <c r="M151" s="16"/>
      <c r="N151" s="6"/>
      <c r="O151" s="6"/>
      <c r="P151" s="6"/>
    </row>
    <row r="152" spans="1:16">
      <c r="A152" s="35"/>
      <c r="B152" s="36"/>
      <c r="C152" s="39"/>
      <c r="D152" s="6"/>
      <c r="E152" s="16"/>
      <c r="F152" s="7"/>
      <c r="G152" s="7"/>
      <c r="H152" s="7"/>
      <c r="I152" s="16"/>
      <c r="J152" s="16"/>
      <c r="K152" s="16"/>
      <c r="L152" s="16"/>
      <c r="M152" s="16"/>
      <c r="N152" s="6"/>
      <c r="O152" s="6"/>
      <c r="P152" s="6"/>
    </row>
    <row r="153" spans="1:16">
      <c r="A153" s="35"/>
      <c r="B153" s="36"/>
      <c r="C153" s="39"/>
      <c r="D153" s="6"/>
      <c r="E153" s="16"/>
      <c r="F153" s="7"/>
      <c r="G153" s="7"/>
      <c r="H153" s="7"/>
      <c r="I153" s="16"/>
      <c r="J153" s="16"/>
      <c r="K153" s="16"/>
      <c r="L153" s="16"/>
      <c r="M153" s="16"/>
      <c r="N153" s="6"/>
      <c r="O153" s="6"/>
      <c r="P153" s="6"/>
    </row>
    <row r="154" spans="1:16">
      <c r="A154" s="35"/>
      <c r="B154" s="36"/>
      <c r="C154" s="39"/>
      <c r="D154" s="6"/>
      <c r="E154" s="16"/>
      <c r="F154" s="7"/>
      <c r="G154" s="7"/>
      <c r="H154" s="7"/>
      <c r="I154" s="16"/>
      <c r="J154" s="16"/>
      <c r="K154" s="16"/>
      <c r="L154" s="16"/>
      <c r="M154" s="16"/>
      <c r="N154" s="6"/>
      <c r="O154" s="6"/>
      <c r="P154" s="6"/>
    </row>
    <row r="155" spans="1:16">
      <c r="A155" s="35"/>
      <c r="B155" s="36"/>
      <c r="C155" s="39"/>
      <c r="D155" s="6"/>
      <c r="E155" s="16"/>
      <c r="F155" s="7"/>
      <c r="G155" s="7"/>
      <c r="H155" s="7"/>
      <c r="I155" s="16"/>
      <c r="J155" s="16"/>
      <c r="K155" s="16"/>
      <c r="L155" s="16"/>
      <c r="M155" s="16"/>
      <c r="N155" s="6"/>
      <c r="O155" s="6"/>
      <c r="P155" s="6"/>
    </row>
    <row r="156" spans="1:16">
      <c r="A156" s="35"/>
      <c r="B156" s="36"/>
      <c r="C156" s="39"/>
      <c r="D156" s="6"/>
      <c r="E156" s="16"/>
      <c r="F156" s="7"/>
      <c r="G156" s="7"/>
      <c r="H156" s="7"/>
      <c r="I156" s="16"/>
      <c r="J156" s="16"/>
      <c r="K156" s="16"/>
      <c r="L156" s="16"/>
      <c r="M156" s="16"/>
      <c r="N156" s="6"/>
      <c r="O156" s="6"/>
      <c r="P156" s="6"/>
    </row>
    <row r="157" spans="1:16">
      <c r="A157" s="35"/>
      <c r="B157" s="36"/>
      <c r="C157" s="39"/>
      <c r="D157" s="6"/>
      <c r="E157" s="16"/>
      <c r="F157" s="7"/>
      <c r="G157" s="7"/>
      <c r="H157" s="7"/>
      <c r="I157" s="16"/>
      <c r="J157" s="16"/>
      <c r="K157" s="16"/>
      <c r="L157" s="16"/>
      <c r="M157" s="16"/>
      <c r="N157" s="6"/>
      <c r="O157" s="6"/>
      <c r="P157" s="6"/>
    </row>
    <row r="158" spans="1:16">
      <c r="A158" s="35"/>
      <c r="B158" s="36"/>
      <c r="C158" s="39"/>
      <c r="D158" s="6"/>
      <c r="E158" s="16"/>
      <c r="F158" s="7"/>
      <c r="G158" s="7"/>
      <c r="H158" s="7"/>
      <c r="I158" s="16"/>
      <c r="J158" s="16"/>
      <c r="K158" s="16"/>
      <c r="L158" s="16"/>
      <c r="M158" s="16"/>
      <c r="N158" s="6"/>
      <c r="O158" s="6"/>
      <c r="P158" s="6"/>
    </row>
    <row r="159" spans="1:16">
      <c r="A159" s="35"/>
      <c r="B159" s="36"/>
      <c r="C159" s="39"/>
      <c r="D159" s="6"/>
      <c r="E159" s="16"/>
      <c r="F159" s="7"/>
      <c r="G159" s="7"/>
      <c r="H159" s="7"/>
      <c r="I159" s="16"/>
      <c r="J159" s="16"/>
      <c r="K159" s="16"/>
      <c r="L159" s="16"/>
      <c r="M159" s="16"/>
      <c r="N159" s="6"/>
      <c r="O159" s="6"/>
      <c r="P159" s="6"/>
    </row>
    <row r="160" spans="1:16">
      <c r="A160" s="35"/>
      <c r="B160" s="36"/>
      <c r="C160" s="39"/>
      <c r="D160" s="6"/>
      <c r="E160" s="16"/>
      <c r="F160" s="7"/>
      <c r="G160" s="7"/>
      <c r="H160" s="7"/>
      <c r="I160" s="16"/>
      <c r="J160" s="16"/>
      <c r="K160" s="16"/>
      <c r="L160" s="16"/>
      <c r="M160" s="16"/>
      <c r="N160" s="6"/>
      <c r="O160" s="6"/>
      <c r="P160" s="6"/>
    </row>
    <row r="161" spans="1:16">
      <c r="A161" s="35"/>
      <c r="B161" s="36"/>
      <c r="C161" s="39"/>
      <c r="D161" s="6"/>
      <c r="E161" s="16"/>
      <c r="F161" s="7"/>
      <c r="G161" s="7"/>
      <c r="H161" s="7"/>
      <c r="I161" s="16"/>
      <c r="J161" s="16"/>
      <c r="K161" s="16"/>
      <c r="L161" s="16"/>
      <c r="M161" s="16"/>
      <c r="N161" s="6"/>
      <c r="O161" s="6"/>
      <c r="P161" s="6"/>
    </row>
    <row r="162" spans="1:16">
      <c r="A162" s="35"/>
      <c r="B162" s="36"/>
      <c r="C162" s="39"/>
      <c r="D162" s="6"/>
      <c r="E162" s="16"/>
      <c r="F162" s="7"/>
      <c r="G162" s="7"/>
      <c r="H162" s="7"/>
      <c r="I162" s="16"/>
      <c r="J162" s="16"/>
      <c r="K162" s="16"/>
      <c r="L162" s="16"/>
      <c r="M162" s="16"/>
      <c r="N162" s="6"/>
      <c r="O162" s="6"/>
      <c r="P162" s="6"/>
    </row>
    <row r="163" spans="1:16">
      <c r="A163" s="35"/>
      <c r="B163" s="36"/>
      <c r="C163" s="39"/>
      <c r="D163" s="6"/>
      <c r="E163" s="16"/>
      <c r="F163" s="7"/>
      <c r="G163" s="7"/>
      <c r="H163" s="7"/>
      <c r="I163" s="16"/>
      <c r="J163" s="16"/>
      <c r="K163" s="16"/>
      <c r="L163" s="16"/>
      <c r="M163" s="16"/>
      <c r="N163" s="6"/>
      <c r="O163" s="6"/>
      <c r="P163" s="6"/>
    </row>
    <row r="164" spans="1:16">
      <c r="A164" s="35"/>
      <c r="B164" s="36"/>
      <c r="C164" s="39"/>
      <c r="D164" s="6"/>
      <c r="E164" s="16"/>
      <c r="F164" s="7"/>
      <c r="G164" s="7"/>
      <c r="H164" s="7"/>
      <c r="I164" s="16"/>
      <c r="J164" s="16"/>
      <c r="K164" s="16"/>
      <c r="L164" s="16"/>
      <c r="M164" s="16"/>
      <c r="N164" s="6"/>
      <c r="O164" s="6"/>
      <c r="P164" s="6"/>
    </row>
    <row r="165" spans="1:16">
      <c r="A165" s="35"/>
      <c r="B165" s="36"/>
      <c r="C165" s="39"/>
      <c r="D165" s="6"/>
      <c r="E165" s="16"/>
      <c r="F165" s="7"/>
      <c r="G165" s="7"/>
      <c r="H165" s="7"/>
      <c r="I165" s="16"/>
      <c r="J165" s="16"/>
      <c r="K165" s="16"/>
      <c r="L165" s="16"/>
      <c r="M165" s="16"/>
      <c r="N165" s="6"/>
      <c r="O165" s="6"/>
      <c r="P165" s="6"/>
    </row>
    <row r="166" spans="1:16">
      <c r="A166" s="35"/>
      <c r="B166" s="36"/>
      <c r="C166" s="39"/>
      <c r="D166" s="6"/>
      <c r="E166" s="16"/>
      <c r="F166" s="7"/>
      <c r="G166" s="7"/>
      <c r="H166" s="7"/>
      <c r="I166" s="16"/>
      <c r="J166" s="16"/>
      <c r="K166" s="16"/>
      <c r="L166" s="16"/>
      <c r="M166" s="16"/>
      <c r="N166" s="6"/>
      <c r="O166" s="6"/>
      <c r="P166" s="6"/>
    </row>
    <row r="167" spans="1:16">
      <c r="A167" s="35"/>
      <c r="B167" s="36"/>
      <c r="C167" s="39"/>
      <c r="D167" s="6"/>
      <c r="E167" s="16"/>
      <c r="F167" s="7"/>
      <c r="G167" s="7"/>
      <c r="H167" s="7"/>
      <c r="I167" s="16"/>
      <c r="J167" s="16"/>
      <c r="K167" s="16"/>
      <c r="L167" s="16"/>
      <c r="M167" s="16"/>
      <c r="N167" s="6"/>
      <c r="O167" s="6"/>
      <c r="P167" s="6"/>
    </row>
    <row r="168" spans="1:16">
      <c r="A168" s="35"/>
      <c r="B168" s="36"/>
      <c r="C168" s="39"/>
      <c r="D168" s="6"/>
      <c r="E168" s="16"/>
      <c r="F168" s="7"/>
      <c r="G168" s="7"/>
      <c r="H168" s="7"/>
      <c r="I168" s="16"/>
      <c r="J168" s="16"/>
      <c r="K168" s="16"/>
      <c r="L168" s="16"/>
      <c r="M168" s="16"/>
      <c r="N168" s="6"/>
      <c r="O168" s="6"/>
      <c r="P168" s="6"/>
    </row>
    <row r="169" spans="1:16">
      <c r="A169" s="35"/>
      <c r="B169" s="36"/>
      <c r="C169" s="39"/>
      <c r="D169" s="6"/>
      <c r="E169" s="16"/>
      <c r="F169" s="7"/>
      <c r="G169" s="7"/>
      <c r="H169" s="7"/>
      <c r="I169" s="16"/>
      <c r="J169" s="16"/>
      <c r="K169" s="16"/>
      <c r="L169" s="16"/>
      <c r="M169" s="16"/>
      <c r="N169" s="6"/>
      <c r="O169" s="6"/>
      <c r="P169" s="6"/>
    </row>
    <row r="170" spans="1:16">
      <c r="A170" s="35"/>
      <c r="B170" s="36"/>
      <c r="C170" s="39"/>
      <c r="D170" s="6"/>
      <c r="E170" s="16"/>
      <c r="F170" s="7"/>
      <c r="G170" s="7"/>
      <c r="H170" s="7"/>
      <c r="I170" s="16"/>
      <c r="J170" s="16"/>
      <c r="K170" s="16"/>
      <c r="L170" s="16"/>
      <c r="M170" s="16"/>
      <c r="N170" s="6"/>
      <c r="O170" s="6"/>
      <c r="P170" s="6"/>
    </row>
    <row r="171" spans="1:16">
      <c r="A171" s="35"/>
      <c r="B171" s="36"/>
      <c r="C171" s="39"/>
      <c r="D171" s="6"/>
      <c r="E171" s="16"/>
      <c r="F171" s="7"/>
      <c r="G171" s="7"/>
      <c r="H171" s="7"/>
      <c r="I171" s="16"/>
      <c r="J171" s="16"/>
      <c r="K171" s="16"/>
      <c r="L171" s="16"/>
      <c r="M171" s="16"/>
      <c r="N171" s="6"/>
      <c r="O171" s="6"/>
      <c r="P171" s="6"/>
    </row>
    <row r="172" spans="1:16">
      <c r="A172" s="35"/>
      <c r="B172" s="36"/>
      <c r="C172" s="39"/>
      <c r="D172" s="6"/>
      <c r="E172" s="16"/>
      <c r="F172" s="7"/>
      <c r="G172" s="7"/>
      <c r="H172" s="7"/>
      <c r="I172" s="16"/>
      <c r="J172" s="16"/>
      <c r="K172" s="16"/>
      <c r="L172" s="16"/>
      <c r="M172" s="16"/>
      <c r="N172" s="6"/>
      <c r="O172" s="6"/>
      <c r="P172" s="6"/>
    </row>
    <row r="173" spans="1:16">
      <c r="A173" s="35"/>
      <c r="B173" s="36"/>
      <c r="C173" s="39"/>
      <c r="D173" s="6"/>
      <c r="E173" s="16"/>
      <c r="F173" s="7"/>
      <c r="G173" s="7"/>
      <c r="H173" s="7"/>
      <c r="I173" s="16"/>
      <c r="J173" s="16"/>
      <c r="K173" s="16"/>
      <c r="L173" s="16"/>
      <c r="M173" s="16"/>
      <c r="N173" s="6"/>
      <c r="O173" s="6"/>
      <c r="P173" s="6"/>
    </row>
    <row r="174" spans="1:16">
      <c r="A174" s="35"/>
      <c r="B174" s="36"/>
      <c r="C174" s="39"/>
      <c r="D174" s="6"/>
      <c r="E174" s="16"/>
      <c r="F174" s="7"/>
      <c r="G174" s="7"/>
      <c r="H174" s="7"/>
      <c r="I174" s="16"/>
      <c r="J174" s="16"/>
      <c r="K174" s="16"/>
      <c r="L174" s="16"/>
      <c r="M174" s="16"/>
      <c r="N174" s="6"/>
      <c r="O174" s="6"/>
      <c r="P174" s="6"/>
    </row>
    <row r="175" spans="1:16">
      <c r="A175" s="35"/>
      <c r="B175" s="36"/>
      <c r="C175" s="39"/>
      <c r="D175" s="6"/>
      <c r="E175" s="16"/>
      <c r="F175" s="7"/>
      <c r="G175" s="7"/>
      <c r="H175" s="7"/>
      <c r="I175" s="16"/>
      <c r="J175" s="16"/>
      <c r="K175" s="16"/>
      <c r="L175" s="16"/>
      <c r="M175" s="16"/>
      <c r="N175" s="6"/>
      <c r="O175" s="6"/>
      <c r="P175" s="6"/>
    </row>
    <row r="176" spans="1:16">
      <c r="A176" s="35"/>
      <c r="B176" s="36"/>
      <c r="C176" s="39"/>
      <c r="D176" s="6"/>
      <c r="E176" s="16"/>
      <c r="F176" s="7"/>
      <c r="G176" s="7"/>
      <c r="H176" s="7"/>
      <c r="I176" s="16"/>
      <c r="J176" s="16"/>
      <c r="K176" s="16"/>
      <c r="L176" s="16"/>
      <c r="M176" s="16"/>
      <c r="N176" s="6"/>
      <c r="O176" s="6"/>
      <c r="P176" s="6"/>
    </row>
    <row r="177" spans="1:16">
      <c r="A177" s="35"/>
      <c r="B177" s="36"/>
      <c r="C177" s="39"/>
      <c r="D177" s="6"/>
      <c r="E177" s="16"/>
      <c r="F177" s="7"/>
      <c r="G177" s="7"/>
      <c r="H177" s="7"/>
      <c r="I177" s="16"/>
      <c r="J177" s="16"/>
      <c r="K177" s="16"/>
      <c r="L177" s="16"/>
      <c r="M177" s="16"/>
      <c r="N177" s="6"/>
      <c r="O177" s="6"/>
      <c r="P177" s="6"/>
    </row>
    <row r="178" spans="1:16">
      <c r="A178" s="35"/>
      <c r="B178" s="36"/>
      <c r="C178" s="39"/>
      <c r="D178" s="6"/>
      <c r="E178" s="16"/>
      <c r="F178" s="7"/>
      <c r="G178" s="7"/>
      <c r="H178" s="7"/>
      <c r="I178" s="16"/>
      <c r="J178" s="16"/>
      <c r="K178" s="16"/>
      <c r="L178" s="16"/>
      <c r="M178" s="16"/>
      <c r="N178" s="6"/>
      <c r="O178" s="6"/>
      <c r="P178" s="6"/>
    </row>
    <row r="179" spans="1:16">
      <c r="A179" s="35"/>
      <c r="B179" s="36"/>
      <c r="C179" s="39"/>
      <c r="D179" s="6"/>
      <c r="E179" s="16"/>
      <c r="F179" s="7"/>
      <c r="G179" s="7"/>
      <c r="H179" s="7"/>
      <c r="I179" s="16"/>
      <c r="J179" s="16"/>
      <c r="K179" s="16"/>
      <c r="L179" s="16"/>
      <c r="M179" s="16"/>
      <c r="N179" s="6"/>
      <c r="O179" s="6"/>
      <c r="P179" s="6"/>
    </row>
    <row r="180" spans="1:16">
      <c r="A180" s="35"/>
      <c r="B180" s="36"/>
      <c r="C180" s="39"/>
      <c r="D180" s="6"/>
      <c r="E180" s="16"/>
      <c r="F180" s="7"/>
      <c r="G180" s="7"/>
      <c r="H180" s="7"/>
      <c r="I180" s="16"/>
      <c r="J180" s="16"/>
      <c r="K180" s="16"/>
      <c r="L180" s="16"/>
      <c r="M180" s="16"/>
      <c r="N180" s="6"/>
      <c r="O180" s="6"/>
      <c r="P180" s="6"/>
    </row>
    <row r="181" spans="1:16">
      <c r="A181" s="35"/>
      <c r="B181" s="36"/>
      <c r="C181" s="39"/>
      <c r="D181" s="6"/>
      <c r="E181" s="16"/>
      <c r="F181" s="7"/>
      <c r="G181" s="7"/>
      <c r="H181" s="7"/>
      <c r="I181" s="16"/>
      <c r="J181" s="16"/>
      <c r="K181" s="16"/>
      <c r="L181" s="16"/>
      <c r="M181" s="16"/>
      <c r="N181" s="6"/>
      <c r="O181" s="6"/>
      <c r="P181" s="6"/>
    </row>
    <row r="182" spans="1:16">
      <c r="A182" s="35"/>
      <c r="B182" s="36"/>
      <c r="C182" s="39"/>
      <c r="D182" s="6"/>
      <c r="E182" s="16"/>
      <c r="F182" s="7"/>
      <c r="G182" s="7"/>
      <c r="H182" s="7"/>
      <c r="I182" s="16"/>
      <c r="J182" s="16"/>
      <c r="K182" s="16"/>
      <c r="L182" s="16"/>
      <c r="M182" s="16"/>
      <c r="N182" s="6"/>
      <c r="O182" s="6"/>
      <c r="P182" s="6"/>
    </row>
    <row r="183" spans="1:16">
      <c r="A183" s="35"/>
      <c r="B183" s="36"/>
      <c r="C183" s="39"/>
      <c r="D183" s="6"/>
      <c r="E183" s="16"/>
      <c r="F183" s="7"/>
      <c r="G183" s="7"/>
      <c r="H183" s="7"/>
      <c r="I183" s="16"/>
      <c r="J183" s="16"/>
      <c r="K183" s="16"/>
      <c r="L183" s="16"/>
      <c r="M183" s="16"/>
      <c r="N183" s="6"/>
      <c r="O183" s="6"/>
      <c r="P183" s="6"/>
    </row>
    <row r="184" spans="1:16">
      <c r="A184" s="35"/>
      <c r="B184" s="36"/>
      <c r="C184" s="39"/>
      <c r="D184" s="6"/>
      <c r="E184" s="16"/>
      <c r="F184" s="7"/>
      <c r="G184" s="7"/>
      <c r="H184" s="7"/>
      <c r="I184" s="16"/>
      <c r="J184" s="16"/>
      <c r="K184" s="16"/>
      <c r="L184" s="16"/>
      <c r="M184" s="16"/>
      <c r="N184" s="6"/>
      <c r="O184" s="6"/>
      <c r="P184" s="6"/>
    </row>
    <row r="185" spans="1:16">
      <c r="A185" s="35"/>
      <c r="B185" s="36"/>
      <c r="C185" s="39"/>
      <c r="D185" s="6"/>
      <c r="E185" s="16"/>
      <c r="F185" s="7"/>
      <c r="G185" s="7"/>
      <c r="H185" s="7"/>
      <c r="I185" s="16"/>
      <c r="J185" s="16"/>
      <c r="K185" s="16"/>
      <c r="L185" s="16"/>
      <c r="M185" s="16"/>
      <c r="N185" s="6"/>
      <c r="O185" s="6"/>
      <c r="P185" s="6"/>
    </row>
    <row r="186" spans="1:16">
      <c r="A186" s="35"/>
      <c r="B186" s="36"/>
      <c r="C186" s="39"/>
      <c r="D186" s="6"/>
      <c r="E186" s="16"/>
      <c r="F186" s="7"/>
      <c r="G186" s="7"/>
      <c r="H186" s="7"/>
      <c r="I186" s="16"/>
      <c r="J186" s="16"/>
      <c r="K186" s="16"/>
      <c r="L186" s="16"/>
      <c r="M186" s="16"/>
      <c r="N186" s="6"/>
      <c r="O186" s="6"/>
      <c r="P186" s="6"/>
    </row>
    <row r="187" spans="1:16">
      <c r="A187" s="35"/>
      <c r="B187" s="36"/>
      <c r="C187" s="39"/>
      <c r="D187" s="6"/>
      <c r="E187" s="16"/>
      <c r="F187" s="7"/>
      <c r="G187" s="7"/>
      <c r="H187" s="7"/>
      <c r="I187" s="16"/>
      <c r="J187" s="16"/>
      <c r="K187" s="16"/>
      <c r="L187" s="16"/>
      <c r="M187" s="16"/>
      <c r="N187" s="6"/>
      <c r="O187" s="6"/>
      <c r="P187" s="6"/>
    </row>
    <row r="188" spans="1:16">
      <c r="A188" s="35"/>
      <c r="B188" s="36"/>
      <c r="C188" s="39"/>
      <c r="D188" s="6"/>
      <c r="E188" s="16"/>
      <c r="F188" s="7"/>
      <c r="G188" s="7"/>
      <c r="H188" s="7"/>
      <c r="I188" s="16"/>
      <c r="J188" s="16"/>
      <c r="K188" s="16"/>
      <c r="L188" s="16"/>
      <c r="M188" s="16"/>
      <c r="N188" s="6"/>
      <c r="O188" s="6"/>
      <c r="P188" s="6"/>
    </row>
    <row r="189" spans="1:16">
      <c r="A189" s="35"/>
      <c r="B189" s="36"/>
      <c r="C189" s="39"/>
      <c r="D189" s="6"/>
      <c r="E189" s="16"/>
      <c r="F189" s="7"/>
      <c r="G189" s="7"/>
      <c r="H189" s="7"/>
      <c r="I189" s="16"/>
      <c r="J189" s="16"/>
      <c r="K189" s="16"/>
      <c r="L189" s="16"/>
      <c r="M189" s="16"/>
      <c r="N189" s="6"/>
      <c r="O189" s="6"/>
      <c r="P189" s="6"/>
    </row>
    <row r="190" spans="1:16">
      <c r="A190" s="35"/>
      <c r="B190" s="36"/>
      <c r="C190" s="39"/>
      <c r="D190" s="6"/>
      <c r="E190" s="16"/>
      <c r="F190" s="7"/>
      <c r="G190" s="7"/>
      <c r="H190" s="7"/>
      <c r="I190" s="16"/>
      <c r="J190" s="16"/>
      <c r="K190" s="16"/>
      <c r="L190" s="16"/>
      <c r="M190" s="16"/>
      <c r="N190" s="6"/>
      <c r="O190" s="6"/>
      <c r="P190" s="6"/>
    </row>
    <row r="191" spans="1:16">
      <c r="A191" s="35"/>
      <c r="B191" s="36"/>
      <c r="C191" s="39"/>
      <c r="D191" s="6"/>
      <c r="E191" s="16"/>
      <c r="F191" s="7"/>
      <c r="G191" s="7"/>
      <c r="H191" s="7"/>
      <c r="I191" s="16"/>
      <c r="J191" s="16"/>
      <c r="K191" s="16"/>
      <c r="L191" s="16"/>
      <c r="M191" s="16"/>
      <c r="N191" s="6"/>
      <c r="O191" s="6"/>
      <c r="P191" s="6"/>
    </row>
    <row r="192" spans="1:16">
      <c r="A192" s="35"/>
      <c r="B192" s="36"/>
      <c r="C192" s="39"/>
      <c r="D192" s="6"/>
      <c r="E192" s="16"/>
      <c r="F192" s="7"/>
      <c r="G192" s="7"/>
      <c r="H192" s="7"/>
      <c r="I192" s="16"/>
      <c r="J192" s="16"/>
      <c r="K192" s="16"/>
      <c r="L192" s="16"/>
      <c r="M192" s="16"/>
      <c r="N192" s="6"/>
      <c r="O192" s="6"/>
      <c r="P192" s="6"/>
    </row>
    <row r="193" spans="1:16">
      <c r="A193" s="35"/>
      <c r="B193" s="36"/>
      <c r="C193" s="39"/>
      <c r="D193" s="6"/>
      <c r="E193" s="16"/>
      <c r="F193" s="7"/>
      <c r="G193" s="7"/>
      <c r="H193" s="7"/>
      <c r="I193" s="16"/>
      <c r="J193" s="16"/>
      <c r="K193" s="16"/>
      <c r="L193" s="16"/>
      <c r="M193" s="16"/>
      <c r="N193" s="6"/>
      <c r="O193" s="6"/>
      <c r="P193" s="6"/>
    </row>
    <row r="194" spans="1:16">
      <c r="A194" s="35"/>
      <c r="B194" s="36"/>
      <c r="C194" s="39"/>
      <c r="D194" s="6"/>
      <c r="E194" s="16"/>
      <c r="F194" s="7"/>
      <c r="G194" s="7"/>
      <c r="H194" s="7"/>
      <c r="I194" s="16"/>
      <c r="J194" s="16"/>
      <c r="K194" s="16"/>
      <c r="L194" s="16"/>
      <c r="M194" s="16"/>
      <c r="N194" s="6"/>
      <c r="O194" s="6"/>
      <c r="P194" s="6"/>
    </row>
    <row r="195" spans="1:16">
      <c r="A195" s="35"/>
      <c r="B195" s="36"/>
      <c r="C195" s="39"/>
      <c r="D195" s="6"/>
      <c r="E195" s="16"/>
      <c r="F195" s="7"/>
      <c r="G195" s="7"/>
      <c r="H195" s="7"/>
      <c r="I195" s="16"/>
      <c r="J195" s="16"/>
      <c r="K195" s="16"/>
      <c r="L195" s="16"/>
      <c r="M195" s="16"/>
      <c r="N195" s="6"/>
      <c r="O195" s="6"/>
      <c r="P195" s="6"/>
    </row>
    <row r="196" spans="1:16">
      <c r="A196" s="35"/>
      <c r="B196" s="36"/>
      <c r="C196" s="39"/>
      <c r="D196" s="6"/>
      <c r="E196" s="16"/>
      <c r="F196" s="7"/>
      <c r="G196" s="7"/>
      <c r="H196" s="7"/>
      <c r="I196" s="16"/>
      <c r="J196" s="16"/>
      <c r="K196" s="16"/>
      <c r="L196" s="16"/>
      <c r="M196" s="16"/>
      <c r="N196" s="6"/>
      <c r="O196" s="6"/>
      <c r="P196" s="6"/>
    </row>
    <row r="197" spans="1:16">
      <c r="A197" s="35"/>
      <c r="B197" s="36"/>
      <c r="C197" s="39"/>
      <c r="D197" s="6"/>
      <c r="E197" s="16"/>
      <c r="F197" s="7"/>
      <c r="G197" s="7"/>
      <c r="H197" s="7"/>
      <c r="I197" s="16"/>
      <c r="J197" s="16"/>
      <c r="K197" s="16"/>
      <c r="L197" s="16"/>
      <c r="M197" s="16"/>
      <c r="N197" s="6"/>
      <c r="O197" s="6"/>
      <c r="P197" s="6"/>
    </row>
    <row r="198" spans="1:16">
      <c r="A198" s="35"/>
      <c r="B198" s="36"/>
      <c r="C198" s="39"/>
      <c r="D198" s="6"/>
      <c r="E198" s="16"/>
      <c r="F198" s="7"/>
      <c r="G198" s="7"/>
      <c r="H198" s="7"/>
      <c r="I198" s="16"/>
      <c r="J198" s="16"/>
      <c r="K198" s="16"/>
      <c r="L198" s="16"/>
      <c r="M198" s="16"/>
      <c r="N198" s="6"/>
      <c r="O198" s="6"/>
      <c r="P198" s="6"/>
    </row>
    <row r="199" spans="1:16">
      <c r="A199" s="35"/>
      <c r="B199" s="36"/>
      <c r="C199" s="39"/>
      <c r="D199" s="6"/>
      <c r="E199" s="16"/>
      <c r="F199" s="7"/>
      <c r="G199" s="7"/>
      <c r="H199" s="7"/>
      <c r="I199" s="16"/>
      <c r="J199" s="16"/>
      <c r="K199" s="16"/>
      <c r="L199" s="16"/>
      <c r="M199" s="16"/>
      <c r="N199" s="6"/>
      <c r="O199" s="6"/>
      <c r="P199" s="6"/>
    </row>
    <row r="200" spans="1:16">
      <c r="A200" s="35"/>
      <c r="B200" s="36"/>
      <c r="C200" s="39"/>
      <c r="D200" s="6"/>
      <c r="E200" s="16"/>
      <c r="F200" s="7"/>
      <c r="G200" s="7"/>
      <c r="H200" s="7"/>
      <c r="I200" s="16"/>
      <c r="J200" s="16"/>
      <c r="K200" s="16"/>
      <c r="L200" s="16"/>
      <c r="M200" s="16"/>
      <c r="N200" s="6"/>
      <c r="O200" s="6"/>
      <c r="P200" s="6"/>
    </row>
    <row r="201" spans="1:16">
      <c r="A201" s="35"/>
      <c r="B201" s="36"/>
      <c r="C201" s="39"/>
      <c r="D201" s="6"/>
      <c r="E201" s="16"/>
      <c r="F201" s="7"/>
      <c r="G201" s="7"/>
      <c r="H201" s="7"/>
      <c r="I201" s="16"/>
      <c r="J201" s="16"/>
      <c r="K201" s="16"/>
      <c r="L201" s="16"/>
      <c r="M201" s="16"/>
      <c r="N201" s="6"/>
      <c r="O201" s="6"/>
      <c r="P201" s="6"/>
    </row>
    <row r="202" spans="1:16">
      <c r="A202" s="35"/>
      <c r="B202" s="36"/>
      <c r="C202" s="39"/>
      <c r="D202" s="6"/>
      <c r="E202" s="16"/>
      <c r="F202" s="7"/>
      <c r="G202" s="7"/>
      <c r="H202" s="7"/>
      <c r="I202" s="16"/>
      <c r="J202" s="16"/>
      <c r="K202" s="16"/>
      <c r="L202" s="16"/>
      <c r="M202" s="16"/>
      <c r="N202" s="6"/>
      <c r="O202" s="6"/>
      <c r="P202" s="6"/>
    </row>
    <row r="203" spans="1:16">
      <c r="A203" s="35"/>
      <c r="B203" s="36"/>
      <c r="C203" s="39"/>
      <c r="D203" s="6"/>
      <c r="E203" s="16"/>
      <c r="F203" s="7"/>
      <c r="G203" s="7"/>
      <c r="H203" s="7"/>
      <c r="I203" s="16"/>
      <c r="J203" s="16"/>
      <c r="K203" s="16"/>
      <c r="L203" s="16"/>
      <c r="M203" s="16"/>
      <c r="N203" s="6"/>
      <c r="O203" s="6"/>
      <c r="P203" s="6"/>
    </row>
    <row r="204" spans="1:16">
      <c r="A204" s="35"/>
      <c r="B204" s="36"/>
      <c r="C204" s="39"/>
      <c r="D204" s="6"/>
      <c r="E204" s="16"/>
      <c r="F204" s="7"/>
      <c r="G204" s="7"/>
      <c r="H204" s="7"/>
      <c r="I204" s="16"/>
      <c r="J204" s="16"/>
      <c r="K204" s="16"/>
      <c r="L204" s="16"/>
      <c r="M204" s="16"/>
      <c r="N204" s="6"/>
      <c r="O204" s="6"/>
      <c r="P204" s="6"/>
    </row>
    <row r="205" spans="1:16">
      <c r="A205" s="35"/>
      <c r="B205" s="36"/>
      <c r="C205" s="39"/>
      <c r="D205" s="6"/>
      <c r="E205" s="16"/>
      <c r="F205" s="7"/>
      <c r="G205" s="7"/>
      <c r="H205" s="7"/>
      <c r="I205" s="16"/>
      <c r="J205" s="16"/>
      <c r="K205" s="16"/>
      <c r="L205" s="16"/>
      <c r="M205" s="16"/>
      <c r="N205" s="6"/>
      <c r="O205" s="6"/>
      <c r="P205" s="6"/>
    </row>
    <row r="206" spans="1:16">
      <c r="A206" s="35"/>
      <c r="B206" s="36"/>
      <c r="C206" s="39"/>
      <c r="D206" s="6"/>
      <c r="E206" s="16"/>
      <c r="F206" s="7"/>
      <c r="G206" s="7"/>
      <c r="H206" s="7"/>
      <c r="I206" s="16"/>
      <c r="J206" s="16"/>
      <c r="K206" s="16"/>
      <c r="L206" s="16"/>
      <c r="M206" s="16"/>
      <c r="N206" s="6"/>
      <c r="O206" s="6"/>
      <c r="P206" s="6"/>
    </row>
    <row r="207" spans="1:16">
      <c r="A207" s="35"/>
      <c r="B207" s="36"/>
      <c r="C207" s="39"/>
      <c r="D207" s="6"/>
      <c r="E207" s="16"/>
      <c r="F207" s="7"/>
      <c r="G207" s="7"/>
      <c r="H207" s="7"/>
      <c r="I207" s="16"/>
      <c r="J207" s="16"/>
      <c r="K207" s="16"/>
      <c r="L207" s="16"/>
      <c r="M207" s="16"/>
      <c r="N207" s="6"/>
      <c r="O207" s="6"/>
      <c r="P207" s="6"/>
    </row>
    <row r="208" spans="1:16">
      <c r="A208" s="35"/>
      <c r="B208" s="36"/>
      <c r="C208" s="39"/>
      <c r="D208" s="6"/>
      <c r="E208" s="16"/>
      <c r="F208" s="7"/>
      <c r="G208" s="7"/>
      <c r="H208" s="7"/>
      <c r="I208" s="16"/>
      <c r="J208" s="16"/>
      <c r="K208" s="16"/>
      <c r="L208" s="16"/>
      <c r="M208" s="16"/>
      <c r="N208" s="6"/>
      <c r="O208" s="6"/>
      <c r="P208" s="6"/>
    </row>
    <row r="209" spans="1:16">
      <c r="A209" s="35"/>
      <c r="B209" s="36"/>
      <c r="C209" s="39"/>
      <c r="D209" s="6"/>
      <c r="E209" s="16"/>
      <c r="F209" s="7"/>
      <c r="G209" s="7"/>
      <c r="H209" s="7"/>
      <c r="I209" s="16"/>
      <c r="J209" s="16"/>
      <c r="K209" s="16"/>
      <c r="L209" s="16"/>
      <c r="M209" s="16"/>
      <c r="N209" s="6"/>
      <c r="O209" s="6"/>
      <c r="P209" s="6"/>
    </row>
    <row r="210" spans="1:16">
      <c r="A210" s="35"/>
      <c r="B210" s="36"/>
      <c r="C210" s="39"/>
      <c r="D210" s="6"/>
      <c r="E210" s="16"/>
      <c r="F210" s="7"/>
      <c r="G210" s="7"/>
      <c r="H210" s="7"/>
      <c r="I210" s="16"/>
      <c r="J210" s="16"/>
      <c r="K210" s="16"/>
      <c r="L210" s="16"/>
      <c r="M210" s="16"/>
      <c r="N210" s="6"/>
      <c r="O210" s="6"/>
      <c r="P210" s="6"/>
    </row>
    <row r="211" spans="1:16">
      <c r="A211" s="35"/>
      <c r="B211" s="36"/>
      <c r="C211" s="39"/>
      <c r="D211" s="6"/>
      <c r="E211" s="16"/>
      <c r="F211" s="7"/>
      <c r="G211" s="7"/>
      <c r="H211" s="7"/>
      <c r="I211" s="16"/>
      <c r="J211" s="16"/>
      <c r="K211" s="16"/>
      <c r="L211" s="16"/>
      <c r="M211" s="16"/>
      <c r="N211" s="6"/>
      <c r="O211" s="6"/>
      <c r="P211" s="6"/>
    </row>
    <row r="212" spans="1:16">
      <c r="A212" s="35"/>
      <c r="B212" s="36"/>
      <c r="C212" s="39"/>
      <c r="D212" s="6"/>
      <c r="E212" s="16"/>
      <c r="F212" s="7"/>
      <c r="G212" s="7"/>
      <c r="H212" s="7"/>
      <c r="I212" s="16"/>
      <c r="J212" s="16"/>
      <c r="K212" s="16"/>
      <c r="L212" s="16"/>
      <c r="M212" s="16"/>
      <c r="N212" s="6"/>
      <c r="O212" s="6"/>
      <c r="P212" s="6"/>
    </row>
    <row r="213" spans="1:16">
      <c r="A213" s="35"/>
      <c r="B213" s="36"/>
      <c r="C213" s="39"/>
      <c r="D213" s="6"/>
      <c r="E213" s="16"/>
      <c r="F213" s="7"/>
      <c r="G213" s="7"/>
      <c r="H213" s="7"/>
      <c r="I213" s="16"/>
      <c r="J213" s="16"/>
      <c r="K213" s="16"/>
      <c r="L213" s="16"/>
      <c r="M213" s="16"/>
      <c r="N213" s="6"/>
      <c r="O213" s="6"/>
      <c r="P213" s="6"/>
    </row>
    <row r="214" spans="1:16">
      <c r="A214" s="35"/>
      <c r="B214" s="36"/>
      <c r="C214" s="39"/>
      <c r="D214" s="6"/>
      <c r="E214" s="16"/>
      <c r="F214" s="7"/>
      <c r="G214" s="7"/>
      <c r="H214" s="7"/>
      <c r="I214" s="16"/>
      <c r="J214" s="16"/>
      <c r="K214" s="16"/>
      <c r="L214" s="16"/>
      <c r="M214" s="16"/>
      <c r="N214" s="6"/>
      <c r="O214" s="6"/>
      <c r="P214" s="6"/>
    </row>
    <row r="215" spans="1:16">
      <c r="A215" s="35"/>
      <c r="B215" s="36"/>
      <c r="C215" s="39"/>
      <c r="D215" s="6"/>
      <c r="E215" s="16"/>
      <c r="F215" s="7"/>
      <c r="G215" s="7"/>
      <c r="H215" s="7"/>
      <c r="I215" s="16"/>
      <c r="J215" s="16"/>
      <c r="K215" s="16"/>
      <c r="L215" s="16"/>
      <c r="M215" s="16"/>
      <c r="N215" s="6"/>
      <c r="O215" s="6"/>
      <c r="P215" s="6"/>
    </row>
    <row r="216" spans="1:16">
      <c r="A216" s="35"/>
      <c r="B216" s="36"/>
      <c r="C216" s="39"/>
      <c r="D216" s="6"/>
      <c r="E216" s="16"/>
      <c r="F216" s="7"/>
      <c r="G216" s="7"/>
      <c r="H216" s="7"/>
      <c r="I216" s="16"/>
      <c r="J216" s="16"/>
      <c r="K216" s="16"/>
      <c r="L216" s="16"/>
      <c r="M216" s="16"/>
      <c r="N216" s="6"/>
      <c r="O216" s="6"/>
      <c r="P216" s="6"/>
    </row>
    <row r="217" spans="1:16">
      <c r="A217" s="35"/>
      <c r="B217" s="36"/>
      <c r="C217" s="39"/>
      <c r="D217" s="6"/>
      <c r="E217" s="16"/>
      <c r="F217" s="7"/>
      <c r="G217" s="7"/>
      <c r="H217" s="7"/>
      <c r="I217" s="16"/>
      <c r="J217" s="16"/>
      <c r="K217" s="16"/>
      <c r="L217" s="16"/>
      <c r="M217" s="16"/>
      <c r="N217" s="6"/>
      <c r="O217" s="6"/>
      <c r="P217" s="6"/>
    </row>
    <row r="218" spans="1:16">
      <c r="A218" s="35"/>
      <c r="B218" s="36"/>
      <c r="C218" s="39"/>
      <c r="D218" s="6"/>
      <c r="E218" s="16"/>
      <c r="F218" s="7"/>
      <c r="G218" s="7"/>
      <c r="H218" s="7"/>
      <c r="I218" s="16"/>
      <c r="J218" s="16"/>
      <c r="K218" s="16"/>
      <c r="L218" s="16"/>
      <c r="M218" s="16"/>
      <c r="N218" s="6"/>
      <c r="O218" s="6"/>
      <c r="P218" s="6"/>
    </row>
    <row r="219" spans="1:16">
      <c r="A219" s="35"/>
      <c r="B219" s="36"/>
      <c r="C219" s="39"/>
      <c r="D219" s="6"/>
      <c r="E219" s="16"/>
      <c r="F219" s="7"/>
      <c r="G219" s="7"/>
      <c r="H219" s="7"/>
      <c r="I219" s="16"/>
      <c r="J219" s="16"/>
      <c r="K219" s="16"/>
      <c r="L219" s="16"/>
      <c r="M219" s="16"/>
      <c r="N219" s="6"/>
      <c r="O219" s="6"/>
      <c r="P219" s="6"/>
    </row>
    <row r="220" spans="1:16">
      <c r="A220" s="35"/>
      <c r="B220" s="36"/>
      <c r="C220" s="39"/>
      <c r="D220" s="6"/>
      <c r="E220" s="16"/>
      <c r="F220" s="7"/>
      <c r="G220" s="7"/>
      <c r="H220" s="7"/>
      <c r="I220" s="16"/>
      <c r="J220" s="16"/>
      <c r="K220" s="16"/>
      <c r="L220" s="16"/>
      <c r="M220" s="16"/>
      <c r="N220" s="6"/>
      <c r="O220" s="6"/>
      <c r="P220" s="6"/>
    </row>
    <row r="221" spans="1:16">
      <c r="A221" s="35"/>
      <c r="B221" s="36"/>
      <c r="C221" s="39"/>
      <c r="D221" s="6"/>
      <c r="E221" s="16"/>
      <c r="F221" s="7"/>
      <c r="G221" s="7"/>
      <c r="H221" s="7"/>
      <c r="I221" s="16"/>
      <c r="J221" s="16"/>
      <c r="K221" s="16"/>
      <c r="L221" s="16"/>
      <c r="M221" s="16"/>
      <c r="N221" s="6"/>
      <c r="O221" s="6"/>
      <c r="P221" s="6"/>
    </row>
    <row r="222" spans="1:16">
      <c r="A222" s="35"/>
      <c r="B222" s="36"/>
      <c r="C222" s="39"/>
      <c r="D222" s="6"/>
      <c r="E222" s="16"/>
      <c r="F222" s="7"/>
      <c r="G222" s="7"/>
      <c r="H222" s="7"/>
      <c r="I222" s="16"/>
      <c r="J222" s="16"/>
      <c r="K222" s="16"/>
      <c r="L222" s="16"/>
      <c r="M222" s="16"/>
      <c r="N222" s="6"/>
      <c r="O222" s="6"/>
      <c r="P222" s="6"/>
    </row>
    <row r="223" spans="1:16">
      <c r="A223" s="35"/>
      <c r="B223" s="36"/>
      <c r="C223" s="39"/>
      <c r="D223" s="6"/>
      <c r="E223" s="16"/>
      <c r="F223" s="7"/>
      <c r="G223" s="7"/>
      <c r="H223" s="7"/>
      <c r="I223" s="16"/>
      <c r="J223" s="16"/>
      <c r="K223" s="16"/>
      <c r="L223" s="16"/>
      <c r="M223" s="16"/>
      <c r="N223" s="6"/>
      <c r="O223" s="6"/>
      <c r="P223" s="6"/>
    </row>
    <row r="224" spans="1:16">
      <c r="A224" s="35"/>
      <c r="B224" s="36"/>
      <c r="C224" s="39"/>
      <c r="D224" s="6"/>
      <c r="E224" s="16"/>
      <c r="F224" s="7"/>
      <c r="G224" s="7"/>
      <c r="H224" s="7"/>
      <c r="I224" s="16"/>
      <c r="J224" s="16"/>
      <c r="K224" s="16"/>
      <c r="L224" s="16"/>
      <c r="M224" s="16"/>
      <c r="N224" s="6"/>
      <c r="O224" s="6"/>
      <c r="P224" s="6"/>
    </row>
    <row r="225" spans="1:16">
      <c r="A225" s="35"/>
      <c r="B225" s="36"/>
      <c r="C225" s="39"/>
      <c r="D225" s="6"/>
      <c r="E225" s="16"/>
      <c r="F225" s="7"/>
      <c r="G225" s="7"/>
      <c r="H225" s="7"/>
      <c r="I225" s="16"/>
      <c r="J225" s="16"/>
      <c r="K225" s="16"/>
      <c r="L225" s="16"/>
      <c r="M225" s="16"/>
      <c r="N225" s="6"/>
      <c r="O225" s="6"/>
      <c r="P225" s="6"/>
    </row>
    <row r="226" spans="1:16">
      <c r="A226" s="35"/>
      <c r="B226" s="36"/>
      <c r="C226" s="39"/>
      <c r="D226" s="6"/>
      <c r="E226" s="16"/>
      <c r="F226" s="7"/>
      <c r="G226" s="7"/>
      <c r="H226" s="7"/>
      <c r="I226" s="16"/>
      <c r="J226" s="16"/>
      <c r="K226" s="16"/>
      <c r="L226" s="16"/>
      <c r="M226" s="16"/>
      <c r="N226" s="6"/>
      <c r="O226" s="6"/>
      <c r="P226" s="6"/>
    </row>
    <row r="227" spans="1:16">
      <c r="A227" s="35"/>
      <c r="B227" s="36"/>
      <c r="C227" s="39"/>
      <c r="D227" s="6"/>
      <c r="E227" s="16"/>
      <c r="F227" s="7"/>
      <c r="G227" s="7"/>
      <c r="H227" s="7"/>
      <c r="I227" s="16"/>
      <c r="J227" s="16"/>
      <c r="K227" s="16"/>
      <c r="L227" s="16"/>
      <c r="M227" s="16"/>
      <c r="N227" s="6"/>
      <c r="O227" s="6"/>
      <c r="P227" s="6"/>
    </row>
    <row r="228" spans="1:16">
      <c r="A228" s="35"/>
      <c r="B228" s="36"/>
      <c r="C228" s="39"/>
      <c r="D228" s="6"/>
      <c r="E228" s="16"/>
      <c r="F228" s="7"/>
      <c r="G228" s="7"/>
      <c r="H228" s="7"/>
      <c r="I228" s="16"/>
      <c r="J228" s="16"/>
      <c r="K228" s="16"/>
      <c r="L228" s="16"/>
      <c r="M228" s="16"/>
      <c r="N228" s="6"/>
      <c r="O228" s="6"/>
      <c r="P228" s="6"/>
    </row>
    <row r="229" spans="1:16">
      <c r="A229" s="35"/>
      <c r="B229" s="36"/>
      <c r="C229" s="39"/>
      <c r="D229" s="6"/>
      <c r="E229" s="16"/>
      <c r="F229" s="7"/>
      <c r="G229" s="7"/>
      <c r="H229" s="7"/>
      <c r="I229" s="16"/>
      <c r="J229" s="16"/>
      <c r="K229" s="16"/>
      <c r="L229" s="16"/>
      <c r="M229" s="16"/>
      <c r="N229" s="6"/>
      <c r="O229" s="6"/>
      <c r="P229" s="6"/>
    </row>
    <row r="230" spans="1:16">
      <c r="A230" s="35"/>
      <c r="B230" s="36"/>
      <c r="C230" s="39"/>
      <c r="D230" s="6"/>
      <c r="E230" s="16"/>
      <c r="F230" s="7"/>
      <c r="G230" s="7"/>
      <c r="H230" s="7"/>
      <c r="I230" s="16"/>
      <c r="J230" s="16"/>
      <c r="K230" s="16"/>
      <c r="L230" s="16"/>
      <c r="M230" s="16"/>
      <c r="N230" s="6"/>
      <c r="O230" s="6"/>
      <c r="P230" s="6"/>
    </row>
    <row r="231" spans="1:16">
      <c r="A231" s="35"/>
      <c r="B231" s="36"/>
      <c r="C231" s="39"/>
      <c r="D231" s="6"/>
      <c r="E231" s="16"/>
      <c r="F231" s="7"/>
      <c r="G231" s="7"/>
      <c r="H231" s="7"/>
      <c r="I231" s="16"/>
      <c r="J231" s="16"/>
      <c r="K231" s="16"/>
      <c r="L231" s="16"/>
      <c r="M231" s="16"/>
      <c r="N231" s="6"/>
      <c r="O231" s="6"/>
      <c r="P231" s="6"/>
    </row>
    <row r="232" spans="1:16">
      <c r="A232" s="35"/>
      <c r="B232" s="36"/>
      <c r="C232" s="39"/>
      <c r="D232" s="6"/>
      <c r="E232" s="16"/>
      <c r="F232" s="7"/>
      <c r="G232" s="7"/>
      <c r="H232" s="7"/>
      <c r="I232" s="16"/>
      <c r="J232" s="16"/>
      <c r="K232" s="16"/>
      <c r="L232" s="16"/>
      <c r="M232" s="16"/>
      <c r="N232" s="6"/>
      <c r="O232" s="6"/>
      <c r="P232" s="6"/>
    </row>
    <row r="233" spans="1:16">
      <c r="A233" s="35"/>
      <c r="B233" s="36"/>
      <c r="C233" s="39"/>
      <c r="D233" s="6"/>
      <c r="E233" s="16"/>
      <c r="F233" s="7"/>
      <c r="G233" s="7"/>
      <c r="H233" s="7"/>
      <c r="I233" s="16"/>
      <c r="J233" s="16"/>
      <c r="K233" s="16"/>
      <c r="L233" s="16"/>
      <c r="M233" s="16"/>
      <c r="N233" s="6"/>
      <c r="O233" s="6"/>
      <c r="P233" s="6"/>
    </row>
    <row r="234" spans="1:16">
      <c r="A234" s="35"/>
      <c r="B234" s="36"/>
      <c r="C234" s="39"/>
      <c r="D234" s="6"/>
      <c r="E234" s="16"/>
      <c r="F234" s="7"/>
      <c r="G234" s="7"/>
      <c r="H234" s="7"/>
      <c r="I234" s="16"/>
      <c r="J234" s="16"/>
      <c r="K234" s="16"/>
      <c r="L234" s="16"/>
      <c r="M234" s="16"/>
      <c r="N234" s="6"/>
      <c r="O234" s="6"/>
      <c r="P234" s="6"/>
    </row>
    <row r="235" spans="1:16">
      <c r="A235" s="35"/>
      <c r="B235" s="36"/>
      <c r="C235" s="39"/>
      <c r="D235" s="6"/>
      <c r="E235" s="16"/>
      <c r="F235" s="7"/>
      <c r="G235" s="7"/>
      <c r="H235" s="7"/>
      <c r="I235" s="16"/>
      <c r="J235" s="16"/>
      <c r="K235" s="16"/>
      <c r="L235" s="16"/>
      <c r="M235" s="16"/>
      <c r="N235" s="6"/>
      <c r="O235" s="6"/>
      <c r="P235" s="6"/>
    </row>
    <row r="236" spans="1:16">
      <c r="A236" s="35"/>
      <c r="B236" s="36"/>
      <c r="C236" s="39"/>
      <c r="D236" s="6"/>
      <c r="E236" s="16"/>
      <c r="F236" s="7"/>
      <c r="G236" s="7"/>
      <c r="H236" s="7"/>
      <c r="I236" s="16"/>
      <c r="J236" s="16"/>
      <c r="K236" s="16"/>
      <c r="L236" s="16"/>
      <c r="M236" s="16"/>
      <c r="N236" s="6"/>
      <c r="O236" s="6"/>
      <c r="P236" s="6"/>
    </row>
    <row r="237" spans="1:16">
      <c r="A237" s="35"/>
      <c r="B237" s="36"/>
      <c r="C237" s="39"/>
      <c r="D237" s="6"/>
      <c r="E237" s="16"/>
      <c r="F237" s="7"/>
      <c r="G237" s="7"/>
      <c r="H237" s="7"/>
      <c r="I237" s="16"/>
      <c r="J237" s="16"/>
      <c r="K237" s="16"/>
      <c r="L237" s="16"/>
      <c r="M237" s="16"/>
      <c r="N237" s="6"/>
      <c r="O237" s="6"/>
      <c r="P237" s="6"/>
    </row>
    <row r="238" spans="1:16">
      <c r="A238" s="35"/>
      <c r="B238" s="36"/>
      <c r="C238" s="39"/>
      <c r="D238" s="6"/>
      <c r="E238" s="16"/>
      <c r="F238" s="7"/>
      <c r="G238" s="7"/>
      <c r="H238" s="7"/>
      <c r="I238" s="16"/>
      <c r="J238" s="16"/>
      <c r="K238" s="16"/>
      <c r="L238" s="16"/>
      <c r="M238" s="16"/>
      <c r="N238" s="6"/>
      <c r="O238" s="6"/>
      <c r="P238" s="6"/>
    </row>
    <row r="239" spans="1:16">
      <c r="A239" s="35"/>
      <c r="B239" s="36"/>
      <c r="C239" s="39"/>
      <c r="D239" s="6"/>
      <c r="E239" s="16"/>
      <c r="F239" s="7"/>
      <c r="G239" s="7"/>
      <c r="H239" s="7"/>
      <c r="I239" s="16"/>
      <c r="J239" s="16"/>
      <c r="K239" s="16"/>
      <c r="L239" s="16"/>
      <c r="M239" s="16"/>
      <c r="N239" s="6"/>
      <c r="O239" s="6"/>
      <c r="P239" s="6"/>
    </row>
    <row r="240" spans="1:16">
      <c r="A240" s="35"/>
      <c r="B240" s="36"/>
      <c r="C240" s="39"/>
      <c r="D240" s="6"/>
      <c r="E240" s="16"/>
      <c r="F240" s="7"/>
      <c r="G240" s="7"/>
      <c r="H240" s="7"/>
      <c r="I240" s="16"/>
      <c r="J240" s="16"/>
      <c r="K240" s="16"/>
      <c r="L240" s="16"/>
      <c r="M240" s="16"/>
      <c r="N240" s="6"/>
      <c r="O240" s="6"/>
      <c r="P240" s="6"/>
    </row>
    <row r="241" spans="1:16">
      <c r="A241" s="35"/>
      <c r="B241" s="36"/>
      <c r="C241" s="39"/>
      <c r="D241" s="6"/>
      <c r="E241" s="16"/>
      <c r="F241" s="7"/>
      <c r="G241" s="7"/>
      <c r="H241" s="7"/>
      <c r="I241" s="16"/>
      <c r="J241" s="16"/>
      <c r="K241" s="16"/>
      <c r="L241" s="16"/>
      <c r="M241" s="16"/>
      <c r="N241" s="6"/>
      <c r="O241" s="6"/>
      <c r="P241" s="6"/>
    </row>
    <row r="242" spans="1:16">
      <c r="A242" s="35"/>
      <c r="B242" s="36"/>
      <c r="C242" s="39"/>
      <c r="D242" s="6"/>
      <c r="E242" s="16"/>
      <c r="F242" s="7"/>
      <c r="G242" s="7"/>
      <c r="H242" s="7"/>
      <c r="I242" s="16"/>
      <c r="J242" s="16"/>
      <c r="K242" s="16"/>
      <c r="L242" s="16"/>
      <c r="M242" s="16"/>
      <c r="N242" s="6"/>
      <c r="O242" s="6"/>
      <c r="P242" s="6"/>
    </row>
    <row r="243" spans="1:16">
      <c r="A243" s="35"/>
      <c r="B243" s="36"/>
      <c r="C243" s="39"/>
      <c r="D243" s="6"/>
      <c r="E243" s="16"/>
      <c r="F243" s="7"/>
      <c r="G243" s="7"/>
      <c r="H243" s="7"/>
      <c r="I243" s="16"/>
      <c r="J243" s="16"/>
      <c r="K243" s="16"/>
      <c r="L243" s="16"/>
      <c r="M243" s="16"/>
      <c r="N243" s="6"/>
      <c r="O243" s="6"/>
      <c r="P243" s="6"/>
    </row>
    <row r="244" spans="1:16">
      <c r="A244" s="35"/>
      <c r="B244" s="36"/>
      <c r="C244" s="39"/>
      <c r="D244" s="6"/>
      <c r="E244" s="16"/>
      <c r="F244" s="7"/>
      <c r="G244" s="7"/>
      <c r="H244" s="7"/>
      <c r="I244" s="16"/>
      <c r="J244" s="16"/>
      <c r="K244" s="16"/>
      <c r="L244" s="16"/>
      <c r="M244" s="16"/>
      <c r="N244" s="6"/>
      <c r="O244" s="6"/>
      <c r="P244" s="6"/>
    </row>
    <row r="245" spans="1:16">
      <c r="A245" s="35"/>
      <c r="B245" s="36"/>
      <c r="C245" s="39"/>
      <c r="D245" s="6"/>
      <c r="E245" s="16"/>
      <c r="F245" s="7"/>
      <c r="G245" s="7"/>
      <c r="H245" s="7"/>
      <c r="I245" s="16"/>
      <c r="J245" s="16"/>
      <c r="K245" s="16"/>
      <c r="L245" s="16"/>
      <c r="M245" s="16"/>
      <c r="N245" s="6"/>
      <c r="O245" s="6"/>
      <c r="P245" s="6"/>
    </row>
    <row r="246" spans="1:16">
      <c r="A246" s="35"/>
      <c r="B246" s="36"/>
      <c r="C246" s="39"/>
      <c r="D246" s="6"/>
      <c r="E246" s="16"/>
      <c r="F246" s="7"/>
      <c r="G246" s="7"/>
      <c r="H246" s="7"/>
      <c r="I246" s="16"/>
      <c r="J246" s="16"/>
      <c r="K246" s="16"/>
      <c r="L246" s="16"/>
      <c r="M246" s="16"/>
      <c r="N246" s="6"/>
      <c r="O246" s="6"/>
      <c r="P246" s="6"/>
    </row>
    <row r="247" spans="1:16">
      <c r="A247" s="35"/>
      <c r="B247" s="36"/>
      <c r="C247" s="39"/>
      <c r="D247" s="6"/>
      <c r="E247" s="16"/>
      <c r="F247" s="7"/>
      <c r="G247" s="7"/>
      <c r="H247" s="7"/>
      <c r="I247" s="16"/>
      <c r="J247" s="16"/>
      <c r="K247" s="16"/>
      <c r="L247" s="16"/>
      <c r="M247" s="16"/>
      <c r="N247" s="6"/>
      <c r="O247" s="6"/>
      <c r="P247" s="6"/>
    </row>
    <row r="248" spans="1:16">
      <c r="A248" s="35"/>
      <c r="B248" s="36"/>
      <c r="C248" s="39"/>
      <c r="D248" s="6"/>
      <c r="E248" s="16"/>
      <c r="F248" s="7"/>
      <c r="G248" s="7"/>
      <c r="H248" s="7"/>
      <c r="I248" s="16"/>
      <c r="J248" s="16"/>
      <c r="K248" s="16"/>
      <c r="L248" s="16"/>
      <c r="M248" s="16"/>
      <c r="N248" s="6"/>
      <c r="O248" s="6"/>
      <c r="P248" s="6"/>
    </row>
    <row r="249" spans="1:16">
      <c r="A249" s="35"/>
      <c r="B249" s="36"/>
      <c r="C249" s="39"/>
      <c r="D249" s="6"/>
      <c r="E249" s="16"/>
      <c r="F249" s="7"/>
      <c r="G249" s="7"/>
      <c r="H249" s="7"/>
      <c r="I249" s="16"/>
      <c r="J249" s="16"/>
      <c r="K249" s="16"/>
      <c r="L249" s="16"/>
      <c r="M249" s="16"/>
      <c r="N249" s="6"/>
      <c r="O249" s="6"/>
      <c r="P249" s="6"/>
    </row>
    <row r="250" spans="1:16">
      <c r="A250" s="35"/>
      <c r="B250" s="36"/>
      <c r="C250" s="39"/>
      <c r="D250" s="6"/>
      <c r="E250" s="16"/>
      <c r="F250" s="7"/>
      <c r="G250" s="7"/>
      <c r="H250" s="7"/>
      <c r="I250" s="16"/>
      <c r="J250" s="16"/>
      <c r="K250" s="16"/>
      <c r="L250" s="16"/>
      <c r="M250" s="16"/>
      <c r="N250" s="6"/>
      <c r="O250" s="6"/>
      <c r="P250" s="6"/>
    </row>
    <row r="251" spans="1:16">
      <c r="A251" s="35"/>
      <c r="B251" s="36"/>
      <c r="C251" s="39"/>
      <c r="D251" s="6"/>
      <c r="E251" s="16"/>
      <c r="F251" s="7"/>
      <c r="G251" s="7"/>
      <c r="H251" s="7"/>
      <c r="I251" s="16"/>
      <c r="J251" s="16"/>
      <c r="K251" s="16"/>
      <c r="L251" s="16"/>
      <c r="M251" s="16"/>
      <c r="N251" s="6"/>
      <c r="O251" s="6"/>
      <c r="P251" s="6"/>
    </row>
    <row r="252" spans="1:16">
      <c r="A252" s="35"/>
      <c r="B252" s="36"/>
      <c r="C252" s="39"/>
      <c r="D252" s="6"/>
      <c r="E252" s="16"/>
      <c r="F252" s="7"/>
      <c r="G252" s="7"/>
      <c r="H252" s="7"/>
      <c r="I252" s="16"/>
      <c r="J252" s="16"/>
      <c r="K252" s="16"/>
      <c r="L252" s="16"/>
      <c r="M252" s="16"/>
      <c r="N252" s="6"/>
      <c r="O252" s="6"/>
      <c r="P252" s="6"/>
    </row>
    <row r="253" spans="1:16">
      <c r="A253" s="35"/>
      <c r="B253" s="36"/>
      <c r="C253" s="39"/>
      <c r="D253" s="6"/>
      <c r="E253" s="16"/>
      <c r="F253" s="7"/>
      <c r="G253" s="7"/>
      <c r="H253" s="7"/>
      <c r="I253" s="16"/>
      <c r="J253" s="16"/>
      <c r="K253" s="16"/>
      <c r="L253" s="16"/>
      <c r="M253" s="16"/>
      <c r="N253" s="6"/>
      <c r="O253" s="6"/>
      <c r="P253" s="6"/>
    </row>
    <row r="254" spans="1:16">
      <c r="A254" s="35"/>
      <c r="B254" s="36"/>
      <c r="C254" s="39"/>
      <c r="D254" s="6"/>
      <c r="E254" s="16"/>
      <c r="F254" s="7"/>
      <c r="G254" s="7"/>
      <c r="H254" s="7"/>
      <c r="I254" s="16"/>
      <c r="J254" s="16"/>
      <c r="K254" s="16"/>
      <c r="L254" s="16"/>
      <c r="M254" s="16"/>
      <c r="N254" s="6"/>
      <c r="O254" s="6"/>
      <c r="P254" s="6"/>
    </row>
    <row r="255" spans="1:16">
      <c r="A255" s="35"/>
      <c r="B255" s="36"/>
      <c r="C255" s="39"/>
      <c r="D255" s="6"/>
      <c r="E255" s="16"/>
      <c r="F255" s="7"/>
      <c r="G255" s="7"/>
      <c r="H255" s="7"/>
      <c r="I255" s="16"/>
      <c r="J255" s="16"/>
      <c r="K255" s="16"/>
      <c r="L255" s="16"/>
      <c r="M255" s="16"/>
      <c r="N255" s="6"/>
      <c r="O255" s="6"/>
      <c r="P255" s="6"/>
    </row>
    <row r="256" spans="1:16">
      <c r="A256" s="35"/>
      <c r="B256" s="36"/>
      <c r="C256" s="39"/>
      <c r="D256" s="6"/>
      <c r="E256" s="16"/>
      <c r="F256" s="7"/>
      <c r="G256" s="7"/>
      <c r="H256" s="7"/>
      <c r="I256" s="16"/>
      <c r="J256" s="16"/>
      <c r="K256" s="16"/>
      <c r="L256" s="16"/>
      <c r="M256" s="16"/>
      <c r="N256" s="6"/>
      <c r="O256" s="6"/>
      <c r="P256" s="6"/>
    </row>
    <row r="257" spans="1:16">
      <c r="A257" s="35"/>
      <c r="B257" s="36"/>
      <c r="C257" s="39"/>
      <c r="D257" s="6"/>
      <c r="E257" s="16"/>
      <c r="F257" s="7"/>
      <c r="G257" s="7"/>
      <c r="H257" s="7"/>
      <c r="I257" s="16"/>
      <c r="J257" s="16"/>
      <c r="K257" s="16"/>
      <c r="L257" s="16"/>
      <c r="M257" s="16"/>
      <c r="N257" s="6"/>
      <c r="O257" s="6"/>
      <c r="P257" s="6"/>
    </row>
    <row r="258" spans="1:16">
      <c r="A258" s="35"/>
      <c r="B258" s="36"/>
      <c r="C258" s="39"/>
      <c r="D258" s="6"/>
      <c r="E258" s="16"/>
      <c r="F258" s="7"/>
      <c r="G258" s="7"/>
      <c r="H258" s="7"/>
      <c r="I258" s="16"/>
      <c r="J258" s="16"/>
      <c r="K258" s="16"/>
      <c r="L258" s="16"/>
      <c r="M258" s="16"/>
      <c r="N258" s="6"/>
      <c r="O258" s="6"/>
      <c r="P258" s="6"/>
    </row>
    <row r="259" spans="1:16">
      <c r="A259" s="35"/>
      <c r="B259" s="36"/>
      <c r="C259" s="39"/>
      <c r="D259" s="6"/>
      <c r="E259" s="16"/>
      <c r="F259" s="7"/>
      <c r="G259" s="7"/>
      <c r="H259" s="7"/>
      <c r="I259" s="16"/>
      <c r="J259" s="16"/>
      <c r="K259" s="16"/>
      <c r="L259" s="16"/>
      <c r="M259" s="16"/>
      <c r="N259" s="6"/>
      <c r="O259" s="6"/>
      <c r="P259" s="6"/>
    </row>
    <row r="260" spans="1:16">
      <c r="A260" s="35"/>
      <c r="B260" s="36"/>
      <c r="C260" s="39"/>
      <c r="D260" s="6"/>
      <c r="E260" s="16"/>
      <c r="F260" s="7"/>
      <c r="G260" s="7"/>
      <c r="H260" s="7"/>
      <c r="I260" s="16"/>
      <c r="J260" s="16"/>
      <c r="K260" s="16"/>
      <c r="L260" s="16"/>
      <c r="M260" s="16"/>
      <c r="N260" s="6"/>
      <c r="O260" s="6"/>
      <c r="P260" s="6"/>
    </row>
    <row r="261" spans="1:16">
      <c r="A261" s="35"/>
      <c r="B261" s="36"/>
      <c r="C261" s="39"/>
      <c r="D261" s="6"/>
      <c r="E261" s="16"/>
      <c r="F261" s="7"/>
      <c r="G261" s="7"/>
      <c r="H261" s="7"/>
      <c r="I261" s="16"/>
      <c r="J261" s="16"/>
      <c r="K261" s="16"/>
      <c r="L261" s="16"/>
      <c r="M261" s="16"/>
      <c r="N261" s="6"/>
      <c r="O261" s="6"/>
      <c r="P261" s="6"/>
    </row>
    <row r="262" spans="1:16">
      <c r="A262" s="35"/>
      <c r="B262" s="36"/>
      <c r="C262" s="39"/>
      <c r="D262" s="6"/>
      <c r="E262" s="16"/>
      <c r="F262" s="7"/>
      <c r="G262" s="7"/>
      <c r="H262" s="7"/>
      <c r="I262" s="16"/>
      <c r="J262" s="16"/>
      <c r="K262" s="16"/>
      <c r="L262" s="16"/>
      <c r="M262" s="16"/>
      <c r="N262" s="6"/>
      <c r="O262" s="6"/>
      <c r="P262" s="6"/>
    </row>
    <row r="263" spans="1:16">
      <c r="A263" s="35"/>
      <c r="B263" s="36"/>
      <c r="C263" s="39"/>
      <c r="D263" s="6"/>
      <c r="E263" s="16"/>
      <c r="F263" s="7"/>
      <c r="G263" s="7"/>
      <c r="H263" s="7"/>
      <c r="I263" s="16"/>
      <c r="J263" s="16"/>
      <c r="K263" s="16"/>
      <c r="L263" s="16"/>
      <c r="M263" s="16"/>
      <c r="N263" s="6"/>
      <c r="O263" s="6"/>
      <c r="P263" s="6"/>
    </row>
    <row r="264" spans="1:16">
      <c r="A264" s="35"/>
      <c r="B264" s="36"/>
      <c r="C264" s="39"/>
      <c r="D264" s="6"/>
      <c r="E264" s="16"/>
      <c r="F264" s="7"/>
      <c r="G264" s="7"/>
      <c r="H264" s="7"/>
      <c r="I264" s="16"/>
      <c r="J264" s="16"/>
      <c r="K264" s="16"/>
      <c r="L264" s="16"/>
      <c r="M264" s="16"/>
      <c r="N264" s="6"/>
      <c r="O264" s="6"/>
      <c r="P264" s="6"/>
    </row>
    <row r="265" spans="1:16">
      <c r="A265" s="35"/>
      <c r="B265" s="36"/>
      <c r="C265" s="39"/>
      <c r="D265" s="6"/>
      <c r="E265" s="16"/>
      <c r="F265" s="7"/>
      <c r="G265" s="7"/>
      <c r="H265" s="7"/>
      <c r="I265" s="16"/>
      <c r="J265" s="16"/>
      <c r="K265" s="16"/>
      <c r="L265" s="16"/>
      <c r="M265" s="16"/>
      <c r="N265" s="6"/>
      <c r="O265" s="6"/>
      <c r="P265" s="6"/>
    </row>
    <row r="266" spans="1:16">
      <c r="A266" s="35"/>
      <c r="B266" s="36"/>
      <c r="C266" s="39"/>
      <c r="D266" s="6"/>
      <c r="E266" s="16"/>
      <c r="F266" s="7"/>
      <c r="G266" s="7"/>
      <c r="H266" s="7"/>
      <c r="I266" s="16"/>
      <c r="J266" s="16"/>
      <c r="K266" s="16"/>
      <c r="L266" s="16"/>
      <c r="M266" s="16"/>
      <c r="N266" s="6"/>
      <c r="O266" s="6"/>
      <c r="P266" s="6"/>
    </row>
    <row r="267" spans="1:16">
      <c r="A267" s="35"/>
      <c r="B267" s="36"/>
      <c r="C267" s="39"/>
      <c r="D267" s="6"/>
      <c r="E267" s="16"/>
      <c r="F267" s="7"/>
      <c r="G267" s="7"/>
      <c r="H267" s="7"/>
      <c r="I267" s="16"/>
      <c r="J267" s="16"/>
      <c r="K267" s="16"/>
      <c r="L267" s="16"/>
      <c r="M267" s="16"/>
      <c r="N267" s="6"/>
      <c r="O267" s="6"/>
      <c r="P267" s="6"/>
    </row>
    <row r="268" spans="1:16">
      <c r="A268" s="35"/>
      <c r="B268" s="36"/>
      <c r="C268" s="39"/>
      <c r="D268" s="6"/>
      <c r="E268" s="16"/>
      <c r="F268" s="7"/>
      <c r="G268" s="7"/>
      <c r="H268" s="7"/>
      <c r="I268" s="16"/>
      <c r="J268" s="16"/>
      <c r="K268" s="16"/>
      <c r="L268" s="16"/>
      <c r="M268" s="16"/>
      <c r="N268" s="6"/>
      <c r="O268" s="6"/>
      <c r="P268" s="6"/>
    </row>
    <row r="269" spans="1:16">
      <c r="A269" s="35"/>
      <c r="B269" s="36"/>
      <c r="C269" s="39"/>
      <c r="D269" s="6"/>
      <c r="E269" s="16"/>
      <c r="F269" s="7"/>
      <c r="G269" s="7"/>
      <c r="H269" s="7"/>
      <c r="I269" s="16"/>
      <c r="J269" s="16"/>
      <c r="K269" s="16"/>
      <c r="L269" s="16"/>
      <c r="M269" s="16"/>
      <c r="N269" s="6"/>
      <c r="O269" s="6"/>
      <c r="P269" s="6"/>
    </row>
    <row r="270" spans="1:16">
      <c r="A270" s="35"/>
      <c r="B270" s="36"/>
      <c r="C270" s="39"/>
      <c r="D270" s="6"/>
      <c r="E270" s="16"/>
      <c r="F270" s="7"/>
      <c r="G270" s="7"/>
      <c r="H270" s="7"/>
      <c r="I270" s="16"/>
      <c r="J270" s="16"/>
      <c r="K270" s="16"/>
      <c r="L270" s="16"/>
      <c r="M270" s="16"/>
      <c r="N270" s="6"/>
      <c r="O270" s="6"/>
      <c r="P270" s="6"/>
    </row>
    <row r="271" spans="1:16">
      <c r="A271" s="35"/>
      <c r="B271" s="36"/>
      <c r="C271" s="39"/>
      <c r="D271" s="6"/>
      <c r="E271" s="16"/>
      <c r="F271" s="7"/>
      <c r="G271" s="7"/>
      <c r="H271" s="7"/>
      <c r="I271" s="16"/>
      <c r="J271" s="16"/>
      <c r="K271" s="16"/>
      <c r="L271" s="16"/>
      <c r="M271" s="16"/>
      <c r="N271" s="6"/>
      <c r="O271" s="6"/>
      <c r="P271" s="6"/>
    </row>
    <row r="272" spans="1:16">
      <c r="A272" s="35"/>
      <c r="B272" s="36"/>
      <c r="C272" s="39"/>
      <c r="D272" s="6"/>
      <c r="E272" s="16"/>
      <c r="F272" s="7"/>
      <c r="G272" s="7"/>
      <c r="H272" s="7"/>
      <c r="I272" s="16"/>
      <c r="J272" s="16"/>
      <c r="K272" s="16"/>
      <c r="L272" s="16"/>
      <c r="M272" s="16"/>
      <c r="N272" s="6"/>
      <c r="O272" s="6"/>
      <c r="P272" s="6"/>
    </row>
    <row r="273" spans="1:16">
      <c r="A273" s="35"/>
      <c r="B273" s="36"/>
      <c r="C273" s="39"/>
      <c r="D273" s="6"/>
      <c r="E273" s="16"/>
      <c r="F273" s="7"/>
      <c r="G273" s="7"/>
      <c r="H273" s="7"/>
      <c r="I273" s="16"/>
      <c r="J273" s="16"/>
      <c r="K273" s="16"/>
      <c r="L273" s="16"/>
      <c r="M273" s="16"/>
      <c r="N273" s="6"/>
      <c r="O273" s="6"/>
      <c r="P273" s="6"/>
    </row>
    <row r="274" spans="1:16">
      <c r="A274" s="35"/>
      <c r="B274" s="36"/>
      <c r="C274" s="39"/>
      <c r="D274" s="6"/>
      <c r="E274" s="16"/>
      <c r="F274" s="7"/>
      <c r="G274" s="7"/>
      <c r="H274" s="7"/>
      <c r="I274" s="16"/>
      <c r="J274" s="16"/>
      <c r="K274" s="16"/>
      <c r="L274" s="16"/>
      <c r="M274" s="16"/>
      <c r="N274" s="6"/>
      <c r="O274" s="6"/>
      <c r="P274" s="6"/>
    </row>
    <row r="275" spans="1:16">
      <c r="A275" s="35"/>
      <c r="B275" s="36"/>
      <c r="C275" s="39"/>
      <c r="D275" s="6"/>
      <c r="E275" s="16"/>
      <c r="F275" s="7"/>
      <c r="G275" s="7"/>
      <c r="H275" s="7"/>
      <c r="I275" s="16"/>
      <c r="J275" s="16"/>
      <c r="K275" s="16"/>
      <c r="L275" s="16"/>
      <c r="M275" s="16"/>
      <c r="N275" s="6"/>
      <c r="O275" s="6"/>
      <c r="P275" s="6"/>
    </row>
    <row r="276" spans="1:16">
      <c r="A276" s="35"/>
      <c r="B276" s="36"/>
      <c r="C276" s="39"/>
      <c r="D276" s="6"/>
      <c r="E276" s="16"/>
      <c r="F276" s="7"/>
      <c r="G276" s="7"/>
      <c r="H276" s="7"/>
      <c r="I276" s="16"/>
      <c r="J276" s="16"/>
      <c r="K276" s="16"/>
      <c r="L276" s="16"/>
      <c r="M276" s="16"/>
      <c r="N276" s="6"/>
      <c r="O276" s="6"/>
      <c r="P276" s="6"/>
    </row>
    <row r="277" spans="1:16">
      <c r="A277" s="35"/>
      <c r="B277" s="36"/>
      <c r="C277" s="39"/>
      <c r="D277" s="6"/>
      <c r="E277" s="16"/>
      <c r="F277" s="7"/>
      <c r="G277" s="7"/>
      <c r="H277" s="7"/>
      <c r="I277" s="16"/>
      <c r="J277" s="16"/>
      <c r="K277" s="16"/>
      <c r="L277" s="16"/>
      <c r="M277" s="16"/>
      <c r="N277" s="6"/>
      <c r="O277" s="6"/>
      <c r="P277" s="6"/>
    </row>
    <row r="278" spans="1:16">
      <c r="A278" s="35"/>
      <c r="B278" s="36"/>
      <c r="C278" s="39"/>
      <c r="D278" s="6"/>
      <c r="E278" s="16"/>
      <c r="F278" s="7"/>
      <c r="G278" s="7"/>
      <c r="H278" s="7"/>
      <c r="I278" s="16"/>
      <c r="J278" s="16"/>
      <c r="K278" s="16"/>
      <c r="L278" s="16"/>
      <c r="M278" s="16"/>
      <c r="N278" s="6"/>
      <c r="O278" s="6"/>
      <c r="P278" s="6"/>
    </row>
    <row r="279" spans="1:16">
      <c r="A279" s="35"/>
      <c r="B279" s="36"/>
      <c r="C279" s="39"/>
      <c r="D279" s="6"/>
      <c r="E279" s="16"/>
      <c r="F279" s="7"/>
      <c r="G279" s="7"/>
      <c r="H279" s="7"/>
      <c r="I279" s="16"/>
      <c r="J279" s="16"/>
      <c r="K279" s="16"/>
      <c r="L279" s="16"/>
      <c r="M279" s="16"/>
      <c r="N279" s="6"/>
      <c r="O279" s="6"/>
      <c r="P279" s="6"/>
    </row>
    <row r="280" spans="1:16">
      <c r="A280" s="35"/>
      <c r="B280" s="36"/>
      <c r="C280" s="39"/>
      <c r="D280" s="6"/>
      <c r="E280" s="16"/>
      <c r="F280" s="7"/>
      <c r="G280" s="7"/>
      <c r="H280" s="7"/>
      <c r="I280" s="16"/>
      <c r="J280" s="16"/>
      <c r="K280" s="16"/>
      <c r="L280" s="16"/>
      <c r="M280" s="16"/>
      <c r="N280" s="6"/>
      <c r="O280" s="6"/>
      <c r="P280" s="6"/>
    </row>
    <row r="281" spans="1:16">
      <c r="A281" s="35"/>
      <c r="B281" s="36"/>
      <c r="C281" s="39"/>
      <c r="D281" s="6"/>
      <c r="E281" s="16"/>
      <c r="F281" s="7"/>
      <c r="G281" s="7"/>
      <c r="H281" s="7"/>
      <c r="I281" s="16"/>
      <c r="J281" s="16"/>
      <c r="K281" s="16"/>
      <c r="L281" s="16"/>
      <c r="M281" s="16"/>
      <c r="N281" s="6"/>
      <c r="O281" s="6"/>
      <c r="P281" s="6"/>
    </row>
    <row r="282" spans="1:16">
      <c r="A282" s="35"/>
      <c r="B282" s="36"/>
      <c r="C282" s="39"/>
      <c r="D282" s="6"/>
      <c r="E282" s="16"/>
      <c r="F282" s="7"/>
      <c r="G282" s="7"/>
      <c r="H282" s="7"/>
      <c r="I282" s="16"/>
      <c r="J282" s="16"/>
      <c r="K282" s="16"/>
      <c r="L282" s="16"/>
      <c r="M282" s="16"/>
      <c r="N282" s="6"/>
      <c r="O282" s="6"/>
      <c r="P282" s="6"/>
    </row>
    <row r="283" spans="1:16">
      <c r="A283" s="35"/>
      <c r="B283" s="36"/>
      <c r="C283" s="39"/>
      <c r="D283" s="6"/>
      <c r="E283" s="16"/>
      <c r="F283" s="7"/>
      <c r="G283" s="7"/>
      <c r="H283" s="7"/>
      <c r="I283" s="16"/>
      <c r="J283" s="16"/>
      <c r="K283" s="16"/>
      <c r="L283" s="16"/>
      <c r="M283" s="16"/>
      <c r="N283" s="6"/>
      <c r="O283" s="6"/>
      <c r="P283" s="6"/>
    </row>
    <row r="284" spans="1:16">
      <c r="A284" s="35"/>
      <c r="B284" s="36"/>
      <c r="C284" s="39"/>
      <c r="D284" s="6"/>
      <c r="E284" s="16"/>
      <c r="F284" s="7"/>
      <c r="G284" s="7"/>
      <c r="H284" s="7"/>
      <c r="I284" s="16"/>
      <c r="J284" s="16"/>
      <c r="K284" s="16"/>
      <c r="L284" s="16"/>
      <c r="M284" s="16"/>
      <c r="N284" s="6"/>
      <c r="O284" s="6"/>
      <c r="P284" s="6"/>
    </row>
    <row r="285" spans="1:16">
      <c r="A285" s="35"/>
      <c r="B285" s="36"/>
      <c r="C285" s="39"/>
      <c r="D285" s="6"/>
      <c r="E285" s="16"/>
      <c r="F285" s="7"/>
      <c r="G285" s="7"/>
      <c r="H285" s="7"/>
      <c r="I285" s="16"/>
      <c r="J285" s="16"/>
      <c r="K285" s="16"/>
      <c r="L285" s="16"/>
      <c r="M285" s="16"/>
      <c r="N285" s="6"/>
      <c r="O285" s="6"/>
      <c r="P285" s="6"/>
    </row>
    <row r="286" spans="1:16">
      <c r="A286" s="35"/>
      <c r="B286" s="36"/>
      <c r="C286" s="39"/>
      <c r="D286" s="6"/>
      <c r="E286" s="16"/>
      <c r="F286" s="7"/>
      <c r="G286" s="7"/>
      <c r="H286" s="7"/>
      <c r="I286" s="16"/>
      <c r="J286" s="16"/>
      <c r="K286" s="16"/>
      <c r="L286" s="16"/>
      <c r="M286" s="16"/>
      <c r="N286" s="6"/>
      <c r="O286" s="6"/>
      <c r="P286" s="6"/>
    </row>
    <row r="287" spans="1:16">
      <c r="A287" s="35"/>
      <c r="B287" s="36"/>
      <c r="C287" s="39"/>
      <c r="D287" s="6"/>
      <c r="E287" s="16"/>
      <c r="F287" s="7"/>
      <c r="G287" s="7"/>
      <c r="H287" s="7"/>
      <c r="I287" s="16"/>
      <c r="J287" s="16"/>
      <c r="K287" s="16"/>
      <c r="L287" s="16"/>
      <c r="M287" s="16"/>
      <c r="N287" s="6"/>
      <c r="O287" s="6"/>
      <c r="P287" s="6"/>
    </row>
    <row r="288" spans="1:16">
      <c r="A288" s="35"/>
      <c r="B288" s="36"/>
      <c r="C288" s="39"/>
      <c r="D288" s="6"/>
      <c r="E288" s="16"/>
      <c r="F288" s="7"/>
      <c r="G288" s="7"/>
      <c r="H288" s="7"/>
      <c r="I288" s="16"/>
      <c r="J288" s="16"/>
      <c r="K288" s="16"/>
      <c r="L288" s="16"/>
      <c r="M288" s="16"/>
      <c r="N288" s="6"/>
      <c r="O288" s="6"/>
      <c r="P288" s="6"/>
    </row>
    <row r="289" spans="1:16">
      <c r="A289" s="35"/>
      <c r="B289" s="36"/>
      <c r="C289" s="39"/>
      <c r="D289" s="6"/>
      <c r="E289" s="16"/>
      <c r="F289" s="7"/>
      <c r="G289" s="7"/>
      <c r="H289" s="7"/>
      <c r="I289" s="16"/>
      <c r="J289" s="16"/>
      <c r="K289" s="16"/>
      <c r="L289" s="16"/>
      <c r="M289" s="16"/>
      <c r="N289" s="6"/>
      <c r="O289" s="6"/>
      <c r="P289" s="6"/>
    </row>
    <row r="290" spans="1:16">
      <c r="A290" s="35"/>
      <c r="B290" s="36"/>
      <c r="C290" s="39"/>
      <c r="D290" s="6"/>
      <c r="E290" s="16"/>
      <c r="F290" s="7"/>
      <c r="G290" s="7"/>
      <c r="H290" s="7"/>
      <c r="I290" s="16"/>
      <c r="J290" s="16"/>
      <c r="K290" s="16"/>
      <c r="L290" s="16"/>
      <c r="M290" s="16"/>
      <c r="N290" s="6"/>
      <c r="O290" s="6"/>
      <c r="P290" s="6"/>
    </row>
    <row r="291" spans="1:16">
      <c r="A291" s="35"/>
      <c r="B291" s="36"/>
      <c r="C291" s="39"/>
      <c r="D291" s="6"/>
      <c r="E291" s="16"/>
      <c r="F291" s="7"/>
      <c r="G291" s="7"/>
      <c r="H291" s="7"/>
      <c r="I291" s="16"/>
      <c r="J291" s="16"/>
      <c r="K291" s="16"/>
      <c r="L291" s="16"/>
      <c r="M291" s="16"/>
      <c r="N291" s="6"/>
      <c r="O291" s="6"/>
      <c r="P291" s="6"/>
    </row>
    <row r="292" spans="1:16">
      <c r="A292" s="35"/>
      <c r="B292" s="36"/>
      <c r="C292" s="39"/>
      <c r="D292" s="6"/>
      <c r="E292" s="16"/>
      <c r="F292" s="7"/>
      <c r="G292" s="7"/>
      <c r="H292" s="7"/>
      <c r="I292" s="16"/>
      <c r="J292" s="16"/>
      <c r="K292" s="16"/>
      <c r="L292" s="16"/>
      <c r="M292" s="16"/>
      <c r="N292" s="6"/>
      <c r="O292" s="6"/>
      <c r="P292" s="6"/>
    </row>
    <row r="293" spans="1:16">
      <c r="A293" s="35"/>
      <c r="B293" s="36"/>
      <c r="C293" s="39"/>
      <c r="D293" s="6"/>
      <c r="E293" s="16"/>
      <c r="F293" s="7"/>
      <c r="G293" s="7"/>
      <c r="H293" s="7"/>
      <c r="I293" s="16"/>
      <c r="J293" s="16"/>
      <c r="K293" s="16"/>
      <c r="L293" s="16"/>
      <c r="M293" s="16"/>
      <c r="N293" s="6"/>
      <c r="O293" s="6"/>
      <c r="P293" s="6"/>
    </row>
    <row r="294" spans="1:16">
      <c r="A294" s="35"/>
      <c r="B294" s="36"/>
      <c r="C294" s="39"/>
      <c r="D294" s="6"/>
      <c r="E294" s="16"/>
      <c r="F294" s="7"/>
      <c r="G294" s="7"/>
      <c r="H294" s="7"/>
      <c r="I294" s="16"/>
      <c r="J294" s="16"/>
      <c r="K294" s="16"/>
      <c r="L294" s="16"/>
      <c r="M294" s="16"/>
      <c r="N294" s="6"/>
      <c r="O294" s="6"/>
      <c r="P294" s="6"/>
    </row>
    <row r="295" spans="1:16">
      <c r="A295" s="35"/>
      <c r="B295" s="36"/>
      <c r="C295" s="39"/>
      <c r="D295" s="6"/>
      <c r="E295" s="16"/>
      <c r="F295" s="7"/>
      <c r="G295" s="7"/>
      <c r="H295" s="7"/>
      <c r="I295" s="16"/>
      <c r="J295" s="16"/>
      <c r="K295" s="16"/>
      <c r="L295" s="16"/>
      <c r="M295" s="16"/>
      <c r="N295" s="6"/>
      <c r="O295" s="6"/>
      <c r="P295" s="6"/>
    </row>
    <row r="296" spans="1:16">
      <c r="A296" s="35"/>
      <c r="B296" s="36"/>
      <c r="C296" s="39"/>
      <c r="D296" s="6"/>
      <c r="E296" s="16"/>
      <c r="F296" s="7"/>
      <c r="G296" s="7"/>
      <c r="H296" s="7"/>
      <c r="I296" s="16"/>
      <c r="J296" s="16"/>
      <c r="K296" s="16"/>
      <c r="L296" s="16"/>
      <c r="M296" s="16"/>
      <c r="N296" s="6"/>
      <c r="O296" s="6"/>
      <c r="P296" s="6"/>
    </row>
    <row r="297" spans="1:16">
      <c r="A297" s="35"/>
      <c r="B297" s="36"/>
      <c r="C297" s="39"/>
      <c r="D297" s="6"/>
      <c r="E297" s="16"/>
      <c r="F297" s="7"/>
      <c r="G297" s="7"/>
      <c r="H297" s="7"/>
      <c r="I297" s="16"/>
      <c r="J297" s="16"/>
      <c r="K297" s="16"/>
      <c r="L297" s="16"/>
      <c r="M297" s="16"/>
      <c r="N297" s="6"/>
      <c r="O297" s="6"/>
      <c r="P297" s="6"/>
    </row>
    <row r="298" spans="1:16">
      <c r="A298" s="35"/>
      <c r="B298" s="36"/>
      <c r="C298" s="39"/>
      <c r="D298" s="6"/>
      <c r="E298" s="16"/>
      <c r="F298" s="7"/>
      <c r="G298" s="7"/>
      <c r="H298" s="7"/>
      <c r="I298" s="16"/>
      <c r="J298" s="16"/>
      <c r="K298" s="16"/>
      <c r="L298" s="16"/>
      <c r="M298" s="16"/>
      <c r="N298" s="6"/>
      <c r="O298" s="6"/>
      <c r="P298" s="6"/>
    </row>
    <row r="299" spans="1:16">
      <c r="A299" s="35"/>
      <c r="B299" s="36"/>
      <c r="C299" s="39"/>
      <c r="D299" s="6"/>
      <c r="E299" s="16"/>
      <c r="F299" s="7"/>
      <c r="G299" s="7"/>
      <c r="H299" s="7"/>
      <c r="I299" s="16"/>
      <c r="J299" s="16"/>
      <c r="K299" s="16"/>
      <c r="L299" s="16"/>
      <c r="M299" s="16"/>
      <c r="N299" s="6"/>
      <c r="O299" s="6"/>
      <c r="P299" s="6"/>
    </row>
    <row r="300" spans="1:16">
      <c r="A300" s="35"/>
      <c r="B300" s="36"/>
      <c r="C300" s="39"/>
      <c r="D300" s="6"/>
      <c r="E300" s="16"/>
      <c r="F300" s="7"/>
      <c r="G300" s="7"/>
      <c r="H300" s="7"/>
      <c r="I300" s="16"/>
      <c r="J300" s="16"/>
      <c r="K300" s="16"/>
      <c r="L300" s="16"/>
      <c r="M300" s="16"/>
      <c r="N300" s="6"/>
      <c r="O300" s="6"/>
      <c r="P300" s="6"/>
    </row>
    <row r="301" spans="1:16">
      <c r="A301" s="35"/>
      <c r="B301" s="36"/>
      <c r="C301" s="39"/>
      <c r="D301" s="6"/>
      <c r="E301" s="16"/>
      <c r="F301" s="7"/>
      <c r="G301" s="7"/>
      <c r="H301" s="7"/>
      <c r="I301" s="16"/>
      <c r="J301" s="16"/>
      <c r="K301" s="16"/>
      <c r="L301" s="16"/>
      <c r="M301" s="16"/>
      <c r="N301" s="6"/>
      <c r="O301" s="6"/>
      <c r="P301" s="6"/>
    </row>
    <row r="302" spans="1:16">
      <c r="A302" s="35"/>
      <c r="B302" s="36"/>
      <c r="C302" s="39"/>
      <c r="D302" s="6"/>
      <c r="E302" s="16"/>
      <c r="F302" s="7"/>
      <c r="G302" s="7"/>
      <c r="H302" s="7"/>
      <c r="I302" s="16"/>
      <c r="J302" s="16"/>
      <c r="K302" s="16"/>
      <c r="L302" s="16"/>
      <c r="M302" s="16"/>
      <c r="N302" s="6"/>
      <c r="O302" s="6"/>
      <c r="P302" s="6"/>
    </row>
    <row r="303" spans="1:16">
      <c r="A303" s="35"/>
      <c r="B303" s="36"/>
      <c r="C303" s="39"/>
      <c r="D303" s="6"/>
      <c r="E303" s="16"/>
      <c r="F303" s="7"/>
      <c r="G303" s="7"/>
      <c r="H303" s="7"/>
      <c r="I303" s="16"/>
      <c r="J303" s="16"/>
      <c r="K303" s="16"/>
      <c r="L303" s="16"/>
      <c r="M303" s="16"/>
      <c r="N303" s="6"/>
      <c r="O303" s="6"/>
      <c r="P303" s="6"/>
    </row>
    <row r="304" spans="1:16">
      <c r="A304" s="35"/>
      <c r="B304" s="36"/>
      <c r="C304" s="39"/>
      <c r="D304" s="6"/>
      <c r="E304" s="16"/>
      <c r="F304" s="7"/>
      <c r="G304" s="7"/>
      <c r="H304" s="7"/>
      <c r="I304" s="16"/>
      <c r="J304" s="16"/>
      <c r="K304" s="16"/>
      <c r="L304" s="16"/>
      <c r="M304" s="16"/>
      <c r="N304" s="6"/>
      <c r="O304" s="6"/>
      <c r="P304" s="6"/>
    </row>
    <row r="305" spans="1:16">
      <c r="A305" s="35"/>
      <c r="B305" s="36"/>
      <c r="C305" s="39"/>
      <c r="D305" s="6"/>
      <c r="E305" s="16"/>
      <c r="F305" s="7"/>
      <c r="G305" s="7"/>
      <c r="H305" s="7"/>
      <c r="I305" s="16"/>
      <c r="J305" s="16"/>
      <c r="K305" s="16"/>
      <c r="L305" s="16"/>
      <c r="M305" s="16"/>
      <c r="N305" s="6"/>
      <c r="O305" s="6"/>
      <c r="P305" s="6"/>
    </row>
    <row r="306" spans="1:16">
      <c r="A306" s="35"/>
      <c r="B306" s="36"/>
      <c r="C306" s="39"/>
      <c r="D306" s="6"/>
      <c r="E306" s="16"/>
      <c r="F306" s="7"/>
      <c r="G306" s="7"/>
      <c r="H306" s="7"/>
      <c r="I306" s="16"/>
      <c r="J306" s="16"/>
      <c r="K306" s="16"/>
      <c r="L306" s="16"/>
      <c r="M306" s="16"/>
      <c r="N306" s="6"/>
      <c r="O306" s="6"/>
      <c r="P306" s="6"/>
    </row>
    <row r="307" spans="1:16">
      <c r="A307" s="35"/>
      <c r="B307" s="36"/>
      <c r="C307" s="39"/>
      <c r="D307" s="6"/>
      <c r="E307" s="16"/>
      <c r="F307" s="7"/>
      <c r="G307" s="7"/>
      <c r="H307" s="7"/>
      <c r="I307" s="16"/>
      <c r="J307" s="16"/>
      <c r="K307" s="16"/>
      <c r="L307" s="16"/>
      <c r="M307" s="16"/>
      <c r="N307" s="6"/>
      <c r="O307" s="6"/>
      <c r="P307" s="6"/>
    </row>
    <row r="308" spans="1:16">
      <c r="A308" s="35"/>
      <c r="B308" s="36"/>
      <c r="C308" s="39"/>
      <c r="D308" s="6"/>
      <c r="E308" s="16"/>
      <c r="F308" s="7"/>
      <c r="G308" s="7"/>
      <c r="H308" s="7"/>
      <c r="I308" s="16"/>
      <c r="J308" s="16"/>
      <c r="K308" s="16"/>
      <c r="L308" s="16"/>
      <c r="M308" s="16"/>
      <c r="N308" s="6"/>
      <c r="O308" s="6"/>
      <c r="P308" s="6"/>
    </row>
    <row r="309" spans="1:16">
      <c r="A309" s="35"/>
      <c r="B309" s="36"/>
      <c r="C309" s="39"/>
      <c r="D309" s="6"/>
      <c r="E309" s="16"/>
      <c r="F309" s="7"/>
      <c r="G309" s="7"/>
      <c r="H309" s="7"/>
      <c r="I309" s="16"/>
      <c r="J309" s="16"/>
      <c r="K309" s="16"/>
      <c r="L309" s="16"/>
      <c r="M309" s="16"/>
      <c r="N309" s="6"/>
      <c r="O309" s="6"/>
      <c r="P309" s="6"/>
    </row>
    <row r="310" spans="1:16">
      <c r="A310" s="35"/>
      <c r="B310" s="36"/>
      <c r="C310" s="39"/>
      <c r="D310" s="6"/>
      <c r="E310" s="16"/>
      <c r="F310" s="7"/>
      <c r="G310" s="7"/>
      <c r="H310" s="7"/>
      <c r="I310" s="16"/>
      <c r="J310" s="16"/>
      <c r="K310" s="16"/>
      <c r="L310" s="16"/>
      <c r="M310" s="16"/>
      <c r="N310" s="6"/>
      <c r="O310" s="6"/>
      <c r="P310" s="6"/>
    </row>
    <row r="311" spans="1:16">
      <c r="A311" s="35"/>
      <c r="B311" s="36"/>
      <c r="C311" s="39"/>
      <c r="D311" s="6"/>
      <c r="E311" s="16"/>
      <c r="F311" s="7"/>
      <c r="G311" s="7"/>
      <c r="H311" s="7"/>
      <c r="I311" s="16"/>
      <c r="J311" s="16"/>
      <c r="K311" s="16"/>
      <c r="L311" s="16"/>
      <c r="M311" s="16"/>
      <c r="N311" s="6"/>
      <c r="O311" s="6"/>
      <c r="P311" s="6"/>
    </row>
    <row r="312" spans="1:16">
      <c r="A312" s="35"/>
      <c r="B312" s="36"/>
      <c r="C312" s="39"/>
      <c r="D312" s="6"/>
      <c r="E312" s="16"/>
      <c r="F312" s="7"/>
      <c r="G312" s="7"/>
      <c r="H312" s="7"/>
      <c r="I312" s="16"/>
      <c r="J312" s="16"/>
      <c r="K312" s="16"/>
      <c r="L312" s="16"/>
      <c r="M312" s="16"/>
      <c r="N312" s="6"/>
      <c r="O312" s="6"/>
      <c r="P312" s="6"/>
    </row>
    <row r="313" spans="1:16">
      <c r="A313" s="35"/>
      <c r="B313" s="36"/>
      <c r="C313" s="39"/>
      <c r="D313" s="6"/>
      <c r="E313" s="16"/>
      <c r="F313" s="7"/>
      <c r="G313" s="7"/>
      <c r="H313" s="7"/>
      <c r="I313" s="16"/>
      <c r="J313" s="16"/>
      <c r="K313" s="16"/>
      <c r="L313" s="16"/>
      <c r="M313" s="16"/>
      <c r="N313" s="6"/>
      <c r="O313" s="6"/>
      <c r="P313" s="6"/>
    </row>
    <row r="314" spans="1:16">
      <c r="A314" s="35"/>
      <c r="B314" s="36"/>
      <c r="C314" s="39"/>
      <c r="D314" s="6"/>
      <c r="E314" s="16"/>
      <c r="F314" s="7"/>
      <c r="G314" s="7"/>
      <c r="H314" s="7"/>
      <c r="I314" s="16"/>
      <c r="J314" s="16"/>
      <c r="K314" s="16"/>
      <c r="L314" s="16"/>
      <c r="M314" s="16"/>
      <c r="N314" s="6"/>
      <c r="O314" s="6"/>
      <c r="P314" s="6"/>
    </row>
    <row r="315" spans="1:16">
      <c r="A315" s="35"/>
      <c r="B315" s="36"/>
      <c r="C315" s="39"/>
      <c r="D315" s="6"/>
      <c r="E315" s="16"/>
      <c r="F315" s="7"/>
      <c r="G315" s="7"/>
      <c r="H315" s="7"/>
      <c r="I315" s="16"/>
      <c r="J315" s="16"/>
      <c r="K315" s="16"/>
      <c r="L315" s="16"/>
      <c r="M315" s="16"/>
      <c r="N315" s="6"/>
      <c r="O315" s="6"/>
      <c r="P315" s="6"/>
    </row>
    <row r="316" spans="1:16">
      <c r="A316" s="35"/>
      <c r="B316" s="36"/>
      <c r="C316" s="39"/>
      <c r="D316" s="6"/>
      <c r="E316" s="16"/>
      <c r="F316" s="7"/>
      <c r="G316" s="7"/>
      <c r="H316" s="7"/>
      <c r="I316" s="16"/>
      <c r="J316" s="16"/>
      <c r="K316" s="16"/>
      <c r="L316" s="16"/>
      <c r="M316" s="16"/>
      <c r="N316" s="6"/>
      <c r="O316" s="6"/>
      <c r="P316" s="6"/>
    </row>
    <row r="317" spans="1:16">
      <c r="A317" s="35"/>
      <c r="B317" s="36"/>
      <c r="C317" s="39"/>
      <c r="D317" s="6"/>
      <c r="E317" s="16"/>
      <c r="F317" s="7"/>
      <c r="G317" s="7"/>
      <c r="H317" s="7"/>
      <c r="I317" s="16"/>
      <c r="J317" s="16"/>
      <c r="K317" s="16"/>
      <c r="L317" s="16"/>
      <c r="M317" s="16"/>
      <c r="N317" s="6"/>
      <c r="O317" s="6"/>
      <c r="P317" s="6"/>
    </row>
    <row r="318" spans="1:16">
      <c r="A318" s="35"/>
      <c r="B318" s="36"/>
      <c r="C318" s="39"/>
      <c r="D318" s="6"/>
      <c r="E318" s="16"/>
      <c r="F318" s="7"/>
      <c r="G318" s="7"/>
      <c r="H318" s="7"/>
      <c r="I318" s="16"/>
      <c r="J318" s="16"/>
      <c r="K318" s="16"/>
      <c r="L318" s="16"/>
      <c r="M318" s="16"/>
      <c r="N318" s="6"/>
      <c r="O318" s="6"/>
      <c r="P318" s="6"/>
    </row>
    <row r="319" spans="1:16">
      <c r="A319" s="35"/>
      <c r="B319" s="36"/>
      <c r="C319" s="39"/>
      <c r="D319" s="6"/>
      <c r="E319" s="16"/>
      <c r="F319" s="7"/>
      <c r="G319" s="7"/>
      <c r="H319" s="7"/>
      <c r="I319" s="16"/>
      <c r="J319" s="16"/>
      <c r="K319" s="16"/>
      <c r="L319" s="16"/>
      <c r="M319" s="16"/>
      <c r="N319" s="6"/>
      <c r="O319" s="6"/>
      <c r="P319" s="6"/>
    </row>
    <row r="320" spans="1:16">
      <c r="A320" s="35"/>
      <c r="B320" s="36"/>
      <c r="C320" s="39"/>
      <c r="D320" s="6"/>
      <c r="E320" s="16"/>
      <c r="F320" s="7"/>
      <c r="G320" s="7"/>
      <c r="H320" s="7"/>
      <c r="I320" s="16"/>
      <c r="J320" s="16"/>
      <c r="K320" s="16"/>
      <c r="L320" s="16"/>
      <c r="M320" s="16"/>
      <c r="N320" s="6"/>
      <c r="O320" s="6"/>
      <c r="P320" s="6"/>
    </row>
    <row r="321" spans="1:16">
      <c r="A321" s="35"/>
      <c r="B321" s="36"/>
      <c r="C321" s="39"/>
      <c r="D321" s="6"/>
      <c r="E321" s="16"/>
      <c r="F321" s="7"/>
      <c r="G321" s="7"/>
      <c r="H321" s="7"/>
      <c r="I321" s="16"/>
      <c r="J321" s="16"/>
      <c r="K321" s="16"/>
      <c r="L321" s="16"/>
      <c r="M321" s="16"/>
      <c r="N321" s="6"/>
      <c r="O321" s="6"/>
      <c r="P321" s="6"/>
    </row>
    <row r="322" spans="1:16">
      <c r="A322" s="35"/>
      <c r="B322" s="36"/>
      <c r="C322" s="39"/>
      <c r="D322" s="6"/>
      <c r="E322" s="16"/>
      <c r="F322" s="7"/>
      <c r="G322" s="7"/>
      <c r="H322" s="7"/>
      <c r="I322" s="16"/>
      <c r="J322" s="16"/>
      <c r="K322" s="16"/>
      <c r="L322" s="16"/>
      <c r="M322" s="16"/>
      <c r="N322" s="6"/>
      <c r="O322" s="6"/>
      <c r="P322" s="6"/>
    </row>
    <row r="323" spans="1:16">
      <c r="A323" s="35"/>
      <c r="B323" s="36"/>
      <c r="C323" s="39"/>
      <c r="D323" s="6"/>
      <c r="E323" s="16"/>
      <c r="F323" s="7"/>
      <c r="G323" s="7"/>
      <c r="H323" s="7"/>
      <c r="I323" s="16"/>
      <c r="J323" s="16"/>
      <c r="K323" s="16"/>
      <c r="L323" s="16"/>
      <c r="M323" s="16"/>
      <c r="N323" s="6"/>
      <c r="O323" s="6"/>
      <c r="P323" s="6"/>
    </row>
    <row r="324" spans="1:16">
      <c r="A324" s="35"/>
      <c r="B324" s="36"/>
      <c r="C324" s="39"/>
      <c r="D324" s="6"/>
      <c r="E324" s="16"/>
      <c r="F324" s="7"/>
      <c r="G324" s="7"/>
      <c r="H324" s="7"/>
      <c r="I324" s="16"/>
      <c r="J324" s="16"/>
      <c r="K324" s="16"/>
      <c r="L324" s="16"/>
      <c r="M324" s="16"/>
      <c r="N324" s="6"/>
      <c r="O324" s="6"/>
      <c r="P324" s="6"/>
    </row>
    <row r="325" spans="1:16">
      <c r="A325" s="35"/>
      <c r="B325" s="36"/>
      <c r="C325" s="39"/>
      <c r="D325" s="6"/>
      <c r="E325" s="16"/>
      <c r="F325" s="7"/>
      <c r="G325" s="7"/>
      <c r="H325" s="7"/>
      <c r="I325" s="16"/>
      <c r="J325" s="16"/>
      <c r="K325" s="16"/>
      <c r="L325" s="16"/>
      <c r="M325" s="16"/>
      <c r="N325" s="6"/>
      <c r="O325" s="6"/>
      <c r="P325" s="6"/>
    </row>
    <row r="326" spans="1:16">
      <c r="A326" s="35"/>
      <c r="B326" s="36"/>
      <c r="C326" s="39"/>
      <c r="D326" s="6"/>
      <c r="E326" s="16"/>
      <c r="F326" s="7"/>
      <c r="G326" s="7"/>
      <c r="H326" s="7"/>
      <c r="I326" s="16"/>
      <c r="J326" s="16"/>
      <c r="K326" s="16"/>
      <c r="L326" s="16"/>
      <c r="M326" s="16"/>
      <c r="N326" s="6"/>
      <c r="O326" s="6"/>
      <c r="P326" s="6"/>
    </row>
    <row r="327" spans="1:16">
      <c r="A327" s="35"/>
      <c r="B327" s="36"/>
      <c r="C327" s="39"/>
      <c r="D327" s="6"/>
      <c r="E327" s="16"/>
      <c r="F327" s="7"/>
      <c r="G327" s="7"/>
      <c r="H327" s="7"/>
      <c r="I327" s="16"/>
      <c r="J327" s="16"/>
      <c r="K327" s="16"/>
      <c r="L327" s="16"/>
      <c r="M327" s="16"/>
      <c r="N327" s="6"/>
      <c r="O327" s="6"/>
      <c r="P327" s="6"/>
    </row>
    <row r="328" spans="1:16">
      <c r="A328" s="35"/>
      <c r="B328" s="36"/>
      <c r="C328" s="39"/>
      <c r="D328" s="6"/>
      <c r="E328" s="16"/>
      <c r="F328" s="7"/>
      <c r="G328" s="7"/>
      <c r="H328" s="7"/>
      <c r="I328" s="16"/>
      <c r="J328" s="16"/>
      <c r="K328" s="16"/>
      <c r="L328" s="16"/>
      <c r="M328" s="16"/>
      <c r="N328" s="6"/>
      <c r="O328" s="6"/>
      <c r="P328" s="6"/>
    </row>
    <row r="329" spans="1:16">
      <c r="A329" s="35"/>
      <c r="B329" s="36"/>
      <c r="C329" s="39"/>
      <c r="D329" s="6"/>
      <c r="E329" s="16"/>
      <c r="F329" s="7"/>
      <c r="G329" s="7"/>
      <c r="H329" s="7"/>
      <c r="I329" s="16"/>
      <c r="J329" s="16"/>
      <c r="K329" s="16"/>
      <c r="L329" s="16"/>
      <c r="M329" s="16"/>
      <c r="N329" s="6"/>
      <c r="O329" s="6"/>
      <c r="P329" s="6"/>
    </row>
    <row r="330" spans="1:16">
      <c r="A330" s="35"/>
      <c r="B330" s="36"/>
      <c r="C330" s="39"/>
      <c r="D330" s="6"/>
      <c r="E330" s="16"/>
      <c r="F330" s="7"/>
      <c r="G330" s="7"/>
      <c r="H330" s="7"/>
      <c r="I330" s="16"/>
      <c r="J330" s="16"/>
      <c r="K330" s="16"/>
      <c r="L330" s="16"/>
      <c r="M330" s="16"/>
      <c r="N330" s="6"/>
      <c r="O330" s="6"/>
      <c r="P330" s="6"/>
    </row>
    <row r="331" spans="1:16">
      <c r="A331" s="35"/>
      <c r="B331" s="36"/>
      <c r="C331" s="39"/>
      <c r="D331" s="6"/>
      <c r="E331" s="16"/>
      <c r="F331" s="7"/>
      <c r="G331" s="7"/>
      <c r="H331" s="7"/>
      <c r="I331" s="16"/>
      <c r="J331" s="16"/>
      <c r="K331" s="16"/>
      <c r="L331" s="16"/>
      <c r="M331" s="16"/>
      <c r="N331" s="6"/>
      <c r="O331" s="6"/>
      <c r="P331" s="6"/>
    </row>
    <row r="332" spans="1:16">
      <c r="A332" s="35"/>
      <c r="B332" s="36"/>
      <c r="C332" s="39"/>
      <c r="D332" s="6"/>
      <c r="E332" s="16"/>
      <c r="F332" s="7"/>
      <c r="G332" s="7"/>
      <c r="H332" s="7"/>
      <c r="I332" s="16"/>
      <c r="J332" s="16"/>
      <c r="K332" s="16"/>
      <c r="L332" s="16"/>
      <c r="M332" s="16"/>
      <c r="N332" s="6"/>
      <c r="O332" s="6"/>
      <c r="P332" s="6"/>
    </row>
    <row r="333" spans="1:16">
      <c r="A333" s="35"/>
      <c r="B333" s="36"/>
      <c r="C333" s="39"/>
      <c r="D333" s="6"/>
      <c r="E333" s="16"/>
      <c r="F333" s="7"/>
      <c r="G333" s="7"/>
      <c r="H333" s="7"/>
      <c r="I333" s="16"/>
      <c r="J333" s="16"/>
      <c r="K333" s="16"/>
      <c r="L333" s="16"/>
      <c r="M333" s="16"/>
      <c r="N333" s="6"/>
      <c r="O333" s="6"/>
      <c r="P333" s="6"/>
    </row>
    <row r="334" spans="1:16">
      <c r="A334" s="35"/>
      <c r="B334" s="36"/>
      <c r="C334" s="39"/>
      <c r="D334" s="6"/>
      <c r="E334" s="16"/>
      <c r="F334" s="7"/>
      <c r="G334" s="7"/>
      <c r="H334" s="7"/>
      <c r="I334" s="16"/>
      <c r="J334" s="16"/>
      <c r="K334" s="16"/>
      <c r="L334" s="16"/>
      <c r="M334" s="16"/>
      <c r="N334" s="6"/>
      <c r="O334" s="6"/>
      <c r="P334" s="6"/>
    </row>
    <row r="335" spans="1:16">
      <c r="A335" s="35"/>
      <c r="B335" s="36"/>
      <c r="C335" s="39"/>
      <c r="D335" s="6"/>
      <c r="E335" s="16"/>
      <c r="F335" s="7"/>
      <c r="G335" s="7"/>
      <c r="H335" s="7"/>
      <c r="I335" s="16"/>
      <c r="J335" s="16"/>
      <c r="K335" s="16"/>
      <c r="L335" s="16"/>
      <c r="M335" s="16"/>
      <c r="N335" s="6"/>
      <c r="O335" s="6"/>
      <c r="P335" s="6"/>
    </row>
    <row r="336" spans="1:16">
      <c r="A336" s="35"/>
      <c r="B336" s="36"/>
      <c r="C336" s="39"/>
      <c r="D336" s="6"/>
      <c r="E336" s="16"/>
      <c r="F336" s="7"/>
      <c r="G336" s="7"/>
      <c r="H336" s="7"/>
      <c r="I336" s="16"/>
      <c r="J336" s="16"/>
      <c r="K336" s="16"/>
      <c r="L336" s="16"/>
      <c r="M336" s="16"/>
      <c r="N336" s="6"/>
      <c r="O336" s="6"/>
      <c r="P336" s="6"/>
    </row>
    <row r="337" spans="1:16">
      <c r="A337" s="35"/>
      <c r="B337" s="36"/>
      <c r="C337" s="39"/>
      <c r="D337" s="6"/>
      <c r="E337" s="16"/>
      <c r="F337" s="7"/>
      <c r="G337" s="7"/>
      <c r="H337" s="7"/>
      <c r="I337" s="16"/>
      <c r="J337" s="16"/>
      <c r="K337" s="16"/>
      <c r="L337" s="16"/>
      <c r="M337" s="16"/>
      <c r="N337" s="6"/>
      <c r="O337" s="6"/>
      <c r="P337" s="6"/>
    </row>
    <row r="338" spans="1:16">
      <c r="A338" s="35"/>
      <c r="B338" s="36"/>
      <c r="C338" s="39"/>
      <c r="D338" s="6"/>
      <c r="E338" s="16"/>
      <c r="F338" s="7"/>
      <c r="G338" s="7"/>
      <c r="H338" s="7"/>
      <c r="I338" s="16"/>
      <c r="J338" s="16"/>
      <c r="K338" s="16"/>
      <c r="L338" s="16"/>
      <c r="M338" s="16"/>
      <c r="N338" s="6"/>
      <c r="O338" s="6"/>
      <c r="P338" s="6"/>
    </row>
    <row r="339" spans="1:16">
      <c r="A339" s="35"/>
      <c r="B339" s="36"/>
      <c r="C339" s="39"/>
      <c r="D339" s="6"/>
      <c r="E339" s="16"/>
      <c r="F339" s="7"/>
      <c r="G339" s="7"/>
      <c r="H339" s="7"/>
      <c r="I339" s="16"/>
      <c r="J339" s="16"/>
      <c r="K339" s="16"/>
      <c r="L339" s="16"/>
      <c r="M339" s="16"/>
      <c r="N339" s="6"/>
      <c r="O339" s="6"/>
      <c r="P339" s="6"/>
    </row>
    <row r="340" spans="1:16">
      <c r="A340" s="35"/>
      <c r="B340" s="36"/>
      <c r="C340" s="39"/>
      <c r="D340" s="6"/>
      <c r="E340" s="16"/>
      <c r="F340" s="7"/>
      <c r="G340" s="7"/>
      <c r="H340" s="7"/>
      <c r="I340" s="16"/>
      <c r="J340" s="16"/>
      <c r="K340" s="16"/>
      <c r="L340" s="16"/>
      <c r="M340" s="16"/>
      <c r="N340" s="6"/>
      <c r="O340" s="6"/>
      <c r="P340" s="6"/>
    </row>
    <row r="341" spans="1:16">
      <c r="A341" s="35"/>
      <c r="B341" s="36"/>
      <c r="C341" s="39"/>
      <c r="D341" s="6"/>
      <c r="E341" s="16"/>
      <c r="F341" s="7"/>
      <c r="G341" s="7"/>
      <c r="H341" s="7"/>
      <c r="I341" s="16"/>
      <c r="J341" s="16"/>
      <c r="K341" s="16"/>
      <c r="L341" s="16"/>
      <c r="M341" s="16"/>
      <c r="N341" s="6"/>
      <c r="O341" s="6"/>
      <c r="P341" s="6"/>
    </row>
    <row r="342" spans="1:16">
      <c r="A342" s="35"/>
      <c r="B342" s="36"/>
      <c r="C342" s="39"/>
      <c r="D342" s="6"/>
      <c r="E342" s="16"/>
      <c r="F342" s="7"/>
      <c r="G342" s="7"/>
      <c r="H342" s="7"/>
      <c r="I342" s="16"/>
      <c r="J342" s="16"/>
      <c r="K342" s="16"/>
      <c r="L342" s="16"/>
      <c r="M342" s="16"/>
      <c r="N342" s="6"/>
      <c r="O342" s="6"/>
      <c r="P342" s="6"/>
    </row>
    <row r="343" spans="1:16">
      <c r="A343" s="35"/>
      <c r="B343" s="36"/>
      <c r="C343" s="39"/>
      <c r="D343" s="6"/>
      <c r="E343" s="16"/>
      <c r="F343" s="7"/>
      <c r="G343" s="7"/>
      <c r="H343" s="7"/>
      <c r="I343" s="16"/>
      <c r="J343" s="16"/>
      <c r="K343" s="16"/>
      <c r="L343" s="16"/>
      <c r="M343" s="16"/>
      <c r="N343" s="6"/>
      <c r="O343" s="6"/>
      <c r="P343" s="6"/>
    </row>
    <row r="344" spans="1:16">
      <c r="A344" s="35"/>
      <c r="B344" s="36"/>
      <c r="C344" s="39"/>
      <c r="D344" s="6"/>
      <c r="E344" s="16"/>
      <c r="F344" s="7"/>
      <c r="G344" s="7"/>
      <c r="H344" s="7"/>
      <c r="I344" s="16"/>
      <c r="J344" s="16"/>
      <c r="K344" s="16"/>
      <c r="L344" s="16"/>
      <c r="M344" s="16"/>
      <c r="N344" s="6"/>
      <c r="O344" s="6"/>
      <c r="P344" s="6"/>
    </row>
    <row r="345" spans="1:16">
      <c r="A345" s="35"/>
      <c r="B345" s="36"/>
      <c r="C345" s="39"/>
      <c r="D345" s="6"/>
      <c r="E345" s="16"/>
      <c r="F345" s="7"/>
      <c r="G345" s="7"/>
      <c r="H345" s="7"/>
      <c r="I345" s="16"/>
      <c r="J345" s="16"/>
      <c r="K345" s="16"/>
      <c r="L345" s="16"/>
      <c r="M345" s="16"/>
      <c r="N345" s="6"/>
      <c r="O345" s="6"/>
      <c r="P345" s="6"/>
    </row>
    <row r="346" spans="1:16">
      <c r="A346" s="35"/>
      <c r="B346" s="36"/>
      <c r="C346" s="39"/>
      <c r="D346" s="6"/>
      <c r="E346" s="16"/>
      <c r="F346" s="7"/>
      <c r="G346" s="7"/>
      <c r="H346" s="7"/>
      <c r="I346" s="16"/>
      <c r="J346" s="16"/>
      <c r="K346" s="16"/>
      <c r="L346" s="16"/>
      <c r="M346" s="16"/>
      <c r="N346" s="6"/>
      <c r="O346" s="6"/>
      <c r="P346" s="6"/>
    </row>
    <row r="347" spans="1:16">
      <c r="A347" s="35"/>
      <c r="B347" s="36"/>
      <c r="C347" s="39"/>
      <c r="D347" s="6"/>
      <c r="E347" s="16"/>
      <c r="F347" s="7"/>
      <c r="G347" s="7"/>
      <c r="H347" s="7"/>
      <c r="I347" s="16"/>
      <c r="J347" s="16"/>
      <c r="K347" s="16"/>
      <c r="L347" s="16"/>
      <c r="M347" s="16"/>
      <c r="N347" s="6"/>
      <c r="O347" s="6"/>
      <c r="P347" s="6"/>
    </row>
    <row r="348" spans="1:16">
      <c r="A348" s="35"/>
      <c r="B348" s="36"/>
      <c r="C348" s="39"/>
      <c r="D348" s="6"/>
      <c r="E348" s="16"/>
      <c r="F348" s="7"/>
      <c r="G348" s="7"/>
      <c r="H348" s="7"/>
      <c r="I348" s="16"/>
      <c r="J348" s="16"/>
      <c r="K348" s="16"/>
      <c r="L348" s="16"/>
      <c r="M348" s="16"/>
      <c r="N348" s="6"/>
      <c r="O348" s="6"/>
      <c r="P348" s="6"/>
    </row>
    <row r="349" spans="1:16">
      <c r="A349" s="35"/>
      <c r="B349" s="36"/>
      <c r="C349" s="39"/>
      <c r="D349" s="6"/>
      <c r="E349" s="16"/>
      <c r="F349" s="7"/>
      <c r="G349" s="7"/>
      <c r="H349" s="7"/>
      <c r="I349" s="16"/>
      <c r="J349" s="16"/>
      <c r="K349" s="16"/>
      <c r="L349" s="16"/>
      <c r="M349" s="16"/>
      <c r="N349" s="6"/>
      <c r="O349" s="6"/>
      <c r="P349" s="6"/>
    </row>
    <row r="350" spans="1:16">
      <c r="A350" s="35"/>
      <c r="B350" s="36"/>
      <c r="C350" s="39"/>
      <c r="D350" s="6"/>
      <c r="E350" s="16"/>
      <c r="F350" s="7"/>
      <c r="G350" s="7"/>
      <c r="H350" s="7"/>
      <c r="I350" s="16"/>
      <c r="J350" s="16"/>
      <c r="K350" s="16"/>
      <c r="L350" s="16"/>
      <c r="M350" s="16"/>
      <c r="N350" s="6"/>
      <c r="O350" s="6"/>
      <c r="P350" s="6"/>
    </row>
    <row r="351" spans="1:16">
      <c r="A351" s="35"/>
      <c r="B351" s="36"/>
      <c r="C351" s="39"/>
      <c r="D351" s="6"/>
      <c r="E351" s="16"/>
      <c r="F351" s="7"/>
      <c r="G351" s="7"/>
      <c r="H351" s="7"/>
      <c r="I351" s="16"/>
      <c r="J351" s="16"/>
      <c r="K351" s="16"/>
      <c r="L351" s="16"/>
      <c r="M351" s="16"/>
      <c r="N351" s="6"/>
      <c r="O351" s="6"/>
      <c r="P351" s="6"/>
    </row>
    <row r="352" spans="1:16">
      <c r="A352" s="35"/>
      <c r="B352" s="36"/>
      <c r="C352" s="39"/>
      <c r="D352" s="6"/>
      <c r="E352" s="16"/>
      <c r="F352" s="7"/>
      <c r="G352" s="7"/>
      <c r="H352" s="7"/>
      <c r="I352" s="16"/>
      <c r="J352" s="16"/>
      <c r="K352" s="16"/>
      <c r="L352" s="16"/>
      <c r="M352" s="16"/>
      <c r="N352" s="6"/>
      <c r="O352" s="6"/>
      <c r="P352" s="6"/>
    </row>
    <row r="353" spans="1:16">
      <c r="A353" s="35"/>
      <c r="B353" s="36"/>
      <c r="C353" s="39"/>
      <c r="D353" s="6"/>
      <c r="E353" s="16"/>
      <c r="F353" s="7"/>
      <c r="G353" s="7"/>
      <c r="H353" s="7"/>
      <c r="I353" s="16"/>
      <c r="J353" s="16"/>
      <c r="K353" s="16"/>
      <c r="L353" s="16"/>
      <c r="M353" s="16"/>
      <c r="N353" s="6"/>
      <c r="O353" s="6"/>
      <c r="P353" s="6"/>
    </row>
    <row r="354" spans="1:16">
      <c r="A354" s="35"/>
      <c r="B354" s="36"/>
      <c r="C354" s="39"/>
      <c r="D354" s="6"/>
      <c r="E354" s="16"/>
      <c r="F354" s="7"/>
      <c r="G354" s="7"/>
      <c r="H354" s="7"/>
      <c r="I354" s="16"/>
      <c r="J354" s="16"/>
      <c r="K354" s="16"/>
      <c r="L354" s="16"/>
      <c r="M354" s="16"/>
      <c r="N354" s="6"/>
      <c r="O354" s="6"/>
      <c r="P354" s="6"/>
    </row>
    <row r="355" spans="1:16">
      <c r="A355" s="35"/>
      <c r="B355" s="36"/>
      <c r="C355" s="39"/>
      <c r="D355" s="6"/>
      <c r="E355" s="16"/>
      <c r="F355" s="7"/>
      <c r="G355" s="7"/>
      <c r="H355" s="7"/>
      <c r="I355" s="16"/>
      <c r="J355" s="16"/>
      <c r="K355" s="16"/>
      <c r="L355" s="16"/>
      <c r="M355" s="16"/>
      <c r="N355" s="6"/>
      <c r="O355" s="6"/>
      <c r="P355" s="6"/>
    </row>
    <row r="356" spans="1:16">
      <c r="A356" s="35"/>
      <c r="B356" s="36"/>
      <c r="C356" s="39"/>
      <c r="D356" s="6"/>
      <c r="E356" s="16"/>
      <c r="F356" s="7"/>
      <c r="G356" s="7"/>
      <c r="H356" s="7"/>
      <c r="I356" s="16"/>
      <c r="J356" s="16"/>
      <c r="K356" s="16"/>
      <c r="L356" s="16"/>
      <c r="M356" s="16"/>
      <c r="N356" s="6"/>
      <c r="O356" s="6"/>
      <c r="P356" s="6"/>
    </row>
    <row r="357" spans="1:16">
      <c r="A357" s="35"/>
      <c r="B357" s="36"/>
      <c r="C357" s="39"/>
      <c r="D357" s="6"/>
      <c r="E357" s="16"/>
      <c r="F357" s="7"/>
      <c r="G357" s="7"/>
      <c r="H357" s="7"/>
      <c r="I357" s="16"/>
      <c r="J357" s="16"/>
      <c r="K357" s="16"/>
      <c r="L357" s="16"/>
      <c r="M357" s="16"/>
      <c r="N357" s="6"/>
      <c r="O357" s="6"/>
      <c r="P357" s="6"/>
    </row>
    <row r="358" spans="1:16">
      <c r="A358" s="35"/>
      <c r="B358" s="36"/>
      <c r="C358" s="39"/>
      <c r="D358" s="6"/>
      <c r="E358" s="16"/>
      <c r="F358" s="7"/>
      <c r="G358" s="7"/>
      <c r="H358" s="7"/>
      <c r="I358" s="16"/>
      <c r="J358" s="16"/>
      <c r="K358" s="16"/>
      <c r="L358" s="16"/>
      <c r="M358" s="16"/>
      <c r="N358" s="6"/>
      <c r="O358" s="6"/>
      <c r="P358" s="6"/>
    </row>
    <row r="359" spans="1:16">
      <c r="A359" s="35"/>
      <c r="B359" s="36"/>
      <c r="C359" s="39"/>
      <c r="D359" s="6"/>
      <c r="E359" s="16"/>
      <c r="F359" s="7"/>
      <c r="G359" s="7"/>
      <c r="H359" s="7"/>
      <c r="I359" s="16"/>
      <c r="J359" s="16"/>
      <c r="K359" s="16"/>
      <c r="L359" s="16"/>
      <c r="M359" s="16"/>
      <c r="N359" s="6"/>
      <c r="O359" s="6"/>
      <c r="P359" s="6"/>
    </row>
    <row r="360" spans="1:16">
      <c r="A360" s="35"/>
      <c r="B360" s="36"/>
      <c r="C360" s="39"/>
      <c r="D360" s="6"/>
      <c r="E360" s="16"/>
      <c r="F360" s="7"/>
      <c r="G360" s="7"/>
      <c r="H360" s="7"/>
      <c r="I360" s="16"/>
      <c r="J360" s="16"/>
      <c r="K360" s="16"/>
      <c r="L360" s="16"/>
      <c r="M360" s="16"/>
      <c r="N360" s="6"/>
      <c r="O360" s="6"/>
      <c r="P360" s="6"/>
    </row>
    <row r="361" spans="1:16">
      <c r="A361" s="35"/>
      <c r="B361" s="36"/>
      <c r="C361" s="39"/>
      <c r="D361" s="6"/>
      <c r="E361" s="16"/>
      <c r="F361" s="7"/>
      <c r="G361" s="7"/>
      <c r="H361" s="7"/>
      <c r="I361" s="16"/>
      <c r="J361" s="16"/>
      <c r="K361" s="16"/>
      <c r="L361" s="16"/>
      <c r="M361" s="16"/>
      <c r="N361" s="6"/>
      <c r="O361" s="6"/>
      <c r="P361" s="6"/>
    </row>
    <row r="362" spans="1:16">
      <c r="A362" s="35"/>
      <c r="B362" s="36"/>
      <c r="C362" s="39"/>
      <c r="D362" s="6"/>
      <c r="E362" s="16"/>
      <c r="F362" s="7"/>
      <c r="G362" s="7"/>
      <c r="H362" s="7"/>
      <c r="I362" s="16"/>
      <c r="J362" s="16"/>
      <c r="K362" s="16"/>
      <c r="L362" s="16"/>
      <c r="M362" s="16"/>
      <c r="N362" s="6"/>
      <c r="O362" s="6"/>
      <c r="P362" s="6"/>
    </row>
    <row r="363" spans="1:16">
      <c r="A363" s="35"/>
      <c r="B363" s="36"/>
      <c r="C363" s="39"/>
      <c r="D363" s="6"/>
      <c r="E363" s="16"/>
      <c r="F363" s="7"/>
      <c r="G363" s="7"/>
      <c r="H363" s="7"/>
      <c r="I363" s="16"/>
      <c r="J363" s="16"/>
      <c r="K363" s="16"/>
      <c r="L363" s="16"/>
      <c r="M363" s="16"/>
      <c r="N363" s="6"/>
      <c r="O363" s="6"/>
      <c r="P363" s="6"/>
    </row>
    <row r="364" spans="1:16">
      <c r="A364" s="35"/>
      <c r="B364" s="36"/>
      <c r="C364" s="39"/>
      <c r="D364" s="6"/>
      <c r="E364" s="16"/>
      <c r="F364" s="7"/>
      <c r="G364" s="7"/>
      <c r="H364" s="7"/>
      <c r="I364" s="16"/>
      <c r="J364" s="16"/>
      <c r="K364" s="16"/>
      <c r="L364" s="16"/>
      <c r="M364" s="16"/>
      <c r="N364" s="6"/>
      <c r="O364" s="6"/>
      <c r="P364" s="6"/>
    </row>
    <row r="365" spans="1:16">
      <c r="A365" s="35"/>
      <c r="B365" s="36"/>
      <c r="C365" s="39"/>
      <c r="D365" s="6"/>
      <c r="E365" s="16"/>
      <c r="F365" s="7"/>
      <c r="G365" s="7"/>
      <c r="H365" s="7"/>
      <c r="I365" s="16"/>
      <c r="J365" s="16"/>
      <c r="K365" s="16"/>
      <c r="L365" s="16"/>
      <c r="M365" s="16"/>
      <c r="N365" s="6"/>
      <c r="O365" s="6"/>
      <c r="P365" s="6"/>
    </row>
    <row r="366" spans="1:16">
      <c r="A366" s="35"/>
      <c r="B366" s="36"/>
      <c r="C366" s="39"/>
      <c r="D366" s="6"/>
      <c r="E366" s="16"/>
      <c r="F366" s="7"/>
      <c r="G366" s="7"/>
      <c r="H366" s="7"/>
      <c r="I366" s="16"/>
      <c r="J366" s="16"/>
      <c r="K366" s="16"/>
      <c r="L366" s="16"/>
      <c r="M366" s="16"/>
      <c r="N366" s="6"/>
      <c r="O366" s="6"/>
      <c r="P366" s="6"/>
    </row>
    <row r="367" spans="1:16">
      <c r="A367" s="35"/>
      <c r="B367" s="36"/>
      <c r="C367" s="39"/>
      <c r="D367" s="6"/>
      <c r="E367" s="16"/>
      <c r="F367" s="7"/>
      <c r="G367" s="7"/>
      <c r="H367" s="7"/>
      <c r="I367" s="16"/>
      <c r="J367" s="16"/>
      <c r="K367" s="16"/>
      <c r="L367" s="16"/>
      <c r="M367" s="16"/>
      <c r="N367" s="6"/>
      <c r="O367" s="6"/>
      <c r="P367" s="6"/>
    </row>
    <row r="368" spans="1:16">
      <c r="A368" s="35"/>
      <c r="B368" s="36"/>
      <c r="C368" s="39"/>
      <c r="D368" s="6"/>
      <c r="E368" s="16"/>
      <c r="F368" s="7"/>
      <c r="G368" s="7"/>
      <c r="H368" s="7"/>
      <c r="I368" s="16"/>
      <c r="J368" s="16"/>
      <c r="K368" s="16"/>
      <c r="L368" s="16"/>
      <c r="M368" s="16"/>
      <c r="N368" s="6"/>
      <c r="O368" s="6"/>
      <c r="P368" s="6"/>
    </row>
    <row r="369" spans="1:16">
      <c r="A369" s="35"/>
      <c r="B369" s="36"/>
      <c r="C369" s="39"/>
      <c r="D369" s="6"/>
      <c r="E369" s="16"/>
      <c r="F369" s="7"/>
      <c r="G369" s="7"/>
      <c r="H369" s="7"/>
      <c r="I369" s="16"/>
      <c r="J369" s="16"/>
      <c r="K369" s="16"/>
      <c r="L369" s="16"/>
      <c r="M369" s="16"/>
      <c r="N369" s="6"/>
      <c r="O369" s="6"/>
      <c r="P369" s="6"/>
    </row>
    <row r="370" spans="1:16">
      <c r="A370" s="35"/>
      <c r="B370" s="36"/>
      <c r="C370" s="39"/>
      <c r="D370" s="6"/>
      <c r="E370" s="16"/>
      <c r="F370" s="7"/>
      <c r="G370" s="7"/>
      <c r="H370" s="7"/>
      <c r="I370" s="16"/>
      <c r="J370" s="16"/>
      <c r="K370" s="16"/>
      <c r="L370" s="16"/>
      <c r="M370" s="16"/>
      <c r="N370" s="6"/>
      <c r="O370" s="6"/>
      <c r="P370" s="6"/>
    </row>
    <row r="371" spans="1:16">
      <c r="A371" s="35"/>
      <c r="B371" s="36"/>
      <c r="C371" s="39"/>
      <c r="D371" s="6"/>
      <c r="E371" s="16"/>
      <c r="F371" s="7"/>
      <c r="G371" s="7"/>
      <c r="H371" s="7"/>
      <c r="I371" s="16"/>
      <c r="J371" s="16"/>
      <c r="K371" s="16"/>
      <c r="L371" s="16"/>
      <c r="M371" s="16"/>
      <c r="N371" s="6"/>
      <c r="O371" s="6"/>
      <c r="P371" s="6"/>
    </row>
    <row r="372" spans="1:16">
      <c r="A372" s="35"/>
      <c r="B372" s="36"/>
      <c r="C372" s="39"/>
      <c r="D372" s="6"/>
      <c r="E372" s="16"/>
      <c r="F372" s="7"/>
      <c r="G372" s="7"/>
      <c r="H372" s="7"/>
      <c r="I372" s="16"/>
      <c r="J372" s="16"/>
      <c r="K372" s="16"/>
      <c r="L372" s="16"/>
      <c r="M372" s="16"/>
      <c r="N372" s="6"/>
      <c r="O372" s="6"/>
      <c r="P372" s="6"/>
    </row>
    <row r="373" spans="1:16">
      <c r="A373" s="35"/>
      <c r="B373" s="36"/>
      <c r="C373" s="39"/>
      <c r="D373" s="6"/>
      <c r="E373" s="16"/>
      <c r="F373" s="7"/>
      <c r="G373" s="7"/>
      <c r="H373" s="7"/>
      <c r="I373" s="16"/>
      <c r="J373" s="16"/>
      <c r="K373" s="16"/>
      <c r="L373" s="16"/>
      <c r="M373" s="16"/>
      <c r="N373" s="6"/>
      <c r="O373" s="6"/>
      <c r="P373" s="6"/>
    </row>
    <row r="374" spans="1:16">
      <c r="A374" s="35"/>
      <c r="B374" s="36"/>
      <c r="C374" s="39"/>
      <c r="D374" s="6"/>
      <c r="E374" s="16"/>
      <c r="F374" s="7"/>
      <c r="G374" s="7"/>
      <c r="H374" s="7"/>
      <c r="I374" s="16"/>
      <c r="J374" s="16"/>
      <c r="K374" s="16"/>
      <c r="L374" s="16"/>
      <c r="M374" s="16"/>
      <c r="N374" s="6"/>
      <c r="O374" s="6"/>
      <c r="P374" s="6"/>
    </row>
    <row r="375" spans="1:16">
      <c r="A375" s="35"/>
      <c r="B375" s="36"/>
      <c r="C375" s="39"/>
      <c r="D375" s="6"/>
      <c r="E375" s="16"/>
      <c r="F375" s="7"/>
      <c r="G375" s="7"/>
      <c r="H375" s="7"/>
      <c r="I375" s="16"/>
      <c r="J375" s="16"/>
      <c r="K375" s="16"/>
      <c r="L375" s="16"/>
      <c r="M375" s="16"/>
      <c r="N375" s="6"/>
      <c r="O375" s="6"/>
      <c r="P375" s="6"/>
    </row>
    <row r="376" spans="1:16">
      <c r="A376" s="35"/>
      <c r="B376" s="36"/>
      <c r="C376" s="39"/>
      <c r="D376" s="6"/>
      <c r="E376" s="16"/>
      <c r="F376" s="7"/>
      <c r="G376" s="7"/>
      <c r="H376" s="7"/>
      <c r="I376" s="16"/>
      <c r="J376" s="16"/>
      <c r="K376" s="16"/>
      <c r="L376" s="16"/>
      <c r="M376" s="16"/>
      <c r="N376" s="6"/>
      <c r="O376" s="6"/>
      <c r="P376" s="6"/>
    </row>
    <row r="377" spans="1:16">
      <c r="A377" s="35"/>
      <c r="B377" s="36"/>
      <c r="C377" s="39"/>
      <c r="D377" s="6"/>
      <c r="E377" s="16"/>
      <c r="F377" s="7"/>
      <c r="G377" s="7"/>
      <c r="H377" s="7"/>
      <c r="I377" s="16"/>
      <c r="J377" s="16"/>
      <c r="K377" s="16"/>
      <c r="L377" s="16"/>
      <c r="M377" s="16"/>
      <c r="N377" s="6"/>
      <c r="O377" s="6"/>
      <c r="P377" s="6"/>
    </row>
    <row r="378" spans="1:16">
      <c r="A378" s="35"/>
      <c r="B378" s="36"/>
      <c r="C378" s="39"/>
      <c r="D378" s="6"/>
      <c r="E378" s="16"/>
      <c r="F378" s="7"/>
      <c r="G378" s="7"/>
      <c r="H378" s="7"/>
      <c r="I378" s="16"/>
      <c r="J378" s="16"/>
      <c r="K378" s="16"/>
      <c r="L378" s="16"/>
      <c r="M378" s="16"/>
      <c r="N378" s="6"/>
      <c r="O378" s="6"/>
      <c r="P378" s="6"/>
    </row>
    <row r="379" spans="1:16">
      <c r="A379" s="35"/>
      <c r="B379" s="36"/>
      <c r="C379" s="39"/>
      <c r="D379" s="6"/>
      <c r="E379" s="16"/>
      <c r="F379" s="7"/>
      <c r="G379" s="7"/>
      <c r="H379" s="7"/>
      <c r="I379" s="16"/>
      <c r="J379" s="16"/>
      <c r="K379" s="16"/>
      <c r="L379" s="16"/>
      <c r="M379" s="16"/>
      <c r="N379" s="6"/>
      <c r="O379" s="6"/>
      <c r="P379" s="6"/>
    </row>
    <row r="380" spans="1:16">
      <c r="A380" s="35"/>
      <c r="B380" s="36"/>
      <c r="C380" s="39"/>
      <c r="D380" s="6"/>
      <c r="E380" s="16"/>
      <c r="F380" s="7"/>
      <c r="G380" s="7"/>
      <c r="H380" s="7"/>
      <c r="I380" s="16"/>
      <c r="J380" s="16"/>
      <c r="K380" s="16"/>
      <c r="L380" s="16"/>
      <c r="M380" s="16"/>
      <c r="N380" s="6"/>
      <c r="O380" s="6"/>
      <c r="P380" s="6"/>
    </row>
    <row r="381" spans="1:16">
      <c r="A381" s="35"/>
      <c r="B381" s="36"/>
      <c r="C381" s="39"/>
      <c r="D381" s="6"/>
      <c r="E381" s="16"/>
      <c r="F381" s="7"/>
      <c r="G381" s="7"/>
      <c r="H381" s="7"/>
      <c r="I381" s="16"/>
      <c r="J381" s="16"/>
      <c r="K381" s="16"/>
      <c r="L381" s="16"/>
      <c r="M381" s="16"/>
      <c r="N381" s="6"/>
      <c r="O381" s="6"/>
      <c r="P381" s="6"/>
    </row>
    <row r="382" spans="1:16">
      <c r="A382" s="35"/>
      <c r="B382" s="36"/>
      <c r="C382" s="39"/>
      <c r="D382" s="6"/>
      <c r="E382" s="16"/>
      <c r="F382" s="7"/>
      <c r="G382" s="7"/>
      <c r="H382" s="7"/>
      <c r="I382" s="16"/>
      <c r="J382" s="16"/>
      <c r="K382" s="16"/>
      <c r="L382" s="16"/>
      <c r="M382" s="16"/>
      <c r="N382" s="6"/>
      <c r="O382" s="6"/>
      <c r="P382" s="6"/>
    </row>
    <row r="383" spans="1:16">
      <c r="A383" s="35"/>
      <c r="B383" s="36"/>
      <c r="C383" s="39"/>
      <c r="D383" s="6"/>
      <c r="E383" s="16"/>
      <c r="F383" s="7"/>
      <c r="G383" s="7"/>
      <c r="H383" s="7"/>
      <c r="I383" s="16"/>
      <c r="J383" s="16"/>
      <c r="K383" s="16"/>
      <c r="L383" s="16"/>
      <c r="M383" s="16"/>
      <c r="N383" s="6"/>
      <c r="O383" s="6"/>
      <c r="P383" s="6"/>
    </row>
    <row r="384" spans="1:16">
      <c r="A384" s="35"/>
      <c r="B384" s="36"/>
      <c r="C384" s="39"/>
      <c r="D384" s="6"/>
      <c r="E384" s="16"/>
      <c r="F384" s="7"/>
      <c r="G384" s="7"/>
      <c r="H384" s="7"/>
      <c r="I384" s="16"/>
      <c r="J384" s="16"/>
      <c r="K384" s="16"/>
      <c r="L384" s="16"/>
      <c r="M384" s="16"/>
      <c r="N384" s="6"/>
      <c r="O384" s="6"/>
      <c r="P384" s="6"/>
    </row>
    <row r="385" spans="1:16">
      <c r="A385" s="35"/>
      <c r="B385" s="36"/>
      <c r="C385" s="39"/>
      <c r="D385" s="6"/>
      <c r="E385" s="16"/>
      <c r="F385" s="7"/>
      <c r="G385" s="7"/>
      <c r="H385" s="7"/>
      <c r="I385" s="16"/>
      <c r="J385" s="16"/>
      <c r="K385" s="16"/>
      <c r="L385" s="16"/>
      <c r="M385" s="16"/>
      <c r="N385" s="6"/>
      <c r="O385" s="6"/>
      <c r="P385" s="6"/>
    </row>
    <row r="386" spans="1:16">
      <c r="A386" s="35"/>
      <c r="B386" s="36"/>
      <c r="C386" s="39"/>
      <c r="D386" s="6"/>
      <c r="E386" s="16"/>
      <c r="F386" s="7"/>
      <c r="G386" s="7"/>
      <c r="H386" s="7"/>
      <c r="I386" s="16"/>
      <c r="J386" s="16"/>
      <c r="K386" s="16"/>
      <c r="L386" s="16"/>
      <c r="M386" s="16"/>
      <c r="N386" s="6"/>
      <c r="O386" s="6"/>
      <c r="P386" s="6"/>
    </row>
    <row r="387" spans="1:16">
      <c r="A387" s="35"/>
      <c r="B387" s="36"/>
      <c r="C387" s="39"/>
      <c r="D387" s="6"/>
      <c r="E387" s="16"/>
      <c r="F387" s="7"/>
      <c r="G387" s="7"/>
      <c r="H387" s="7"/>
      <c r="I387" s="16"/>
      <c r="J387" s="16"/>
      <c r="K387" s="16"/>
      <c r="L387" s="16"/>
      <c r="M387" s="16"/>
      <c r="N387" s="6"/>
      <c r="O387" s="6"/>
      <c r="P387" s="6"/>
    </row>
    <row r="388" spans="1:16">
      <c r="A388" s="35"/>
      <c r="B388" s="36"/>
      <c r="C388" s="39"/>
      <c r="D388" s="6"/>
      <c r="E388" s="16"/>
      <c r="F388" s="7"/>
      <c r="G388" s="7"/>
      <c r="H388" s="7"/>
      <c r="I388" s="16"/>
      <c r="J388" s="16"/>
      <c r="K388" s="16"/>
      <c r="L388" s="16"/>
      <c r="M388" s="16"/>
      <c r="N388" s="6"/>
      <c r="O388" s="6"/>
      <c r="P388" s="6"/>
    </row>
    <row r="389" spans="1:16">
      <c r="A389" s="35"/>
      <c r="B389" s="36"/>
      <c r="C389" s="39"/>
      <c r="D389" s="6"/>
      <c r="E389" s="16"/>
      <c r="F389" s="7"/>
      <c r="G389" s="7"/>
      <c r="H389" s="7"/>
      <c r="I389" s="16"/>
      <c r="J389" s="16"/>
      <c r="K389" s="16"/>
      <c r="L389" s="16"/>
      <c r="M389" s="16"/>
      <c r="N389" s="6"/>
      <c r="O389" s="6"/>
      <c r="P389" s="6"/>
    </row>
    <row r="390" spans="1:16">
      <c r="A390" s="35"/>
      <c r="B390" s="36"/>
      <c r="C390" s="39"/>
      <c r="D390" s="6"/>
      <c r="E390" s="16"/>
      <c r="F390" s="7"/>
      <c r="G390" s="7"/>
      <c r="H390" s="7"/>
      <c r="I390" s="16"/>
      <c r="J390" s="16"/>
      <c r="K390" s="16"/>
      <c r="L390" s="16"/>
      <c r="M390" s="16"/>
      <c r="N390" s="6"/>
      <c r="O390" s="6"/>
      <c r="P390" s="6"/>
    </row>
    <row r="391" spans="1:16">
      <c r="A391" s="35"/>
      <c r="B391" s="36"/>
      <c r="C391" s="39"/>
      <c r="D391" s="6"/>
      <c r="E391" s="16"/>
      <c r="F391" s="7"/>
      <c r="G391" s="7"/>
      <c r="H391" s="7"/>
      <c r="I391" s="16"/>
      <c r="J391" s="16"/>
      <c r="K391" s="16"/>
      <c r="L391" s="16"/>
      <c r="M391" s="16"/>
      <c r="N391" s="6"/>
      <c r="O391" s="6"/>
      <c r="P391" s="6"/>
    </row>
    <row r="392" spans="1:16">
      <c r="A392" s="35"/>
      <c r="B392" s="36"/>
      <c r="C392" s="39"/>
      <c r="D392" s="6"/>
      <c r="E392" s="16"/>
      <c r="F392" s="7"/>
      <c r="G392" s="7"/>
      <c r="H392" s="7"/>
      <c r="I392" s="16"/>
      <c r="J392" s="16"/>
      <c r="K392" s="16"/>
      <c r="L392" s="16"/>
      <c r="M392" s="16"/>
      <c r="N392" s="6"/>
      <c r="O392" s="6"/>
      <c r="P392" s="6"/>
    </row>
    <row r="393" spans="1:16">
      <c r="A393" s="35"/>
      <c r="B393" s="36"/>
      <c r="C393" s="39"/>
      <c r="D393" s="6"/>
      <c r="E393" s="16"/>
      <c r="F393" s="7"/>
      <c r="G393" s="7"/>
      <c r="H393" s="7"/>
      <c r="I393" s="16"/>
      <c r="J393" s="16"/>
      <c r="K393" s="16"/>
      <c r="L393" s="16"/>
      <c r="M393" s="16"/>
      <c r="N393" s="6"/>
      <c r="O393" s="6"/>
      <c r="P393" s="6"/>
    </row>
    <row r="394" spans="1:16">
      <c r="A394" s="35"/>
      <c r="B394" s="36"/>
      <c r="C394" s="39"/>
      <c r="D394" s="6"/>
      <c r="E394" s="16"/>
      <c r="F394" s="7"/>
      <c r="G394" s="7"/>
      <c r="H394" s="7"/>
      <c r="I394" s="16"/>
      <c r="J394" s="16"/>
      <c r="K394" s="16"/>
      <c r="L394" s="16"/>
      <c r="M394" s="16"/>
      <c r="N394" s="6"/>
      <c r="O394" s="6"/>
      <c r="P394" s="6"/>
    </row>
    <row r="395" spans="1:16">
      <c r="A395" s="35"/>
      <c r="B395" s="36"/>
      <c r="C395" s="39"/>
      <c r="D395" s="6"/>
      <c r="E395" s="16"/>
      <c r="F395" s="7"/>
      <c r="G395" s="7"/>
      <c r="H395" s="7"/>
      <c r="I395" s="16"/>
      <c r="J395" s="16"/>
      <c r="K395" s="16"/>
      <c r="L395" s="16"/>
      <c r="M395" s="16"/>
      <c r="N395" s="6"/>
      <c r="O395" s="6"/>
      <c r="P395" s="6"/>
    </row>
    <row r="396" spans="1:16">
      <c r="A396" s="35"/>
      <c r="B396" s="36"/>
      <c r="C396" s="39"/>
      <c r="D396" s="6"/>
      <c r="E396" s="16"/>
      <c r="F396" s="7"/>
      <c r="G396" s="7"/>
      <c r="H396" s="7"/>
      <c r="I396" s="16"/>
      <c r="J396" s="16"/>
      <c r="K396" s="16"/>
      <c r="L396" s="16"/>
      <c r="M396" s="16"/>
      <c r="N396" s="6"/>
      <c r="O396" s="6"/>
      <c r="P396" s="6"/>
    </row>
    <row r="397" spans="1:16">
      <c r="A397" s="35"/>
      <c r="B397" s="36"/>
      <c r="C397" s="39"/>
      <c r="D397" s="6"/>
      <c r="E397" s="16"/>
      <c r="F397" s="7"/>
      <c r="G397" s="7"/>
      <c r="H397" s="7"/>
      <c r="I397" s="16"/>
      <c r="J397" s="16"/>
      <c r="K397" s="16"/>
      <c r="L397" s="16"/>
      <c r="M397" s="16"/>
      <c r="N397" s="6"/>
      <c r="O397" s="6"/>
      <c r="P397" s="6"/>
    </row>
    <row r="398" spans="1:16">
      <c r="A398" s="35"/>
      <c r="B398" s="36"/>
      <c r="C398" s="39"/>
      <c r="D398" s="6"/>
      <c r="E398" s="16"/>
      <c r="F398" s="7"/>
      <c r="G398" s="7"/>
      <c r="H398" s="7"/>
      <c r="I398" s="16"/>
      <c r="J398" s="16"/>
      <c r="K398" s="16"/>
      <c r="L398" s="16"/>
      <c r="M398" s="16"/>
      <c r="N398" s="6"/>
      <c r="O398" s="6"/>
      <c r="P398" s="6"/>
    </row>
    <row r="399" spans="1:16">
      <c r="A399" s="35"/>
      <c r="B399" s="36"/>
      <c r="C399" s="39"/>
      <c r="D399" s="6"/>
      <c r="E399" s="16"/>
      <c r="F399" s="7"/>
      <c r="G399" s="7"/>
      <c r="H399" s="7"/>
      <c r="I399" s="16"/>
      <c r="J399" s="16"/>
      <c r="K399" s="16"/>
      <c r="L399" s="16"/>
      <c r="M399" s="16"/>
      <c r="N399" s="6"/>
      <c r="O399" s="6"/>
      <c r="P399" s="6"/>
    </row>
    <row r="400" spans="1:16">
      <c r="A400" s="35"/>
      <c r="B400" s="36"/>
      <c r="C400" s="39"/>
      <c r="D400" s="6"/>
      <c r="E400" s="16"/>
      <c r="F400" s="7"/>
      <c r="G400" s="7"/>
      <c r="H400" s="7"/>
      <c r="I400" s="16"/>
      <c r="J400" s="16"/>
      <c r="K400" s="16"/>
      <c r="L400" s="16"/>
      <c r="M400" s="16"/>
      <c r="N400" s="6"/>
      <c r="O400" s="6"/>
      <c r="P400" s="6"/>
    </row>
    <row r="401" spans="1:16">
      <c r="A401" s="35"/>
      <c r="B401" s="36"/>
      <c r="C401" s="39"/>
      <c r="D401" s="6"/>
      <c r="E401" s="16"/>
      <c r="F401" s="7"/>
      <c r="G401" s="7"/>
      <c r="H401" s="7"/>
      <c r="I401" s="16"/>
      <c r="J401" s="16"/>
      <c r="K401" s="16"/>
      <c r="L401" s="16"/>
      <c r="M401" s="16"/>
      <c r="N401" s="6"/>
      <c r="O401" s="6"/>
      <c r="P401" s="6"/>
    </row>
    <row r="402" spans="1:16">
      <c r="A402" s="35"/>
      <c r="B402" s="36"/>
      <c r="C402" s="39"/>
      <c r="D402" s="6"/>
      <c r="E402" s="16"/>
      <c r="F402" s="7"/>
      <c r="G402" s="7"/>
      <c r="H402" s="7"/>
      <c r="I402" s="16"/>
      <c r="J402" s="16"/>
      <c r="K402" s="16"/>
      <c r="L402" s="16"/>
      <c r="M402" s="16"/>
      <c r="N402" s="6"/>
      <c r="O402" s="6"/>
      <c r="P402" s="6"/>
    </row>
    <row r="403" spans="1:16">
      <c r="A403" s="35"/>
      <c r="B403" s="36"/>
      <c r="C403" s="39"/>
      <c r="D403" s="6"/>
      <c r="E403" s="16"/>
      <c r="F403" s="7"/>
      <c r="G403" s="7"/>
      <c r="H403" s="7"/>
      <c r="I403" s="16"/>
      <c r="J403" s="16"/>
      <c r="K403" s="16"/>
      <c r="L403" s="16"/>
      <c r="M403" s="16"/>
      <c r="N403" s="6"/>
      <c r="O403" s="6"/>
      <c r="P403" s="6"/>
    </row>
    <row r="404" spans="1:16">
      <c r="A404" s="35"/>
      <c r="B404" s="36"/>
      <c r="C404" s="39"/>
      <c r="D404" s="6"/>
      <c r="E404" s="16"/>
      <c r="F404" s="7"/>
      <c r="G404" s="7"/>
      <c r="H404" s="7"/>
      <c r="I404" s="16"/>
      <c r="J404" s="16"/>
      <c r="K404" s="16"/>
      <c r="L404" s="16"/>
      <c r="M404" s="16"/>
      <c r="N404" s="6"/>
      <c r="O404" s="6"/>
      <c r="P404" s="6"/>
    </row>
    <row r="405" spans="1:16">
      <c r="A405" s="35"/>
      <c r="B405" s="36"/>
      <c r="C405" s="39"/>
      <c r="D405" s="6"/>
      <c r="E405" s="16"/>
      <c r="F405" s="7"/>
      <c r="G405" s="7"/>
      <c r="H405" s="7"/>
      <c r="I405" s="16"/>
      <c r="J405" s="16"/>
      <c r="K405" s="16"/>
      <c r="L405" s="16"/>
      <c r="M405" s="16"/>
      <c r="N405" s="6"/>
      <c r="O405" s="6"/>
      <c r="P405" s="6"/>
    </row>
    <row r="406" spans="1:16">
      <c r="A406" s="35"/>
      <c r="B406" s="36"/>
      <c r="C406" s="39"/>
      <c r="D406" s="6"/>
      <c r="E406" s="16"/>
      <c r="F406" s="7"/>
      <c r="G406" s="7"/>
      <c r="H406" s="7"/>
      <c r="I406" s="16"/>
      <c r="J406" s="16"/>
      <c r="K406" s="16"/>
      <c r="L406" s="16"/>
      <c r="M406" s="16"/>
      <c r="N406" s="6"/>
      <c r="O406" s="6"/>
      <c r="P406" s="6"/>
    </row>
    <row r="407" spans="1:16">
      <c r="A407" s="35"/>
      <c r="B407" s="36"/>
      <c r="C407" s="39"/>
      <c r="D407" s="6"/>
      <c r="E407" s="16"/>
      <c r="F407" s="7"/>
      <c r="G407" s="7"/>
      <c r="H407" s="7"/>
      <c r="I407" s="16"/>
      <c r="J407" s="16"/>
      <c r="K407" s="16"/>
      <c r="L407" s="16"/>
      <c r="M407" s="16"/>
      <c r="N407" s="6"/>
      <c r="O407" s="6"/>
      <c r="P407" s="6"/>
    </row>
    <row r="408" spans="1:16">
      <c r="A408" s="35"/>
      <c r="B408" s="36"/>
      <c r="C408" s="39"/>
      <c r="D408" s="6"/>
      <c r="E408" s="16"/>
      <c r="F408" s="7"/>
      <c r="G408" s="7"/>
      <c r="H408" s="7"/>
      <c r="I408" s="16"/>
      <c r="J408" s="16"/>
      <c r="K408" s="16"/>
      <c r="L408" s="16"/>
      <c r="M408" s="16"/>
      <c r="N408" s="6"/>
      <c r="O408" s="6"/>
      <c r="P408" s="6"/>
    </row>
    <row r="409" spans="1:16">
      <c r="A409" s="35"/>
      <c r="B409" s="36"/>
      <c r="C409" s="39"/>
      <c r="D409" s="6"/>
      <c r="E409" s="16"/>
      <c r="F409" s="7"/>
      <c r="G409" s="7"/>
      <c r="H409" s="7"/>
      <c r="I409" s="16"/>
      <c r="J409" s="16"/>
      <c r="K409" s="16"/>
      <c r="L409" s="16"/>
      <c r="M409" s="16"/>
      <c r="N409" s="6"/>
      <c r="O409" s="6"/>
      <c r="P409" s="6"/>
    </row>
    <row r="410" spans="1:16">
      <c r="A410" s="35"/>
      <c r="B410" s="36"/>
      <c r="C410" s="39"/>
      <c r="D410" s="6"/>
      <c r="E410" s="16"/>
      <c r="F410" s="7"/>
      <c r="G410" s="7"/>
      <c r="H410" s="7"/>
      <c r="I410" s="16"/>
      <c r="J410" s="16"/>
      <c r="K410" s="16"/>
      <c r="L410" s="16"/>
      <c r="M410" s="16"/>
      <c r="N410" s="6"/>
      <c r="O410" s="6"/>
      <c r="P410" s="6"/>
    </row>
    <row r="411" spans="1:16">
      <c r="A411" s="35"/>
      <c r="B411" s="36"/>
      <c r="C411" s="39"/>
      <c r="D411" s="6"/>
      <c r="E411" s="16"/>
      <c r="F411" s="7"/>
      <c r="G411" s="7"/>
      <c r="H411" s="7"/>
      <c r="I411" s="16"/>
      <c r="J411" s="16"/>
      <c r="K411" s="16"/>
      <c r="L411" s="16"/>
      <c r="M411" s="16"/>
      <c r="N411" s="6"/>
      <c r="O411" s="6"/>
      <c r="P411" s="6"/>
    </row>
    <row r="412" spans="1:16">
      <c r="A412" s="35"/>
      <c r="B412" s="36"/>
      <c r="C412" s="39"/>
      <c r="D412" s="6"/>
      <c r="E412" s="16"/>
      <c r="F412" s="7"/>
      <c r="G412" s="7"/>
      <c r="H412" s="7"/>
      <c r="I412" s="16"/>
      <c r="J412" s="16"/>
      <c r="K412" s="16"/>
      <c r="L412" s="16"/>
      <c r="M412" s="16"/>
      <c r="N412" s="6"/>
      <c r="O412" s="6"/>
      <c r="P412" s="6"/>
    </row>
    <row r="413" spans="1:16">
      <c r="A413" s="35"/>
      <c r="B413" s="36"/>
      <c r="C413" s="39"/>
      <c r="D413" s="6"/>
      <c r="E413" s="16"/>
      <c r="F413" s="7"/>
      <c r="G413" s="7"/>
      <c r="H413" s="7"/>
      <c r="I413" s="16"/>
      <c r="J413" s="16"/>
      <c r="K413" s="16"/>
      <c r="L413" s="16"/>
      <c r="M413" s="16"/>
      <c r="N413" s="6"/>
      <c r="O413" s="6"/>
      <c r="P413" s="6"/>
    </row>
    <row r="414" spans="1:16">
      <c r="A414" s="35"/>
      <c r="B414" s="36"/>
      <c r="C414" s="39"/>
      <c r="D414" s="6"/>
      <c r="E414" s="16"/>
      <c r="F414" s="7"/>
      <c r="G414" s="7"/>
      <c r="H414" s="7"/>
      <c r="I414" s="16"/>
      <c r="J414" s="16"/>
      <c r="K414" s="16"/>
      <c r="L414" s="16"/>
      <c r="M414" s="16"/>
      <c r="N414" s="6"/>
      <c r="O414" s="6"/>
      <c r="P414" s="6"/>
    </row>
    <row r="415" spans="1:16">
      <c r="A415" s="35"/>
      <c r="B415" s="36"/>
      <c r="C415" s="39"/>
      <c r="D415" s="6"/>
      <c r="E415" s="16"/>
      <c r="F415" s="7"/>
      <c r="G415" s="7"/>
      <c r="H415" s="7"/>
      <c r="I415" s="16"/>
      <c r="J415" s="16"/>
      <c r="K415" s="16"/>
      <c r="L415" s="16"/>
      <c r="M415" s="16"/>
      <c r="N415" s="6"/>
      <c r="O415" s="6"/>
      <c r="P415" s="6"/>
    </row>
    <row r="416" spans="1:16">
      <c r="A416" s="35"/>
      <c r="B416" s="36"/>
      <c r="C416" s="39"/>
      <c r="D416" s="6"/>
      <c r="E416" s="16"/>
      <c r="F416" s="7"/>
      <c r="G416" s="7"/>
      <c r="H416" s="7"/>
      <c r="I416" s="16"/>
      <c r="J416" s="16"/>
      <c r="K416" s="16"/>
      <c r="L416" s="16"/>
      <c r="M416" s="16"/>
      <c r="N416" s="6"/>
      <c r="O416" s="6"/>
      <c r="P416" s="6"/>
    </row>
    <row r="417" spans="1:16">
      <c r="A417" s="35"/>
      <c r="B417" s="36"/>
      <c r="C417" s="39"/>
      <c r="D417" s="6"/>
      <c r="E417" s="16"/>
      <c r="F417" s="7"/>
      <c r="G417" s="7"/>
      <c r="H417" s="7"/>
      <c r="I417" s="16"/>
      <c r="J417" s="16"/>
      <c r="K417" s="16"/>
      <c r="L417" s="16"/>
      <c r="M417" s="16"/>
      <c r="N417" s="6"/>
      <c r="O417" s="6"/>
      <c r="P417" s="6"/>
    </row>
    <row r="418" spans="1:16">
      <c r="A418" s="35"/>
      <c r="B418" s="36"/>
      <c r="C418" s="39"/>
      <c r="D418" s="6"/>
      <c r="E418" s="16"/>
      <c r="F418" s="7"/>
      <c r="G418" s="7"/>
      <c r="H418" s="7"/>
      <c r="I418" s="16"/>
      <c r="J418" s="16"/>
      <c r="K418" s="16"/>
      <c r="L418" s="16"/>
      <c r="M418" s="16"/>
      <c r="N418" s="6"/>
      <c r="O418" s="6"/>
      <c r="P418" s="6"/>
    </row>
    <row r="419" spans="1:16">
      <c r="A419" s="35"/>
      <c r="B419" s="36"/>
      <c r="C419" s="39"/>
      <c r="D419" s="6"/>
      <c r="E419" s="16"/>
      <c r="F419" s="7"/>
      <c r="G419" s="7"/>
      <c r="H419" s="7"/>
      <c r="I419" s="16"/>
      <c r="J419" s="16"/>
      <c r="K419" s="16"/>
      <c r="L419" s="16"/>
      <c r="M419" s="16"/>
      <c r="N419" s="6"/>
      <c r="O419" s="6"/>
      <c r="P419" s="6"/>
    </row>
    <row r="420" spans="1:16">
      <c r="A420" s="35"/>
      <c r="B420" s="36"/>
      <c r="C420" s="39"/>
      <c r="D420" s="6"/>
      <c r="E420" s="16"/>
      <c r="F420" s="7"/>
      <c r="G420" s="7"/>
      <c r="H420" s="7"/>
      <c r="I420" s="16"/>
      <c r="J420" s="16"/>
      <c r="K420" s="16"/>
      <c r="L420" s="16"/>
      <c r="M420" s="16"/>
      <c r="N420" s="6"/>
      <c r="O420" s="6"/>
      <c r="P420" s="6"/>
    </row>
    <row r="421" spans="1:16">
      <c r="A421" s="35"/>
      <c r="B421" s="36"/>
      <c r="C421" s="39"/>
      <c r="D421" s="6"/>
      <c r="E421" s="16"/>
      <c r="F421" s="7"/>
      <c r="G421" s="7"/>
      <c r="H421" s="7"/>
      <c r="I421" s="16"/>
      <c r="J421" s="16"/>
      <c r="K421" s="16"/>
      <c r="L421" s="16"/>
      <c r="M421" s="16"/>
      <c r="N421" s="6"/>
      <c r="O421" s="6"/>
      <c r="P421" s="6"/>
    </row>
    <row r="422" spans="1:16">
      <c r="A422" s="35"/>
      <c r="B422" s="36"/>
      <c r="C422" s="39"/>
      <c r="D422" s="6"/>
      <c r="E422" s="16"/>
      <c r="F422" s="7"/>
      <c r="G422" s="7"/>
      <c r="H422" s="7"/>
      <c r="I422" s="16"/>
      <c r="J422" s="16"/>
      <c r="K422" s="16"/>
      <c r="L422" s="16"/>
      <c r="M422" s="16"/>
      <c r="N422" s="6"/>
      <c r="O422" s="6"/>
      <c r="P422" s="6"/>
    </row>
    <row r="423" spans="1:16">
      <c r="A423" s="35"/>
      <c r="B423" s="36"/>
      <c r="C423" s="39"/>
      <c r="D423" s="6"/>
      <c r="E423" s="16"/>
      <c r="F423" s="7"/>
      <c r="G423" s="7"/>
      <c r="H423" s="7"/>
      <c r="I423" s="16"/>
      <c r="J423" s="16"/>
      <c r="K423" s="16"/>
      <c r="L423" s="16"/>
      <c r="M423" s="16"/>
      <c r="N423" s="6"/>
      <c r="O423" s="6"/>
      <c r="P423" s="6"/>
    </row>
    <row r="424" spans="1:16">
      <c r="A424" s="35"/>
      <c r="B424" s="36"/>
      <c r="C424" s="39"/>
      <c r="D424" s="6"/>
      <c r="E424" s="16"/>
      <c r="F424" s="7"/>
      <c r="G424" s="7"/>
      <c r="H424" s="7"/>
      <c r="I424" s="16"/>
      <c r="J424" s="16"/>
      <c r="K424" s="16"/>
      <c r="L424" s="16"/>
      <c r="M424" s="16"/>
      <c r="N424" s="6"/>
      <c r="O424" s="6"/>
      <c r="P424" s="6"/>
    </row>
    <row r="425" spans="1:16">
      <c r="A425" s="35"/>
      <c r="B425" s="36"/>
      <c r="C425" s="39"/>
      <c r="D425" s="6"/>
      <c r="E425" s="16"/>
      <c r="F425" s="7"/>
      <c r="G425" s="7"/>
      <c r="H425" s="7"/>
      <c r="I425" s="16"/>
      <c r="J425" s="16"/>
      <c r="K425" s="16"/>
      <c r="L425" s="16"/>
      <c r="M425" s="16"/>
      <c r="N425" s="6"/>
      <c r="O425" s="6"/>
      <c r="P425" s="6"/>
    </row>
    <row r="426" spans="1:16">
      <c r="A426" s="35"/>
      <c r="B426" s="36"/>
      <c r="C426" s="39"/>
      <c r="D426" s="6"/>
      <c r="E426" s="16"/>
      <c r="F426" s="7"/>
      <c r="G426" s="7"/>
      <c r="H426" s="7"/>
      <c r="I426" s="16"/>
      <c r="J426" s="16"/>
      <c r="K426" s="16"/>
      <c r="L426" s="16"/>
      <c r="M426" s="16"/>
      <c r="N426" s="6"/>
      <c r="O426" s="6"/>
      <c r="P426" s="6"/>
    </row>
    <row r="427" spans="1:16">
      <c r="A427" s="35"/>
      <c r="B427" s="36"/>
      <c r="C427" s="39"/>
      <c r="D427" s="6"/>
      <c r="E427" s="16"/>
      <c r="F427" s="7"/>
      <c r="G427" s="7"/>
      <c r="H427" s="7"/>
      <c r="I427" s="16"/>
      <c r="J427" s="16"/>
      <c r="K427" s="16"/>
      <c r="L427" s="16"/>
      <c r="M427" s="16"/>
      <c r="N427" s="6"/>
      <c r="O427" s="6"/>
      <c r="P427" s="6"/>
    </row>
    <row r="428" spans="1:16">
      <c r="A428" s="35"/>
      <c r="B428" s="36"/>
      <c r="C428" s="39"/>
      <c r="D428" s="6"/>
      <c r="E428" s="16"/>
      <c r="F428" s="7"/>
      <c r="G428" s="7"/>
      <c r="H428" s="7"/>
      <c r="I428" s="16"/>
      <c r="J428" s="16"/>
      <c r="K428" s="16"/>
      <c r="L428" s="16"/>
      <c r="M428" s="16"/>
      <c r="N428" s="6"/>
      <c r="O428" s="6"/>
      <c r="P428" s="6"/>
    </row>
    <row r="429" spans="1:16">
      <c r="A429" s="35"/>
      <c r="B429" s="36"/>
      <c r="C429" s="39"/>
      <c r="D429" s="6"/>
      <c r="E429" s="16"/>
      <c r="F429" s="7"/>
      <c r="G429" s="7"/>
      <c r="H429" s="7"/>
      <c r="I429" s="16"/>
      <c r="J429" s="16"/>
      <c r="K429" s="16"/>
      <c r="L429" s="16"/>
      <c r="M429" s="16"/>
      <c r="N429" s="6"/>
      <c r="O429" s="6"/>
      <c r="P429" s="6"/>
    </row>
    <row r="430" spans="1:16">
      <c r="A430" s="35"/>
      <c r="B430" s="36"/>
      <c r="C430" s="39"/>
      <c r="D430" s="6"/>
      <c r="E430" s="16"/>
      <c r="F430" s="7"/>
      <c r="G430" s="7"/>
      <c r="H430" s="7"/>
      <c r="I430" s="16"/>
      <c r="J430" s="16"/>
      <c r="K430" s="16"/>
      <c r="L430" s="16"/>
      <c r="M430" s="16"/>
      <c r="N430" s="6"/>
      <c r="O430" s="6"/>
      <c r="P430" s="6"/>
    </row>
    <row r="431" spans="1:16">
      <c r="A431" s="35"/>
      <c r="B431" s="36"/>
      <c r="C431" s="39"/>
      <c r="D431" s="6"/>
      <c r="E431" s="16"/>
      <c r="F431" s="7"/>
      <c r="G431" s="7"/>
      <c r="H431" s="7"/>
      <c r="I431" s="16"/>
      <c r="J431" s="16"/>
      <c r="K431" s="16"/>
      <c r="L431" s="16"/>
      <c r="M431" s="16"/>
      <c r="N431" s="6"/>
      <c r="O431" s="6"/>
      <c r="P431" s="6"/>
    </row>
    <row r="432" spans="1:16">
      <c r="A432" s="35"/>
      <c r="B432" s="36"/>
      <c r="C432" s="39"/>
      <c r="D432" s="6"/>
      <c r="E432" s="16"/>
      <c r="F432" s="7"/>
      <c r="G432" s="7"/>
      <c r="H432" s="7"/>
      <c r="I432" s="16"/>
      <c r="J432" s="16"/>
      <c r="K432" s="16"/>
      <c r="L432" s="16"/>
      <c r="M432" s="16"/>
      <c r="N432" s="6"/>
      <c r="O432" s="6"/>
      <c r="P432" s="6"/>
    </row>
    <row r="433" spans="1:16">
      <c r="A433" s="35"/>
      <c r="B433" s="36"/>
      <c r="C433" s="39"/>
      <c r="D433" s="6"/>
      <c r="E433" s="16"/>
      <c r="F433" s="7"/>
      <c r="G433" s="7"/>
      <c r="H433" s="7"/>
      <c r="I433" s="16"/>
      <c r="J433" s="16"/>
      <c r="K433" s="16"/>
      <c r="L433" s="16"/>
      <c r="M433" s="16"/>
      <c r="N433" s="6"/>
      <c r="O433" s="6"/>
      <c r="P433" s="6"/>
    </row>
    <row r="434" spans="1:16">
      <c r="A434" s="35"/>
      <c r="B434" s="36"/>
      <c r="C434" s="39"/>
      <c r="D434" s="6"/>
      <c r="E434" s="16"/>
      <c r="F434" s="7"/>
      <c r="G434" s="7"/>
      <c r="H434" s="7"/>
      <c r="I434" s="16"/>
      <c r="J434" s="16"/>
      <c r="K434" s="16"/>
      <c r="L434" s="16"/>
      <c r="M434" s="16"/>
      <c r="N434" s="6"/>
      <c r="O434" s="6"/>
      <c r="P434" s="6"/>
    </row>
    <row r="435" spans="1:16">
      <c r="A435" s="35"/>
      <c r="B435" s="36"/>
      <c r="C435" s="39"/>
      <c r="D435" s="6"/>
      <c r="E435" s="16"/>
      <c r="F435" s="7"/>
      <c r="G435" s="7"/>
      <c r="H435" s="7"/>
      <c r="I435" s="16"/>
      <c r="J435" s="16"/>
      <c r="K435" s="16"/>
      <c r="L435" s="16"/>
      <c r="M435" s="16"/>
      <c r="N435" s="6"/>
      <c r="O435" s="6"/>
      <c r="P435" s="6"/>
    </row>
    <row r="436" spans="1:16">
      <c r="A436" s="35"/>
      <c r="B436" s="36"/>
      <c r="C436" s="39"/>
      <c r="D436" s="6"/>
      <c r="E436" s="16"/>
      <c r="F436" s="7"/>
      <c r="G436" s="7"/>
      <c r="H436" s="7"/>
      <c r="I436" s="16"/>
      <c r="J436" s="16"/>
      <c r="K436" s="16"/>
      <c r="L436" s="16"/>
      <c r="M436" s="16"/>
      <c r="N436" s="6"/>
      <c r="O436" s="6"/>
      <c r="P436" s="6"/>
    </row>
    <row r="437" spans="1:16">
      <c r="A437" s="35"/>
      <c r="B437" s="36"/>
      <c r="C437" s="39"/>
      <c r="D437" s="6"/>
      <c r="E437" s="16"/>
      <c r="F437" s="7"/>
      <c r="G437" s="7"/>
      <c r="H437" s="7"/>
      <c r="I437" s="16"/>
      <c r="J437" s="16"/>
      <c r="K437" s="16"/>
      <c r="L437" s="16"/>
      <c r="M437" s="16"/>
      <c r="N437" s="6"/>
      <c r="O437" s="6"/>
      <c r="P437" s="6"/>
    </row>
    <row r="438" spans="1:16">
      <c r="A438" s="35"/>
      <c r="B438" s="36"/>
      <c r="C438" s="39"/>
      <c r="D438" s="6"/>
      <c r="E438" s="16"/>
      <c r="F438" s="7"/>
      <c r="G438" s="7"/>
      <c r="H438" s="7"/>
      <c r="I438" s="16"/>
      <c r="J438" s="16"/>
      <c r="K438" s="16"/>
      <c r="L438" s="16"/>
      <c r="M438" s="16"/>
      <c r="N438" s="6"/>
      <c r="O438" s="6"/>
      <c r="P438" s="6"/>
    </row>
    <row r="439" spans="1:16">
      <c r="A439" s="35"/>
      <c r="B439" s="36"/>
      <c r="C439" s="39"/>
      <c r="D439" s="6"/>
      <c r="E439" s="16"/>
      <c r="F439" s="7"/>
      <c r="G439" s="7"/>
      <c r="H439" s="7"/>
      <c r="I439" s="16"/>
      <c r="J439" s="16"/>
      <c r="K439" s="16"/>
      <c r="L439" s="16"/>
      <c r="M439" s="16"/>
      <c r="N439" s="6"/>
      <c r="O439" s="6"/>
      <c r="P439" s="6"/>
    </row>
    <row r="440" spans="1:16">
      <c r="A440" s="35"/>
      <c r="B440" s="36"/>
      <c r="C440" s="39"/>
      <c r="D440" s="6"/>
      <c r="E440" s="16"/>
      <c r="F440" s="7"/>
      <c r="G440" s="7"/>
      <c r="H440" s="7"/>
      <c r="I440" s="16"/>
      <c r="J440" s="16"/>
      <c r="K440" s="16"/>
      <c r="L440" s="16"/>
      <c r="M440" s="16"/>
      <c r="N440" s="6"/>
      <c r="O440" s="6"/>
      <c r="P440" s="6"/>
    </row>
    <row r="441" spans="1:16">
      <c r="A441" s="35"/>
      <c r="B441" s="36"/>
      <c r="C441" s="39"/>
      <c r="D441" s="6"/>
      <c r="E441" s="16"/>
      <c r="F441" s="7"/>
      <c r="G441" s="7"/>
      <c r="H441" s="7"/>
      <c r="I441" s="16"/>
      <c r="J441" s="16"/>
      <c r="K441" s="16"/>
      <c r="L441" s="16"/>
      <c r="M441" s="16"/>
      <c r="N441" s="6"/>
      <c r="O441" s="6"/>
      <c r="P441" s="6"/>
    </row>
    <row r="442" spans="1:16">
      <c r="A442" s="35"/>
      <c r="B442" s="36"/>
      <c r="C442" s="39"/>
      <c r="D442" s="6"/>
      <c r="E442" s="16"/>
      <c r="F442" s="7"/>
      <c r="G442" s="7"/>
      <c r="H442" s="7"/>
      <c r="I442" s="16"/>
      <c r="J442" s="16"/>
      <c r="K442" s="16"/>
      <c r="L442" s="16"/>
      <c r="M442" s="16"/>
      <c r="N442" s="6"/>
      <c r="O442" s="6"/>
      <c r="P442" s="6"/>
    </row>
    <row r="443" spans="1:16">
      <c r="A443" s="35"/>
      <c r="B443" s="36"/>
      <c r="C443" s="39"/>
      <c r="D443" s="6"/>
      <c r="E443" s="16"/>
      <c r="F443" s="7"/>
      <c r="G443" s="7"/>
      <c r="H443" s="7"/>
      <c r="I443" s="16"/>
      <c r="J443" s="16"/>
      <c r="K443" s="16"/>
      <c r="L443" s="16"/>
      <c r="M443" s="16"/>
      <c r="N443" s="6"/>
      <c r="O443" s="6"/>
      <c r="P443" s="6"/>
    </row>
    <row r="444" spans="1:16">
      <c r="A444" s="35"/>
      <c r="B444" s="36"/>
      <c r="C444" s="39"/>
      <c r="D444" s="6"/>
      <c r="E444" s="16"/>
      <c r="F444" s="7"/>
      <c r="G444" s="7"/>
      <c r="H444" s="7"/>
      <c r="I444" s="16"/>
      <c r="J444" s="16"/>
      <c r="K444" s="16"/>
      <c r="L444" s="16"/>
      <c r="M444" s="16"/>
      <c r="N444" s="6"/>
      <c r="O444" s="6"/>
      <c r="P444" s="6"/>
    </row>
    <row r="445" spans="1:16">
      <c r="A445" s="35"/>
      <c r="B445" s="36"/>
      <c r="C445" s="39"/>
      <c r="D445" s="6"/>
      <c r="E445" s="16"/>
      <c r="F445" s="7"/>
      <c r="G445" s="7"/>
      <c r="H445" s="7"/>
      <c r="I445" s="16"/>
      <c r="J445" s="16"/>
      <c r="K445" s="16"/>
      <c r="L445" s="16"/>
      <c r="M445" s="16"/>
      <c r="N445" s="6"/>
      <c r="O445" s="6"/>
      <c r="P445" s="6"/>
    </row>
    <row r="446" spans="1:16">
      <c r="A446" s="35"/>
      <c r="B446" s="36"/>
      <c r="C446" s="39"/>
      <c r="D446" s="6"/>
      <c r="E446" s="16"/>
      <c r="F446" s="7"/>
      <c r="G446" s="7"/>
      <c r="H446" s="7"/>
      <c r="I446" s="16"/>
      <c r="J446" s="16"/>
      <c r="K446" s="16"/>
      <c r="L446" s="16"/>
      <c r="M446" s="16"/>
      <c r="N446" s="6"/>
      <c r="O446" s="6"/>
      <c r="P446" s="6"/>
    </row>
    <row r="447" spans="1:16">
      <c r="A447" s="35"/>
      <c r="B447" s="36"/>
      <c r="C447" s="39"/>
      <c r="D447" s="6"/>
      <c r="E447" s="16"/>
      <c r="F447" s="7"/>
      <c r="G447" s="7"/>
      <c r="H447" s="7"/>
      <c r="I447" s="16"/>
      <c r="J447" s="16"/>
      <c r="K447" s="16"/>
      <c r="L447" s="16"/>
      <c r="M447" s="16"/>
      <c r="N447" s="6"/>
      <c r="O447" s="6"/>
      <c r="P447" s="6"/>
    </row>
    <row r="448" spans="1:16">
      <c r="A448" s="35"/>
      <c r="B448" s="36"/>
      <c r="C448" s="39"/>
      <c r="D448" s="6"/>
      <c r="E448" s="16"/>
      <c r="F448" s="7"/>
      <c r="G448" s="7"/>
      <c r="H448" s="7"/>
      <c r="I448" s="16"/>
      <c r="J448" s="16"/>
      <c r="K448" s="16"/>
      <c r="L448" s="16"/>
      <c r="M448" s="16"/>
      <c r="N448" s="6"/>
      <c r="O448" s="6"/>
      <c r="P448" s="6"/>
    </row>
    <row r="449" spans="1:16">
      <c r="A449" s="35"/>
      <c r="B449" s="36"/>
      <c r="C449" s="39"/>
      <c r="D449" s="6"/>
      <c r="E449" s="16"/>
      <c r="F449" s="7"/>
      <c r="G449" s="7"/>
      <c r="H449" s="7"/>
      <c r="I449" s="16"/>
      <c r="J449" s="16"/>
      <c r="K449" s="16"/>
      <c r="L449" s="16"/>
      <c r="M449" s="16"/>
      <c r="N449" s="6"/>
      <c r="O449" s="6"/>
      <c r="P449" s="6"/>
    </row>
    <row r="450" spans="1:16">
      <c r="A450" s="35"/>
      <c r="B450" s="36"/>
      <c r="C450" s="39"/>
      <c r="D450" s="6"/>
      <c r="E450" s="16"/>
      <c r="F450" s="7"/>
      <c r="G450" s="7"/>
      <c r="H450" s="7"/>
      <c r="I450" s="16"/>
      <c r="J450" s="16"/>
      <c r="K450" s="16"/>
      <c r="L450" s="16"/>
      <c r="M450" s="16"/>
      <c r="N450" s="6"/>
      <c r="O450" s="6"/>
      <c r="P450" s="6"/>
    </row>
    <row r="451" spans="1:16">
      <c r="A451" s="35"/>
      <c r="B451" s="36"/>
      <c r="C451" s="39"/>
      <c r="D451" s="6"/>
      <c r="E451" s="16"/>
      <c r="F451" s="7"/>
      <c r="G451" s="7"/>
      <c r="H451" s="7"/>
      <c r="I451" s="16"/>
      <c r="J451" s="16"/>
      <c r="K451" s="16"/>
      <c r="L451" s="16"/>
      <c r="M451" s="16"/>
      <c r="N451" s="6"/>
      <c r="O451" s="6"/>
      <c r="P451" s="6"/>
    </row>
    <row r="452" spans="1:16">
      <c r="A452" s="35"/>
      <c r="B452" s="36"/>
      <c r="C452" s="39"/>
      <c r="D452" s="6"/>
      <c r="E452" s="16"/>
      <c r="F452" s="7"/>
      <c r="G452" s="7"/>
      <c r="H452" s="7"/>
      <c r="I452" s="16"/>
      <c r="J452" s="16"/>
      <c r="K452" s="16"/>
      <c r="L452" s="16"/>
      <c r="M452" s="16"/>
      <c r="N452" s="6"/>
      <c r="O452" s="6"/>
      <c r="P452" s="6"/>
    </row>
    <row r="453" spans="1:16">
      <c r="A453" s="35"/>
      <c r="B453" s="36"/>
      <c r="C453" s="39"/>
      <c r="D453" s="6"/>
      <c r="E453" s="16"/>
      <c r="F453" s="7"/>
      <c r="G453" s="7"/>
      <c r="H453" s="7"/>
      <c r="I453" s="16"/>
      <c r="J453" s="16"/>
      <c r="K453" s="16"/>
      <c r="L453" s="16"/>
      <c r="M453" s="16"/>
      <c r="N453" s="6"/>
      <c r="O453" s="6"/>
      <c r="P453" s="6"/>
    </row>
    <row r="454" spans="1:16">
      <c r="A454" s="35"/>
      <c r="B454" s="36"/>
      <c r="C454" s="39"/>
      <c r="D454" s="6"/>
      <c r="E454" s="16"/>
      <c r="F454" s="7"/>
      <c r="G454" s="7"/>
      <c r="H454" s="7"/>
      <c r="I454" s="16"/>
      <c r="J454" s="16"/>
      <c r="K454" s="16"/>
      <c r="L454" s="16"/>
      <c r="M454" s="16"/>
      <c r="N454" s="6"/>
      <c r="O454" s="6"/>
      <c r="P454" s="6"/>
    </row>
    <row r="455" spans="1:16">
      <c r="A455" s="35"/>
      <c r="B455" s="36"/>
      <c r="C455" s="39"/>
      <c r="D455" s="6"/>
      <c r="E455" s="16"/>
      <c r="F455" s="7"/>
      <c r="G455" s="7"/>
      <c r="H455" s="7"/>
      <c r="I455" s="16"/>
      <c r="J455" s="16"/>
      <c r="K455" s="16"/>
      <c r="L455" s="16"/>
      <c r="M455" s="16"/>
      <c r="N455" s="6"/>
      <c r="O455" s="6"/>
      <c r="P455" s="6"/>
    </row>
    <row r="456" spans="1:16">
      <c r="A456" s="35"/>
      <c r="B456" s="36"/>
      <c r="C456" s="39"/>
      <c r="D456" s="6"/>
      <c r="E456" s="16"/>
      <c r="F456" s="7"/>
      <c r="G456" s="7"/>
      <c r="H456" s="7"/>
      <c r="I456" s="16"/>
      <c r="J456" s="16"/>
      <c r="K456" s="16"/>
      <c r="L456" s="16"/>
      <c r="M456" s="16"/>
      <c r="N456" s="6"/>
      <c r="O456" s="6"/>
      <c r="P456" s="6"/>
    </row>
    <row r="457" spans="1:16">
      <c r="A457" s="35"/>
      <c r="B457" s="36"/>
      <c r="C457" s="39"/>
      <c r="D457" s="6"/>
      <c r="E457" s="16"/>
      <c r="F457" s="7"/>
      <c r="G457" s="7"/>
      <c r="H457" s="7"/>
      <c r="I457" s="16"/>
      <c r="J457" s="16"/>
      <c r="K457" s="16"/>
      <c r="L457" s="16"/>
      <c r="M457" s="16"/>
      <c r="N457" s="6"/>
      <c r="O457" s="6"/>
      <c r="P457" s="6"/>
    </row>
    <row r="458" spans="1:16">
      <c r="A458" s="35"/>
      <c r="B458" s="36"/>
      <c r="C458" s="39"/>
      <c r="D458" s="6"/>
      <c r="E458" s="16"/>
      <c r="F458" s="7"/>
      <c r="G458" s="7"/>
      <c r="H458" s="7"/>
      <c r="I458" s="16"/>
      <c r="J458" s="16"/>
      <c r="K458" s="16"/>
      <c r="L458" s="16"/>
      <c r="M458" s="16"/>
      <c r="N458" s="6"/>
      <c r="O458" s="6"/>
      <c r="P458" s="6"/>
    </row>
    <row r="459" spans="1:16">
      <c r="A459" s="35"/>
      <c r="B459" s="36"/>
      <c r="C459" s="39"/>
      <c r="D459" s="6"/>
      <c r="E459" s="16"/>
      <c r="F459" s="7"/>
      <c r="G459" s="7"/>
      <c r="H459" s="7"/>
      <c r="I459" s="16"/>
      <c r="J459" s="16"/>
      <c r="K459" s="16"/>
      <c r="L459" s="16"/>
      <c r="M459" s="16"/>
      <c r="N459" s="6"/>
      <c r="O459" s="6"/>
      <c r="P459" s="6"/>
    </row>
    <row r="460" spans="1:16">
      <c r="A460" s="35"/>
      <c r="B460" s="36"/>
      <c r="C460" s="39"/>
      <c r="D460" s="6"/>
      <c r="E460" s="16"/>
      <c r="F460" s="7"/>
      <c r="G460" s="7"/>
      <c r="H460" s="7"/>
      <c r="I460" s="16"/>
      <c r="J460" s="16"/>
      <c r="K460" s="16"/>
      <c r="L460" s="16"/>
      <c r="M460" s="16"/>
      <c r="N460" s="6"/>
      <c r="O460" s="6"/>
      <c r="P460" s="6"/>
    </row>
    <row r="461" spans="1:16">
      <c r="A461" s="35"/>
      <c r="B461" s="36"/>
      <c r="C461" s="39"/>
      <c r="D461" s="6"/>
      <c r="E461" s="16"/>
      <c r="F461" s="7"/>
      <c r="G461" s="7"/>
      <c r="H461" s="7"/>
      <c r="I461" s="16"/>
      <c r="J461" s="16"/>
      <c r="K461" s="16"/>
      <c r="L461" s="16"/>
      <c r="M461" s="16"/>
      <c r="N461" s="6"/>
      <c r="O461" s="6"/>
      <c r="P461" s="6"/>
    </row>
    <row r="462" spans="1:16">
      <c r="A462" s="35"/>
      <c r="B462" s="36"/>
      <c r="C462" s="39"/>
      <c r="D462" s="6"/>
      <c r="E462" s="16"/>
      <c r="F462" s="7"/>
      <c r="G462" s="7"/>
      <c r="H462" s="7"/>
      <c r="I462" s="16"/>
      <c r="J462" s="16"/>
      <c r="K462" s="16"/>
      <c r="L462" s="16"/>
      <c r="M462" s="16"/>
      <c r="N462" s="6"/>
      <c r="O462" s="6"/>
      <c r="P462" s="6"/>
    </row>
    <row r="463" spans="1:16">
      <c r="A463" s="35"/>
      <c r="B463" s="36"/>
      <c r="C463" s="39"/>
      <c r="D463" s="6"/>
      <c r="E463" s="16"/>
      <c r="F463" s="7"/>
      <c r="G463" s="7"/>
      <c r="H463" s="7"/>
      <c r="I463" s="16"/>
      <c r="J463" s="16"/>
      <c r="K463" s="16"/>
      <c r="L463" s="16"/>
      <c r="M463" s="16"/>
      <c r="N463" s="6"/>
      <c r="O463" s="6"/>
      <c r="P463" s="6"/>
    </row>
    <row r="464" spans="1:16">
      <c r="A464" s="35"/>
      <c r="B464" s="36"/>
      <c r="C464" s="39"/>
      <c r="D464" s="6"/>
      <c r="E464" s="16"/>
      <c r="F464" s="7"/>
      <c r="G464" s="7"/>
      <c r="H464" s="7"/>
      <c r="I464" s="16"/>
      <c r="J464" s="16"/>
      <c r="K464" s="16"/>
      <c r="L464" s="16"/>
      <c r="M464" s="16"/>
      <c r="N464" s="6"/>
      <c r="O464" s="6"/>
      <c r="P464" s="6"/>
    </row>
    <row r="465" spans="1:16">
      <c r="A465" s="35"/>
      <c r="B465" s="36"/>
      <c r="C465" s="39"/>
      <c r="D465" s="6"/>
      <c r="E465" s="16"/>
      <c r="F465" s="7"/>
      <c r="G465" s="7"/>
      <c r="H465" s="7"/>
      <c r="I465" s="16"/>
      <c r="J465" s="16"/>
      <c r="K465" s="16"/>
      <c r="L465" s="16"/>
      <c r="M465" s="16"/>
      <c r="N465" s="6"/>
      <c r="O465" s="6"/>
      <c r="P465" s="6"/>
    </row>
    <row r="466" spans="1:16">
      <c r="A466" s="35"/>
      <c r="B466" s="36"/>
      <c r="C466" s="39"/>
      <c r="D466" s="6"/>
      <c r="E466" s="16"/>
      <c r="F466" s="7"/>
      <c r="G466" s="7"/>
      <c r="H466" s="7"/>
      <c r="I466" s="16"/>
      <c r="J466" s="16"/>
      <c r="K466" s="16"/>
      <c r="L466" s="16"/>
      <c r="M466" s="16"/>
      <c r="N466" s="6"/>
      <c r="O466" s="6"/>
      <c r="P466" s="6"/>
    </row>
    <row r="467" spans="1:16">
      <c r="A467" s="35"/>
      <c r="B467" s="36"/>
      <c r="C467" s="39"/>
      <c r="D467" s="6"/>
      <c r="E467" s="16"/>
      <c r="F467" s="7"/>
      <c r="G467" s="7"/>
      <c r="H467" s="7"/>
      <c r="I467" s="16"/>
      <c r="J467" s="16"/>
      <c r="K467" s="16"/>
      <c r="L467" s="16"/>
      <c r="M467" s="16"/>
      <c r="N467" s="6"/>
      <c r="O467" s="6"/>
      <c r="P467" s="6"/>
    </row>
    <row r="468" spans="1:16">
      <c r="A468" s="35"/>
      <c r="B468" s="36"/>
      <c r="C468" s="39"/>
      <c r="D468" s="6"/>
      <c r="E468" s="16"/>
      <c r="F468" s="7"/>
      <c r="G468" s="7"/>
      <c r="H468" s="7"/>
      <c r="I468" s="16"/>
      <c r="J468" s="16"/>
      <c r="K468" s="16"/>
      <c r="L468" s="16"/>
      <c r="M468" s="16"/>
      <c r="N468" s="6"/>
      <c r="O468" s="6"/>
      <c r="P468" s="6"/>
    </row>
    <row r="469" spans="1:16">
      <c r="A469" s="35"/>
      <c r="B469" s="36"/>
      <c r="C469" s="39"/>
      <c r="D469" s="6"/>
      <c r="E469" s="16"/>
      <c r="F469" s="7"/>
      <c r="G469" s="7"/>
      <c r="H469" s="7"/>
      <c r="I469" s="16"/>
      <c r="J469" s="16"/>
      <c r="K469" s="16"/>
      <c r="L469" s="16"/>
      <c r="M469" s="16"/>
      <c r="N469" s="6"/>
      <c r="O469" s="6"/>
      <c r="P469" s="6"/>
    </row>
    <row r="470" spans="1:16">
      <c r="A470" s="35"/>
      <c r="B470" s="36"/>
      <c r="C470" s="39"/>
      <c r="D470" s="6"/>
      <c r="E470" s="16"/>
      <c r="F470" s="7"/>
      <c r="G470" s="7"/>
      <c r="H470" s="7"/>
      <c r="I470" s="16"/>
      <c r="J470" s="16"/>
      <c r="K470" s="16"/>
      <c r="L470" s="16"/>
      <c r="M470" s="16"/>
      <c r="N470" s="6"/>
      <c r="O470" s="6"/>
      <c r="P470" s="6"/>
    </row>
    <row r="471" spans="1:16">
      <c r="A471" s="35"/>
      <c r="B471" s="36"/>
      <c r="C471" s="39"/>
      <c r="D471" s="6"/>
      <c r="E471" s="16"/>
      <c r="F471" s="7"/>
      <c r="G471" s="7"/>
      <c r="H471" s="7"/>
      <c r="I471" s="16"/>
      <c r="J471" s="16"/>
      <c r="K471" s="16"/>
      <c r="L471" s="16"/>
      <c r="M471" s="16"/>
      <c r="N471" s="6"/>
      <c r="O471" s="6"/>
      <c r="P471" s="6"/>
    </row>
    <row r="472" spans="1:16">
      <c r="A472" s="35"/>
      <c r="B472" s="36"/>
      <c r="C472" s="39"/>
      <c r="D472" s="6"/>
      <c r="E472" s="16"/>
      <c r="F472" s="7"/>
      <c r="G472" s="7"/>
      <c r="H472" s="7"/>
      <c r="I472" s="16"/>
      <c r="J472" s="16"/>
      <c r="K472" s="16"/>
      <c r="L472" s="16"/>
      <c r="M472" s="16"/>
      <c r="N472" s="6"/>
      <c r="O472" s="6"/>
      <c r="P472" s="6"/>
    </row>
    <row r="473" spans="1:16">
      <c r="A473" s="35"/>
      <c r="B473" s="36"/>
      <c r="C473" s="39"/>
      <c r="D473" s="6"/>
      <c r="E473" s="16"/>
      <c r="F473" s="7"/>
      <c r="G473" s="7"/>
      <c r="H473" s="7"/>
      <c r="I473" s="16"/>
      <c r="J473" s="16"/>
      <c r="K473" s="16"/>
      <c r="L473" s="16"/>
      <c r="M473" s="16"/>
      <c r="N473" s="6"/>
      <c r="O473" s="6"/>
      <c r="P473" s="6"/>
    </row>
    <row r="474" spans="1:16">
      <c r="A474" s="35"/>
      <c r="B474" s="36"/>
      <c r="C474" s="39"/>
      <c r="D474" s="6"/>
      <c r="E474" s="16"/>
      <c r="F474" s="7"/>
      <c r="G474" s="7"/>
      <c r="H474" s="7"/>
      <c r="I474" s="16"/>
      <c r="J474" s="16"/>
      <c r="K474" s="16"/>
      <c r="L474" s="16"/>
      <c r="M474" s="16"/>
      <c r="N474" s="6"/>
      <c r="O474" s="6"/>
      <c r="P474" s="6"/>
    </row>
    <row r="475" spans="1:16">
      <c r="A475" s="35"/>
      <c r="B475" s="36"/>
      <c r="C475" s="39"/>
      <c r="D475" s="6"/>
      <c r="E475" s="16"/>
      <c r="F475" s="7"/>
      <c r="G475" s="7"/>
      <c r="H475" s="7"/>
      <c r="I475" s="16"/>
      <c r="J475" s="16"/>
      <c r="K475" s="16"/>
      <c r="L475" s="16"/>
      <c r="M475" s="16"/>
      <c r="N475" s="6"/>
      <c r="O475" s="6"/>
      <c r="P475" s="6"/>
    </row>
    <row r="476" spans="1:16">
      <c r="A476" s="35"/>
      <c r="B476" s="36"/>
      <c r="C476" s="39"/>
      <c r="D476" s="6"/>
      <c r="E476" s="16"/>
      <c r="F476" s="7"/>
      <c r="G476" s="7"/>
      <c r="H476" s="7"/>
      <c r="I476" s="16"/>
      <c r="J476" s="16"/>
      <c r="K476" s="16"/>
      <c r="L476" s="16"/>
      <c r="M476" s="16"/>
      <c r="N476" s="6"/>
      <c r="O476" s="6"/>
      <c r="P476" s="6"/>
    </row>
    <row r="477" spans="1:16">
      <c r="A477" s="35"/>
      <c r="B477" s="36"/>
      <c r="C477" s="39"/>
      <c r="D477" s="6"/>
      <c r="E477" s="16"/>
      <c r="F477" s="7"/>
      <c r="G477" s="7"/>
      <c r="H477" s="7"/>
      <c r="I477" s="16"/>
      <c r="J477" s="16"/>
      <c r="K477" s="16"/>
      <c r="L477" s="16"/>
      <c r="M477" s="16"/>
      <c r="N477" s="6"/>
      <c r="O477" s="6"/>
      <c r="P477" s="6"/>
    </row>
    <row r="478" spans="1:16">
      <c r="A478" s="35"/>
      <c r="B478" s="36"/>
      <c r="C478" s="39"/>
      <c r="D478" s="6"/>
      <c r="E478" s="16"/>
      <c r="F478" s="7"/>
      <c r="G478" s="7"/>
      <c r="H478" s="7"/>
      <c r="I478" s="16"/>
      <c r="J478" s="16"/>
      <c r="K478" s="16"/>
      <c r="L478" s="16"/>
      <c r="M478" s="16"/>
      <c r="N478" s="6"/>
      <c r="O478" s="6"/>
      <c r="P478" s="6"/>
    </row>
    <row r="479" spans="1:16">
      <c r="A479" s="35"/>
      <c r="B479" s="36"/>
      <c r="C479" s="39"/>
      <c r="D479" s="6"/>
      <c r="E479" s="16"/>
      <c r="F479" s="7"/>
      <c r="G479" s="7"/>
      <c r="H479" s="7"/>
      <c r="I479" s="16"/>
      <c r="J479" s="16"/>
      <c r="K479" s="16"/>
      <c r="L479" s="16"/>
      <c r="M479" s="16"/>
      <c r="N479" s="6"/>
      <c r="O479" s="6"/>
      <c r="P479" s="6"/>
    </row>
    <row r="480" spans="1:16">
      <c r="A480" s="35"/>
      <c r="B480" s="36"/>
      <c r="C480" s="39"/>
      <c r="D480" s="6"/>
      <c r="E480" s="16"/>
      <c r="F480" s="7"/>
      <c r="G480" s="7"/>
      <c r="H480" s="7"/>
      <c r="I480" s="16"/>
      <c r="J480" s="16"/>
      <c r="K480" s="16"/>
      <c r="L480" s="16"/>
      <c r="M480" s="16"/>
      <c r="N480" s="6"/>
      <c r="O480" s="6"/>
      <c r="P480" s="6"/>
    </row>
    <row r="481" spans="1:16">
      <c r="A481" s="35"/>
      <c r="B481" s="36"/>
      <c r="C481" s="39"/>
      <c r="D481" s="6"/>
      <c r="E481" s="16"/>
      <c r="F481" s="7"/>
      <c r="G481" s="7"/>
      <c r="H481" s="7"/>
      <c r="I481" s="16"/>
      <c r="J481" s="16"/>
      <c r="K481" s="16"/>
      <c r="L481" s="16"/>
      <c r="M481" s="16"/>
      <c r="N481" s="6"/>
      <c r="O481" s="6"/>
      <c r="P481" s="6"/>
    </row>
    <row r="482" spans="1:16">
      <c r="A482" s="35"/>
      <c r="B482" s="36"/>
      <c r="C482" s="39"/>
      <c r="D482" s="6"/>
      <c r="E482" s="16"/>
      <c r="F482" s="7"/>
      <c r="G482" s="7"/>
      <c r="H482" s="7"/>
      <c r="I482" s="16"/>
      <c r="J482" s="16"/>
      <c r="K482" s="16"/>
      <c r="L482" s="16"/>
      <c r="M482" s="16"/>
      <c r="N482" s="6"/>
      <c r="O482" s="6"/>
      <c r="P482" s="6"/>
    </row>
    <row r="483" spans="1:16">
      <c r="A483" s="35"/>
      <c r="B483" s="36"/>
      <c r="C483" s="39"/>
      <c r="D483" s="6"/>
      <c r="E483" s="16"/>
      <c r="F483" s="7"/>
      <c r="G483" s="7"/>
      <c r="H483" s="7"/>
      <c r="I483" s="16"/>
      <c r="J483" s="16"/>
      <c r="K483" s="16"/>
      <c r="L483" s="16"/>
      <c r="M483" s="16"/>
      <c r="N483" s="6"/>
      <c r="O483" s="6"/>
      <c r="P483" s="6"/>
    </row>
    <row r="484" spans="1:16">
      <c r="A484" s="35"/>
      <c r="B484" s="36"/>
      <c r="C484" s="39"/>
      <c r="D484" s="6"/>
      <c r="E484" s="16"/>
      <c r="F484" s="7"/>
      <c r="G484" s="7"/>
      <c r="H484" s="7"/>
      <c r="I484" s="16"/>
      <c r="J484" s="16"/>
      <c r="K484" s="16"/>
      <c r="L484" s="16"/>
      <c r="M484" s="16"/>
      <c r="N484" s="6"/>
      <c r="O484" s="6"/>
      <c r="P484" s="6"/>
    </row>
    <row r="485" spans="1:16">
      <c r="A485" s="35"/>
      <c r="B485" s="36"/>
      <c r="C485" s="39"/>
      <c r="D485" s="6"/>
      <c r="E485" s="16"/>
      <c r="F485" s="7"/>
      <c r="G485" s="7"/>
      <c r="H485" s="7"/>
      <c r="I485" s="16"/>
      <c r="J485" s="16"/>
      <c r="K485" s="16"/>
      <c r="L485" s="16"/>
      <c r="M485" s="16"/>
      <c r="N485" s="6"/>
      <c r="O485" s="6"/>
      <c r="P485" s="6"/>
    </row>
    <row r="486" spans="1:16">
      <c r="A486" s="35"/>
      <c r="B486" s="36"/>
      <c r="C486" s="39"/>
      <c r="D486" s="6"/>
      <c r="E486" s="16"/>
      <c r="F486" s="7"/>
      <c r="G486" s="7"/>
      <c r="H486" s="7"/>
      <c r="I486" s="16"/>
      <c r="J486" s="16"/>
      <c r="K486" s="16"/>
      <c r="L486" s="16"/>
      <c r="M486" s="16"/>
      <c r="N486" s="6"/>
      <c r="O486" s="6"/>
      <c r="P486" s="6"/>
    </row>
    <row r="487" spans="1:16">
      <c r="A487" s="35"/>
      <c r="B487" s="36"/>
      <c r="C487" s="39"/>
      <c r="D487" s="6"/>
      <c r="E487" s="16"/>
      <c r="F487" s="7"/>
      <c r="G487" s="7"/>
      <c r="H487" s="7"/>
      <c r="I487" s="16"/>
      <c r="J487" s="16"/>
      <c r="K487" s="16"/>
      <c r="L487" s="16"/>
      <c r="M487" s="16"/>
      <c r="N487" s="6"/>
      <c r="O487" s="6"/>
      <c r="P487" s="6"/>
    </row>
    <row r="488" spans="1:16">
      <c r="A488" s="35"/>
      <c r="B488" s="36"/>
      <c r="C488" s="39"/>
      <c r="D488" s="6"/>
      <c r="E488" s="16"/>
      <c r="F488" s="7"/>
      <c r="G488" s="7"/>
      <c r="H488" s="7"/>
      <c r="I488" s="16"/>
      <c r="J488" s="16"/>
      <c r="K488" s="16"/>
      <c r="L488" s="16"/>
      <c r="M488" s="16"/>
      <c r="N488" s="6"/>
      <c r="O488" s="6"/>
      <c r="P488" s="6"/>
    </row>
    <row r="489" spans="1:16">
      <c r="A489" s="35"/>
      <c r="B489" s="36"/>
      <c r="C489" s="39"/>
      <c r="D489" s="6"/>
      <c r="E489" s="16"/>
      <c r="F489" s="7"/>
      <c r="G489" s="7"/>
      <c r="H489" s="7"/>
      <c r="I489" s="16"/>
      <c r="J489" s="16"/>
      <c r="K489" s="16"/>
      <c r="L489" s="16"/>
      <c r="M489" s="16"/>
      <c r="N489" s="6"/>
      <c r="O489" s="6"/>
      <c r="P489" s="6"/>
    </row>
    <row r="490" spans="1:16">
      <c r="A490" s="35"/>
      <c r="B490" s="36"/>
      <c r="C490" s="39"/>
      <c r="D490" s="6"/>
      <c r="E490" s="16"/>
      <c r="F490" s="7"/>
      <c r="G490" s="7"/>
      <c r="H490" s="7"/>
      <c r="I490" s="16"/>
      <c r="J490" s="16"/>
      <c r="K490" s="16"/>
      <c r="L490" s="16"/>
      <c r="M490" s="16"/>
      <c r="N490" s="6"/>
      <c r="O490" s="6"/>
      <c r="P490" s="6"/>
    </row>
    <row r="491" spans="1:16">
      <c r="A491" s="35"/>
      <c r="B491" s="36"/>
      <c r="C491" s="39"/>
      <c r="D491" s="6"/>
      <c r="E491" s="16"/>
      <c r="F491" s="7"/>
      <c r="G491" s="7"/>
      <c r="H491" s="7"/>
      <c r="I491" s="16"/>
      <c r="J491" s="16"/>
      <c r="K491" s="16"/>
      <c r="L491" s="16"/>
      <c r="M491" s="16"/>
      <c r="N491" s="6"/>
      <c r="O491" s="6"/>
      <c r="P491" s="6"/>
    </row>
    <row r="492" spans="1:16">
      <c r="A492" s="35"/>
      <c r="B492" s="36"/>
      <c r="C492" s="39"/>
      <c r="D492" s="6"/>
      <c r="E492" s="16"/>
      <c r="F492" s="7"/>
      <c r="G492" s="7"/>
      <c r="H492" s="7"/>
      <c r="I492" s="16"/>
      <c r="J492" s="16"/>
      <c r="K492" s="16"/>
      <c r="L492" s="16"/>
      <c r="M492" s="16"/>
      <c r="N492" s="6"/>
      <c r="O492" s="6"/>
      <c r="P492" s="6"/>
    </row>
    <row r="493" spans="1:16">
      <c r="A493" s="35"/>
      <c r="B493" s="36"/>
      <c r="C493" s="39"/>
      <c r="D493" s="6"/>
      <c r="E493" s="16"/>
      <c r="F493" s="7"/>
      <c r="G493" s="7"/>
      <c r="H493" s="7"/>
      <c r="I493" s="16"/>
      <c r="J493" s="16"/>
      <c r="K493" s="16"/>
      <c r="L493" s="16"/>
      <c r="M493" s="16"/>
      <c r="N493" s="6"/>
      <c r="O493" s="6"/>
      <c r="P493" s="6"/>
    </row>
    <row r="494" spans="1:16">
      <c r="A494" s="35"/>
      <c r="B494" s="36"/>
      <c r="C494" s="39"/>
      <c r="D494" s="6"/>
      <c r="E494" s="16"/>
      <c r="F494" s="7"/>
      <c r="G494" s="7"/>
      <c r="H494" s="7"/>
      <c r="I494" s="16"/>
      <c r="J494" s="16"/>
      <c r="K494" s="16"/>
      <c r="L494" s="16"/>
      <c r="M494" s="16"/>
      <c r="N494" s="6"/>
      <c r="O494" s="6"/>
      <c r="P494" s="6"/>
    </row>
    <row r="495" spans="1:16">
      <c r="A495" s="35"/>
      <c r="B495" s="36"/>
      <c r="C495" s="39"/>
      <c r="D495" s="6"/>
      <c r="E495" s="16"/>
      <c r="F495" s="7"/>
      <c r="G495" s="7"/>
      <c r="H495" s="7"/>
      <c r="I495" s="16"/>
      <c r="J495" s="16"/>
      <c r="K495" s="16"/>
      <c r="L495" s="16"/>
      <c r="M495" s="16"/>
      <c r="N495" s="6"/>
      <c r="O495" s="6"/>
      <c r="P495" s="6"/>
    </row>
    <row r="496" spans="1:16">
      <c r="A496" s="35"/>
      <c r="B496" s="36"/>
      <c r="C496" s="39"/>
      <c r="D496" s="6"/>
      <c r="E496" s="16"/>
      <c r="F496" s="7"/>
      <c r="G496" s="7"/>
      <c r="H496" s="7"/>
      <c r="I496" s="16"/>
      <c r="J496" s="16"/>
      <c r="K496" s="16"/>
      <c r="L496" s="16"/>
      <c r="M496" s="16"/>
      <c r="N496" s="6"/>
      <c r="O496" s="6"/>
      <c r="P496" s="6"/>
    </row>
    <row r="497" spans="1:16">
      <c r="A497" s="35"/>
      <c r="B497" s="36"/>
      <c r="C497" s="39"/>
      <c r="D497" s="6"/>
      <c r="E497" s="16"/>
      <c r="F497" s="7"/>
      <c r="G497" s="7"/>
      <c r="H497" s="7"/>
      <c r="I497" s="16"/>
      <c r="J497" s="16"/>
      <c r="K497" s="16"/>
      <c r="L497" s="16"/>
      <c r="M497" s="16"/>
      <c r="N497" s="6"/>
      <c r="O497" s="6"/>
      <c r="P497" s="6"/>
    </row>
    <row r="498" spans="1:16">
      <c r="A498" s="35"/>
      <c r="B498" s="36"/>
      <c r="C498" s="39"/>
      <c r="D498" s="6"/>
      <c r="E498" s="16"/>
      <c r="F498" s="7"/>
      <c r="G498" s="7"/>
      <c r="H498" s="7"/>
      <c r="I498" s="16"/>
      <c r="J498" s="16"/>
      <c r="K498" s="16"/>
      <c r="L498" s="16"/>
      <c r="M498" s="16"/>
      <c r="N498" s="6"/>
      <c r="O498" s="6"/>
      <c r="P498" s="6"/>
    </row>
    <row r="499" spans="1:16">
      <c r="A499" s="35"/>
      <c r="B499" s="36"/>
      <c r="C499" s="39"/>
      <c r="D499" s="6"/>
      <c r="E499" s="16"/>
      <c r="F499" s="7"/>
      <c r="G499" s="7"/>
      <c r="H499" s="7"/>
      <c r="I499" s="16"/>
      <c r="J499" s="16"/>
      <c r="K499" s="16"/>
      <c r="L499" s="16"/>
      <c r="M499" s="16"/>
      <c r="N499" s="6"/>
      <c r="O499" s="6"/>
      <c r="P499" s="6"/>
    </row>
    <row r="500" spans="1:16">
      <c r="A500" s="35"/>
      <c r="B500" s="36"/>
      <c r="C500" s="39"/>
      <c r="D500" s="6"/>
      <c r="E500" s="16"/>
      <c r="F500" s="7"/>
      <c r="G500" s="7"/>
      <c r="H500" s="7"/>
      <c r="I500" s="16"/>
      <c r="J500" s="16"/>
      <c r="K500" s="16"/>
      <c r="L500" s="16"/>
      <c r="M500" s="16"/>
      <c r="N500" s="6"/>
      <c r="O500" s="6"/>
      <c r="P500" s="6"/>
    </row>
    <row r="501" spans="1:16">
      <c r="A501" s="35"/>
      <c r="B501" s="36"/>
      <c r="C501" s="39"/>
      <c r="D501" s="6"/>
      <c r="E501" s="16"/>
      <c r="F501" s="7"/>
      <c r="G501" s="7"/>
      <c r="H501" s="7"/>
      <c r="I501" s="16"/>
      <c r="J501" s="16"/>
      <c r="K501" s="16"/>
      <c r="L501" s="16"/>
      <c r="M501" s="16"/>
      <c r="N501" s="6"/>
      <c r="O501" s="6"/>
      <c r="P501" s="6"/>
    </row>
    <row r="502" spans="1:16">
      <c r="A502" s="35"/>
      <c r="B502" s="36"/>
      <c r="C502" s="39"/>
      <c r="D502" s="6"/>
      <c r="E502" s="16"/>
      <c r="F502" s="7"/>
      <c r="G502" s="7"/>
      <c r="H502" s="7"/>
      <c r="I502" s="16"/>
      <c r="J502" s="16"/>
      <c r="K502" s="16"/>
      <c r="L502" s="16"/>
      <c r="M502" s="16"/>
      <c r="N502" s="6"/>
      <c r="O502" s="6"/>
      <c r="P502" s="6"/>
    </row>
    <row r="503" spans="1:16">
      <c r="A503" s="35"/>
      <c r="B503" s="36"/>
      <c r="C503" s="39"/>
      <c r="D503" s="6"/>
      <c r="E503" s="16"/>
      <c r="F503" s="7"/>
      <c r="G503" s="7"/>
      <c r="H503" s="7"/>
      <c r="I503" s="16"/>
      <c r="J503" s="16"/>
      <c r="K503" s="16"/>
      <c r="L503" s="16"/>
      <c r="M503" s="16"/>
      <c r="N503" s="6"/>
      <c r="O503" s="6"/>
      <c r="P503" s="6"/>
    </row>
    <row r="504" spans="1:16">
      <c r="A504" s="35"/>
      <c r="B504" s="36"/>
      <c r="C504" s="39"/>
      <c r="D504" s="6"/>
      <c r="E504" s="16"/>
      <c r="F504" s="7"/>
      <c r="G504" s="7"/>
      <c r="H504" s="7"/>
      <c r="I504" s="16"/>
      <c r="J504" s="16"/>
      <c r="K504" s="16"/>
      <c r="L504" s="16"/>
      <c r="M504" s="16"/>
      <c r="N504" s="6"/>
      <c r="O504" s="6"/>
      <c r="P504" s="6"/>
    </row>
    <row r="505" spans="1:16">
      <c r="A505" s="35"/>
      <c r="B505" s="36"/>
      <c r="C505" s="39"/>
      <c r="D505" s="6"/>
      <c r="E505" s="16"/>
      <c r="F505" s="7"/>
      <c r="G505" s="7"/>
      <c r="H505" s="7"/>
      <c r="I505" s="16"/>
      <c r="J505" s="16"/>
      <c r="K505" s="16"/>
      <c r="L505" s="16"/>
      <c r="M505" s="16"/>
      <c r="N505" s="6"/>
      <c r="O505" s="6"/>
      <c r="P505" s="6"/>
    </row>
    <row r="506" spans="1:16">
      <c r="A506" s="35"/>
      <c r="B506" s="36"/>
      <c r="C506" s="39"/>
      <c r="D506" s="6"/>
      <c r="E506" s="16"/>
      <c r="F506" s="7"/>
      <c r="G506" s="7"/>
      <c r="H506" s="7"/>
      <c r="I506" s="16"/>
      <c r="J506" s="16"/>
      <c r="K506" s="16"/>
      <c r="L506" s="16"/>
      <c r="M506" s="16"/>
      <c r="N506" s="6"/>
      <c r="O506" s="6"/>
      <c r="P506" s="6"/>
    </row>
    <row r="507" spans="1:16">
      <c r="A507" s="35"/>
      <c r="B507" s="36"/>
      <c r="C507" s="39"/>
      <c r="D507" s="6"/>
      <c r="E507" s="16"/>
      <c r="F507" s="7"/>
      <c r="G507" s="7"/>
      <c r="H507" s="7"/>
      <c r="I507" s="16"/>
      <c r="J507" s="16"/>
      <c r="K507" s="16"/>
      <c r="L507" s="16"/>
      <c r="M507" s="16"/>
      <c r="N507" s="6"/>
      <c r="O507" s="6"/>
      <c r="P507" s="6"/>
    </row>
    <row r="508" spans="1:16">
      <c r="A508" s="35"/>
      <c r="B508" s="36"/>
      <c r="C508" s="39"/>
      <c r="D508" s="6"/>
      <c r="E508" s="16"/>
      <c r="F508" s="7"/>
      <c r="G508" s="7"/>
      <c r="H508" s="7"/>
      <c r="I508" s="16"/>
      <c r="J508" s="16"/>
      <c r="K508" s="16"/>
      <c r="L508" s="16"/>
      <c r="M508" s="16"/>
      <c r="N508" s="6"/>
      <c r="O508" s="6"/>
      <c r="P508" s="6"/>
    </row>
    <row r="509" spans="1:16">
      <c r="A509" s="35"/>
      <c r="B509" s="36"/>
      <c r="C509" s="39"/>
      <c r="D509" s="6"/>
      <c r="E509" s="16"/>
      <c r="F509" s="7"/>
      <c r="G509" s="7"/>
      <c r="H509" s="7"/>
      <c r="I509" s="16"/>
      <c r="J509" s="16"/>
      <c r="K509" s="16"/>
      <c r="L509" s="16"/>
      <c r="M509" s="16"/>
      <c r="N509" s="6"/>
      <c r="O509" s="6"/>
      <c r="P509" s="6"/>
    </row>
    <row r="510" spans="1:16">
      <c r="A510" s="35"/>
      <c r="B510" s="36"/>
      <c r="C510" s="39"/>
      <c r="D510" s="6"/>
      <c r="E510" s="16"/>
      <c r="F510" s="7"/>
      <c r="G510" s="7"/>
      <c r="H510" s="7"/>
      <c r="I510" s="16"/>
      <c r="J510" s="16"/>
      <c r="K510" s="16"/>
      <c r="L510" s="16"/>
      <c r="M510" s="16"/>
      <c r="N510" s="6"/>
      <c r="O510" s="6"/>
      <c r="P510" s="6"/>
    </row>
    <row r="511" spans="1:16">
      <c r="A511" s="35"/>
      <c r="B511" s="36"/>
      <c r="C511" s="39"/>
      <c r="D511" s="6"/>
      <c r="E511" s="16"/>
      <c r="F511" s="7"/>
      <c r="G511" s="7"/>
      <c r="H511" s="7"/>
      <c r="I511" s="16"/>
      <c r="J511" s="16"/>
      <c r="K511" s="16"/>
      <c r="L511" s="16"/>
      <c r="M511" s="16"/>
      <c r="N511" s="6"/>
      <c r="O511" s="6"/>
      <c r="P511" s="6"/>
    </row>
    <row r="512" spans="1:16">
      <c r="A512" s="35"/>
      <c r="B512" s="36"/>
      <c r="C512" s="39"/>
      <c r="D512" s="6"/>
      <c r="E512" s="16"/>
      <c r="F512" s="7"/>
      <c r="G512" s="7"/>
      <c r="H512" s="7"/>
      <c r="I512" s="16"/>
      <c r="J512" s="16"/>
      <c r="K512" s="16"/>
      <c r="L512" s="16"/>
      <c r="M512" s="16"/>
      <c r="N512" s="6"/>
      <c r="O512" s="6"/>
      <c r="P512" s="6"/>
    </row>
    <row r="513" spans="1:16">
      <c r="A513" s="35"/>
      <c r="B513" s="36"/>
      <c r="C513" s="39"/>
      <c r="D513" s="6"/>
      <c r="E513" s="16"/>
      <c r="F513" s="7"/>
      <c r="G513" s="7"/>
      <c r="H513" s="7"/>
      <c r="I513" s="16"/>
      <c r="J513" s="16"/>
      <c r="K513" s="16"/>
      <c r="L513" s="16"/>
      <c r="M513" s="16"/>
      <c r="N513" s="6"/>
      <c r="O513" s="6"/>
      <c r="P513" s="6"/>
    </row>
    <row r="514" spans="1:16">
      <c r="A514" s="35"/>
      <c r="B514" s="36"/>
      <c r="C514" s="39"/>
      <c r="D514" s="6"/>
      <c r="E514" s="16"/>
      <c r="F514" s="7"/>
      <c r="G514" s="7"/>
      <c r="H514" s="7"/>
      <c r="I514" s="16"/>
      <c r="J514" s="16"/>
      <c r="K514" s="16"/>
      <c r="L514" s="16"/>
      <c r="M514" s="16"/>
      <c r="N514" s="6"/>
      <c r="O514" s="6"/>
      <c r="P514" s="6"/>
    </row>
    <row r="515" spans="1:16">
      <c r="A515" s="35"/>
      <c r="B515" s="36"/>
      <c r="C515" s="39"/>
      <c r="D515" s="6"/>
      <c r="E515" s="16"/>
      <c r="F515" s="7"/>
      <c r="G515" s="7"/>
      <c r="H515" s="7"/>
      <c r="I515" s="16"/>
      <c r="J515" s="16"/>
      <c r="K515" s="16"/>
      <c r="L515" s="16"/>
      <c r="M515" s="16"/>
      <c r="N515" s="6"/>
      <c r="O515" s="6"/>
      <c r="P515" s="6"/>
    </row>
    <row r="516" spans="1:16">
      <c r="A516" s="35"/>
      <c r="B516" s="36"/>
      <c r="C516" s="39"/>
      <c r="D516" s="6"/>
      <c r="E516" s="16"/>
      <c r="F516" s="7"/>
      <c r="G516" s="7"/>
      <c r="H516" s="7"/>
      <c r="I516" s="16"/>
      <c r="J516" s="16"/>
      <c r="K516" s="16"/>
      <c r="L516" s="16"/>
      <c r="M516" s="16"/>
      <c r="N516" s="6"/>
      <c r="O516" s="6"/>
      <c r="P516" s="6"/>
    </row>
    <row r="517" spans="1:16">
      <c r="A517" s="35"/>
      <c r="B517" s="36"/>
      <c r="C517" s="39"/>
      <c r="D517" s="6"/>
      <c r="E517" s="16"/>
      <c r="F517" s="7"/>
      <c r="G517" s="7"/>
      <c r="H517" s="7"/>
      <c r="I517" s="16"/>
      <c r="J517" s="16"/>
      <c r="K517" s="16"/>
      <c r="L517" s="16"/>
      <c r="M517" s="16"/>
      <c r="N517" s="6"/>
      <c r="O517" s="6"/>
      <c r="P517" s="6"/>
    </row>
    <row r="518" spans="1:16">
      <c r="A518" s="35"/>
      <c r="B518" s="36"/>
      <c r="C518" s="39"/>
      <c r="D518" s="6"/>
      <c r="E518" s="16"/>
      <c r="F518" s="7"/>
      <c r="G518" s="7"/>
      <c r="H518" s="7"/>
      <c r="I518" s="16"/>
      <c r="J518" s="16"/>
      <c r="K518" s="16"/>
      <c r="L518" s="16"/>
      <c r="M518" s="16"/>
      <c r="N518" s="6"/>
      <c r="O518" s="6"/>
      <c r="P518" s="6"/>
    </row>
    <row r="519" spans="1:16">
      <c r="A519" s="35"/>
      <c r="B519" s="36"/>
      <c r="C519" s="39"/>
      <c r="D519" s="6"/>
      <c r="E519" s="16"/>
      <c r="F519" s="7"/>
      <c r="G519" s="7"/>
      <c r="H519" s="7"/>
      <c r="I519" s="16"/>
      <c r="J519" s="16"/>
      <c r="K519" s="16"/>
      <c r="L519" s="16"/>
      <c r="M519" s="16"/>
      <c r="N519" s="6"/>
      <c r="O519" s="6"/>
      <c r="P519" s="6"/>
    </row>
    <row r="520" spans="1:16">
      <c r="A520" s="35"/>
      <c r="B520" s="36"/>
      <c r="C520" s="39"/>
      <c r="D520" s="6"/>
      <c r="E520" s="16"/>
      <c r="F520" s="7"/>
      <c r="G520" s="7"/>
      <c r="H520" s="7"/>
      <c r="I520" s="16"/>
      <c r="J520" s="16"/>
      <c r="K520" s="16"/>
      <c r="L520" s="16"/>
      <c r="M520" s="16"/>
      <c r="N520" s="6"/>
      <c r="O520" s="6"/>
      <c r="P520" s="6"/>
    </row>
    <row r="521" spans="1:16">
      <c r="A521" s="35"/>
      <c r="B521" s="36"/>
      <c r="C521" s="39"/>
      <c r="D521" s="6"/>
      <c r="E521" s="16"/>
      <c r="F521" s="7"/>
      <c r="G521" s="7"/>
      <c r="H521" s="7"/>
      <c r="I521" s="16"/>
      <c r="J521" s="16"/>
      <c r="K521" s="16"/>
      <c r="L521" s="16"/>
      <c r="M521" s="16"/>
      <c r="N521" s="6"/>
      <c r="O521" s="6"/>
      <c r="P521" s="6"/>
    </row>
    <row r="522" spans="1:16">
      <c r="A522" s="35"/>
      <c r="B522" s="36"/>
      <c r="C522" s="39"/>
      <c r="D522" s="6"/>
      <c r="E522" s="16"/>
      <c r="F522" s="7"/>
      <c r="G522" s="7"/>
      <c r="H522" s="7"/>
      <c r="I522" s="16"/>
      <c r="J522" s="16"/>
      <c r="K522" s="16"/>
      <c r="L522" s="16"/>
      <c r="M522" s="16"/>
      <c r="N522" s="6"/>
      <c r="O522" s="6"/>
      <c r="P522" s="6"/>
    </row>
    <row r="523" spans="1:16">
      <c r="A523" s="35"/>
      <c r="B523" s="36"/>
      <c r="C523" s="39"/>
      <c r="D523" s="6"/>
      <c r="E523" s="16"/>
      <c r="F523" s="7"/>
      <c r="G523" s="7"/>
      <c r="H523" s="7"/>
      <c r="I523" s="16"/>
      <c r="J523" s="16"/>
      <c r="K523" s="16"/>
      <c r="L523" s="16"/>
      <c r="M523" s="16"/>
      <c r="N523" s="6"/>
      <c r="O523" s="6"/>
      <c r="P523" s="6"/>
    </row>
    <row r="524" spans="1:16">
      <c r="A524" s="35"/>
      <c r="B524" s="36"/>
      <c r="C524" s="39"/>
      <c r="D524" s="6"/>
      <c r="E524" s="16"/>
      <c r="F524" s="7"/>
      <c r="G524" s="7"/>
      <c r="H524" s="7"/>
      <c r="I524" s="16"/>
      <c r="J524" s="16"/>
      <c r="K524" s="16"/>
      <c r="L524" s="16"/>
      <c r="M524" s="16"/>
      <c r="N524" s="6"/>
      <c r="O524" s="6"/>
      <c r="P524" s="6"/>
    </row>
    <row r="525" spans="1:16">
      <c r="A525" s="35"/>
      <c r="B525" s="36"/>
      <c r="C525" s="39"/>
      <c r="D525" s="6"/>
      <c r="E525" s="16"/>
      <c r="F525" s="7"/>
      <c r="G525" s="7"/>
      <c r="H525" s="7"/>
      <c r="I525" s="16"/>
      <c r="J525" s="16"/>
      <c r="K525" s="16"/>
      <c r="L525" s="16"/>
      <c r="M525" s="16"/>
      <c r="N525" s="6"/>
      <c r="O525" s="6"/>
      <c r="P525" s="6"/>
    </row>
    <row r="526" spans="1:16">
      <c r="A526" s="35"/>
      <c r="B526" s="36"/>
      <c r="C526" s="39"/>
      <c r="D526" s="6"/>
      <c r="E526" s="16"/>
      <c r="F526" s="7"/>
      <c r="G526" s="7"/>
      <c r="H526" s="7"/>
      <c r="I526" s="16"/>
      <c r="J526" s="16"/>
      <c r="K526" s="16"/>
      <c r="L526" s="16"/>
      <c r="M526" s="16"/>
      <c r="N526" s="6"/>
      <c r="O526" s="6"/>
      <c r="P526" s="6"/>
    </row>
    <row r="527" spans="1:16">
      <c r="A527" s="35"/>
      <c r="B527" s="36"/>
      <c r="C527" s="39"/>
      <c r="D527" s="6"/>
      <c r="E527" s="16"/>
      <c r="F527" s="7"/>
      <c r="G527" s="7"/>
      <c r="H527" s="7"/>
      <c r="I527" s="16"/>
      <c r="J527" s="16"/>
      <c r="K527" s="16"/>
      <c r="L527" s="16"/>
      <c r="M527" s="16"/>
      <c r="N527" s="6"/>
      <c r="O527" s="6"/>
      <c r="P527" s="6"/>
    </row>
    <row r="528" spans="1:16">
      <c r="A528" s="35"/>
      <c r="B528" s="36"/>
      <c r="C528" s="39"/>
      <c r="D528" s="6"/>
      <c r="E528" s="16"/>
      <c r="F528" s="7"/>
      <c r="G528" s="7"/>
      <c r="H528" s="7"/>
      <c r="I528" s="16"/>
      <c r="J528" s="16"/>
      <c r="K528" s="16"/>
      <c r="L528" s="16"/>
      <c r="M528" s="16"/>
      <c r="N528" s="6"/>
      <c r="O528" s="6"/>
      <c r="P528" s="6"/>
    </row>
    <row r="529" spans="1:16">
      <c r="A529" s="35"/>
      <c r="B529" s="36"/>
      <c r="C529" s="39"/>
      <c r="D529" s="6"/>
      <c r="E529" s="16"/>
      <c r="F529" s="7"/>
      <c r="G529" s="7"/>
      <c r="H529" s="7"/>
      <c r="I529" s="16"/>
      <c r="J529" s="16"/>
      <c r="K529" s="16"/>
      <c r="L529" s="16"/>
      <c r="M529" s="16"/>
      <c r="N529" s="6"/>
      <c r="O529" s="6"/>
      <c r="P529" s="6"/>
    </row>
    <row r="530" spans="1:16">
      <c r="A530" s="35"/>
      <c r="B530" s="36"/>
      <c r="C530" s="39"/>
      <c r="D530" s="6"/>
      <c r="E530" s="16"/>
      <c r="F530" s="7"/>
      <c r="G530" s="7"/>
      <c r="H530" s="7"/>
      <c r="I530" s="16"/>
      <c r="J530" s="16"/>
      <c r="K530" s="16"/>
      <c r="L530" s="16"/>
      <c r="M530" s="16"/>
      <c r="N530" s="6"/>
      <c r="O530" s="6"/>
      <c r="P530" s="6"/>
    </row>
    <row r="531" spans="1:16">
      <c r="A531" s="35"/>
      <c r="B531" s="36"/>
      <c r="C531" s="39"/>
      <c r="D531" s="6"/>
      <c r="E531" s="16"/>
      <c r="F531" s="7"/>
      <c r="G531" s="7"/>
      <c r="H531" s="7"/>
      <c r="I531" s="16"/>
      <c r="J531" s="16"/>
      <c r="K531" s="16"/>
      <c r="L531" s="16"/>
      <c r="M531" s="16"/>
      <c r="N531" s="6"/>
      <c r="O531" s="6"/>
      <c r="P531" s="6"/>
    </row>
    <row r="532" spans="1:16">
      <c r="A532" s="35"/>
      <c r="B532" s="36"/>
      <c r="C532" s="39"/>
      <c r="D532" s="6"/>
      <c r="E532" s="16"/>
      <c r="F532" s="7"/>
      <c r="G532" s="7"/>
      <c r="H532" s="7"/>
      <c r="I532" s="16"/>
      <c r="J532" s="16"/>
      <c r="K532" s="16"/>
      <c r="L532" s="16"/>
      <c r="M532" s="16"/>
      <c r="N532" s="6"/>
      <c r="O532" s="6"/>
      <c r="P532" s="6"/>
    </row>
    <row r="533" spans="1:16">
      <c r="A533" s="35"/>
      <c r="B533" s="36"/>
      <c r="C533" s="39"/>
      <c r="D533" s="6"/>
      <c r="E533" s="16"/>
      <c r="F533" s="7"/>
      <c r="G533" s="7"/>
      <c r="H533" s="7"/>
      <c r="I533" s="16"/>
      <c r="J533" s="16"/>
      <c r="K533" s="16"/>
      <c r="L533" s="16"/>
      <c r="M533" s="16"/>
      <c r="N533" s="6"/>
      <c r="O533" s="6"/>
      <c r="P533" s="6"/>
    </row>
    <row r="534" spans="1:16">
      <c r="A534" s="35"/>
      <c r="B534" s="36"/>
      <c r="C534" s="39"/>
      <c r="D534" s="6"/>
      <c r="E534" s="16"/>
      <c r="F534" s="7"/>
      <c r="G534" s="7"/>
      <c r="H534" s="7"/>
      <c r="I534" s="16"/>
      <c r="J534" s="16"/>
      <c r="K534" s="16"/>
      <c r="L534" s="16"/>
      <c r="M534" s="16"/>
      <c r="N534" s="6"/>
      <c r="O534" s="6"/>
      <c r="P534" s="6"/>
    </row>
    <row r="535" spans="1:16">
      <c r="A535" s="35"/>
      <c r="B535" s="36"/>
      <c r="C535" s="39"/>
      <c r="D535" s="6"/>
      <c r="E535" s="16"/>
      <c r="F535" s="7"/>
      <c r="G535" s="7"/>
      <c r="H535" s="7"/>
      <c r="I535" s="16"/>
      <c r="J535" s="16"/>
      <c r="K535" s="16"/>
      <c r="L535" s="16"/>
      <c r="M535" s="16"/>
      <c r="N535" s="6"/>
      <c r="O535" s="6"/>
      <c r="P535" s="6"/>
    </row>
    <row r="536" spans="1:16">
      <c r="A536" s="35"/>
      <c r="B536" s="36"/>
      <c r="C536" s="39"/>
      <c r="D536" s="6"/>
      <c r="E536" s="16"/>
      <c r="F536" s="7"/>
      <c r="G536" s="7"/>
      <c r="H536" s="7"/>
      <c r="I536" s="16"/>
      <c r="J536" s="16"/>
      <c r="K536" s="16"/>
      <c r="L536" s="16"/>
      <c r="M536" s="16"/>
      <c r="N536" s="6"/>
      <c r="O536" s="6"/>
      <c r="P536" s="6"/>
    </row>
    <row r="537" spans="1:16">
      <c r="A537" s="35"/>
      <c r="B537" s="36"/>
      <c r="C537" s="39"/>
      <c r="D537" s="6"/>
      <c r="E537" s="16"/>
      <c r="F537" s="7"/>
      <c r="G537" s="7"/>
      <c r="H537" s="7"/>
      <c r="I537" s="16"/>
      <c r="J537" s="16"/>
      <c r="K537" s="16"/>
      <c r="L537" s="16"/>
      <c r="M537" s="16"/>
      <c r="N537" s="6"/>
      <c r="O537" s="6"/>
      <c r="P537" s="6"/>
    </row>
    <row r="538" spans="1:16">
      <c r="A538" s="35"/>
      <c r="B538" s="36"/>
      <c r="C538" s="39"/>
      <c r="D538" s="6"/>
      <c r="E538" s="16"/>
      <c r="F538" s="7"/>
      <c r="G538" s="7"/>
      <c r="H538" s="7"/>
      <c r="I538" s="16"/>
      <c r="J538" s="16"/>
      <c r="K538" s="16"/>
      <c r="L538" s="16"/>
      <c r="M538" s="16"/>
      <c r="N538" s="6"/>
      <c r="O538" s="6"/>
      <c r="P538" s="6"/>
    </row>
    <row r="539" spans="1:16">
      <c r="A539" s="35"/>
      <c r="B539" s="36"/>
      <c r="C539" s="39"/>
      <c r="D539" s="6"/>
      <c r="E539" s="16"/>
      <c r="F539" s="7"/>
      <c r="G539" s="7"/>
      <c r="H539" s="7"/>
      <c r="I539" s="16"/>
      <c r="J539" s="16"/>
      <c r="K539" s="16"/>
      <c r="L539" s="16"/>
      <c r="M539" s="16"/>
      <c r="N539" s="6"/>
      <c r="O539" s="6"/>
      <c r="P539" s="6"/>
    </row>
    <row r="540" spans="1:16">
      <c r="A540" s="35"/>
      <c r="B540" s="36"/>
      <c r="C540" s="39"/>
      <c r="D540" s="6"/>
      <c r="E540" s="16"/>
      <c r="F540" s="7"/>
      <c r="G540" s="7"/>
      <c r="H540" s="7"/>
      <c r="I540" s="16"/>
      <c r="J540" s="16"/>
      <c r="K540" s="16"/>
      <c r="L540" s="16"/>
      <c r="M540" s="16"/>
      <c r="N540" s="6"/>
      <c r="O540" s="6"/>
      <c r="P540" s="6"/>
    </row>
    <row r="541" spans="1:16">
      <c r="A541" s="35"/>
      <c r="B541" s="36"/>
      <c r="C541" s="39"/>
      <c r="D541" s="6"/>
      <c r="E541" s="16"/>
      <c r="F541" s="7"/>
      <c r="G541" s="7"/>
      <c r="H541" s="7"/>
      <c r="I541" s="16"/>
      <c r="J541" s="16"/>
      <c r="K541" s="16"/>
      <c r="L541" s="16"/>
      <c r="M541" s="16"/>
      <c r="N541" s="6"/>
      <c r="O541" s="6"/>
      <c r="P541" s="6"/>
    </row>
    <row r="542" spans="1:16">
      <c r="A542" s="35"/>
      <c r="B542" s="36"/>
      <c r="C542" s="39"/>
      <c r="D542" s="6"/>
      <c r="E542" s="16"/>
      <c r="F542" s="7"/>
      <c r="G542" s="7"/>
      <c r="H542" s="7"/>
      <c r="I542" s="16"/>
      <c r="J542" s="16"/>
      <c r="K542" s="16"/>
      <c r="L542" s="16"/>
      <c r="M542" s="16"/>
      <c r="N542" s="6"/>
      <c r="O542" s="6"/>
      <c r="P542" s="6"/>
    </row>
    <row r="543" spans="1:16">
      <c r="A543" s="35"/>
      <c r="B543" s="36"/>
      <c r="C543" s="39"/>
      <c r="D543" s="6"/>
      <c r="E543" s="16"/>
      <c r="F543" s="7"/>
      <c r="G543" s="7"/>
      <c r="H543" s="7"/>
      <c r="I543" s="16"/>
      <c r="J543" s="16"/>
      <c r="K543" s="16"/>
      <c r="L543" s="16"/>
      <c r="M543" s="16"/>
      <c r="N543" s="6"/>
      <c r="O543" s="6"/>
      <c r="P543" s="6"/>
    </row>
    <row r="544" spans="1:16">
      <c r="A544" s="35"/>
      <c r="B544" s="36"/>
      <c r="C544" s="39"/>
      <c r="D544" s="6"/>
      <c r="E544" s="16"/>
      <c r="F544" s="7"/>
      <c r="G544" s="7"/>
      <c r="H544" s="7"/>
      <c r="I544" s="16"/>
      <c r="J544" s="16"/>
      <c r="K544" s="16"/>
      <c r="L544" s="16"/>
      <c r="M544" s="16"/>
      <c r="N544" s="6"/>
      <c r="O544" s="6"/>
      <c r="P544" s="6"/>
    </row>
    <row r="545" spans="1:16">
      <c r="A545" s="35"/>
      <c r="B545" s="36"/>
      <c r="C545" s="39"/>
      <c r="D545" s="6"/>
      <c r="E545" s="16"/>
      <c r="F545" s="7"/>
      <c r="G545" s="7"/>
      <c r="H545" s="7"/>
      <c r="I545" s="16"/>
      <c r="J545" s="16"/>
      <c r="K545" s="16"/>
      <c r="L545" s="16"/>
      <c r="M545" s="16"/>
      <c r="N545" s="6"/>
      <c r="O545" s="6"/>
      <c r="P545" s="6"/>
    </row>
    <row r="546" spans="1:16">
      <c r="A546" s="35"/>
      <c r="B546" s="36"/>
      <c r="C546" s="39"/>
      <c r="D546" s="6"/>
      <c r="E546" s="16"/>
      <c r="F546" s="7"/>
      <c r="G546" s="7"/>
      <c r="H546" s="7"/>
      <c r="I546" s="16"/>
      <c r="J546" s="16"/>
      <c r="K546" s="16"/>
      <c r="L546" s="16"/>
      <c r="M546" s="16"/>
      <c r="N546" s="6"/>
      <c r="O546" s="6"/>
      <c r="P546" s="6"/>
    </row>
    <row r="547" spans="1:16">
      <c r="A547" s="35"/>
      <c r="B547" s="36"/>
      <c r="C547" s="39"/>
      <c r="D547" s="6"/>
      <c r="E547" s="16"/>
      <c r="F547" s="7"/>
      <c r="G547" s="7"/>
      <c r="H547" s="7"/>
      <c r="I547" s="16"/>
      <c r="J547" s="16"/>
      <c r="K547" s="16"/>
      <c r="L547" s="16"/>
      <c r="M547" s="16"/>
      <c r="N547" s="6"/>
      <c r="O547" s="6"/>
      <c r="P547" s="6"/>
    </row>
    <row r="548" spans="1:16">
      <c r="A548" s="35"/>
      <c r="B548" s="36"/>
      <c r="C548" s="39"/>
      <c r="D548" s="6"/>
      <c r="E548" s="16"/>
      <c r="F548" s="7"/>
      <c r="G548" s="7"/>
      <c r="H548" s="7"/>
      <c r="I548" s="16"/>
      <c r="J548" s="16"/>
      <c r="K548" s="16"/>
      <c r="L548" s="16"/>
      <c r="M548" s="16"/>
      <c r="N548" s="6"/>
      <c r="O548" s="6"/>
      <c r="P548" s="6"/>
    </row>
    <row r="549" spans="1:16">
      <c r="A549" s="35"/>
      <c r="B549" s="36"/>
      <c r="C549" s="39"/>
      <c r="D549" s="6"/>
      <c r="E549" s="16"/>
      <c r="F549" s="7"/>
      <c r="G549" s="7"/>
      <c r="H549" s="7"/>
      <c r="I549" s="16"/>
      <c r="J549" s="16"/>
      <c r="K549" s="16"/>
      <c r="L549" s="16"/>
      <c r="M549" s="16"/>
      <c r="N549" s="6"/>
      <c r="O549" s="6"/>
      <c r="P549" s="6"/>
    </row>
    <row r="550" spans="1:16">
      <c r="A550" s="35"/>
      <c r="B550" s="36"/>
      <c r="C550" s="39"/>
      <c r="D550" s="6"/>
      <c r="E550" s="16"/>
      <c r="F550" s="7"/>
      <c r="G550" s="7"/>
      <c r="H550" s="7"/>
      <c r="I550" s="16"/>
      <c r="J550" s="16"/>
      <c r="K550" s="16"/>
      <c r="L550" s="16"/>
      <c r="M550" s="16"/>
      <c r="N550" s="6"/>
      <c r="O550" s="6"/>
      <c r="P550" s="6"/>
    </row>
    <row r="551" spans="1:16">
      <c r="A551" s="35"/>
      <c r="B551" s="36"/>
      <c r="C551" s="39"/>
      <c r="D551" s="6"/>
      <c r="E551" s="16"/>
      <c r="F551" s="7"/>
      <c r="G551" s="7"/>
      <c r="H551" s="7"/>
      <c r="I551" s="16"/>
      <c r="J551" s="16"/>
      <c r="K551" s="16"/>
      <c r="L551" s="16"/>
      <c r="M551" s="16"/>
      <c r="N551" s="6"/>
      <c r="O551" s="6"/>
      <c r="P551" s="6"/>
    </row>
    <row r="552" spans="1:16">
      <c r="A552" s="35"/>
      <c r="B552" s="36"/>
      <c r="C552" s="39"/>
      <c r="D552" s="6"/>
      <c r="E552" s="16"/>
      <c r="F552" s="7"/>
      <c r="G552" s="7"/>
      <c r="H552" s="7"/>
      <c r="I552" s="16"/>
      <c r="J552" s="16"/>
      <c r="K552" s="16"/>
      <c r="L552" s="16"/>
      <c r="M552" s="16"/>
      <c r="N552" s="6"/>
      <c r="O552" s="6"/>
      <c r="P552" s="6"/>
    </row>
    <row r="553" spans="1:16">
      <c r="A553" s="35"/>
      <c r="B553" s="36"/>
      <c r="C553" s="39"/>
      <c r="D553" s="6"/>
      <c r="E553" s="16"/>
      <c r="F553" s="7"/>
      <c r="G553" s="7"/>
      <c r="H553" s="7"/>
      <c r="I553" s="16"/>
      <c r="J553" s="16"/>
      <c r="K553" s="16"/>
      <c r="L553" s="16"/>
      <c r="M553" s="16"/>
      <c r="N553" s="6"/>
      <c r="O553" s="6"/>
      <c r="P553" s="6"/>
    </row>
    <row r="554" spans="1:16">
      <c r="A554" s="35"/>
      <c r="B554" s="36"/>
      <c r="C554" s="39"/>
      <c r="D554" s="6"/>
      <c r="E554" s="16"/>
      <c r="F554" s="7"/>
      <c r="G554" s="7"/>
      <c r="H554" s="7"/>
      <c r="I554" s="16"/>
      <c r="J554" s="16"/>
      <c r="K554" s="16"/>
      <c r="L554" s="16"/>
      <c r="M554" s="16"/>
      <c r="N554" s="6"/>
      <c r="O554" s="6"/>
      <c r="P554" s="6"/>
    </row>
    <row r="555" spans="1:16">
      <c r="A555" s="35"/>
      <c r="B555" s="36"/>
      <c r="C555" s="39"/>
      <c r="D555" s="6"/>
      <c r="E555" s="16"/>
      <c r="F555" s="7"/>
      <c r="G555" s="7"/>
      <c r="H555" s="7"/>
      <c r="I555" s="16"/>
      <c r="J555" s="16"/>
      <c r="K555" s="16"/>
      <c r="L555" s="16"/>
      <c r="M555" s="16"/>
      <c r="N555" s="6"/>
      <c r="O555" s="6"/>
      <c r="P555" s="6"/>
    </row>
    <row r="556" spans="1:16">
      <c r="A556" s="35"/>
      <c r="B556" s="36"/>
      <c r="C556" s="39"/>
      <c r="D556" s="6"/>
      <c r="E556" s="16"/>
      <c r="F556" s="7"/>
      <c r="G556" s="7"/>
      <c r="H556" s="7"/>
      <c r="I556" s="16"/>
      <c r="J556" s="16"/>
      <c r="K556" s="16"/>
      <c r="L556" s="16"/>
      <c r="M556" s="16"/>
      <c r="N556" s="6"/>
      <c r="O556" s="6"/>
      <c r="P556" s="6"/>
    </row>
    <row r="557" spans="1:16">
      <c r="A557" s="35"/>
      <c r="B557" s="36"/>
      <c r="C557" s="39"/>
      <c r="D557" s="6"/>
      <c r="E557" s="16"/>
      <c r="F557" s="7"/>
      <c r="G557" s="7"/>
      <c r="H557" s="7"/>
      <c r="I557" s="16"/>
      <c r="J557" s="16"/>
      <c r="K557" s="16"/>
      <c r="L557" s="16"/>
      <c r="M557" s="16"/>
      <c r="N557" s="6"/>
      <c r="O557" s="6"/>
      <c r="P557" s="6"/>
    </row>
    <row r="558" spans="1:16">
      <c r="A558" s="35"/>
      <c r="B558" s="36"/>
      <c r="C558" s="39"/>
      <c r="D558" s="6"/>
      <c r="E558" s="16"/>
      <c r="F558" s="7"/>
      <c r="G558" s="7"/>
      <c r="H558" s="7"/>
      <c r="I558" s="16"/>
      <c r="J558" s="16"/>
      <c r="K558" s="16"/>
      <c r="L558" s="16"/>
      <c r="M558" s="16"/>
      <c r="N558" s="6"/>
      <c r="O558" s="6"/>
      <c r="P558" s="6"/>
    </row>
    <row r="559" spans="1:16">
      <c r="A559" s="35"/>
      <c r="B559" s="36"/>
      <c r="C559" s="39"/>
      <c r="D559" s="6"/>
      <c r="E559" s="16"/>
      <c r="F559" s="7"/>
      <c r="G559" s="7"/>
      <c r="H559" s="7"/>
      <c r="I559" s="16"/>
      <c r="J559" s="16"/>
      <c r="K559" s="16"/>
      <c r="L559" s="16"/>
      <c r="M559" s="16"/>
      <c r="N559" s="6"/>
      <c r="O559" s="6"/>
      <c r="P559" s="6"/>
    </row>
    <row r="560" spans="1:16">
      <c r="A560" s="35"/>
      <c r="B560" s="36"/>
      <c r="C560" s="39"/>
      <c r="D560" s="6"/>
      <c r="E560" s="16"/>
      <c r="F560" s="7"/>
      <c r="G560" s="7"/>
      <c r="H560" s="7"/>
      <c r="I560" s="16"/>
      <c r="J560" s="16"/>
      <c r="K560" s="16"/>
      <c r="L560" s="16"/>
      <c r="M560" s="16"/>
      <c r="N560" s="6"/>
      <c r="O560" s="6"/>
      <c r="P560" s="6"/>
    </row>
    <row r="561" spans="1:16">
      <c r="A561" s="35"/>
      <c r="B561" s="36"/>
      <c r="C561" s="39"/>
      <c r="D561" s="6"/>
      <c r="E561" s="16"/>
      <c r="F561" s="7"/>
      <c r="G561" s="7"/>
      <c r="H561" s="7"/>
      <c r="I561" s="16"/>
      <c r="J561" s="16"/>
      <c r="K561" s="16"/>
      <c r="L561" s="16"/>
      <c r="M561" s="16"/>
      <c r="N561" s="6"/>
      <c r="O561" s="6"/>
      <c r="P561" s="6"/>
    </row>
    <row r="562" spans="1:16">
      <c r="A562" s="35"/>
      <c r="B562" s="36"/>
      <c r="C562" s="39"/>
      <c r="D562" s="6"/>
      <c r="E562" s="16"/>
      <c r="F562" s="7"/>
      <c r="G562" s="7"/>
      <c r="H562" s="7"/>
      <c r="I562" s="16"/>
      <c r="J562" s="16"/>
      <c r="K562" s="16"/>
      <c r="L562" s="16"/>
      <c r="M562" s="16"/>
      <c r="N562" s="6"/>
      <c r="O562" s="6"/>
      <c r="P562" s="6"/>
    </row>
    <row r="563" spans="1:16">
      <c r="A563" s="35"/>
      <c r="B563" s="36"/>
      <c r="C563" s="39"/>
      <c r="D563" s="6"/>
      <c r="E563" s="16"/>
      <c r="F563" s="7"/>
      <c r="G563" s="7"/>
      <c r="H563" s="7"/>
      <c r="I563" s="16"/>
      <c r="J563" s="16"/>
      <c r="K563" s="16"/>
      <c r="L563" s="16"/>
      <c r="M563" s="16"/>
      <c r="N563" s="6"/>
      <c r="O563" s="6"/>
      <c r="P563" s="6"/>
    </row>
    <row r="564" spans="1:16">
      <c r="A564" s="35"/>
      <c r="B564" s="36"/>
      <c r="C564" s="39"/>
      <c r="D564" s="6"/>
      <c r="E564" s="16"/>
      <c r="F564" s="7"/>
      <c r="G564" s="7"/>
      <c r="H564" s="7"/>
      <c r="I564" s="16"/>
      <c r="J564" s="16"/>
      <c r="K564" s="16"/>
      <c r="L564" s="16"/>
      <c r="M564" s="16"/>
      <c r="N564" s="6"/>
      <c r="O564" s="6"/>
      <c r="P564" s="6"/>
    </row>
    <row r="565" spans="1:16">
      <c r="A565" s="35"/>
      <c r="B565" s="36"/>
      <c r="C565" s="39"/>
      <c r="D565" s="6"/>
      <c r="E565" s="16"/>
      <c r="F565" s="7"/>
      <c r="G565" s="7"/>
      <c r="H565" s="7"/>
      <c r="I565" s="16"/>
      <c r="J565" s="16"/>
      <c r="K565" s="16"/>
      <c r="L565" s="16"/>
      <c r="M565" s="16"/>
      <c r="N565" s="6"/>
      <c r="O565" s="6"/>
      <c r="P565" s="6"/>
    </row>
    <row r="566" spans="1:16">
      <c r="A566" s="35"/>
      <c r="B566" s="36"/>
      <c r="C566" s="39"/>
      <c r="D566" s="6"/>
      <c r="E566" s="16"/>
      <c r="F566" s="7"/>
      <c r="G566" s="7"/>
      <c r="H566" s="7"/>
      <c r="I566" s="16"/>
      <c r="J566" s="16"/>
      <c r="K566" s="16"/>
      <c r="L566" s="16"/>
      <c r="M566" s="16"/>
      <c r="N566" s="6"/>
      <c r="O566" s="6"/>
      <c r="P566" s="6"/>
    </row>
    <row r="567" spans="1:16">
      <c r="A567" s="35"/>
      <c r="B567" s="36"/>
      <c r="C567" s="39"/>
      <c r="D567" s="6"/>
      <c r="E567" s="16"/>
      <c r="F567" s="7"/>
      <c r="G567" s="7"/>
      <c r="H567" s="7"/>
      <c r="I567" s="16"/>
      <c r="J567" s="16"/>
      <c r="K567" s="16"/>
      <c r="L567" s="16"/>
      <c r="M567" s="16"/>
      <c r="N567" s="6"/>
      <c r="O567" s="6"/>
      <c r="P567" s="6"/>
    </row>
    <row r="568" spans="1:16">
      <c r="A568" s="35"/>
      <c r="B568" s="36"/>
      <c r="C568" s="39"/>
      <c r="D568" s="6"/>
      <c r="E568" s="16"/>
      <c r="F568" s="7"/>
      <c r="G568" s="7"/>
      <c r="H568" s="7"/>
      <c r="I568" s="16"/>
      <c r="J568" s="16"/>
      <c r="K568" s="16"/>
      <c r="L568" s="16"/>
      <c r="M568" s="16"/>
      <c r="N568" s="6"/>
      <c r="O568" s="6"/>
      <c r="P568" s="6"/>
    </row>
    <row r="569" spans="1:16">
      <c r="A569" s="35"/>
      <c r="B569" s="36"/>
      <c r="C569" s="39"/>
      <c r="D569" s="6"/>
      <c r="E569" s="16"/>
      <c r="F569" s="7"/>
      <c r="G569" s="7"/>
      <c r="H569" s="7"/>
      <c r="I569" s="16"/>
      <c r="J569" s="16"/>
      <c r="K569" s="16"/>
      <c r="L569" s="16"/>
      <c r="M569" s="16"/>
      <c r="N569" s="6"/>
      <c r="O569" s="6"/>
      <c r="P569" s="6"/>
    </row>
    <row r="570" spans="1:16">
      <c r="A570" s="35"/>
      <c r="B570" s="36"/>
      <c r="C570" s="39"/>
      <c r="D570" s="6"/>
      <c r="E570" s="16"/>
      <c r="F570" s="7"/>
      <c r="G570" s="7"/>
      <c r="H570" s="7"/>
      <c r="I570" s="16"/>
      <c r="J570" s="16"/>
      <c r="K570" s="16"/>
      <c r="L570" s="16"/>
      <c r="M570" s="16"/>
      <c r="N570" s="6"/>
      <c r="O570" s="6"/>
      <c r="P570" s="6"/>
    </row>
    <row r="571" spans="1:16">
      <c r="A571" s="35"/>
      <c r="B571" s="36"/>
      <c r="C571" s="39"/>
      <c r="D571" s="6"/>
      <c r="E571" s="16"/>
      <c r="F571" s="7"/>
      <c r="G571" s="7"/>
      <c r="H571" s="7"/>
      <c r="I571" s="16"/>
      <c r="J571" s="16"/>
      <c r="K571" s="16"/>
      <c r="L571" s="16"/>
      <c r="M571" s="16"/>
      <c r="N571" s="6"/>
      <c r="O571" s="6"/>
      <c r="P571" s="6"/>
    </row>
    <row r="572" spans="1:16">
      <c r="A572" s="35"/>
      <c r="B572" s="36"/>
      <c r="C572" s="39"/>
      <c r="D572" s="6"/>
      <c r="E572" s="16"/>
      <c r="F572" s="7"/>
      <c r="G572" s="7"/>
      <c r="H572" s="7"/>
      <c r="I572" s="16"/>
      <c r="J572" s="16"/>
      <c r="K572" s="16"/>
      <c r="L572" s="16"/>
      <c r="M572" s="16"/>
      <c r="N572" s="6"/>
      <c r="O572" s="6"/>
      <c r="P572" s="6"/>
    </row>
    <row r="573" spans="1:16">
      <c r="A573" s="35"/>
      <c r="B573" s="36"/>
      <c r="C573" s="39"/>
      <c r="D573" s="6"/>
      <c r="E573" s="16"/>
      <c r="F573" s="7"/>
      <c r="G573" s="7"/>
      <c r="H573" s="7"/>
      <c r="I573" s="16"/>
      <c r="J573" s="16"/>
      <c r="K573" s="16"/>
      <c r="L573" s="16"/>
      <c r="M573" s="16"/>
      <c r="N573" s="6"/>
      <c r="O573" s="6"/>
      <c r="P573" s="6"/>
    </row>
    <row r="574" spans="1:16">
      <c r="A574" s="35"/>
      <c r="B574" s="36"/>
      <c r="C574" s="39"/>
      <c r="D574" s="6"/>
      <c r="E574" s="16"/>
      <c r="F574" s="7"/>
      <c r="G574" s="7"/>
      <c r="H574" s="7"/>
      <c r="I574" s="16"/>
      <c r="J574" s="16"/>
      <c r="K574" s="16"/>
      <c r="L574" s="16"/>
      <c r="M574" s="16"/>
      <c r="N574" s="6"/>
      <c r="O574" s="6"/>
      <c r="P574" s="6"/>
    </row>
    <row r="575" spans="1:16">
      <c r="A575" s="35"/>
      <c r="B575" s="36"/>
      <c r="C575" s="39"/>
      <c r="D575" s="6"/>
      <c r="E575" s="16"/>
      <c r="F575" s="7"/>
      <c r="G575" s="7"/>
      <c r="H575" s="7"/>
      <c r="I575" s="16"/>
      <c r="J575" s="16"/>
      <c r="K575" s="16"/>
      <c r="L575" s="16"/>
      <c r="M575" s="16"/>
      <c r="N575" s="6"/>
      <c r="O575" s="6"/>
      <c r="P575" s="6"/>
    </row>
    <row r="576" spans="1:16">
      <c r="A576" s="35"/>
      <c r="B576" s="36"/>
      <c r="C576" s="39"/>
      <c r="D576" s="6"/>
      <c r="E576" s="16"/>
      <c r="F576" s="7"/>
      <c r="G576" s="7"/>
      <c r="H576" s="7"/>
      <c r="I576" s="16"/>
      <c r="J576" s="16"/>
      <c r="K576" s="16"/>
      <c r="L576" s="16"/>
      <c r="M576" s="16"/>
      <c r="N576" s="6"/>
      <c r="O576" s="6"/>
      <c r="P576" s="6"/>
    </row>
    <row r="577" spans="1:16">
      <c r="A577" s="35"/>
      <c r="B577" s="36"/>
      <c r="C577" s="39"/>
      <c r="D577" s="6"/>
      <c r="E577" s="16"/>
      <c r="F577" s="7"/>
      <c r="G577" s="7"/>
      <c r="H577" s="7"/>
      <c r="I577" s="16"/>
      <c r="J577" s="16"/>
      <c r="K577" s="16"/>
      <c r="L577" s="16"/>
      <c r="M577" s="16"/>
      <c r="N577" s="6"/>
      <c r="O577" s="6"/>
      <c r="P577" s="6"/>
    </row>
    <row r="578" spans="1:16">
      <c r="A578" s="35"/>
      <c r="B578" s="36"/>
      <c r="C578" s="39"/>
      <c r="D578" s="6"/>
      <c r="E578" s="16"/>
      <c r="F578" s="7"/>
      <c r="G578" s="7"/>
      <c r="H578" s="7"/>
      <c r="I578" s="16"/>
      <c r="J578" s="16"/>
      <c r="K578" s="16"/>
      <c r="L578" s="16"/>
      <c r="M578" s="16"/>
      <c r="N578" s="6"/>
      <c r="O578" s="6"/>
      <c r="P578" s="6"/>
    </row>
    <row r="579" spans="1:16">
      <c r="A579" s="35"/>
      <c r="B579" s="36"/>
      <c r="C579" s="39"/>
      <c r="D579" s="6"/>
      <c r="E579" s="16"/>
      <c r="F579" s="7"/>
      <c r="G579" s="7"/>
      <c r="H579" s="7"/>
      <c r="I579" s="16"/>
      <c r="J579" s="16"/>
      <c r="K579" s="16"/>
      <c r="L579" s="16"/>
      <c r="M579" s="16"/>
      <c r="N579" s="6"/>
      <c r="O579" s="6"/>
      <c r="P579" s="6"/>
    </row>
    <row r="580" spans="1:16">
      <c r="A580" s="35"/>
      <c r="B580" s="36"/>
      <c r="C580" s="39"/>
      <c r="D580" s="6"/>
      <c r="E580" s="16"/>
      <c r="F580" s="7"/>
      <c r="G580" s="7"/>
      <c r="H580" s="7"/>
      <c r="I580" s="16"/>
      <c r="J580" s="16"/>
      <c r="K580" s="16"/>
      <c r="L580" s="16"/>
      <c r="M580" s="16"/>
      <c r="N580" s="6"/>
      <c r="O580" s="6"/>
      <c r="P580" s="6"/>
    </row>
    <row r="581" spans="1:16">
      <c r="A581" s="35"/>
      <c r="B581" s="36"/>
      <c r="C581" s="39"/>
      <c r="D581" s="6"/>
      <c r="E581" s="16"/>
      <c r="F581" s="7"/>
      <c r="G581" s="7"/>
      <c r="H581" s="7"/>
      <c r="I581" s="16"/>
      <c r="J581" s="16"/>
      <c r="K581" s="16"/>
      <c r="L581" s="16"/>
      <c r="M581" s="16"/>
      <c r="N581" s="6"/>
      <c r="O581" s="6"/>
      <c r="P581" s="6"/>
    </row>
    <row r="582" spans="1:16">
      <c r="A582" s="35"/>
      <c r="B582" s="36"/>
      <c r="C582" s="39"/>
      <c r="D582" s="6"/>
      <c r="E582" s="16"/>
      <c r="F582" s="7"/>
      <c r="G582" s="7"/>
      <c r="H582" s="7"/>
      <c r="I582" s="16"/>
      <c r="J582" s="16"/>
      <c r="K582" s="16"/>
      <c r="L582" s="16"/>
      <c r="M582" s="16"/>
      <c r="N582" s="6"/>
      <c r="O582" s="6"/>
      <c r="P582" s="6"/>
    </row>
    <row r="583" spans="1:16">
      <c r="A583" s="35"/>
      <c r="B583" s="36"/>
      <c r="C583" s="39"/>
      <c r="D583" s="6"/>
      <c r="E583" s="16"/>
      <c r="F583" s="7"/>
      <c r="G583" s="7"/>
      <c r="H583" s="7"/>
      <c r="I583" s="16"/>
      <c r="J583" s="16"/>
      <c r="K583" s="16"/>
      <c r="L583" s="16"/>
      <c r="M583" s="16"/>
      <c r="N583" s="6"/>
      <c r="O583" s="6"/>
      <c r="P583" s="6"/>
    </row>
    <row r="584" spans="1:16">
      <c r="A584" s="35"/>
      <c r="B584" s="36"/>
      <c r="C584" s="39"/>
      <c r="D584" s="6"/>
      <c r="E584" s="16"/>
      <c r="F584" s="7"/>
      <c r="G584" s="7"/>
      <c r="H584" s="7"/>
      <c r="I584" s="16"/>
      <c r="J584" s="16"/>
      <c r="K584" s="16"/>
      <c r="L584" s="16"/>
      <c r="M584" s="16"/>
      <c r="N584" s="6"/>
      <c r="O584" s="6"/>
      <c r="P584" s="6"/>
    </row>
    <row r="585" spans="1:16">
      <c r="A585" s="35"/>
      <c r="B585" s="36"/>
      <c r="C585" s="39"/>
      <c r="D585" s="6"/>
      <c r="E585" s="16"/>
      <c r="F585" s="7"/>
      <c r="G585" s="7"/>
      <c r="H585" s="7"/>
      <c r="I585" s="16"/>
      <c r="J585" s="16"/>
      <c r="K585" s="16"/>
      <c r="L585" s="16"/>
      <c r="M585" s="16"/>
      <c r="N585" s="6"/>
      <c r="O585" s="6"/>
      <c r="P585" s="6"/>
    </row>
    <row r="586" spans="1:16">
      <c r="A586" s="35"/>
      <c r="B586" s="36"/>
      <c r="C586" s="39"/>
      <c r="D586" s="6"/>
      <c r="E586" s="16"/>
      <c r="F586" s="7"/>
      <c r="G586" s="7"/>
      <c r="H586" s="7"/>
      <c r="I586" s="16"/>
      <c r="J586" s="16"/>
      <c r="K586" s="16"/>
      <c r="L586" s="16"/>
      <c r="M586" s="16"/>
      <c r="N586" s="6"/>
      <c r="O586" s="6"/>
      <c r="P586" s="6"/>
    </row>
    <row r="587" spans="1:16">
      <c r="A587" s="35"/>
      <c r="B587" s="36"/>
      <c r="C587" s="39"/>
      <c r="D587" s="6"/>
      <c r="E587" s="16"/>
      <c r="F587" s="7"/>
      <c r="G587" s="7"/>
      <c r="H587" s="7"/>
      <c r="I587" s="16"/>
      <c r="J587" s="16"/>
      <c r="K587" s="16"/>
      <c r="L587" s="16"/>
      <c r="M587" s="16"/>
      <c r="N587" s="6"/>
      <c r="O587" s="6"/>
      <c r="P587" s="6"/>
    </row>
    <row r="588" spans="1:16">
      <c r="A588" s="35"/>
      <c r="B588" s="36"/>
      <c r="C588" s="39"/>
      <c r="D588" s="6"/>
      <c r="E588" s="16"/>
      <c r="F588" s="7"/>
      <c r="G588" s="7"/>
      <c r="H588" s="7"/>
      <c r="I588" s="16"/>
      <c r="J588" s="16"/>
      <c r="K588" s="16"/>
      <c r="L588" s="16"/>
      <c r="M588" s="16"/>
      <c r="N588" s="6"/>
      <c r="O588" s="6"/>
      <c r="P588" s="6"/>
    </row>
    <row r="589" spans="1:16">
      <c r="A589" s="35"/>
      <c r="B589" s="36"/>
      <c r="C589" s="39"/>
      <c r="D589" s="6"/>
      <c r="E589" s="16"/>
      <c r="F589" s="7"/>
      <c r="G589" s="7"/>
      <c r="H589" s="7"/>
      <c r="I589" s="16"/>
      <c r="J589" s="16"/>
      <c r="K589" s="16"/>
      <c r="L589" s="16"/>
      <c r="M589" s="16"/>
      <c r="N589" s="6"/>
      <c r="O589" s="6"/>
      <c r="P589" s="6"/>
    </row>
    <row r="590" spans="1:16">
      <c r="A590" s="35"/>
      <c r="B590" s="36"/>
      <c r="C590" s="39"/>
      <c r="D590" s="6"/>
      <c r="E590" s="16"/>
      <c r="F590" s="7"/>
      <c r="G590" s="7"/>
      <c r="H590" s="7"/>
      <c r="I590" s="16"/>
      <c r="J590" s="16"/>
      <c r="K590" s="16"/>
      <c r="L590" s="16"/>
      <c r="M590" s="16"/>
      <c r="N590" s="6"/>
      <c r="O590" s="6"/>
      <c r="P590" s="6"/>
    </row>
    <row r="591" spans="1:16">
      <c r="A591" s="35"/>
      <c r="B591" s="36"/>
      <c r="C591" s="39"/>
      <c r="D591" s="6"/>
      <c r="E591" s="16"/>
      <c r="F591" s="7"/>
      <c r="G591" s="7"/>
      <c r="H591" s="7"/>
      <c r="I591" s="16"/>
      <c r="J591" s="16"/>
      <c r="K591" s="16"/>
      <c r="L591" s="16"/>
      <c r="M591" s="16"/>
      <c r="N591" s="6"/>
      <c r="O591" s="6"/>
      <c r="P591" s="6"/>
    </row>
    <row r="592" spans="1:16">
      <c r="A592" s="35"/>
      <c r="B592" s="36"/>
      <c r="C592" s="39"/>
      <c r="D592" s="6"/>
      <c r="E592" s="16"/>
      <c r="F592" s="7"/>
      <c r="G592" s="7"/>
      <c r="H592" s="7"/>
      <c r="I592" s="16"/>
      <c r="J592" s="16"/>
      <c r="K592" s="16"/>
      <c r="L592" s="16"/>
      <c r="M592" s="16"/>
      <c r="N592" s="6"/>
      <c r="O592" s="6"/>
      <c r="P592" s="6"/>
    </row>
    <row r="593" spans="1:16">
      <c r="A593" s="35"/>
      <c r="B593" s="36"/>
      <c r="C593" s="39"/>
      <c r="D593" s="6"/>
      <c r="E593" s="16"/>
      <c r="F593" s="7"/>
      <c r="G593" s="7"/>
      <c r="H593" s="7"/>
      <c r="I593" s="16"/>
      <c r="J593" s="16"/>
      <c r="K593" s="16"/>
      <c r="L593" s="16"/>
      <c r="M593" s="16"/>
      <c r="N593" s="6"/>
      <c r="O593" s="6"/>
      <c r="P593" s="6"/>
    </row>
    <row r="594" spans="1:16">
      <c r="A594" s="35"/>
      <c r="B594" s="36"/>
      <c r="C594" s="39"/>
      <c r="D594" s="6"/>
      <c r="E594" s="16"/>
      <c r="F594" s="7"/>
      <c r="G594" s="7"/>
      <c r="H594" s="7"/>
      <c r="I594" s="16"/>
      <c r="J594" s="16"/>
      <c r="K594" s="16"/>
      <c r="L594" s="16"/>
      <c r="M594" s="16"/>
      <c r="N594" s="6"/>
      <c r="O594" s="6"/>
      <c r="P594" s="6"/>
    </row>
    <row r="595" spans="1:16">
      <c r="A595" s="35"/>
      <c r="B595" s="36"/>
      <c r="C595" s="39"/>
      <c r="D595" s="6"/>
      <c r="E595" s="16"/>
      <c r="F595" s="7"/>
      <c r="G595" s="7"/>
      <c r="H595" s="7"/>
      <c r="I595" s="16"/>
      <c r="J595" s="16"/>
      <c r="K595" s="16"/>
      <c r="L595" s="16"/>
      <c r="M595" s="16"/>
      <c r="N595" s="6"/>
      <c r="O595" s="6"/>
      <c r="P595" s="6"/>
    </row>
    <row r="596" spans="1:16">
      <c r="A596" s="35"/>
      <c r="B596" s="36"/>
      <c r="C596" s="39"/>
      <c r="D596" s="6"/>
      <c r="E596" s="16"/>
      <c r="F596" s="7"/>
      <c r="G596" s="7"/>
      <c r="H596" s="7"/>
      <c r="I596" s="16"/>
      <c r="J596" s="16"/>
      <c r="K596" s="16"/>
      <c r="L596" s="16"/>
      <c r="M596" s="16"/>
      <c r="N596" s="6"/>
      <c r="O596" s="6"/>
      <c r="P596" s="6"/>
    </row>
    <row r="597" spans="1:16">
      <c r="A597" s="35"/>
      <c r="B597" s="36"/>
      <c r="C597" s="39"/>
      <c r="D597" s="6"/>
      <c r="E597" s="16"/>
      <c r="F597" s="7"/>
      <c r="G597" s="7"/>
      <c r="H597" s="7"/>
      <c r="I597" s="16"/>
      <c r="J597" s="16"/>
      <c r="K597" s="16"/>
      <c r="L597" s="16"/>
      <c r="M597" s="16"/>
      <c r="N597" s="6"/>
      <c r="O597" s="6"/>
      <c r="P597" s="6"/>
    </row>
    <row r="598" spans="1:16">
      <c r="A598" s="35"/>
      <c r="B598" s="36"/>
      <c r="C598" s="39"/>
      <c r="D598" s="6"/>
      <c r="E598" s="16"/>
      <c r="F598" s="7"/>
      <c r="G598" s="7"/>
      <c r="H598" s="7"/>
      <c r="I598" s="16"/>
      <c r="J598" s="16"/>
      <c r="K598" s="16"/>
      <c r="L598" s="16"/>
      <c r="M598" s="16"/>
      <c r="N598" s="6"/>
      <c r="O598" s="6"/>
      <c r="P598" s="6"/>
    </row>
    <row r="599" spans="1:16">
      <c r="A599" s="35"/>
      <c r="B599" s="36"/>
      <c r="C599" s="39"/>
      <c r="D599" s="6"/>
      <c r="E599" s="16"/>
      <c r="F599" s="7"/>
      <c r="G599" s="7"/>
      <c r="H599" s="7"/>
      <c r="I599" s="16"/>
      <c r="J599" s="16"/>
      <c r="K599" s="16"/>
      <c r="L599" s="16"/>
      <c r="M599" s="16"/>
      <c r="N599" s="6"/>
      <c r="O599" s="6"/>
      <c r="P599" s="6"/>
    </row>
    <row r="600" spans="1:16">
      <c r="A600" s="35"/>
      <c r="B600" s="36"/>
      <c r="C600" s="39"/>
      <c r="D600" s="6"/>
      <c r="E600" s="16"/>
      <c r="F600" s="7"/>
      <c r="G600" s="7"/>
      <c r="H600" s="7"/>
      <c r="I600" s="16"/>
      <c r="J600" s="16"/>
      <c r="K600" s="16"/>
      <c r="L600" s="16"/>
      <c r="M600" s="16"/>
      <c r="N600" s="6"/>
      <c r="O600" s="6"/>
      <c r="P600" s="6"/>
    </row>
    <row r="601" spans="1:16">
      <c r="A601" s="35"/>
      <c r="B601" s="36"/>
      <c r="C601" s="39"/>
      <c r="D601" s="6"/>
      <c r="E601" s="16"/>
      <c r="F601" s="7"/>
      <c r="G601" s="7"/>
      <c r="H601" s="7"/>
      <c r="I601" s="16"/>
      <c r="J601" s="16"/>
      <c r="K601" s="16"/>
      <c r="L601" s="16"/>
      <c r="M601" s="16"/>
      <c r="N601" s="6"/>
      <c r="O601" s="6"/>
      <c r="P601" s="6"/>
    </row>
    <row r="602" spans="1:16">
      <c r="A602" s="35"/>
      <c r="B602" s="36"/>
      <c r="C602" s="39"/>
      <c r="D602" s="6"/>
      <c r="E602" s="16"/>
      <c r="F602" s="7"/>
      <c r="G602" s="7"/>
      <c r="H602" s="7"/>
      <c r="I602" s="16"/>
      <c r="J602" s="16"/>
      <c r="K602" s="16"/>
      <c r="L602" s="16"/>
      <c r="M602" s="16"/>
      <c r="N602" s="6"/>
      <c r="O602" s="6"/>
      <c r="P602" s="6"/>
    </row>
    <row r="603" spans="1:16">
      <c r="A603" s="35"/>
      <c r="B603" s="36"/>
      <c r="C603" s="39"/>
      <c r="D603" s="6"/>
      <c r="E603" s="16"/>
      <c r="F603" s="7"/>
      <c r="G603" s="7"/>
      <c r="H603" s="7"/>
      <c r="I603" s="16"/>
      <c r="J603" s="16"/>
      <c r="K603" s="16"/>
      <c r="L603" s="16"/>
      <c r="M603" s="16"/>
      <c r="N603" s="6"/>
      <c r="O603" s="6"/>
      <c r="P603" s="6"/>
    </row>
    <row r="604" spans="1:16">
      <c r="A604" s="35"/>
      <c r="B604" s="36"/>
      <c r="C604" s="39"/>
      <c r="D604" s="6"/>
      <c r="E604" s="16"/>
      <c r="F604" s="7"/>
      <c r="G604" s="7"/>
      <c r="H604" s="7"/>
      <c r="I604" s="16"/>
      <c r="J604" s="16"/>
      <c r="K604" s="16"/>
      <c r="L604" s="16"/>
      <c r="M604" s="16"/>
      <c r="N604" s="6"/>
      <c r="O604" s="6"/>
      <c r="P604" s="6"/>
    </row>
    <row r="605" spans="1:16">
      <c r="A605" s="35"/>
      <c r="B605" s="36"/>
      <c r="C605" s="39"/>
      <c r="D605" s="6"/>
      <c r="E605" s="16"/>
      <c r="F605" s="7"/>
      <c r="G605" s="7"/>
      <c r="H605" s="7"/>
      <c r="I605" s="16"/>
      <c r="J605" s="16"/>
      <c r="K605" s="16"/>
      <c r="L605" s="16"/>
      <c r="M605" s="16"/>
      <c r="N605" s="6"/>
      <c r="O605" s="6"/>
      <c r="P605" s="6"/>
    </row>
    <row r="606" spans="1:16">
      <c r="A606" s="35"/>
      <c r="B606" s="36"/>
      <c r="C606" s="39"/>
      <c r="D606" s="6"/>
      <c r="E606" s="16"/>
      <c r="F606" s="7"/>
      <c r="G606" s="7"/>
      <c r="H606" s="7"/>
      <c r="I606" s="16"/>
      <c r="J606" s="16"/>
      <c r="K606" s="16"/>
      <c r="L606" s="16"/>
      <c r="M606" s="16"/>
      <c r="N606" s="6"/>
      <c r="O606" s="6"/>
      <c r="P606" s="6"/>
    </row>
    <row r="607" spans="1:16">
      <c r="A607" s="35"/>
      <c r="B607" s="36"/>
      <c r="C607" s="39"/>
      <c r="D607" s="6"/>
      <c r="E607" s="16"/>
      <c r="F607" s="7"/>
      <c r="G607" s="7"/>
      <c r="H607" s="7"/>
      <c r="I607" s="16"/>
      <c r="J607" s="16"/>
      <c r="K607" s="16"/>
      <c r="L607" s="16"/>
      <c r="M607" s="16"/>
      <c r="N607" s="6"/>
      <c r="O607" s="6"/>
      <c r="P607" s="6"/>
    </row>
    <row r="608" spans="1:16">
      <c r="A608" s="35"/>
      <c r="B608" s="36"/>
      <c r="C608" s="39"/>
      <c r="D608" s="6"/>
      <c r="E608" s="16"/>
      <c r="F608" s="7"/>
      <c r="G608" s="7"/>
      <c r="H608" s="7"/>
      <c r="I608" s="16"/>
      <c r="J608" s="16"/>
      <c r="K608" s="16"/>
      <c r="L608" s="16"/>
      <c r="M608" s="16"/>
      <c r="N608" s="6"/>
      <c r="O608" s="6"/>
      <c r="P608" s="6"/>
    </row>
    <row r="609" spans="1:16">
      <c r="A609" s="35"/>
      <c r="B609" s="36"/>
      <c r="C609" s="39"/>
      <c r="D609" s="6"/>
      <c r="E609" s="16"/>
      <c r="F609" s="7"/>
      <c r="G609" s="7"/>
      <c r="H609" s="7"/>
      <c r="I609" s="16"/>
      <c r="J609" s="16"/>
      <c r="K609" s="16"/>
      <c r="L609" s="16"/>
      <c r="M609" s="16"/>
      <c r="N609" s="6"/>
      <c r="O609" s="6"/>
      <c r="P609" s="6"/>
    </row>
    <row r="610" spans="1:16">
      <c r="A610" s="35"/>
      <c r="B610" s="36"/>
      <c r="C610" s="39"/>
      <c r="D610" s="6"/>
      <c r="E610" s="16"/>
      <c r="F610" s="7"/>
      <c r="G610" s="7"/>
      <c r="H610" s="7"/>
      <c r="I610" s="16"/>
      <c r="J610" s="16"/>
      <c r="K610" s="16"/>
      <c r="L610" s="16"/>
      <c r="M610" s="16"/>
      <c r="N610" s="6"/>
      <c r="O610" s="6"/>
      <c r="P610" s="6"/>
    </row>
    <row r="611" spans="1:16">
      <c r="A611" s="35"/>
      <c r="B611" s="36"/>
      <c r="C611" s="39"/>
      <c r="D611" s="6"/>
      <c r="E611" s="16"/>
      <c r="F611" s="7"/>
      <c r="G611" s="7"/>
      <c r="H611" s="7"/>
      <c r="I611" s="16"/>
      <c r="J611" s="16"/>
      <c r="K611" s="16"/>
      <c r="L611" s="16"/>
      <c r="M611" s="16"/>
      <c r="N611" s="6"/>
      <c r="O611" s="6"/>
      <c r="P611" s="6"/>
    </row>
    <row r="612" spans="1:16">
      <c r="A612" s="35"/>
      <c r="B612" s="36"/>
      <c r="C612" s="39"/>
      <c r="D612" s="6"/>
      <c r="E612" s="16"/>
      <c r="F612" s="7"/>
      <c r="G612" s="7"/>
      <c r="H612" s="7"/>
      <c r="I612" s="16"/>
      <c r="J612" s="16"/>
      <c r="K612" s="16"/>
      <c r="L612" s="16"/>
      <c r="M612" s="16"/>
      <c r="N612" s="6"/>
      <c r="O612" s="6"/>
      <c r="P612" s="6"/>
    </row>
    <row r="613" spans="1:16">
      <c r="A613" s="35"/>
      <c r="B613" s="36"/>
      <c r="C613" s="39"/>
      <c r="D613" s="6"/>
      <c r="E613" s="16"/>
      <c r="F613" s="7"/>
      <c r="G613" s="7"/>
      <c r="H613" s="7"/>
      <c r="I613" s="16"/>
      <c r="J613" s="16"/>
      <c r="K613" s="16"/>
      <c r="L613" s="16"/>
      <c r="M613" s="16"/>
      <c r="N613" s="6"/>
      <c r="O613" s="6"/>
      <c r="P613" s="6"/>
    </row>
    <row r="614" spans="1:16">
      <c r="A614" s="35"/>
      <c r="B614" s="36"/>
      <c r="C614" s="39"/>
      <c r="D614" s="6"/>
      <c r="E614" s="16"/>
      <c r="F614" s="7"/>
      <c r="G614" s="7"/>
      <c r="H614" s="7"/>
      <c r="I614" s="16"/>
      <c r="J614" s="16"/>
      <c r="K614" s="16"/>
      <c r="L614" s="16"/>
      <c r="M614" s="16"/>
      <c r="N614" s="6"/>
      <c r="O614" s="6"/>
      <c r="P614" s="6"/>
    </row>
    <row r="615" spans="1:16">
      <c r="A615" s="35"/>
      <c r="B615" s="36"/>
      <c r="C615" s="39"/>
      <c r="D615" s="6"/>
      <c r="E615" s="16"/>
      <c r="F615" s="7"/>
      <c r="G615" s="7"/>
      <c r="H615" s="7"/>
      <c r="I615" s="16"/>
      <c r="J615" s="16"/>
      <c r="K615" s="16"/>
      <c r="L615" s="16"/>
      <c r="M615" s="16"/>
      <c r="N615" s="6"/>
      <c r="O615" s="6"/>
      <c r="P615" s="6"/>
    </row>
    <row r="616" spans="1:16">
      <c r="A616" s="35"/>
      <c r="B616" s="36"/>
      <c r="C616" s="39"/>
      <c r="D616" s="6"/>
      <c r="E616" s="16"/>
      <c r="F616" s="7"/>
      <c r="G616" s="7"/>
      <c r="H616" s="7"/>
      <c r="I616" s="16"/>
      <c r="J616" s="16"/>
      <c r="K616" s="16"/>
      <c r="L616" s="16"/>
      <c r="M616" s="16"/>
      <c r="N616" s="6"/>
      <c r="O616" s="6"/>
      <c r="P616" s="6"/>
    </row>
    <row r="617" spans="1:16">
      <c r="A617" s="35"/>
      <c r="B617" s="36"/>
      <c r="C617" s="39"/>
      <c r="D617" s="6"/>
      <c r="E617" s="16"/>
      <c r="F617" s="7"/>
      <c r="G617" s="7"/>
      <c r="H617" s="7"/>
      <c r="I617" s="16"/>
      <c r="J617" s="16"/>
      <c r="K617" s="16"/>
      <c r="L617" s="16"/>
      <c r="M617" s="16"/>
      <c r="N617" s="6"/>
      <c r="O617" s="6"/>
      <c r="P617" s="6"/>
    </row>
    <row r="618" spans="1:16">
      <c r="A618" s="35"/>
      <c r="B618" s="36"/>
      <c r="C618" s="39"/>
      <c r="D618" s="6"/>
      <c r="E618" s="16"/>
      <c r="F618" s="7"/>
      <c r="G618" s="7"/>
      <c r="H618" s="7"/>
      <c r="I618" s="16"/>
      <c r="J618" s="16"/>
      <c r="K618" s="16"/>
      <c r="L618" s="16"/>
      <c r="M618" s="16"/>
      <c r="N618" s="6"/>
      <c r="O618" s="6"/>
      <c r="P618" s="6"/>
    </row>
    <row r="619" spans="1:16">
      <c r="A619" s="35"/>
      <c r="B619" s="36"/>
      <c r="C619" s="39"/>
      <c r="D619" s="6"/>
      <c r="E619" s="16"/>
      <c r="F619" s="7"/>
      <c r="G619" s="7"/>
      <c r="H619" s="7"/>
      <c r="I619" s="16"/>
      <c r="J619" s="16"/>
      <c r="K619" s="16"/>
      <c r="L619" s="16"/>
      <c r="M619" s="16"/>
      <c r="N619" s="6"/>
      <c r="O619" s="6"/>
      <c r="P619" s="6"/>
    </row>
    <row r="620" spans="1:16">
      <c r="A620" s="35"/>
      <c r="B620" s="36"/>
      <c r="C620" s="39"/>
      <c r="D620" s="6"/>
      <c r="E620" s="16"/>
      <c r="F620" s="7"/>
      <c r="G620" s="7"/>
      <c r="H620" s="7"/>
      <c r="I620" s="16"/>
      <c r="J620" s="16"/>
      <c r="K620" s="16"/>
      <c r="L620" s="16"/>
      <c r="M620" s="16"/>
      <c r="N620" s="6"/>
      <c r="O620" s="6"/>
      <c r="P620" s="6"/>
    </row>
    <row r="621" spans="1:16">
      <c r="A621" s="35"/>
      <c r="B621" s="36"/>
      <c r="C621" s="39"/>
      <c r="D621" s="6"/>
      <c r="E621" s="16"/>
      <c r="F621" s="7"/>
      <c r="G621" s="7"/>
      <c r="H621" s="7"/>
      <c r="I621" s="16"/>
      <c r="J621" s="16"/>
      <c r="K621" s="16"/>
      <c r="L621" s="16"/>
      <c r="M621" s="16"/>
      <c r="N621" s="6"/>
      <c r="O621" s="6"/>
      <c r="P621" s="6"/>
    </row>
    <row r="622" spans="1:16">
      <c r="A622" s="35"/>
      <c r="B622" s="36"/>
      <c r="C622" s="39"/>
      <c r="D622" s="6"/>
      <c r="E622" s="16"/>
      <c r="F622" s="7"/>
      <c r="G622" s="7"/>
      <c r="H622" s="7"/>
      <c r="I622" s="16"/>
      <c r="J622" s="16"/>
      <c r="K622" s="16"/>
      <c r="L622" s="16"/>
      <c r="M622" s="16"/>
      <c r="N622" s="6"/>
      <c r="O622" s="6"/>
      <c r="P622" s="6"/>
    </row>
    <row r="623" spans="1:16">
      <c r="A623" s="35"/>
      <c r="B623" s="36"/>
      <c r="C623" s="39"/>
      <c r="D623" s="6"/>
      <c r="E623" s="16"/>
      <c r="F623" s="7"/>
      <c r="G623" s="7"/>
      <c r="H623" s="7"/>
      <c r="I623" s="16"/>
      <c r="J623" s="16"/>
      <c r="K623" s="16"/>
      <c r="L623" s="16"/>
      <c r="M623" s="16"/>
      <c r="N623" s="6"/>
      <c r="O623" s="6"/>
      <c r="P623" s="6"/>
    </row>
    <row r="624" spans="1:16">
      <c r="A624" s="35"/>
      <c r="B624" s="36"/>
      <c r="C624" s="39"/>
      <c r="D624" s="6"/>
      <c r="E624" s="16"/>
      <c r="F624" s="7"/>
      <c r="G624" s="7"/>
      <c r="H624" s="7"/>
      <c r="I624" s="16"/>
      <c r="J624" s="16"/>
      <c r="K624" s="16"/>
      <c r="L624" s="16"/>
      <c r="M624" s="16"/>
      <c r="N624" s="6"/>
      <c r="O624" s="6"/>
      <c r="P624" s="6"/>
    </row>
    <row r="625" spans="1:16">
      <c r="A625" s="35"/>
      <c r="B625" s="36"/>
      <c r="C625" s="39"/>
      <c r="D625" s="6"/>
      <c r="E625" s="16"/>
      <c r="F625" s="7"/>
      <c r="G625" s="7"/>
      <c r="H625" s="7"/>
      <c r="I625" s="16"/>
      <c r="J625" s="16"/>
      <c r="K625" s="16"/>
      <c r="L625" s="16"/>
      <c r="M625" s="16"/>
      <c r="N625" s="6"/>
      <c r="O625" s="6"/>
      <c r="P625" s="6"/>
    </row>
    <row r="626" spans="1:16">
      <c r="A626" s="35"/>
      <c r="B626" s="36"/>
      <c r="C626" s="39"/>
      <c r="D626" s="6"/>
      <c r="E626" s="16"/>
      <c r="F626" s="7"/>
      <c r="G626" s="7"/>
      <c r="H626" s="7"/>
      <c r="I626" s="16"/>
      <c r="J626" s="16"/>
      <c r="K626" s="16"/>
      <c r="L626" s="16"/>
      <c r="M626" s="16"/>
      <c r="N626" s="6"/>
      <c r="O626" s="6"/>
      <c r="P626" s="6"/>
    </row>
    <row r="627" spans="1:16">
      <c r="A627" s="35"/>
      <c r="B627" s="36"/>
      <c r="C627" s="39"/>
      <c r="D627" s="6"/>
      <c r="E627" s="16"/>
      <c r="F627" s="7"/>
      <c r="G627" s="7"/>
      <c r="H627" s="7"/>
      <c r="I627" s="16"/>
      <c r="J627" s="16"/>
      <c r="K627" s="16"/>
      <c r="L627" s="16"/>
      <c r="M627" s="16"/>
      <c r="N627" s="6"/>
      <c r="O627" s="6"/>
      <c r="P627" s="6"/>
    </row>
    <row r="628" spans="1:16">
      <c r="A628" s="35"/>
      <c r="B628" s="36"/>
      <c r="C628" s="39"/>
      <c r="D628" s="6"/>
      <c r="E628" s="16"/>
      <c r="F628" s="7"/>
      <c r="G628" s="7"/>
      <c r="H628" s="7"/>
      <c r="I628" s="16"/>
      <c r="J628" s="16"/>
      <c r="K628" s="16"/>
      <c r="L628" s="16"/>
      <c r="M628" s="16"/>
      <c r="N628" s="6"/>
      <c r="O628" s="6"/>
      <c r="P628" s="6"/>
    </row>
    <row r="629" spans="1:16">
      <c r="A629" s="35"/>
      <c r="B629" s="36"/>
      <c r="C629" s="39"/>
      <c r="D629" s="6"/>
      <c r="E629" s="16"/>
      <c r="F629" s="7"/>
      <c r="G629" s="7"/>
      <c r="H629" s="7"/>
      <c r="I629" s="16"/>
      <c r="J629" s="16"/>
      <c r="K629" s="16"/>
      <c r="L629" s="16"/>
      <c r="M629" s="16"/>
      <c r="N629" s="6"/>
      <c r="O629" s="6"/>
      <c r="P629" s="6"/>
    </row>
    <row r="630" spans="1:16">
      <c r="A630" s="35"/>
      <c r="B630" s="36"/>
      <c r="C630" s="39"/>
      <c r="D630" s="6"/>
      <c r="E630" s="16"/>
      <c r="F630" s="7"/>
      <c r="G630" s="7"/>
      <c r="H630" s="7"/>
      <c r="I630" s="16"/>
      <c r="J630" s="16"/>
      <c r="K630" s="16"/>
      <c r="L630" s="16"/>
      <c r="M630" s="16"/>
      <c r="N630" s="6"/>
      <c r="O630" s="6"/>
      <c r="P630" s="6"/>
    </row>
    <row r="631" spans="1:16">
      <c r="A631" s="35"/>
      <c r="B631" s="36"/>
      <c r="C631" s="39"/>
      <c r="D631" s="6"/>
      <c r="E631" s="16"/>
      <c r="F631" s="7"/>
      <c r="G631" s="7"/>
      <c r="H631" s="7"/>
      <c r="I631" s="16"/>
      <c r="J631" s="16"/>
      <c r="K631" s="16"/>
      <c r="L631" s="16"/>
      <c r="M631" s="16"/>
      <c r="N631" s="6"/>
      <c r="O631" s="6"/>
      <c r="P631" s="6"/>
    </row>
    <row r="632" spans="1:16">
      <c r="A632" s="35"/>
      <c r="B632" s="36"/>
      <c r="C632" s="39"/>
      <c r="D632" s="6"/>
      <c r="E632" s="16"/>
      <c r="F632" s="7"/>
      <c r="G632" s="7"/>
      <c r="H632" s="7"/>
      <c r="I632" s="16"/>
      <c r="J632" s="16"/>
      <c r="K632" s="16"/>
      <c r="L632" s="16"/>
      <c r="M632" s="16"/>
      <c r="N632" s="6"/>
      <c r="O632" s="6"/>
      <c r="P632" s="6"/>
    </row>
    <row r="633" spans="1:16">
      <c r="A633" s="35"/>
      <c r="B633" s="36"/>
      <c r="C633" s="39"/>
      <c r="D633" s="6"/>
      <c r="E633" s="16"/>
      <c r="F633" s="7"/>
      <c r="G633" s="7"/>
      <c r="H633" s="7"/>
      <c r="I633" s="16"/>
      <c r="J633" s="16"/>
      <c r="K633" s="16"/>
      <c r="L633" s="16"/>
      <c r="M633" s="16"/>
      <c r="N633" s="6"/>
      <c r="O633" s="6"/>
      <c r="P633" s="6"/>
    </row>
    <row r="634" spans="1:16">
      <c r="A634" s="35"/>
      <c r="B634" s="36"/>
      <c r="C634" s="39"/>
      <c r="D634" s="6"/>
      <c r="E634" s="16"/>
      <c r="F634" s="7"/>
      <c r="G634" s="7"/>
      <c r="H634" s="7"/>
      <c r="I634" s="16"/>
      <c r="J634" s="16"/>
      <c r="K634" s="16"/>
      <c r="L634" s="16"/>
      <c r="M634" s="16"/>
      <c r="N634" s="6"/>
      <c r="O634" s="6"/>
      <c r="P634" s="6"/>
    </row>
    <row r="635" spans="1:16">
      <c r="A635" s="35"/>
      <c r="B635" s="36"/>
      <c r="C635" s="39"/>
      <c r="D635" s="6"/>
      <c r="E635" s="16"/>
      <c r="F635" s="7"/>
      <c r="G635" s="7"/>
      <c r="H635" s="7"/>
      <c r="I635" s="16"/>
      <c r="J635" s="16"/>
      <c r="K635" s="16"/>
      <c r="L635" s="16"/>
      <c r="M635" s="16"/>
      <c r="N635" s="6"/>
      <c r="O635" s="6"/>
      <c r="P635" s="6"/>
    </row>
    <row r="636" spans="1:16">
      <c r="A636" s="35"/>
      <c r="B636" s="36"/>
      <c r="C636" s="39"/>
      <c r="D636" s="6"/>
      <c r="E636" s="16"/>
      <c r="F636" s="7"/>
      <c r="G636" s="7"/>
      <c r="H636" s="7"/>
      <c r="I636" s="16"/>
      <c r="J636" s="16"/>
      <c r="K636" s="16"/>
      <c r="L636" s="16"/>
      <c r="M636" s="16"/>
      <c r="N636" s="6"/>
      <c r="O636" s="6"/>
      <c r="P636" s="6"/>
    </row>
    <row r="637" spans="1:16">
      <c r="A637" s="35"/>
      <c r="B637" s="36"/>
      <c r="C637" s="39"/>
      <c r="D637" s="6"/>
      <c r="E637" s="16"/>
      <c r="F637" s="7"/>
      <c r="G637" s="7"/>
      <c r="H637" s="7"/>
      <c r="I637" s="16"/>
      <c r="J637" s="16"/>
      <c r="K637" s="16"/>
      <c r="L637" s="16"/>
      <c r="M637" s="16"/>
      <c r="N637" s="6"/>
      <c r="O637" s="6"/>
      <c r="P637" s="6"/>
    </row>
    <row r="638" spans="1:16">
      <c r="A638" s="35"/>
      <c r="B638" s="36"/>
      <c r="C638" s="39"/>
      <c r="D638" s="6"/>
      <c r="E638" s="16"/>
      <c r="F638" s="7"/>
      <c r="G638" s="7"/>
      <c r="H638" s="7"/>
      <c r="I638" s="16"/>
      <c r="J638" s="16"/>
      <c r="K638" s="16"/>
      <c r="L638" s="16"/>
      <c r="M638" s="16"/>
      <c r="N638" s="6"/>
      <c r="O638" s="6"/>
      <c r="P638" s="6"/>
    </row>
    <row r="639" spans="1:16">
      <c r="A639" s="35"/>
      <c r="B639" s="36"/>
      <c r="C639" s="39"/>
      <c r="D639" s="6"/>
      <c r="E639" s="16"/>
      <c r="F639" s="7"/>
      <c r="G639" s="7"/>
      <c r="H639" s="7"/>
      <c r="I639" s="16"/>
      <c r="J639" s="16"/>
      <c r="K639" s="16"/>
      <c r="L639" s="16"/>
      <c r="M639" s="16"/>
      <c r="N639" s="6"/>
      <c r="O639" s="6"/>
      <c r="P639" s="6"/>
    </row>
    <row r="640" spans="1:16">
      <c r="A640" s="35"/>
      <c r="B640" s="36"/>
      <c r="C640" s="39"/>
      <c r="D640" s="6"/>
      <c r="E640" s="16"/>
      <c r="F640" s="7"/>
      <c r="G640" s="7"/>
      <c r="H640" s="7"/>
      <c r="I640" s="16"/>
      <c r="J640" s="16"/>
      <c r="K640" s="16"/>
      <c r="L640" s="16"/>
      <c r="M640" s="16"/>
      <c r="N640" s="6"/>
      <c r="O640" s="6"/>
      <c r="P640" s="6"/>
    </row>
    <row r="641" spans="1:16">
      <c r="A641" s="35"/>
      <c r="B641" s="36"/>
      <c r="C641" s="39"/>
      <c r="D641" s="6"/>
      <c r="E641" s="16"/>
      <c r="F641" s="7"/>
      <c r="G641" s="7"/>
      <c r="H641" s="7"/>
      <c r="I641" s="16"/>
      <c r="J641" s="16"/>
      <c r="K641" s="16"/>
      <c r="L641" s="16"/>
      <c r="M641" s="16"/>
      <c r="N641" s="6"/>
      <c r="O641" s="6"/>
      <c r="P641" s="6"/>
    </row>
    <row r="642" spans="1:16">
      <c r="A642" s="35"/>
      <c r="B642" s="36"/>
      <c r="C642" s="39"/>
      <c r="D642" s="6"/>
      <c r="E642" s="16"/>
      <c r="F642" s="7"/>
      <c r="G642" s="7"/>
      <c r="H642" s="7"/>
      <c r="I642" s="16"/>
      <c r="J642" s="16"/>
      <c r="K642" s="16"/>
      <c r="L642" s="16"/>
      <c r="M642" s="16"/>
      <c r="N642" s="6"/>
      <c r="O642" s="6"/>
      <c r="P642" s="6"/>
    </row>
    <row r="643" spans="1:16">
      <c r="A643" s="35"/>
      <c r="B643" s="36"/>
      <c r="C643" s="39"/>
      <c r="D643" s="6"/>
      <c r="E643" s="16"/>
      <c r="F643" s="7"/>
      <c r="G643" s="7"/>
      <c r="H643" s="7"/>
      <c r="I643" s="16"/>
      <c r="J643" s="16"/>
      <c r="K643" s="16"/>
      <c r="L643" s="16"/>
      <c r="M643" s="16"/>
      <c r="N643" s="6"/>
      <c r="O643" s="6"/>
      <c r="P643" s="6"/>
    </row>
    <row r="644" spans="1:16">
      <c r="A644" s="35"/>
      <c r="B644" s="36"/>
      <c r="C644" s="39"/>
      <c r="D644" s="6"/>
      <c r="E644" s="16"/>
      <c r="F644" s="7"/>
      <c r="G644" s="7"/>
      <c r="H644" s="7"/>
      <c r="I644" s="16"/>
      <c r="J644" s="16"/>
      <c r="K644" s="16"/>
      <c r="L644" s="16"/>
      <c r="M644" s="16"/>
      <c r="N644" s="6"/>
      <c r="O644" s="6"/>
      <c r="P644" s="6"/>
    </row>
    <row r="645" spans="1:16">
      <c r="A645" s="35"/>
      <c r="B645" s="36"/>
      <c r="C645" s="39"/>
      <c r="D645" s="6"/>
      <c r="E645" s="16"/>
      <c r="F645" s="7"/>
      <c r="G645" s="7"/>
      <c r="H645" s="7"/>
      <c r="I645" s="16"/>
      <c r="J645" s="16"/>
      <c r="K645" s="16"/>
      <c r="L645" s="16"/>
      <c r="M645" s="16"/>
      <c r="N645" s="6"/>
      <c r="O645" s="6"/>
      <c r="P645" s="6"/>
    </row>
    <row r="646" spans="1:16">
      <c r="A646" s="35"/>
      <c r="B646" s="36"/>
      <c r="C646" s="39"/>
      <c r="D646" s="6"/>
      <c r="E646" s="16"/>
      <c r="F646" s="7"/>
      <c r="G646" s="7"/>
      <c r="H646" s="7"/>
      <c r="I646" s="16"/>
      <c r="J646" s="16"/>
      <c r="K646" s="16"/>
      <c r="L646" s="16"/>
      <c r="M646" s="16"/>
      <c r="N646" s="6"/>
      <c r="O646" s="6"/>
      <c r="P646" s="6"/>
    </row>
    <row r="647" spans="1:16">
      <c r="A647" s="35"/>
      <c r="B647" s="36"/>
      <c r="C647" s="39"/>
      <c r="D647" s="6"/>
      <c r="E647" s="16"/>
      <c r="F647" s="7"/>
      <c r="G647" s="7"/>
      <c r="H647" s="7"/>
      <c r="I647" s="16"/>
      <c r="J647" s="16"/>
      <c r="K647" s="16"/>
      <c r="L647" s="16"/>
      <c r="M647" s="16"/>
      <c r="N647" s="6"/>
      <c r="O647" s="6"/>
      <c r="P647" s="6"/>
    </row>
    <row r="648" spans="1:16">
      <c r="A648" s="35"/>
      <c r="B648" s="36"/>
      <c r="C648" s="39"/>
      <c r="D648" s="6"/>
      <c r="E648" s="16"/>
      <c r="F648" s="7"/>
      <c r="G648" s="7"/>
      <c r="H648" s="7"/>
      <c r="I648" s="16"/>
      <c r="J648" s="16"/>
      <c r="K648" s="16"/>
      <c r="L648" s="16"/>
      <c r="M648" s="16"/>
      <c r="N648" s="6"/>
      <c r="O648" s="6"/>
      <c r="P648" s="6"/>
    </row>
    <row r="649" spans="1:16">
      <c r="A649" s="35"/>
      <c r="B649" s="36"/>
      <c r="C649" s="39"/>
      <c r="D649" s="6"/>
      <c r="E649" s="16"/>
      <c r="F649" s="7"/>
      <c r="G649" s="7"/>
      <c r="H649" s="7"/>
      <c r="I649" s="16"/>
      <c r="J649" s="16"/>
      <c r="K649" s="16"/>
      <c r="L649" s="16"/>
      <c r="M649" s="16"/>
      <c r="N649" s="6"/>
      <c r="O649" s="6"/>
      <c r="P649" s="6"/>
    </row>
    <row r="650" spans="1:16">
      <c r="A650" s="35"/>
      <c r="B650" s="36"/>
      <c r="C650" s="39"/>
      <c r="D650" s="6"/>
      <c r="E650" s="16"/>
      <c r="F650" s="7"/>
      <c r="G650" s="7"/>
      <c r="H650" s="7"/>
      <c r="I650" s="16"/>
      <c r="J650" s="16"/>
      <c r="K650" s="16"/>
      <c r="L650" s="16"/>
      <c r="M650" s="16"/>
      <c r="N650" s="6"/>
      <c r="O650" s="6"/>
      <c r="P650" s="6"/>
    </row>
    <row r="651" spans="1:16">
      <c r="A651" s="35"/>
      <c r="B651" s="36"/>
      <c r="C651" s="39"/>
      <c r="D651" s="6"/>
      <c r="E651" s="16"/>
      <c r="F651" s="7"/>
      <c r="G651" s="7"/>
      <c r="H651" s="7"/>
      <c r="I651" s="16"/>
      <c r="J651" s="16"/>
      <c r="K651" s="16"/>
      <c r="L651" s="16"/>
      <c r="M651" s="16"/>
      <c r="N651" s="6"/>
      <c r="O651" s="6"/>
      <c r="P651" s="6"/>
    </row>
    <row r="652" spans="1:16">
      <c r="A652" s="35"/>
      <c r="B652" s="36"/>
      <c r="C652" s="39"/>
      <c r="D652" s="6"/>
      <c r="E652" s="16"/>
      <c r="F652" s="7"/>
      <c r="G652" s="7"/>
      <c r="H652" s="7"/>
      <c r="I652" s="16"/>
      <c r="J652" s="16"/>
      <c r="K652" s="16"/>
      <c r="L652" s="16"/>
      <c r="M652" s="16"/>
      <c r="N652" s="6"/>
      <c r="O652" s="6"/>
      <c r="P652" s="6"/>
    </row>
    <row r="653" spans="1:16">
      <c r="A653" s="35"/>
      <c r="B653" s="36"/>
      <c r="C653" s="39"/>
      <c r="D653" s="6"/>
      <c r="E653" s="16"/>
      <c r="F653" s="7"/>
      <c r="G653" s="7"/>
      <c r="H653" s="7"/>
      <c r="I653" s="16"/>
      <c r="J653" s="16"/>
      <c r="K653" s="16"/>
      <c r="L653" s="16"/>
      <c r="M653" s="16"/>
      <c r="N653" s="6"/>
      <c r="O653" s="6"/>
      <c r="P653" s="6"/>
    </row>
    <row r="654" spans="1:16">
      <c r="A654" s="35"/>
      <c r="B654" s="36"/>
      <c r="C654" s="39"/>
      <c r="D654" s="6"/>
      <c r="E654" s="16"/>
      <c r="F654" s="7"/>
      <c r="G654" s="7"/>
      <c r="H654" s="7"/>
      <c r="I654" s="16"/>
      <c r="J654" s="16"/>
      <c r="K654" s="16"/>
      <c r="L654" s="16"/>
      <c r="M654" s="16"/>
      <c r="N654" s="6"/>
      <c r="O654" s="6"/>
      <c r="P654" s="6"/>
    </row>
    <row r="655" spans="1:16">
      <c r="A655" s="35"/>
      <c r="B655" s="36"/>
      <c r="C655" s="39"/>
      <c r="D655" s="6"/>
      <c r="E655" s="16"/>
      <c r="F655" s="7"/>
      <c r="G655" s="7"/>
      <c r="H655" s="7"/>
      <c r="I655" s="16"/>
      <c r="J655" s="16"/>
      <c r="K655" s="16"/>
      <c r="L655" s="16"/>
      <c r="M655" s="16"/>
      <c r="N655" s="6"/>
      <c r="O655" s="6"/>
      <c r="P655" s="6"/>
    </row>
    <row r="656" spans="1:16">
      <c r="A656" s="35"/>
      <c r="B656" s="36"/>
      <c r="C656" s="39"/>
      <c r="D656" s="6"/>
      <c r="E656" s="16"/>
      <c r="F656" s="7"/>
      <c r="G656" s="7"/>
      <c r="H656" s="7"/>
      <c r="I656" s="16"/>
      <c r="J656" s="16"/>
      <c r="K656" s="16"/>
      <c r="L656" s="16"/>
      <c r="M656" s="16"/>
      <c r="N656" s="6"/>
      <c r="O656" s="6"/>
      <c r="P656" s="6"/>
    </row>
    <row r="657" spans="1:16">
      <c r="A657" s="35"/>
      <c r="B657" s="36"/>
      <c r="C657" s="39"/>
      <c r="D657" s="6"/>
      <c r="E657" s="16"/>
      <c r="F657" s="7"/>
      <c r="G657" s="7"/>
      <c r="H657" s="7"/>
      <c r="I657" s="16"/>
      <c r="J657" s="16"/>
      <c r="K657" s="16"/>
      <c r="L657" s="16"/>
      <c r="M657" s="16"/>
      <c r="N657" s="6"/>
      <c r="O657" s="6"/>
      <c r="P657" s="6"/>
    </row>
    <row r="658" spans="1:16">
      <c r="A658" s="35"/>
      <c r="B658" s="36"/>
      <c r="C658" s="39"/>
      <c r="D658" s="6"/>
      <c r="E658" s="16"/>
      <c r="F658" s="7"/>
      <c r="G658" s="7"/>
      <c r="H658" s="7"/>
      <c r="I658" s="16"/>
      <c r="J658" s="16"/>
      <c r="K658" s="16"/>
      <c r="L658" s="16"/>
      <c r="M658" s="16"/>
      <c r="N658" s="6"/>
      <c r="O658" s="6"/>
      <c r="P658" s="6"/>
    </row>
    <row r="659" spans="1:16">
      <c r="A659" s="35"/>
      <c r="B659" s="36"/>
      <c r="C659" s="39"/>
      <c r="D659" s="6"/>
      <c r="E659" s="16"/>
      <c r="F659" s="7"/>
      <c r="G659" s="7"/>
      <c r="H659" s="7"/>
      <c r="I659" s="16"/>
      <c r="J659" s="16"/>
      <c r="K659" s="16"/>
      <c r="L659" s="16"/>
      <c r="M659" s="16"/>
      <c r="N659" s="6"/>
      <c r="O659" s="6"/>
      <c r="P659" s="6"/>
    </row>
    <row r="660" spans="1:16">
      <c r="A660" s="35"/>
      <c r="B660" s="36"/>
      <c r="C660" s="39"/>
      <c r="D660" s="6"/>
      <c r="E660" s="16"/>
      <c r="F660" s="7"/>
      <c r="G660" s="7"/>
      <c r="H660" s="7"/>
      <c r="I660" s="16"/>
      <c r="J660" s="16"/>
      <c r="K660" s="16"/>
      <c r="L660" s="16"/>
      <c r="M660" s="16"/>
      <c r="N660" s="6"/>
      <c r="O660" s="6"/>
      <c r="P660" s="6"/>
    </row>
    <row r="661" spans="1:16">
      <c r="A661" s="35"/>
      <c r="B661" s="36"/>
      <c r="C661" s="39"/>
      <c r="D661" s="6"/>
      <c r="E661" s="16"/>
      <c r="F661" s="7"/>
      <c r="G661" s="7"/>
      <c r="H661" s="7"/>
      <c r="I661" s="16"/>
      <c r="J661" s="16"/>
      <c r="K661" s="16"/>
      <c r="L661" s="16"/>
      <c r="M661" s="16"/>
      <c r="N661" s="6"/>
      <c r="O661" s="6"/>
      <c r="P661" s="6"/>
    </row>
    <row r="662" spans="1:16">
      <c r="A662" s="35"/>
      <c r="B662" s="36"/>
      <c r="C662" s="39"/>
      <c r="D662" s="6"/>
      <c r="E662" s="16"/>
      <c r="F662" s="7"/>
      <c r="G662" s="7"/>
      <c r="H662" s="7"/>
      <c r="I662" s="16"/>
      <c r="J662" s="16"/>
      <c r="K662" s="16"/>
      <c r="L662" s="16"/>
      <c r="M662" s="16"/>
      <c r="N662" s="6"/>
      <c r="O662" s="6"/>
      <c r="P662" s="6"/>
    </row>
    <row r="663" spans="1:16">
      <c r="A663" s="35"/>
      <c r="B663" s="36"/>
      <c r="C663" s="39"/>
      <c r="D663" s="6"/>
      <c r="E663" s="16"/>
      <c r="F663" s="7"/>
      <c r="G663" s="7"/>
      <c r="H663" s="7"/>
      <c r="I663" s="16"/>
      <c r="J663" s="16"/>
      <c r="K663" s="16"/>
      <c r="L663" s="16"/>
      <c r="M663" s="16"/>
      <c r="N663" s="6"/>
      <c r="O663" s="6"/>
      <c r="P663" s="6"/>
    </row>
    <row r="664" spans="1:16">
      <c r="A664" s="35"/>
      <c r="B664" s="36"/>
      <c r="C664" s="39"/>
      <c r="D664" s="6"/>
      <c r="E664" s="16"/>
      <c r="F664" s="7"/>
      <c r="G664" s="7"/>
      <c r="H664" s="7"/>
      <c r="I664" s="16"/>
      <c r="J664" s="16"/>
      <c r="K664" s="16"/>
      <c r="L664" s="16"/>
      <c r="M664" s="16"/>
      <c r="N664" s="6"/>
      <c r="O664" s="6"/>
      <c r="P664" s="6"/>
    </row>
    <row r="665" spans="1:16">
      <c r="A665" s="35"/>
      <c r="B665" s="36"/>
      <c r="C665" s="39"/>
      <c r="D665" s="6"/>
      <c r="E665" s="16"/>
      <c r="F665" s="7"/>
      <c r="G665" s="7"/>
      <c r="H665" s="7"/>
      <c r="I665" s="16"/>
      <c r="J665" s="16"/>
      <c r="K665" s="16"/>
      <c r="L665" s="16"/>
      <c r="M665" s="16"/>
      <c r="N665" s="6"/>
      <c r="O665" s="6"/>
      <c r="P665" s="6"/>
    </row>
    <row r="666" spans="1:16">
      <c r="A666" s="35"/>
      <c r="B666" s="36"/>
      <c r="C666" s="39"/>
      <c r="D666" s="6"/>
      <c r="E666" s="16"/>
      <c r="F666" s="7"/>
      <c r="G666" s="7"/>
      <c r="H666" s="7"/>
      <c r="I666" s="16"/>
      <c r="J666" s="16"/>
      <c r="K666" s="16"/>
      <c r="L666" s="16"/>
      <c r="M666" s="16"/>
      <c r="N666" s="6"/>
      <c r="O666" s="6"/>
      <c r="P666" s="6"/>
    </row>
    <row r="667" spans="1:16">
      <c r="A667" s="35"/>
      <c r="B667" s="36"/>
      <c r="C667" s="39"/>
      <c r="D667" s="6"/>
      <c r="E667" s="16"/>
      <c r="F667" s="7"/>
      <c r="G667" s="7"/>
      <c r="H667" s="7"/>
      <c r="I667" s="16"/>
      <c r="J667" s="16"/>
      <c r="K667" s="16"/>
      <c r="L667" s="16"/>
      <c r="M667" s="16"/>
      <c r="N667" s="6"/>
      <c r="O667" s="6"/>
      <c r="P667" s="6"/>
    </row>
    <row r="668" spans="1:16">
      <c r="A668" s="35"/>
      <c r="B668" s="36"/>
      <c r="C668" s="39"/>
      <c r="D668" s="6"/>
      <c r="E668" s="16"/>
      <c r="F668" s="7"/>
      <c r="G668" s="7"/>
      <c r="H668" s="7"/>
      <c r="I668" s="16"/>
      <c r="J668" s="16"/>
      <c r="K668" s="16"/>
      <c r="L668" s="16"/>
      <c r="M668" s="16"/>
      <c r="N668" s="6"/>
      <c r="O668" s="6"/>
      <c r="P668" s="6"/>
    </row>
    <row r="669" spans="1:16">
      <c r="A669" s="35"/>
      <c r="B669" s="36"/>
      <c r="C669" s="39"/>
      <c r="D669" s="6"/>
      <c r="E669" s="16"/>
      <c r="F669" s="7"/>
      <c r="G669" s="7"/>
      <c r="H669" s="7"/>
      <c r="I669" s="16"/>
      <c r="J669" s="16"/>
      <c r="K669" s="16"/>
      <c r="L669" s="16"/>
      <c r="M669" s="16"/>
      <c r="N669" s="6"/>
      <c r="O669" s="6"/>
      <c r="P669" s="6"/>
    </row>
    <row r="670" spans="1:16">
      <c r="A670" s="35"/>
      <c r="B670" s="36"/>
      <c r="C670" s="39"/>
      <c r="D670" s="6"/>
      <c r="E670" s="16"/>
      <c r="F670" s="7"/>
      <c r="G670" s="7"/>
      <c r="H670" s="7"/>
      <c r="I670" s="16"/>
      <c r="J670" s="16"/>
      <c r="K670" s="16"/>
      <c r="L670" s="16"/>
      <c r="M670" s="16"/>
      <c r="N670" s="6"/>
      <c r="O670" s="6"/>
      <c r="P670" s="6"/>
    </row>
    <row r="671" spans="1:16">
      <c r="A671" s="35"/>
      <c r="B671" s="36"/>
      <c r="C671" s="39"/>
      <c r="D671" s="6"/>
      <c r="E671" s="16"/>
      <c r="F671" s="7"/>
      <c r="G671" s="7"/>
      <c r="H671" s="7"/>
      <c r="I671" s="16"/>
      <c r="J671" s="16"/>
      <c r="K671" s="16"/>
      <c r="L671" s="16"/>
      <c r="M671" s="16"/>
      <c r="N671" s="6"/>
      <c r="O671" s="6"/>
      <c r="P671" s="6"/>
    </row>
    <row r="672" spans="1:16">
      <c r="A672" s="35"/>
      <c r="B672" s="36"/>
      <c r="C672" s="39"/>
      <c r="D672" s="6"/>
      <c r="E672" s="16"/>
      <c r="F672" s="7"/>
      <c r="G672" s="7"/>
      <c r="H672" s="7"/>
      <c r="I672" s="16"/>
      <c r="J672" s="16"/>
      <c r="K672" s="16"/>
      <c r="L672" s="16"/>
      <c r="M672" s="16"/>
      <c r="N672" s="6"/>
      <c r="O672" s="6"/>
      <c r="P672" s="6"/>
    </row>
    <row r="673" spans="1:16">
      <c r="A673" s="35"/>
      <c r="B673" s="36"/>
      <c r="C673" s="39"/>
      <c r="D673" s="6"/>
      <c r="E673" s="16"/>
      <c r="F673" s="7"/>
      <c r="G673" s="7"/>
      <c r="H673" s="7"/>
      <c r="I673" s="16"/>
      <c r="J673" s="16"/>
      <c r="K673" s="16"/>
      <c r="L673" s="16"/>
      <c r="M673" s="16"/>
      <c r="N673" s="6"/>
      <c r="O673" s="6"/>
      <c r="P673" s="6"/>
    </row>
    <row r="674" spans="1:16">
      <c r="A674" s="35"/>
      <c r="B674" s="36"/>
      <c r="C674" s="39"/>
      <c r="D674" s="6"/>
      <c r="E674" s="16"/>
      <c r="F674" s="7"/>
      <c r="G674" s="7"/>
      <c r="H674" s="7"/>
      <c r="I674" s="16"/>
      <c r="J674" s="16"/>
      <c r="K674" s="16"/>
      <c r="L674" s="16"/>
      <c r="M674" s="16"/>
      <c r="N674" s="6"/>
      <c r="O674" s="6"/>
      <c r="P674" s="6"/>
    </row>
    <row r="675" spans="1:16">
      <c r="A675" s="35"/>
      <c r="B675" s="36"/>
      <c r="C675" s="39"/>
      <c r="D675" s="6"/>
      <c r="E675" s="16"/>
      <c r="F675" s="7"/>
      <c r="G675" s="7"/>
      <c r="H675" s="7"/>
      <c r="I675" s="16"/>
      <c r="J675" s="16"/>
      <c r="K675" s="16"/>
      <c r="L675" s="16"/>
      <c r="M675" s="16"/>
      <c r="N675" s="6"/>
      <c r="O675" s="6"/>
      <c r="P675" s="6"/>
    </row>
    <row r="676" spans="1:16">
      <c r="A676" s="35"/>
      <c r="B676" s="36"/>
      <c r="C676" s="39"/>
      <c r="D676" s="6"/>
      <c r="E676" s="16"/>
      <c r="F676" s="7"/>
      <c r="G676" s="7"/>
      <c r="H676" s="7"/>
      <c r="I676" s="16"/>
      <c r="J676" s="16"/>
      <c r="K676" s="16"/>
      <c r="L676" s="16"/>
      <c r="M676" s="16"/>
      <c r="N676" s="6"/>
      <c r="O676" s="6"/>
      <c r="P676" s="6"/>
    </row>
    <row r="677" spans="1:16">
      <c r="A677" s="35"/>
      <c r="B677" s="36"/>
      <c r="C677" s="39"/>
      <c r="D677" s="6"/>
      <c r="E677" s="16"/>
      <c r="F677" s="7"/>
      <c r="G677" s="7"/>
      <c r="H677" s="7"/>
      <c r="I677" s="16"/>
      <c r="J677" s="16"/>
      <c r="K677" s="16"/>
      <c r="L677" s="16"/>
      <c r="M677" s="16"/>
      <c r="N677" s="6"/>
      <c r="O677" s="6"/>
      <c r="P677" s="6"/>
    </row>
    <row r="678" spans="1:16">
      <c r="A678" s="35"/>
      <c r="B678" s="36"/>
      <c r="C678" s="39"/>
      <c r="D678" s="6"/>
      <c r="E678" s="16"/>
      <c r="F678" s="7"/>
      <c r="G678" s="7"/>
      <c r="H678" s="7"/>
      <c r="I678" s="16"/>
      <c r="J678" s="16"/>
      <c r="K678" s="16"/>
      <c r="L678" s="16"/>
      <c r="M678" s="16"/>
      <c r="N678" s="6"/>
      <c r="O678" s="6"/>
      <c r="P678" s="6"/>
    </row>
    <row r="679" spans="1:16">
      <c r="A679" s="35"/>
      <c r="B679" s="36"/>
      <c r="C679" s="39"/>
      <c r="D679" s="6"/>
      <c r="E679" s="16"/>
      <c r="F679" s="7"/>
      <c r="G679" s="7"/>
      <c r="H679" s="7"/>
      <c r="I679" s="16"/>
      <c r="J679" s="16"/>
      <c r="K679" s="16"/>
      <c r="L679" s="16"/>
      <c r="M679" s="16"/>
      <c r="N679" s="6"/>
      <c r="O679" s="6"/>
      <c r="P679" s="6"/>
    </row>
    <row r="680" spans="1:16">
      <c r="A680" s="35"/>
      <c r="B680" s="36"/>
      <c r="C680" s="39"/>
      <c r="D680" s="6"/>
      <c r="E680" s="16"/>
      <c r="F680" s="7"/>
      <c r="G680" s="7"/>
      <c r="H680" s="7"/>
      <c r="I680" s="16"/>
      <c r="J680" s="16"/>
      <c r="K680" s="16"/>
      <c r="L680" s="16"/>
      <c r="M680" s="16"/>
      <c r="N680" s="6"/>
      <c r="O680" s="6"/>
      <c r="P680" s="6"/>
    </row>
    <row r="681" spans="1:16">
      <c r="A681" s="35"/>
      <c r="B681" s="36"/>
      <c r="C681" s="39"/>
      <c r="D681" s="6"/>
      <c r="E681" s="16"/>
      <c r="F681" s="7"/>
      <c r="G681" s="7"/>
      <c r="H681" s="7"/>
      <c r="I681" s="16"/>
      <c r="J681" s="16"/>
      <c r="K681" s="16"/>
      <c r="L681" s="16"/>
      <c r="M681" s="16"/>
      <c r="N681" s="6"/>
      <c r="O681" s="6"/>
      <c r="P681" s="6"/>
    </row>
    <row r="682" spans="1:16">
      <c r="A682" s="35"/>
      <c r="B682" s="36"/>
      <c r="C682" s="39"/>
      <c r="D682" s="6"/>
      <c r="E682" s="16"/>
      <c r="F682" s="7"/>
      <c r="G682" s="7"/>
      <c r="H682" s="7"/>
      <c r="I682" s="16"/>
      <c r="J682" s="16"/>
      <c r="K682" s="16"/>
      <c r="L682" s="16"/>
      <c r="M682" s="16"/>
      <c r="N682" s="6"/>
      <c r="O682" s="6"/>
      <c r="P682" s="6"/>
    </row>
    <row r="683" spans="1:16">
      <c r="A683" s="35"/>
      <c r="B683" s="36"/>
      <c r="C683" s="39"/>
      <c r="D683" s="6"/>
      <c r="E683" s="16"/>
      <c r="F683" s="7"/>
      <c r="G683" s="7"/>
      <c r="H683" s="7"/>
      <c r="I683" s="16"/>
      <c r="J683" s="16"/>
      <c r="K683" s="16"/>
      <c r="L683" s="16"/>
      <c r="M683" s="16"/>
      <c r="N683" s="6"/>
      <c r="O683" s="6"/>
      <c r="P683" s="6"/>
    </row>
    <row r="684" spans="1:16">
      <c r="A684" s="35"/>
      <c r="B684" s="36"/>
      <c r="C684" s="39"/>
      <c r="D684" s="6"/>
      <c r="E684" s="16"/>
      <c r="F684" s="7"/>
      <c r="G684" s="7"/>
      <c r="H684" s="7"/>
      <c r="I684" s="16"/>
      <c r="J684" s="16"/>
      <c r="K684" s="16"/>
      <c r="L684" s="16"/>
      <c r="M684" s="16"/>
      <c r="N684" s="6"/>
      <c r="O684" s="6"/>
      <c r="P684" s="6"/>
    </row>
    <row r="685" spans="1:16">
      <c r="A685" s="35"/>
      <c r="B685" s="36"/>
      <c r="C685" s="39"/>
      <c r="D685" s="6"/>
      <c r="E685" s="16"/>
      <c r="F685" s="7"/>
      <c r="G685" s="7"/>
      <c r="H685" s="7"/>
      <c r="I685" s="16"/>
      <c r="J685" s="16"/>
      <c r="K685" s="16"/>
      <c r="L685" s="16"/>
      <c r="M685" s="16"/>
      <c r="N685" s="6"/>
      <c r="O685" s="6"/>
      <c r="P685" s="6"/>
    </row>
    <row r="686" spans="1:16">
      <c r="A686" s="35"/>
      <c r="B686" s="36"/>
      <c r="C686" s="39"/>
      <c r="D686" s="6"/>
      <c r="E686" s="16"/>
      <c r="F686" s="7"/>
      <c r="G686" s="7"/>
      <c r="H686" s="7"/>
      <c r="I686" s="16"/>
      <c r="J686" s="16"/>
      <c r="K686" s="16"/>
      <c r="L686" s="16"/>
      <c r="M686" s="16"/>
      <c r="N686" s="6"/>
      <c r="O686" s="6"/>
      <c r="P686" s="6"/>
    </row>
    <row r="687" spans="1:16">
      <c r="A687" s="35"/>
      <c r="B687" s="36"/>
      <c r="C687" s="39"/>
      <c r="D687" s="6"/>
      <c r="E687" s="16"/>
      <c r="F687" s="7"/>
      <c r="G687" s="7"/>
      <c r="H687" s="7"/>
      <c r="I687" s="16"/>
      <c r="J687" s="16"/>
      <c r="K687" s="16"/>
      <c r="L687" s="16"/>
      <c r="M687" s="16"/>
      <c r="N687" s="6"/>
      <c r="O687" s="6"/>
      <c r="P687" s="6"/>
    </row>
    <row r="688" spans="1:16">
      <c r="A688" s="35"/>
      <c r="B688" s="36"/>
      <c r="C688" s="39"/>
      <c r="D688" s="6"/>
      <c r="E688" s="16"/>
      <c r="F688" s="7"/>
      <c r="G688" s="7"/>
      <c r="H688" s="7"/>
      <c r="I688" s="16"/>
      <c r="J688" s="16"/>
      <c r="K688" s="16"/>
      <c r="L688" s="16"/>
      <c r="M688" s="16"/>
      <c r="N688" s="6"/>
      <c r="O688" s="6"/>
      <c r="P688" s="6"/>
    </row>
    <row r="689" spans="1:16">
      <c r="A689" s="35"/>
      <c r="B689" s="36"/>
      <c r="C689" s="39"/>
      <c r="D689" s="6"/>
      <c r="E689" s="16"/>
      <c r="F689" s="7"/>
      <c r="G689" s="7"/>
      <c r="H689" s="7"/>
      <c r="I689" s="16"/>
      <c r="J689" s="16"/>
      <c r="K689" s="16"/>
      <c r="L689" s="16"/>
      <c r="M689" s="16"/>
      <c r="N689" s="6"/>
      <c r="O689" s="6"/>
      <c r="P689" s="6"/>
    </row>
    <row r="690" spans="1:16">
      <c r="A690" s="35"/>
      <c r="B690" s="36"/>
      <c r="C690" s="39"/>
      <c r="D690" s="6"/>
      <c r="E690" s="16"/>
      <c r="F690" s="7"/>
      <c r="G690" s="7"/>
      <c r="H690" s="7"/>
      <c r="I690" s="16"/>
      <c r="J690" s="16"/>
      <c r="K690" s="16"/>
      <c r="L690" s="16"/>
      <c r="M690" s="16"/>
      <c r="N690" s="6"/>
      <c r="O690" s="6"/>
      <c r="P690" s="6"/>
    </row>
    <row r="691" spans="1:16">
      <c r="A691" s="35"/>
      <c r="B691" s="36"/>
      <c r="C691" s="39"/>
      <c r="D691" s="6"/>
      <c r="E691" s="16"/>
      <c r="F691" s="7"/>
      <c r="G691" s="7"/>
      <c r="H691" s="7"/>
      <c r="I691" s="16"/>
      <c r="J691" s="16"/>
      <c r="K691" s="16"/>
      <c r="L691" s="16"/>
      <c r="M691" s="16"/>
      <c r="N691" s="6"/>
      <c r="O691" s="6"/>
      <c r="P691" s="6"/>
    </row>
    <row r="692" spans="1:16">
      <c r="A692" s="35"/>
      <c r="B692" s="36"/>
      <c r="C692" s="39"/>
      <c r="D692" s="6"/>
      <c r="E692" s="16"/>
      <c r="F692" s="7"/>
      <c r="G692" s="7"/>
      <c r="H692" s="7"/>
      <c r="I692" s="16"/>
      <c r="J692" s="16"/>
      <c r="K692" s="16"/>
      <c r="L692" s="16"/>
      <c r="M692" s="16"/>
      <c r="N692" s="6"/>
      <c r="O692" s="6"/>
      <c r="P692" s="6"/>
    </row>
    <row r="693" spans="1:16">
      <c r="A693" s="35"/>
      <c r="B693" s="36"/>
      <c r="C693" s="39"/>
      <c r="D693" s="6"/>
      <c r="E693" s="16"/>
      <c r="F693" s="7"/>
      <c r="G693" s="7"/>
      <c r="H693" s="7"/>
      <c r="I693" s="16"/>
      <c r="J693" s="16"/>
      <c r="K693" s="16"/>
      <c r="L693" s="16"/>
      <c r="M693" s="16"/>
      <c r="N693" s="6"/>
      <c r="O693" s="6"/>
      <c r="P693" s="6"/>
    </row>
    <row r="694" spans="1:16">
      <c r="A694" s="35"/>
      <c r="B694" s="36"/>
      <c r="C694" s="39"/>
      <c r="D694" s="6"/>
      <c r="E694" s="16"/>
      <c r="F694" s="7"/>
      <c r="G694" s="7"/>
      <c r="H694" s="7"/>
      <c r="I694" s="16"/>
      <c r="J694" s="16"/>
      <c r="K694" s="16"/>
      <c r="L694" s="16"/>
      <c r="M694" s="16"/>
      <c r="N694" s="6"/>
      <c r="O694" s="6"/>
      <c r="P694" s="6"/>
    </row>
    <row r="695" spans="1:16">
      <c r="A695" s="35"/>
      <c r="B695" s="36"/>
      <c r="C695" s="39"/>
      <c r="D695" s="6"/>
      <c r="E695" s="16"/>
      <c r="F695" s="7"/>
      <c r="G695" s="7"/>
      <c r="H695" s="7"/>
      <c r="I695" s="16"/>
      <c r="J695" s="16"/>
      <c r="K695" s="16"/>
      <c r="L695" s="16"/>
      <c r="M695" s="16"/>
      <c r="N695" s="6"/>
      <c r="O695" s="6"/>
      <c r="P695" s="6"/>
    </row>
    <row r="696" spans="1:16">
      <c r="A696" s="35"/>
      <c r="B696" s="36"/>
      <c r="C696" s="39"/>
      <c r="D696" s="6"/>
      <c r="E696" s="16"/>
      <c r="F696" s="7"/>
      <c r="G696" s="7"/>
      <c r="H696" s="7"/>
      <c r="I696" s="16"/>
      <c r="J696" s="16"/>
      <c r="K696" s="16"/>
      <c r="L696" s="16"/>
      <c r="M696" s="16"/>
      <c r="N696" s="6"/>
      <c r="O696" s="6"/>
      <c r="P696" s="6"/>
    </row>
    <row r="697" spans="1:16">
      <c r="A697" s="35"/>
      <c r="B697" s="36"/>
      <c r="C697" s="39"/>
      <c r="D697" s="6"/>
      <c r="E697" s="16"/>
      <c r="F697" s="7"/>
      <c r="G697" s="7"/>
      <c r="H697" s="7"/>
      <c r="I697" s="16"/>
      <c r="J697" s="16"/>
      <c r="K697" s="16"/>
      <c r="L697" s="16"/>
      <c r="M697" s="16"/>
      <c r="N697" s="6"/>
      <c r="O697" s="6"/>
      <c r="P697" s="6"/>
    </row>
    <row r="698" spans="1:16">
      <c r="A698" s="35"/>
      <c r="B698" s="36"/>
      <c r="C698" s="39"/>
      <c r="D698" s="6"/>
      <c r="E698" s="16"/>
      <c r="F698" s="7"/>
      <c r="G698" s="7"/>
      <c r="H698" s="7"/>
      <c r="I698" s="16"/>
      <c r="J698" s="16"/>
      <c r="K698" s="16"/>
      <c r="L698" s="16"/>
      <c r="M698" s="16"/>
      <c r="N698" s="6"/>
      <c r="O698" s="6"/>
      <c r="P698" s="6"/>
    </row>
    <row r="699" spans="1:16">
      <c r="A699" s="35"/>
      <c r="B699" s="36"/>
      <c r="C699" s="39"/>
      <c r="D699" s="6"/>
      <c r="E699" s="16"/>
      <c r="F699" s="7"/>
      <c r="G699" s="7"/>
      <c r="H699" s="7"/>
      <c r="I699" s="16"/>
      <c r="J699" s="16"/>
      <c r="K699" s="16"/>
      <c r="L699" s="16"/>
      <c r="M699" s="16"/>
      <c r="N699" s="6"/>
      <c r="O699" s="6"/>
      <c r="P699" s="6"/>
    </row>
    <row r="700" spans="1:16">
      <c r="A700" s="35"/>
      <c r="B700" s="36"/>
      <c r="C700" s="39"/>
      <c r="D700" s="6"/>
      <c r="E700" s="16"/>
      <c r="F700" s="7"/>
      <c r="G700" s="7"/>
      <c r="H700" s="7"/>
      <c r="I700" s="16"/>
      <c r="J700" s="16"/>
      <c r="K700" s="16"/>
      <c r="L700" s="16"/>
      <c r="M700" s="16"/>
      <c r="N700" s="6"/>
      <c r="O700" s="6"/>
      <c r="P700" s="6"/>
    </row>
    <row r="701" spans="1:16">
      <c r="A701" s="35"/>
      <c r="B701" s="36"/>
      <c r="C701" s="39"/>
      <c r="D701" s="6"/>
      <c r="E701" s="16"/>
      <c r="F701" s="7"/>
      <c r="G701" s="7"/>
      <c r="H701" s="7"/>
      <c r="I701" s="16"/>
      <c r="J701" s="16"/>
      <c r="K701" s="16"/>
      <c r="L701" s="16"/>
      <c r="M701" s="16"/>
      <c r="N701" s="6"/>
      <c r="O701" s="6"/>
      <c r="P701" s="6"/>
    </row>
    <row r="702" spans="1:16">
      <c r="A702" s="35"/>
      <c r="B702" s="36"/>
      <c r="C702" s="39"/>
      <c r="D702" s="6"/>
      <c r="E702" s="16"/>
      <c r="F702" s="7"/>
      <c r="G702" s="7"/>
      <c r="H702" s="7"/>
      <c r="I702" s="16"/>
      <c r="J702" s="16"/>
      <c r="K702" s="16"/>
      <c r="L702" s="16"/>
      <c r="M702" s="16"/>
      <c r="N702" s="6"/>
      <c r="O702" s="6"/>
      <c r="P702" s="6"/>
    </row>
    <row r="703" spans="1:16">
      <c r="A703" s="35"/>
      <c r="B703" s="36"/>
      <c r="C703" s="39"/>
      <c r="D703" s="6"/>
      <c r="E703" s="16"/>
      <c r="F703" s="7"/>
      <c r="G703" s="7"/>
      <c r="H703" s="7"/>
      <c r="I703" s="16"/>
      <c r="J703" s="16"/>
      <c r="K703" s="16"/>
      <c r="L703" s="16"/>
      <c r="M703" s="16"/>
      <c r="N703" s="6"/>
      <c r="O703" s="6"/>
      <c r="P703" s="6"/>
    </row>
    <row r="704" spans="1:16">
      <c r="A704" s="35"/>
      <c r="B704" s="36"/>
      <c r="C704" s="39"/>
      <c r="D704" s="6"/>
      <c r="E704" s="16"/>
      <c r="F704" s="7"/>
      <c r="G704" s="7"/>
      <c r="H704" s="7"/>
      <c r="I704" s="16"/>
      <c r="J704" s="16"/>
      <c r="K704" s="16"/>
      <c r="L704" s="16"/>
      <c r="M704" s="16"/>
      <c r="N704" s="6"/>
      <c r="O704" s="6"/>
      <c r="P704" s="6"/>
    </row>
    <row r="705" spans="1:16">
      <c r="A705" s="35"/>
      <c r="B705" s="36"/>
      <c r="C705" s="39"/>
      <c r="D705" s="6"/>
      <c r="E705" s="16"/>
      <c r="F705" s="7"/>
      <c r="G705" s="7"/>
      <c r="H705" s="7"/>
      <c r="I705" s="16"/>
      <c r="J705" s="16"/>
      <c r="K705" s="16"/>
      <c r="L705" s="16"/>
      <c r="M705" s="16"/>
      <c r="N705" s="6"/>
      <c r="O705" s="6"/>
      <c r="P705" s="6"/>
    </row>
    <row r="706" spans="1:16">
      <c r="A706" s="35"/>
      <c r="B706" s="36"/>
      <c r="C706" s="39"/>
      <c r="D706" s="6"/>
      <c r="E706" s="16"/>
      <c r="F706" s="7"/>
      <c r="G706" s="7"/>
      <c r="H706" s="7"/>
      <c r="I706" s="16"/>
      <c r="J706" s="16"/>
      <c r="K706" s="16"/>
      <c r="L706" s="16"/>
      <c r="M706" s="16"/>
      <c r="N706" s="6"/>
      <c r="O706" s="6"/>
      <c r="P706" s="6"/>
    </row>
    <row r="707" spans="1:16">
      <c r="A707" s="35"/>
      <c r="B707" s="36"/>
      <c r="C707" s="39"/>
      <c r="D707" s="6"/>
      <c r="E707" s="16"/>
      <c r="F707" s="7"/>
      <c r="G707" s="7"/>
      <c r="H707" s="7"/>
      <c r="I707" s="16"/>
      <c r="J707" s="16"/>
      <c r="K707" s="16"/>
      <c r="L707" s="16"/>
      <c r="M707" s="16"/>
      <c r="N707" s="6"/>
      <c r="O707" s="6"/>
      <c r="P707" s="6"/>
    </row>
    <row r="708" spans="1:16">
      <c r="A708" s="35"/>
      <c r="B708" s="36"/>
      <c r="C708" s="39"/>
      <c r="D708" s="6"/>
      <c r="E708" s="16"/>
      <c r="F708" s="7"/>
      <c r="G708" s="7"/>
      <c r="H708" s="7"/>
      <c r="I708" s="16"/>
      <c r="J708" s="16"/>
      <c r="K708" s="16"/>
      <c r="L708" s="16"/>
      <c r="M708" s="16"/>
      <c r="N708" s="6"/>
      <c r="O708" s="6"/>
      <c r="P708" s="6"/>
    </row>
    <row r="709" spans="1:16">
      <c r="A709" s="35"/>
      <c r="B709" s="36"/>
      <c r="C709" s="39"/>
      <c r="D709" s="6"/>
      <c r="E709" s="16"/>
      <c r="F709" s="7"/>
      <c r="G709" s="7"/>
      <c r="H709" s="7"/>
      <c r="I709" s="16"/>
      <c r="J709" s="16"/>
      <c r="K709" s="16"/>
      <c r="L709" s="16"/>
      <c r="M709" s="16"/>
      <c r="N709" s="6"/>
      <c r="O709" s="6"/>
      <c r="P709" s="6"/>
    </row>
    <row r="710" spans="1:16">
      <c r="A710" s="35"/>
      <c r="B710" s="36"/>
      <c r="C710" s="39"/>
      <c r="D710" s="6"/>
      <c r="E710" s="16"/>
      <c r="F710" s="7"/>
      <c r="G710" s="7"/>
      <c r="H710" s="7"/>
      <c r="I710" s="16"/>
      <c r="J710" s="16"/>
      <c r="K710" s="16"/>
      <c r="L710" s="16"/>
      <c r="M710" s="16"/>
      <c r="N710" s="6"/>
      <c r="O710" s="6"/>
      <c r="P710" s="6"/>
    </row>
    <row r="711" spans="1:16">
      <c r="A711" s="35"/>
      <c r="B711" s="36"/>
      <c r="C711" s="39"/>
      <c r="D711" s="6"/>
      <c r="E711" s="16"/>
      <c r="F711" s="7"/>
      <c r="G711" s="7"/>
      <c r="H711" s="7"/>
      <c r="I711" s="16"/>
      <c r="J711" s="16"/>
      <c r="K711" s="16"/>
      <c r="L711" s="16"/>
      <c r="M711" s="16"/>
      <c r="N711" s="6"/>
      <c r="O711" s="6"/>
      <c r="P711" s="6"/>
    </row>
    <row r="712" spans="1:16">
      <c r="A712" s="35"/>
      <c r="B712" s="36"/>
      <c r="C712" s="39"/>
      <c r="D712" s="6"/>
      <c r="E712" s="16"/>
      <c r="F712" s="7"/>
      <c r="G712" s="7"/>
      <c r="H712" s="7"/>
      <c r="I712" s="16"/>
      <c r="J712" s="16"/>
      <c r="K712" s="16"/>
      <c r="L712" s="16"/>
      <c r="M712" s="16"/>
      <c r="N712" s="6"/>
      <c r="O712" s="6"/>
      <c r="P712" s="6"/>
    </row>
    <row r="713" spans="1:16">
      <c r="A713" s="35"/>
      <c r="B713" s="36"/>
      <c r="C713" s="39"/>
      <c r="D713" s="6"/>
      <c r="E713" s="16"/>
      <c r="F713" s="7"/>
      <c r="G713" s="7"/>
      <c r="H713" s="7"/>
      <c r="I713" s="16"/>
      <c r="J713" s="16"/>
      <c r="K713" s="16"/>
      <c r="L713" s="16"/>
      <c r="M713" s="16"/>
      <c r="N713" s="6"/>
      <c r="O713" s="6"/>
      <c r="P713" s="6"/>
    </row>
    <row r="714" spans="1:16">
      <c r="A714" s="35"/>
      <c r="B714" s="36"/>
      <c r="C714" s="39"/>
      <c r="D714" s="6"/>
      <c r="E714" s="16"/>
      <c r="F714" s="7"/>
      <c r="G714" s="7"/>
      <c r="H714" s="7"/>
      <c r="I714" s="16"/>
      <c r="J714" s="16"/>
      <c r="K714" s="16"/>
      <c r="L714" s="16"/>
      <c r="M714" s="16"/>
      <c r="N714" s="6"/>
      <c r="O714" s="6"/>
      <c r="P714" s="6"/>
    </row>
    <row r="715" spans="1:16">
      <c r="A715" s="35"/>
      <c r="B715" s="36"/>
      <c r="C715" s="39"/>
      <c r="D715" s="6"/>
      <c r="E715" s="16"/>
      <c r="F715" s="7"/>
      <c r="G715" s="7"/>
      <c r="H715" s="7"/>
      <c r="I715" s="16"/>
      <c r="J715" s="16"/>
      <c r="K715" s="16"/>
      <c r="L715" s="16"/>
      <c r="M715" s="16"/>
      <c r="N715" s="6"/>
      <c r="O715" s="6"/>
      <c r="P715" s="6"/>
    </row>
    <row r="716" spans="1:16">
      <c r="A716" s="35"/>
      <c r="B716" s="36"/>
      <c r="C716" s="39"/>
      <c r="D716" s="6"/>
      <c r="E716" s="16"/>
      <c r="F716" s="7"/>
      <c r="G716" s="7"/>
      <c r="H716" s="7"/>
      <c r="I716" s="16"/>
      <c r="J716" s="16"/>
      <c r="K716" s="16"/>
      <c r="L716" s="16"/>
      <c r="M716" s="16"/>
      <c r="N716" s="6"/>
      <c r="O716" s="6"/>
      <c r="P716" s="6"/>
    </row>
    <row r="717" spans="1:16">
      <c r="A717" s="35"/>
      <c r="B717" s="36"/>
      <c r="C717" s="39"/>
      <c r="D717" s="6"/>
      <c r="E717" s="16"/>
      <c r="F717" s="7"/>
      <c r="G717" s="7"/>
      <c r="H717" s="7"/>
      <c r="I717" s="16"/>
      <c r="J717" s="16"/>
      <c r="K717" s="16"/>
      <c r="L717" s="16"/>
      <c r="M717" s="16"/>
      <c r="N717" s="6"/>
      <c r="O717" s="6"/>
      <c r="P717" s="6"/>
    </row>
    <row r="718" spans="1:16">
      <c r="A718" s="35"/>
      <c r="B718" s="36"/>
      <c r="C718" s="39"/>
      <c r="D718" s="6"/>
      <c r="E718" s="16"/>
      <c r="F718" s="7"/>
      <c r="G718" s="7"/>
      <c r="H718" s="7"/>
      <c r="I718" s="16"/>
      <c r="J718" s="16"/>
      <c r="K718" s="16"/>
      <c r="L718" s="16"/>
      <c r="M718" s="16"/>
      <c r="N718" s="6"/>
      <c r="O718" s="6"/>
      <c r="P718" s="6"/>
    </row>
    <row r="719" spans="1:16">
      <c r="A719" s="35"/>
      <c r="B719" s="36"/>
      <c r="C719" s="39"/>
      <c r="D719" s="6"/>
      <c r="E719" s="16"/>
      <c r="F719" s="7"/>
      <c r="G719" s="7"/>
      <c r="H719" s="7"/>
      <c r="I719" s="16"/>
      <c r="J719" s="16"/>
      <c r="K719" s="16"/>
      <c r="L719" s="16"/>
      <c r="M719" s="16"/>
      <c r="N719" s="6"/>
      <c r="O719" s="6"/>
      <c r="P719" s="6"/>
    </row>
    <row r="720" spans="1:16">
      <c r="A720" s="35"/>
      <c r="B720" s="36"/>
      <c r="C720" s="39"/>
      <c r="D720" s="6"/>
      <c r="E720" s="16"/>
      <c r="F720" s="7"/>
      <c r="G720" s="7"/>
      <c r="H720" s="7"/>
      <c r="I720" s="16"/>
      <c r="J720" s="16"/>
      <c r="K720" s="16"/>
      <c r="L720" s="16"/>
      <c r="M720" s="16"/>
      <c r="N720" s="6"/>
      <c r="O720" s="6"/>
      <c r="P720" s="6"/>
    </row>
    <row r="721" spans="1:16">
      <c r="A721" s="35"/>
      <c r="B721" s="36"/>
      <c r="C721" s="39"/>
      <c r="D721" s="6"/>
      <c r="E721" s="16"/>
      <c r="F721" s="7"/>
      <c r="G721" s="7"/>
      <c r="H721" s="7"/>
      <c r="I721" s="16"/>
      <c r="J721" s="16"/>
      <c r="K721" s="16"/>
      <c r="L721" s="16"/>
      <c r="M721" s="16"/>
      <c r="N721" s="6"/>
      <c r="O721" s="6"/>
      <c r="P721" s="6"/>
    </row>
    <row r="722" spans="1:16">
      <c r="A722" s="35"/>
      <c r="B722" s="36"/>
      <c r="C722" s="39"/>
      <c r="D722" s="6"/>
      <c r="E722" s="16"/>
      <c r="F722" s="7"/>
      <c r="G722" s="7"/>
      <c r="H722" s="7"/>
      <c r="I722" s="16"/>
      <c r="J722" s="16"/>
      <c r="K722" s="16"/>
      <c r="L722" s="16"/>
      <c r="M722" s="16"/>
      <c r="N722" s="6"/>
      <c r="O722" s="6"/>
      <c r="P722" s="6"/>
    </row>
    <row r="723" spans="1:16">
      <c r="A723" s="35"/>
      <c r="B723" s="36"/>
      <c r="C723" s="39"/>
      <c r="D723" s="6"/>
      <c r="E723" s="16"/>
      <c r="F723" s="7"/>
      <c r="G723" s="7"/>
      <c r="H723" s="7"/>
      <c r="I723" s="16"/>
      <c r="J723" s="16"/>
      <c r="K723" s="16"/>
      <c r="L723" s="16"/>
      <c r="M723" s="16"/>
      <c r="N723" s="6"/>
      <c r="O723" s="6"/>
      <c r="P723" s="6"/>
    </row>
    <row r="724" spans="1:16">
      <c r="A724" s="35"/>
      <c r="B724" s="36"/>
      <c r="C724" s="39"/>
      <c r="D724" s="6"/>
      <c r="E724" s="16"/>
      <c r="F724" s="7"/>
      <c r="G724" s="7"/>
      <c r="H724" s="7"/>
      <c r="I724" s="16"/>
      <c r="J724" s="16"/>
      <c r="K724" s="16"/>
      <c r="L724" s="16"/>
      <c r="M724" s="16"/>
      <c r="N724" s="6"/>
      <c r="O724" s="6"/>
      <c r="P724" s="6"/>
    </row>
    <row r="725" spans="1:16">
      <c r="A725" s="35"/>
      <c r="B725" s="36"/>
      <c r="C725" s="39"/>
      <c r="D725" s="6"/>
      <c r="E725" s="16"/>
      <c r="F725" s="7"/>
      <c r="G725" s="7"/>
      <c r="H725" s="7"/>
      <c r="I725" s="16"/>
      <c r="J725" s="16"/>
      <c r="K725" s="16"/>
      <c r="L725" s="16"/>
      <c r="M725" s="16"/>
      <c r="N725" s="6"/>
      <c r="O725" s="6"/>
      <c r="P725" s="6"/>
    </row>
    <row r="726" spans="1:16">
      <c r="A726" s="35"/>
      <c r="B726" s="36"/>
      <c r="C726" s="39"/>
      <c r="D726" s="6"/>
      <c r="E726" s="16"/>
      <c r="F726" s="7"/>
      <c r="G726" s="7"/>
      <c r="H726" s="7"/>
      <c r="I726" s="16"/>
      <c r="J726" s="16"/>
      <c r="K726" s="16"/>
      <c r="L726" s="16"/>
      <c r="M726" s="16"/>
      <c r="N726" s="6"/>
      <c r="O726" s="6"/>
      <c r="P726" s="6"/>
    </row>
    <row r="727" spans="1:16">
      <c r="A727" s="35"/>
      <c r="B727" s="36"/>
      <c r="C727" s="39"/>
      <c r="D727" s="6"/>
      <c r="E727" s="16"/>
      <c r="F727" s="7"/>
      <c r="G727" s="7"/>
      <c r="H727" s="7"/>
      <c r="I727" s="16"/>
      <c r="J727" s="16"/>
      <c r="K727" s="16"/>
      <c r="L727" s="16"/>
      <c r="M727" s="16"/>
      <c r="N727" s="6"/>
      <c r="O727" s="6"/>
      <c r="P727" s="6"/>
    </row>
    <row r="728" spans="1:16">
      <c r="A728" s="35"/>
      <c r="B728" s="36"/>
      <c r="C728" s="39"/>
      <c r="D728" s="6"/>
      <c r="E728" s="16"/>
      <c r="F728" s="7"/>
      <c r="G728" s="7"/>
      <c r="H728" s="7"/>
      <c r="I728" s="16"/>
      <c r="J728" s="16"/>
      <c r="K728" s="16"/>
      <c r="L728" s="16"/>
      <c r="M728" s="16"/>
      <c r="N728" s="6"/>
      <c r="O728" s="6"/>
      <c r="P728" s="6"/>
    </row>
    <row r="729" spans="1:16">
      <c r="A729" s="35"/>
      <c r="B729" s="36"/>
      <c r="C729" s="39"/>
      <c r="D729" s="6"/>
      <c r="E729" s="16"/>
      <c r="F729" s="7"/>
      <c r="G729" s="7"/>
      <c r="H729" s="7"/>
      <c r="I729" s="16"/>
      <c r="J729" s="16"/>
      <c r="K729" s="16"/>
      <c r="L729" s="16"/>
      <c r="M729" s="16"/>
      <c r="N729" s="6"/>
      <c r="O729" s="6"/>
      <c r="P729" s="6"/>
    </row>
    <row r="730" spans="1:16">
      <c r="A730" s="35"/>
      <c r="B730" s="36"/>
      <c r="C730" s="39"/>
      <c r="D730" s="6"/>
      <c r="E730" s="16"/>
      <c r="F730" s="7"/>
      <c r="G730" s="7"/>
      <c r="H730" s="7"/>
      <c r="I730" s="16"/>
      <c r="J730" s="16"/>
      <c r="K730" s="16"/>
      <c r="L730" s="16"/>
      <c r="M730" s="16"/>
      <c r="N730" s="6"/>
      <c r="O730" s="6"/>
      <c r="P730" s="6"/>
    </row>
    <row r="731" spans="1:16">
      <c r="A731" s="35"/>
      <c r="B731" s="36"/>
      <c r="C731" s="39"/>
      <c r="D731" s="6"/>
      <c r="E731" s="16"/>
      <c r="F731" s="7"/>
      <c r="G731" s="7"/>
      <c r="H731" s="7"/>
      <c r="I731" s="16"/>
      <c r="J731" s="16"/>
      <c r="K731" s="16"/>
      <c r="L731" s="16"/>
      <c r="M731" s="16"/>
      <c r="N731" s="6"/>
      <c r="O731" s="6"/>
      <c r="P731" s="6"/>
    </row>
    <row r="732" spans="1:16">
      <c r="A732" s="35"/>
      <c r="B732" s="36"/>
      <c r="C732" s="39"/>
      <c r="D732" s="6"/>
      <c r="E732" s="16"/>
      <c r="F732" s="7"/>
      <c r="G732" s="7"/>
      <c r="H732" s="7"/>
      <c r="I732" s="16"/>
      <c r="J732" s="16"/>
      <c r="K732" s="16"/>
      <c r="L732" s="16"/>
      <c r="M732" s="16"/>
      <c r="N732" s="6"/>
      <c r="O732" s="6"/>
      <c r="P732" s="6"/>
    </row>
    <row r="733" spans="1:16">
      <c r="A733" s="35"/>
      <c r="B733" s="36"/>
      <c r="C733" s="39"/>
      <c r="D733" s="6"/>
      <c r="E733" s="16"/>
      <c r="F733" s="7"/>
      <c r="G733" s="7"/>
      <c r="H733" s="7"/>
      <c r="I733" s="16"/>
      <c r="J733" s="16"/>
      <c r="K733" s="16"/>
      <c r="L733" s="16"/>
      <c r="M733" s="16"/>
      <c r="N733" s="6"/>
      <c r="O733" s="6"/>
      <c r="P733" s="6"/>
    </row>
    <row r="734" spans="1:16">
      <c r="A734" s="35"/>
      <c r="B734" s="36"/>
      <c r="C734" s="39"/>
      <c r="D734" s="6"/>
      <c r="E734" s="16"/>
      <c r="F734" s="7"/>
      <c r="G734" s="7"/>
      <c r="H734" s="7"/>
      <c r="I734" s="16"/>
      <c r="J734" s="16"/>
      <c r="K734" s="16"/>
      <c r="L734" s="16"/>
      <c r="M734" s="16"/>
      <c r="N734" s="6"/>
      <c r="O734" s="6"/>
      <c r="P734" s="6"/>
    </row>
    <row r="735" spans="1:16">
      <c r="A735" s="35"/>
      <c r="B735" s="36"/>
      <c r="C735" s="39"/>
      <c r="D735" s="6"/>
      <c r="E735" s="16"/>
      <c r="F735" s="7"/>
      <c r="G735" s="7"/>
      <c r="H735" s="7"/>
      <c r="I735" s="16"/>
      <c r="J735" s="16"/>
      <c r="K735" s="16"/>
      <c r="L735" s="16"/>
      <c r="M735" s="16"/>
      <c r="N735" s="6"/>
      <c r="O735" s="6"/>
      <c r="P735" s="6"/>
    </row>
    <row r="736" spans="1:16">
      <c r="A736" s="35"/>
      <c r="B736" s="36"/>
      <c r="C736" s="39"/>
      <c r="D736" s="6"/>
      <c r="E736" s="16"/>
      <c r="F736" s="7"/>
      <c r="G736" s="7"/>
      <c r="H736" s="7"/>
      <c r="I736" s="16"/>
      <c r="J736" s="16"/>
      <c r="K736" s="16"/>
      <c r="L736" s="16"/>
      <c r="M736" s="16"/>
      <c r="N736" s="6"/>
      <c r="O736" s="6"/>
      <c r="P736" s="6"/>
    </row>
    <row r="737" spans="1:16">
      <c r="A737" s="35"/>
      <c r="B737" s="36"/>
      <c r="C737" s="39"/>
      <c r="D737" s="6"/>
      <c r="E737" s="16"/>
      <c r="F737" s="7"/>
      <c r="G737" s="7"/>
      <c r="H737" s="7"/>
      <c r="I737" s="16"/>
      <c r="J737" s="16"/>
      <c r="K737" s="16"/>
      <c r="L737" s="16"/>
      <c r="M737" s="16"/>
      <c r="N737" s="6"/>
      <c r="O737" s="6"/>
      <c r="P737" s="6"/>
    </row>
    <row r="738" spans="1:16">
      <c r="A738" s="35"/>
      <c r="B738" s="36"/>
      <c r="C738" s="39"/>
      <c r="D738" s="6"/>
      <c r="E738" s="16"/>
      <c r="F738" s="7"/>
      <c r="G738" s="7"/>
      <c r="H738" s="7"/>
      <c r="I738" s="16"/>
      <c r="J738" s="16"/>
      <c r="K738" s="16"/>
      <c r="L738" s="16"/>
      <c r="M738" s="16"/>
      <c r="N738" s="6"/>
      <c r="O738" s="6"/>
      <c r="P738" s="6"/>
    </row>
    <row r="739" spans="1:16">
      <c r="A739" s="35"/>
      <c r="B739" s="36"/>
      <c r="C739" s="39"/>
      <c r="D739" s="6"/>
      <c r="E739" s="16"/>
      <c r="F739" s="7"/>
      <c r="G739" s="7"/>
      <c r="H739" s="7"/>
      <c r="I739" s="16"/>
      <c r="J739" s="16"/>
      <c r="K739" s="16"/>
      <c r="L739" s="16"/>
      <c r="M739" s="16"/>
      <c r="N739" s="6"/>
      <c r="O739" s="6"/>
      <c r="P739" s="6"/>
    </row>
    <row r="740" spans="1:16">
      <c r="A740" s="35"/>
      <c r="B740" s="36"/>
      <c r="C740" s="39"/>
      <c r="D740" s="6"/>
      <c r="E740" s="16"/>
      <c r="F740" s="7"/>
      <c r="G740" s="7"/>
      <c r="H740" s="7"/>
      <c r="I740" s="16"/>
      <c r="J740" s="16"/>
      <c r="K740" s="16"/>
      <c r="L740" s="16"/>
      <c r="M740" s="16"/>
      <c r="N740" s="6"/>
      <c r="O740" s="6"/>
      <c r="P740" s="6"/>
    </row>
    <row r="741" spans="1:16">
      <c r="A741" s="35"/>
      <c r="B741" s="36"/>
      <c r="C741" s="39"/>
      <c r="D741" s="6"/>
      <c r="E741" s="16"/>
      <c r="F741" s="7"/>
      <c r="G741" s="7"/>
      <c r="H741" s="7"/>
      <c r="I741" s="16"/>
      <c r="J741" s="16"/>
      <c r="K741" s="16"/>
      <c r="L741" s="16"/>
      <c r="M741" s="16"/>
      <c r="N741" s="6"/>
      <c r="O741" s="6"/>
      <c r="P741" s="6"/>
    </row>
    <row r="742" spans="1:16">
      <c r="A742" s="35"/>
      <c r="B742" s="36"/>
      <c r="C742" s="39"/>
      <c r="D742" s="6"/>
      <c r="E742" s="16"/>
      <c r="F742" s="7"/>
      <c r="G742" s="7"/>
      <c r="H742" s="7"/>
      <c r="I742" s="16"/>
      <c r="J742" s="16"/>
      <c r="K742" s="16"/>
      <c r="L742" s="16"/>
      <c r="M742" s="16"/>
      <c r="N742" s="6"/>
      <c r="O742" s="6"/>
      <c r="P742" s="6"/>
    </row>
    <row r="743" spans="1:16">
      <c r="A743" s="35"/>
      <c r="B743" s="36"/>
      <c r="C743" s="39"/>
      <c r="D743" s="6"/>
      <c r="E743" s="16"/>
      <c r="F743" s="7"/>
      <c r="G743" s="7"/>
      <c r="H743" s="7"/>
      <c r="I743" s="16"/>
      <c r="J743" s="16"/>
      <c r="K743" s="16"/>
      <c r="L743" s="16"/>
      <c r="M743" s="16"/>
      <c r="N743" s="6"/>
      <c r="O743" s="6"/>
      <c r="P743" s="6"/>
    </row>
    <row r="744" spans="1:16">
      <c r="A744" s="35"/>
      <c r="B744" s="36"/>
      <c r="C744" s="39"/>
      <c r="D744" s="6"/>
      <c r="E744" s="16"/>
      <c r="F744" s="7"/>
      <c r="G744" s="7"/>
      <c r="H744" s="7"/>
      <c r="I744" s="16"/>
      <c r="J744" s="16"/>
      <c r="K744" s="16"/>
      <c r="L744" s="16"/>
      <c r="M744" s="16"/>
      <c r="N744" s="6"/>
      <c r="O744" s="6"/>
      <c r="P744" s="6"/>
    </row>
    <row r="745" spans="1:16">
      <c r="A745" s="35"/>
      <c r="B745" s="36"/>
      <c r="C745" s="39"/>
      <c r="D745" s="6"/>
      <c r="E745" s="16"/>
      <c r="F745" s="7"/>
      <c r="G745" s="7"/>
      <c r="H745" s="7"/>
      <c r="I745" s="16"/>
      <c r="J745" s="16"/>
      <c r="K745" s="16"/>
      <c r="L745" s="16"/>
      <c r="M745" s="16"/>
      <c r="N745" s="6"/>
      <c r="O745" s="6"/>
      <c r="P745" s="6"/>
    </row>
    <row r="746" spans="1:16">
      <c r="A746" s="35"/>
      <c r="B746" s="36"/>
      <c r="C746" s="39"/>
      <c r="D746" s="6"/>
      <c r="E746" s="16"/>
      <c r="F746" s="7"/>
      <c r="G746" s="7"/>
      <c r="H746" s="7"/>
      <c r="I746" s="16"/>
      <c r="J746" s="16"/>
      <c r="K746" s="16"/>
      <c r="L746" s="16"/>
      <c r="M746" s="16"/>
      <c r="N746" s="6"/>
      <c r="O746" s="6"/>
      <c r="P746" s="6"/>
    </row>
    <row r="747" spans="1:16">
      <c r="A747" s="35"/>
      <c r="B747" s="36"/>
      <c r="C747" s="39"/>
      <c r="D747" s="6"/>
      <c r="E747" s="16"/>
      <c r="F747" s="7"/>
      <c r="G747" s="7"/>
      <c r="H747" s="7"/>
      <c r="I747" s="16"/>
      <c r="J747" s="16"/>
      <c r="K747" s="16"/>
      <c r="L747" s="16"/>
      <c r="M747" s="16"/>
      <c r="N747" s="6"/>
      <c r="O747" s="6"/>
      <c r="P747" s="6"/>
    </row>
    <row r="748" spans="1:16">
      <c r="A748" s="35"/>
      <c r="B748" s="36"/>
      <c r="C748" s="39"/>
      <c r="D748" s="6"/>
      <c r="E748" s="16"/>
      <c r="F748" s="7"/>
      <c r="G748" s="7"/>
      <c r="H748" s="7"/>
      <c r="I748" s="16"/>
      <c r="J748" s="16"/>
      <c r="K748" s="16"/>
      <c r="L748" s="16"/>
      <c r="M748" s="16"/>
      <c r="N748" s="6"/>
      <c r="O748" s="6"/>
      <c r="P748" s="6"/>
    </row>
    <row r="749" spans="1:16">
      <c r="A749" s="35"/>
      <c r="B749" s="36"/>
      <c r="C749" s="39"/>
      <c r="D749" s="6"/>
      <c r="E749" s="16"/>
      <c r="F749" s="7"/>
      <c r="G749" s="7"/>
      <c r="H749" s="7"/>
      <c r="I749" s="16"/>
      <c r="J749" s="16"/>
      <c r="K749" s="16"/>
      <c r="L749" s="16"/>
      <c r="M749" s="16"/>
      <c r="N749" s="6"/>
      <c r="O749" s="6"/>
      <c r="P749" s="6"/>
    </row>
    <row r="750" spans="1:16">
      <c r="A750" s="35"/>
      <c r="B750" s="36"/>
      <c r="C750" s="39"/>
      <c r="D750" s="6"/>
      <c r="E750" s="16"/>
      <c r="F750" s="7"/>
      <c r="G750" s="7"/>
      <c r="H750" s="7"/>
      <c r="I750" s="16"/>
      <c r="J750" s="16"/>
      <c r="K750" s="16"/>
      <c r="L750" s="16"/>
      <c r="M750" s="16"/>
      <c r="N750" s="6"/>
      <c r="O750" s="6"/>
      <c r="P750" s="6"/>
    </row>
    <row r="751" spans="1:16">
      <c r="A751" s="35"/>
      <c r="B751" s="36"/>
      <c r="C751" s="39"/>
      <c r="D751" s="6"/>
      <c r="E751" s="16"/>
      <c r="F751" s="7"/>
      <c r="G751" s="7"/>
      <c r="H751" s="7"/>
      <c r="I751" s="16"/>
      <c r="J751" s="16"/>
      <c r="K751" s="16"/>
      <c r="L751" s="16"/>
      <c r="M751" s="16"/>
      <c r="N751" s="6"/>
      <c r="O751" s="6"/>
      <c r="P751" s="6"/>
    </row>
    <row r="752" spans="1:16">
      <c r="A752" s="35"/>
      <c r="B752" s="36"/>
      <c r="C752" s="39"/>
      <c r="D752" s="6"/>
      <c r="E752" s="16"/>
      <c r="F752" s="7"/>
      <c r="G752" s="7"/>
      <c r="H752" s="7"/>
      <c r="I752" s="16"/>
      <c r="J752" s="16"/>
      <c r="K752" s="16"/>
      <c r="L752" s="16"/>
      <c r="M752" s="16"/>
      <c r="N752" s="6"/>
      <c r="O752" s="6"/>
      <c r="P752" s="6"/>
    </row>
    <row r="753" spans="1:16">
      <c r="A753" s="35"/>
      <c r="B753" s="36"/>
      <c r="C753" s="39"/>
      <c r="D753" s="6"/>
      <c r="E753" s="16"/>
      <c r="F753" s="7"/>
      <c r="G753" s="7"/>
      <c r="H753" s="7"/>
      <c r="I753" s="16"/>
      <c r="J753" s="16"/>
      <c r="K753" s="16"/>
      <c r="L753" s="16"/>
      <c r="M753" s="16"/>
      <c r="N753" s="6"/>
      <c r="O753" s="6"/>
      <c r="P753" s="6"/>
    </row>
    <row r="754" spans="1:16">
      <c r="A754" s="35"/>
      <c r="B754" s="36"/>
      <c r="C754" s="39"/>
      <c r="D754" s="6"/>
      <c r="E754" s="16"/>
      <c r="F754" s="7"/>
      <c r="G754" s="7"/>
      <c r="H754" s="7"/>
      <c r="I754" s="16"/>
      <c r="J754" s="16"/>
      <c r="K754" s="16"/>
      <c r="L754" s="16"/>
      <c r="M754" s="16"/>
      <c r="N754" s="6"/>
      <c r="O754" s="6"/>
      <c r="P754" s="6"/>
    </row>
    <row r="755" spans="1:16">
      <c r="A755" s="35"/>
      <c r="B755" s="36"/>
      <c r="C755" s="39"/>
      <c r="D755" s="6"/>
      <c r="E755" s="16"/>
      <c r="F755" s="7"/>
      <c r="G755" s="7"/>
      <c r="H755" s="7"/>
      <c r="I755" s="16"/>
      <c r="J755" s="16"/>
      <c r="K755" s="16"/>
      <c r="L755" s="16"/>
      <c r="M755" s="16"/>
      <c r="N755" s="6"/>
      <c r="O755" s="6"/>
      <c r="P755" s="6"/>
    </row>
    <row r="756" spans="1:16">
      <c r="A756" s="35"/>
      <c r="B756" s="36"/>
      <c r="C756" s="39"/>
      <c r="D756" s="6"/>
      <c r="E756" s="16"/>
      <c r="F756" s="7"/>
      <c r="G756" s="7"/>
      <c r="H756" s="7"/>
      <c r="I756" s="16"/>
      <c r="J756" s="16"/>
      <c r="K756" s="16"/>
      <c r="L756" s="16"/>
      <c r="M756" s="16"/>
      <c r="N756" s="6"/>
      <c r="O756" s="6"/>
      <c r="P756" s="6"/>
    </row>
    <row r="757" spans="1:16">
      <c r="A757" s="35"/>
      <c r="B757" s="36"/>
      <c r="C757" s="39"/>
      <c r="D757" s="6"/>
      <c r="E757" s="16"/>
      <c r="F757" s="7"/>
      <c r="G757" s="7"/>
      <c r="H757" s="7"/>
      <c r="I757" s="16"/>
      <c r="J757" s="16"/>
      <c r="K757" s="16"/>
      <c r="L757" s="16"/>
      <c r="M757" s="16"/>
      <c r="N757" s="6"/>
      <c r="O757" s="6"/>
      <c r="P757" s="6"/>
    </row>
    <row r="758" spans="1:16">
      <c r="A758" s="35"/>
      <c r="B758" s="36"/>
      <c r="C758" s="39"/>
      <c r="D758" s="6"/>
      <c r="E758" s="16"/>
      <c r="F758" s="7"/>
      <c r="G758" s="7"/>
      <c r="H758" s="7"/>
      <c r="I758" s="16"/>
      <c r="J758" s="16"/>
      <c r="K758" s="16"/>
      <c r="L758" s="16"/>
      <c r="M758" s="16"/>
      <c r="N758" s="6"/>
      <c r="O758" s="6"/>
      <c r="P758" s="6"/>
    </row>
    <row r="759" spans="1:16">
      <c r="A759" s="35"/>
      <c r="B759" s="36"/>
      <c r="C759" s="39"/>
      <c r="D759" s="6"/>
      <c r="E759" s="16"/>
      <c r="F759" s="7"/>
      <c r="G759" s="7"/>
      <c r="H759" s="7"/>
      <c r="I759" s="16"/>
      <c r="J759" s="16"/>
      <c r="K759" s="16"/>
      <c r="L759" s="16"/>
      <c r="M759" s="16"/>
      <c r="N759" s="6"/>
      <c r="O759" s="6"/>
      <c r="P759" s="6"/>
    </row>
    <row r="760" spans="1:16">
      <c r="A760" s="35"/>
      <c r="B760" s="36"/>
      <c r="C760" s="39"/>
      <c r="D760" s="6"/>
      <c r="E760" s="16"/>
      <c r="F760" s="7"/>
      <c r="G760" s="7"/>
      <c r="H760" s="7"/>
      <c r="I760" s="16"/>
      <c r="J760" s="16"/>
      <c r="K760" s="16"/>
      <c r="L760" s="16"/>
      <c r="M760" s="16"/>
      <c r="N760" s="6"/>
      <c r="O760" s="6"/>
      <c r="P760" s="6"/>
    </row>
    <row r="761" spans="1:16">
      <c r="A761" s="35"/>
      <c r="B761" s="36"/>
      <c r="C761" s="39"/>
      <c r="D761" s="6"/>
      <c r="E761" s="16"/>
      <c r="F761" s="7"/>
      <c r="G761" s="7"/>
      <c r="H761" s="7"/>
      <c r="I761" s="16"/>
      <c r="J761" s="16"/>
      <c r="K761" s="16"/>
      <c r="L761" s="16"/>
      <c r="M761" s="16"/>
      <c r="N761" s="6"/>
      <c r="O761" s="6"/>
      <c r="P761" s="6"/>
    </row>
    <row r="762" spans="1:16">
      <c r="A762" s="35"/>
      <c r="B762" s="36"/>
      <c r="C762" s="39"/>
      <c r="D762" s="6"/>
      <c r="E762" s="16"/>
      <c r="F762" s="7"/>
      <c r="G762" s="7"/>
      <c r="H762" s="7"/>
      <c r="I762" s="16"/>
      <c r="J762" s="16"/>
      <c r="K762" s="16"/>
      <c r="L762" s="16"/>
      <c r="M762" s="16"/>
      <c r="N762" s="6"/>
      <c r="O762" s="6"/>
      <c r="P762" s="6"/>
    </row>
    <row r="763" spans="1:16">
      <c r="A763" s="35"/>
      <c r="B763" s="36"/>
      <c r="C763" s="39"/>
      <c r="D763" s="6"/>
      <c r="E763" s="16"/>
      <c r="F763" s="7"/>
      <c r="G763" s="7"/>
      <c r="H763" s="7"/>
      <c r="I763" s="16"/>
      <c r="J763" s="16"/>
      <c r="K763" s="16"/>
      <c r="L763" s="16"/>
      <c r="M763" s="16"/>
      <c r="N763" s="6"/>
      <c r="O763" s="6"/>
      <c r="P763" s="6"/>
    </row>
    <row r="764" spans="1:16">
      <c r="A764" s="35"/>
      <c r="B764" s="36"/>
      <c r="C764" s="39"/>
      <c r="D764" s="6"/>
      <c r="E764" s="16"/>
      <c r="F764" s="7"/>
      <c r="G764" s="7"/>
      <c r="H764" s="7"/>
      <c r="I764" s="16"/>
      <c r="J764" s="16"/>
      <c r="K764" s="16"/>
      <c r="L764" s="16"/>
      <c r="M764" s="16"/>
      <c r="N764" s="6"/>
      <c r="O764" s="6"/>
      <c r="P764" s="6"/>
    </row>
    <row r="765" spans="1:16">
      <c r="A765" s="35"/>
      <c r="B765" s="36"/>
      <c r="C765" s="39"/>
      <c r="D765" s="6"/>
      <c r="E765" s="16"/>
      <c r="F765" s="7"/>
      <c r="G765" s="7"/>
      <c r="H765" s="7"/>
      <c r="I765" s="16"/>
      <c r="J765" s="16"/>
      <c r="K765" s="16"/>
      <c r="L765" s="16"/>
      <c r="M765" s="16"/>
      <c r="N765" s="6"/>
      <c r="O765" s="6"/>
      <c r="P765" s="6"/>
    </row>
    <row r="766" spans="1:16">
      <c r="A766" s="35"/>
      <c r="B766" s="36"/>
      <c r="C766" s="39"/>
      <c r="D766" s="6"/>
      <c r="E766" s="16"/>
      <c r="F766" s="7"/>
      <c r="G766" s="7"/>
      <c r="H766" s="7"/>
      <c r="I766" s="16"/>
      <c r="J766" s="16"/>
      <c r="K766" s="16"/>
      <c r="L766" s="16"/>
      <c r="M766" s="16"/>
      <c r="N766" s="6"/>
      <c r="O766" s="6"/>
      <c r="P766" s="6"/>
    </row>
    <row r="767" spans="1:16">
      <c r="A767" s="35"/>
      <c r="B767" s="36"/>
      <c r="C767" s="39"/>
      <c r="D767" s="6"/>
      <c r="E767" s="16"/>
      <c r="F767" s="7"/>
      <c r="G767" s="7"/>
      <c r="H767" s="7"/>
      <c r="I767" s="16"/>
      <c r="J767" s="16"/>
      <c r="K767" s="16"/>
      <c r="L767" s="16"/>
      <c r="M767" s="16"/>
      <c r="N767" s="6"/>
      <c r="O767" s="6"/>
      <c r="P767" s="6"/>
    </row>
    <row r="768" spans="1:16">
      <c r="A768" s="35"/>
      <c r="B768" s="36"/>
      <c r="C768" s="39"/>
      <c r="D768" s="6"/>
      <c r="E768" s="16"/>
      <c r="F768" s="7"/>
      <c r="G768" s="7"/>
      <c r="H768" s="7"/>
      <c r="I768" s="16"/>
      <c r="J768" s="16"/>
      <c r="K768" s="16"/>
      <c r="L768" s="16"/>
      <c r="M768" s="16"/>
      <c r="N768" s="6"/>
      <c r="O768" s="6"/>
      <c r="P768" s="6"/>
    </row>
    <row r="769" spans="1:16">
      <c r="A769" s="35"/>
      <c r="B769" s="36"/>
      <c r="C769" s="39"/>
      <c r="D769" s="6"/>
      <c r="E769" s="16"/>
      <c r="F769" s="7"/>
      <c r="G769" s="7"/>
      <c r="H769" s="7"/>
      <c r="I769" s="16"/>
      <c r="J769" s="16"/>
      <c r="K769" s="16"/>
      <c r="L769" s="16"/>
      <c r="M769" s="16"/>
      <c r="N769" s="6"/>
      <c r="O769" s="6"/>
      <c r="P769" s="6"/>
    </row>
    <row r="770" spans="1:16">
      <c r="A770" s="35"/>
      <c r="B770" s="36"/>
      <c r="C770" s="39"/>
      <c r="D770" s="6"/>
      <c r="E770" s="16"/>
      <c r="F770" s="7"/>
      <c r="G770" s="7"/>
      <c r="H770" s="7"/>
      <c r="I770" s="16"/>
      <c r="J770" s="16"/>
      <c r="K770" s="16"/>
      <c r="L770" s="16"/>
      <c r="M770" s="16"/>
      <c r="N770" s="6"/>
      <c r="O770" s="6"/>
      <c r="P770" s="6"/>
    </row>
    <row r="771" spans="1:16">
      <c r="A771" s="35"/>
      <c r="B771" s="36"/>
      <c r="C771" s="39"/>
      <c r="D771" s="6"/>
      <c r="E771" s="16"/>
      <c r="F771" s="7"/>
      <c r="G771" s="7"/>
      <c r="H771" s="7"/>
      <c r="I771" s="16"/>
      <c r="J771" s="16"/>
      <c r="K771" s="16"/>
      <c r="L771" s="16"/>
      <c r="M771" s="16"/>
      <c r="N771" s="6"/>
      <c r="O771" s="6"/>
      <c r="P771" s="6"/>
    </row>
    <row r="772" spans="1:16">
      <c r="A772" s="35"/>
      <c r="B772" s="36"/>
      <c r="C772" s="39"/>
      <c r="D772" s="6"/>
      <c r="E772" s="16"/>
      <c r="F772" s="7"/>
      <c r="G772" s="7"/>
      <c r="H772" s="7"/>
      <c r="I772" s="16"/>
      <c r="J772" s="16"/>
      <c r="K772" s="16"/>
      <c r="L772" s="16"/>
      <c r="M772" s="16"/>
      <c r="N772" s="6"/>
      <c r="O772" s="6"/>
      <c r="P772" s="6"/>
    </row>
    <row r="773" spans="1:16">
      <c r="A773" s="35"/>
      <c r="B773" s="36"/>
      <c r="C773" s="39"/>
      <c r="D773" s="6"/>
      <c r="E773" s="16"/>
      <c r="F773" s="7"/>
      <c r="G773" s="7"/>
      <c r="H773" s="7"/>
      <c r="I773" s="16"/>
      <c r="J773" s="16"/>
      <c r="K773" s="16"/>
      <c r="L773" s="16"/>
      <c r="M773" s="16"/>
      <c r="N773" s="6"/>
      <c r="O773" s="6"/>
      <c r="P773" s="6"/>
    </row>
    <row r="774" spans="1:16">
      <c r="A774" s="35"/>
      <c r="B774" s="36"/>
      <c r="C774" s="39"/>
      <c r="D774" s="6"/>
      <c r="E774" s="16"/>
      <c r="F774" s="7"/>
      <c r="G774" s="7"/>
      <c r="H774" s="7"/>
      <c r="I774" s="16"/>
      <c r="J774" s="16"/>
      <c r="K774" s="16"/>
      <c r="L774" s="16"/>
      <c r="M774" s="16"/>
      <c r="N774" s="6"/>
      <c r="O774" s="6"/>
      <c r="P774" s="6"/>
    </row>
    <row r="775" spans="1:16">
      <c r="A775" s="35"/>
      <c r="B775" s="36"/>
      <c r="C775" s="39"/>
      <c r="D775" s="6"/>
      <c r="E775" s="16"/>
      <c r="F775" s="7"/>
      <c r="G775" s="7"/>
      <c r="H775" s="7"/>
      <c r="I775" s="16"/>
      <c r="J775" s="16"/>
      <c r="K775" s="16"/>
      <c r="L775" s="16"/>
      <c r="M775" s="16"/>
      <c r="N775" s="6"/>
      <c r="O775" s="6"/>
      <c r="P775" s="6"/>
    </row>
    <row r="776" spans="1:16">
      <c r="A776" s="35"/>
      <c r="B776" s="36"/>
      <c r="C776" s="39"/>
      <c r="D776" s="6"/>
      <c r="E776" s="16"/>
      <c r="F776" s="7"/>
      <c r="G776" s="7"/>
      <c r="H776" s="7"/>
      <c r="I776" s="16"/>
      <c r="J776" s="16"/>
      <c r="K776" s="16"/>
      <c r="L776" s="16"/>
      <c r="M776" s="16"/>
      <c r="N776" s="6"/>
      <c r="O776" s="6"/>
      <c r="P776" s="6"/>
    </row>
    <row r="777" spans="1:16">
      <c r="A777" s="35"/>
      <c r="B777" s="36"/>
      <c r="C777" s="39"/>
      <c r="D777" s="6"/>
      <c r="E777" s="16"/>
      <c r="F777" s="7"/>
      <c r="G777" s="7"/>
      <c r="H777" s="7"/>
      <c r="I777" s="16"/>
      <c r="J777" s="16"/>
      <c r="K777" s="16"/>
      <c r="L777" s="16"/>
      <c r="M777" s="16"/>
      <c r="N777" s="6"/>
      <c r="O777" s="6"/>
      <c r="P777" s="6"/>
    </row>
    <row r="778" spans="1:16">
      <c r="A778" s="35"/>
      <c r="B778" s="36"/>
      <c r="C778" s="39"/>
      <c r="D778" s="6"/>
      <c r="E778" s="16"/>
      <c r="F778" s="7"/>
      <c r="G778" s="7"/>
      <c r="H778" s="7"/>
      <c r="I778" s="16"/>
      <c r="J778" s="16"/>
      <c r="K778" s="16"/>
      <c r="L778" s="16"/>
      <c r="M778" s="16"/>
      <c r="N778" s="6"/>
      <c r="O778" s="6"/>
      <c r="P778" s="6"/>
    </row>
    <row r="779" spans="1:16">
      <c r="A779" s="35"/>
      <c r="B779" s="36"/>
      <c r="C779" s="39"/>
      <c r="D779" s="6"/>
      <c r="E779" s="16"/>
      <c r="F779" s="7"/>
      <c r="G779" s="7"/>
      <c r="H779" s="7"/>
      <c r="I779" s="16"/>
      <c r="J779" s="16"/>
      <c r="K779" s="16"/>
      <c r="L779" s="16"/>
      <c r="M779" s="16"/>
      <c r="N779" s="6"/>
      <c r="O779" s="6"/>
      <c r="P779" s="6"/>
    </row>
    <row r="780" spans="1:16">
      <c r="A780" s="35"/>
      <c r="B780" s="36"/>
      <c r="C780" s="39"/>
      <c r="D780" s="6"/>
      <c r="E780" s="16"/>
      <c r="F780" s="7"/>
      <c r="G780" s="7"/>
      <c r="H780" s="7"/>
      <c r="I780" s="16"/>
      <c r="J780" s="16"/>
      <c r="K780" s="16"/>
      <c r="L780" s="16"/>
      <c r="M780" s="16"/>
      <c r="N780" s="6"/>
      <c r="O780" s="6"/>
      <c r="P780" s="6"/>
    </row>
    <row r="781" spans="1:16">
      <c r="A781" s="35"/>
      <c r="B781" s="36"/>
      <c r="C781" s="39"/>
      <c r="D781" s="6"/>
      <c r="E781" s="16"/>
      <c r="F781" s="7"/>
      <c r="G781" s="7"/>
      <c r="H781" s="7"/>
      <c r="I781" s="16"/>
      <c r="J781" s="16"/>
      <c r="K781" s="16"/>
      <c r="L781" s="16"/>
      <c r="M781" s="16"/>
      <c r="N781" s="6"/>
      <c r="O781" s="6"/>
      <c r="P781" s="6"/>
    </row>
    <row r="782" spans="1:16">
      <c r="A782" s="35"/>
      <c r="B782" s="36"/>
      <c r="C782" s="39"/>
      <c r="D782" s="6"/>
      <c r="E782" s="16"/>
      <c r="F782" s="7"/>
      <c r="G782" s="7"/>
      <c r="H782" s="7"/>
      <c r="I782" s="16"/>
      <c r="J782" s="16"/>
      <c r="K782" s="16"/>
      <c r="L782" s="16"/>
      <c r="M782" s="16"/>
      <c r="N782" s="6"/>
      <c r="O782" s="6"/>
      <c r="P782" s="6"/>
    </row>
    <row r="783" spans="1:16">
      <c r="A783" s="35"/>
      <c r="B783" s="36"/>
      <c r="C783" s="39"/>
      <c r="D783" s="6"/>
      <c r="E783" s="16"/>
      <c r="F783" s="7"/>
      <c r="G783" s="7"/>
      <c r="H783" s="7"/>
      <c r="I783" s="16"/>
      <c r="J783" s="16"/>
      <c r="K783" s="16"/>
      <c r="L783" s="16"/>
      <c r="M783" s="16"/>
      <c r="N783" s="6"/>
      <c r="O783" s="6"/>
      <c r="P783" s="6"/>
    </row>
    <row r="784" spans="1:16">
      <c r="A784" s="35"/>
      <c r="B784" s="36"/>
      <c r="C784" s="39"/>
      <c r="D784" s="6"/>
      <c r="E784" s="16"/>
      <c r="F784" s="7"/>
      <c r="G784" s="7"/>
      <c r="H784" s="7"/>
      <c r="I784" s="16"/>
      <c r="J784" s="16"/>
      <c r="K784" s="16"/>
      <c r="L784" s="16"/>
      <c r="M784" s="16"/>
      <c r="N784" s="6"/>
      <c r="O784" s="6"/>
      <c r="P784" s="6"/>
    </row>
    <row r="785" spans="1:16">
      <c r="A785" s="35"/>
      <c r="B785" s="36"/>
      <c r="C785" s="39"/>
      <c r="D785" s="6"/>
      <c r="E785" s="16"/>
      <c r="F785" s="7"/>
      <c r="G785" s="7"/>
      <c r="H785" s="7"/>
      <c r="I785" s="16"/>
      <c r="J785" s="16"/>
      <c r="K785" s="16"/>
      <c r="L785" s="16"/>
      <c r="M785" s="16"/>
      <c r="N785" s="6"/>
      <c r="O785" s="6"/>
      <c r="P785" s="6"/>
    </row>
    <row r="786" spans="1:16">
      <c r="A786" s="35"/>
      <c r="B786" s="36"/>
      <c r="C786" s="39"/>
      <c r="D786" s="6"/>
      <c r="E786" s="16"/>
      <c r="F786" s="7"/>
      <c r="G786" s="7"/>
      <c r="H786" s="7"/>
      <c r="I786" s="16"/>
      <c r="J786" s="16"/>
      <c r="K786" s="16"/>
      <c r="L786" s="16"/>
      <c r="M786" s="16"/>
      <c r="N786" s="6"/>
      <c r="O786" s="6"/>
      <c r="P786" s="6"/>
    </row>
    <row r="787" spans="1:16">
      <c r="A787" s="35"/>
      <c r="B787" s="36"/>
      <c r="C787" s="39"/>
      <c r="D787" s="6"/>
      <c r="E787" s="16"/>
      <c r="F787" s="7"/>
      <c r="G787" s="7"/>
      <c r="H787" s="7"/>
      <c r="I787" s="16"/>
      <c r="J787" s="16"/>
      <c r="K787" s="16"/>
      <c r="L787" s="16"/>
      <c r="M787" s="16"/>
      <c r="N787" s="6"/>
      <c r="O787" s="6"/>
      <c r="P787" s="6"/>
    </row>
    <row r="788" spans="1:16">
      <c r="A788" s="35"/>
      <c r="B788" s="36"/>
      <c r="C788" s="39"/>
      <c r="D788" s="6"/>
      <c r="E788" s="16"/>
      <c r="F788" s="7"/>
      <c r="G788" s="7"/>
      <c r="H788" s="7"/>
      <c r="I788" s="16"/>
      <c r="J788" s="16"/>
      <c r="K788" s="16"/>
      <c r="L788" s="16"/>
      <c r="M788" s="16"/>
      <c r="N788" s="6"/>
      <c r="O788" s="6"/>
      <c r="P788" s="6"/>
    </row>
    <row r="789" spans="1:16">
      <c r="A789" s="35"/>
      <c r="B789" s="36"/>
      <c r="C789" s="39"/>
      <c r="D789" s="6"/>
      <c r="E789" s="16"/>
      <c r="F789" s="7"/>
      <c r="G789" s="7"/>
      <c r="H789" s="7"/>
      <c r="I789" s="16"/>
      <c r="J789" s="16"/>
      <c r="K789" s="16"/>
      <c r="L789" s="16"/>
      <c r="M789" s="16"/>
      <c r="N789" s="6"/>
      <c r="O789" s="6"/>
      <c r="P789" s="6"/>
    </row>
    <row r="790" spans="1:16">
      <c r="A790" s="35"/>
      <c r="B790" s="36"/>
      <c r="C790" s="39"/>
      <c r="D790" s="6"/>
      <c r="E790" s="16"/>
      <c r="F790" s="7"/>
      <c r="G790" s="7"/>
      <c r="H790" s="7"/>
      <c r="I790" s="16"/>
      <c r="J790" s="16"/>
      <c r="K790" s="16"/>
      <c r="L790" s="16"/>
      <c r="M790" s="16"/>
      <c r="N790" s="6"/>
      <c r="O790" s="6"/>
      <c r="P790" s="6"/>
    </row>
    <row r="791" spans="1:16">
      <c r="A791" s="35"/>
      <c r="B791" s="36"/>
      <c r="C791" s="39"/>
      <c r="D791" s="6"/>
      <c r="E791" s="16"/>
      <c r="F791" s="7"/>
      <c r="G791" s="7"/>
      <c r="H791" s="7"/>
      <c r="I791" s="16"/>
      <c r="J791" s="16"/>
      <c r="K791" s="16"/>
      <c r="L791" s="16"/>
      <c r="M791" s="16"/>
      <c r="N791" s="6"/>
      <c r="O791" s="6"/>
      <c r="P791" s="6"/>
    </row>
    <row r="792" spans="1:16">
      <c r="A792" s="35"/>
      <c r="B792" s="36"/>
      <c r="C792" s="39"/>
      <c r="D792" s="6"/>
      <c r="E792" s="16"/>
      <c r="F792" s="7"/>
      <c r="G792" s="7"/>
      <c r="H792" s="7"/>
      <c r="I792" s="16"/>
      <c r="J792" s="16"/>
      <c r="K792" s="16"/>
      <c r="L792" s="16"/>
      <c r="M792" s="16"/>
      <c r="N792" s="6"/>
      <c r="O792" s="6"/>
      <c r="P792" s="6"/>
    </row>
    <row r="793" spans="1:16">
      <c r="A793" s="35"/>
      <c r="B793" s="36"/>
      <c r="C793" s="39"/>
      <c r="D793" s="6"/>
      <c r="E793" s="16"/>
      <c r="F793" s="7"/>
      <c r="G793" s="7"/>
      <c r="H793" s="7"/>
      <c r="I793" s="16"/>
      <c r="J793" s="16"/>
      <c r="K793" s="16"/>
      <c r="L793" s="16"/>
      <c r="M793" s="16"/>
      <c r="N793" s="6"/>
      <c r="O793" s="6"/>
      <c r="P793" s="6"/>
    </row>
    <row r="794" spans="1:16">
      <c r="A794" s="35"/>
      <c r="B794" s="36"/>
      <c r="C794" s="39"/>
      <c r="D794" s="6"/>
      <c r="E794" s="16"/>
      <c r="F794" s="7"/>
      <c r="G794" s="7"/>
      <c r="H794" s="7"/>
      <c r="I794" s="16"/>
      <c r="J794" s="16"/>
      <c r="K794" s="16"/>
      <c r="L794" s="16"/>
      <c r="M794" s="16"/>
      <c r="N794" s="6"/>
      <c r="O794" s="6"/>
      <c r="P794" s="6"/>
    </row>
    <row r="795" spans="1:16">
      <c r="A795" s="35"/>
      <c r="B795" s="36"/>
      <c r="C795" s="39"/>
      <c r="D795" s="6"/>
      <c r="E795" s="16"/>
      <c r="F795" s="7"/>
      <c r="G795" s="7"/>
      <c r="H795" s="7"/>
      <c r="I795" s="16"/>
      <c r="J795" s="16"/>
      <c r="K795" s="16"/>
      <c r="L795" s="16"/>
      <c r="M795" s="16"/>
      <c r="N795" s="6"/>
      <c r="O795" s="6"/>
      <c r="P795" s="6"/>
    </row>
    <row r="796" spans="1:16">
      <c r="A796" s="35"/>
      <c r="B796" s="36"/>
      <c r="C796" s="39"/>
      <c r="D796" s="6"/>
      <c r="E796" s="16"/>
      <c r="F796" s="7"/>
      <c r="G796" s="7"/>
      <c r="H796" s="7"/>
      <c r="I796" s="16"/>
      <c r="J796" s="16"/>
      <c r="K796" s="16"/>
      <c r="L796" s="16"/>
      <c r="M796" s="16"/>
      <c r="N796" s="6"/>
      <c r="O796" s="6"/>
      <c r="P796" s="6"/>
    </row>
    <row r="797" spans="1:16">
      <c r="A797" s="35"/>
      <c r="B797" s="36"/>
      <c r="C797" s="39"/>
      <c r="D797" s="6"/>
      <c r="E797" s="16"/>
      <c r="F797" s="7"/>
      <c r="G797" s="7"/>
      <c r="H797" s="7"/>
      <c r="I797" s="16"/>
      <c r="J797" s="16"/>
      <c r="K797" s="16"/>
      <c r="L797" s="16"/>
      <c r="M797" s="16"/>
      <c r="N797" s="6"/>
      <c r="O797" s="6"/>
      <c r="P797" s="6"/>
    </row>
    <row r="798" spans="1:16">
      <c r="A798" s="35"/>
      <c r="B798" s="36"/>
      <c r="C798" s="39"/>
      <c r="D798" s="6"/>
      <c r="E798" s="16"/>
      <c r="F798" s="7"/>
      <c r="G798" s="7"/>
      <c r="H798" s="7"/>
      <c r="I798" s="16"/>
      <c r="J798" s="16"/>
      <c r="K798" s="16"/>
      <c r="L798" s="16"/>
      <c r="M798" s="16"/>
      <c r="N798" s="6"/>
      <c r="O798" s="6"/>
      <c r="P798" s="6"/>
    </row>
    <row r="799" spans="1:16">
      <c r="A799" s="35"/>
      <c r="B799" s="36"/>
      <c r="C799" s="39"/>
      <c r="D799" s="6"/>
      <c r="E799" s="16"/>
      <c r="F799" s="7"/>
      <c r="G799" s="7"/>
      <c r="H799" s="7"/>
      <c r="I799" s="16"/>
      <c r="J799" s="16"/>
      <c r="K799" s="16"/>
      <c r="L799" s="16"/>
      <c r="M799" s="16"/>
      <c r="N799" s="6"/>
      <c r="O799" s="6"/>
      <c r="P799" s="6"/>
    </row>
    <row r="800" spans="1:16">
      <c r="A800" s="35"/>
      <c r="B800" s="36"/>
      <c r="C800" s="39"/>
      <c r="D800" s="6"/>
      <c r="E800" s="16"/>
      <c r="F800" s="7"/>
      <c r="G800" s="7"/>
      <c r="H800" s="7"/>
      <c r="I800" s="16"/>
      <c r="J800" s="16"/>
      <c r="K800" s="16"/>
      <c r="L800" s="16"/>
      <c r="M800" s="16"/>
      <c r="N800" s="6"/>
      <c r="O800" s="6"/>
      <c r="P800" s="6"/>
    </row>
    <row r="801" spans="1:16">
      <c r="A801" s="35"/>
      <c r="B801" s="36"/>
      <c r="C801" s="39"/>
      <c r="D801" s="6"/>
      <c r="E801" s="16"/>
      <c r="F801" s="7"/>
      <c r="G801" s="7"/>
      <c r="H801" s="7"/>
      <c r="I801" s="16"/>
      <c r="J801" s="16"/>
      <c r="K801" s="16"/>
      <c r="L801" s="16"/>
      <c r="M801" s="16"/>
      <c r="N801" s="6"/>
      <c r="O801" s="6"/>
      <c r="P801" s="6"/>
    </row>
    <row r="802" spans="1:16">
      <c r="A802" s="35"/>
      <c r="B802" s="36"/>
      <c r="C802" s="39"/>
      <c r="D802" s="6"/>
      <c r="E802" s="16"/>
      <c r="F802" s="7"/>
      <c r="G802" s="7"/>
      <c r="H802" s="7"/>
      <c r="I802" s="16"/>
      <c r="J802" s="16"/>
      <c r="K802" s="16"/>
      <c r="L802" s="16"/>
      <c r="M802" s="16"/>
      <c r="N802" s="6"/>
      <c r="O802" s="6"/>
      <c r="P802" s="6"/>
    </row>
    <row r="803" spans="1:16">
      <c r="A803" s="35"/>
      <c r="B803" s="36"/>
      <c r="C803" s="39"/>
      <c r="D803" s="6"/>
      <c r="E803" s="16"/>
      <c r="F803" s="7"/>
      <c r="G803" s="7"/>
      <c r="H803" s="7"/>
      <c r="I803" s="16"/>
      <c r="J803" s="16"/>
      <c r="K803" s="16"/>
      <c r="L803" s="16"/>
      <c r="M803" s="16"/>
      <c r="N803" s="6"/>
      <c r="O803" s="6"/>
      <c r="P803" s="6"/>
    </row>
    <row r="804" spans="1:16">
      <c r="A804" s="35"/>
      <c r="B804" s="36"/>
      <c r="C804" s="39"/>
      <c r="D804" s="6"/>
      <c r="E804" s="16"/>
      <c r="F804" s="7"/>
      <c r="G804" s="7"/>
      <c r="H804" s="7"/>
      <c r="I804" s="16"/>
      <c r="J804" s="16"/>
      <c r="K804" s="16"/>
      <c r="L804" s="16"/>
      <c r="M804" s="16"/>
      <c r="N804" s="6"/>
      <c r="O804" s="6"/>
      <c r="P804" s="6"/>
    </row>
    <row r="805" spans="1:16">
      <c r="A805" s="35"/>
      <c r="B805" s="36"/>
      <c r="C805" s="39"/>
      <c r="D805" s="6"/>
      <c r="E805" s="16"/>
      <c r="F805" s="7"/>
      <c r="G805" s="7"/>
      <c r="H805" s="7"/>
      <c r="I805" s="16"/>
      <c r="J805" s="16"/>
      <c r="K805" s="16"/>
      <c r="L805" s="16"/>
      <c r="M805" s="16"/>
      <c r="N805" s="6"/>
      <c r="O805" s="6"/>
      <c r="P805" s="6"/>
    </row>
    <row r="806" spans="1:16">
      <c r="A806" s="35"/>
      <c r="B806" s="36"/>
      <c r="C806" s="39"/>
      <c r="D806" s="6"/>
      <c r="E806" s="16"/>
      <c r="F806" s="7"/>
      <c r="G806" s="7"/>
      <c r="H806" s="7"/>
      <c r="I806" s="16"/>
      <c r="J806" s="16"/>
      <c r="K806" s="16"/>
      <c r="L806" s="16"/>
      <c r="M806" s="16"/>
      <c r="N806" s="6"/>
      <c r="O806" s="6"/>
      <c r="P806" s="6"/>
    </row>
    <row r="807" spans="1:16">
      <c r="A807" s="35"/>
      <c r="B807" s="36"/>
      <c r="C807" s="39"/>
      <c r="D807" s="6"/>
      <c r="E807" s="16"/>
      <c r="F807" s="7"/>
      <c r="G807" s="7"/>
      <c r="H807" s="7"/>
      <c r="I807" s="16"/>
      <c r="J807" s="16"/>
      <c r="K807" s="16"/>
      <c r="L807" s="16"/>
      <c r="M807" s="16"/>
      <c r="N807" s="6"/>
      <c r="O807" s="6"/>
      <c r="P807" s="6"/>
    </row>
    <row r="808" spans="1:16">
      <c r="A808" s="35"/>
      <c r="B808" s="36"/>
      <c r="C808" s="39"/>
      <c r="D808" s="6"/>
      <c r="E808" s="16"/>
      <c r="F808" s="7"/>
      <c r="G808" s="7"/>
      <c r="H808" s="7"/>
      <c r="I808" s="16"/>
      <c r="J808" s="16"/>
      <c r="K808" s="16"/>
      <c r="L808" s="16"/>
      <c r="M808" s="16"/>
      <c r="N808" s="6"/>
      <c r="O808" s="6"/>
      <c r="P808" s="6"/>
    </row>
    <row r="809" spans="1:16">
      <c r="A809" s="35"/>
      <c r="B809" s="36"/>
      <c r="C809" s="39"/>
      <c r="D809" s="6"/>
      <c r="E809" s="16"/>
      <c r="F809" s="7"/>
      <c r="G809" s="7"/>
      <c r="H809" s="7"/>
      <c r="I809" s="16"/>
      <c r="J809" s="16"/>
      <c r="K809" s="16"/>
      <c r="L809" s="16"/>
      <c r="M809" s="16"/>
      <c r="N809" s="6"/>
      <c r="O809" s="6"/>
      <c r="P809" s="6"/>
    </row>
    <row r="810" spans="1:16">
      <c r="A810" s="35"/>
      <c r="B810" s="36"/>
      <c r="C810" s="39"/>
      <c r="D810" s="6"/>
      <c r="E810" s="16"/>
      <c r="F810" s="7"/>
      <c r="G810" s="7"/>
      <c r="H810" s="7"/>
      <c r="I810" s="16"/>
      <c r="J810" s="16"/>
      <c r="K810" s="16"/>
      <c r="L810" s="16"/>
      <c r="M810" s="16"/>
      <c r="N810" s="6"/>
      <c r="O810" s="6"/>
      <c r="P810" s="6"/>
    </row>
    <row r="811" spans="1:16">
      <c r="A811" s="35"/>
      <c r="B811" s="36"/>
      <c r="C811" s="39"/>
      <c r="D811" s="6"/>
      <c r="E811" s="16"/>
      <c r="F811" s="7"/>
      <c r="G811" s="7"/>
      <c r="H811" s="7"/>
      <c r="I811" s="16"/>
      <c r="J811" s="16"/>
      <c r="K811" s="16"/>
      <c r="L811" s="16"/>
      <c r="M811" s="16"/>
      <c r="N811" s="6"/>
      <c r="O811" s="6"/>
      <c r="P811" s="6"/>
    </row>
    <row r="812" spans="1:16">
      <c r="A812" s="35"/>
      <c r="B812" s="36"/>
      <c r="C812" s="39"/>
      <c r="D812" s="6"/>
      <c r="E812" s="16"/>
      <c r="F812" s="7"/>
      <c r="G812" s="7"/>
      <c r="H812" s="7"/>
      <c r="I812" s="16"/>
      <c r="J812" s="16"/>
      <c r="K812" s="16"/>
      <c r="L812" s="16"/>
      <c r="M812" s="16"/>
      <c r="N812" s="6"/>
      <c r="O812" s="6"/>
      <c r="P812" s="6"/>
    </row>
    <row r="813" spans="1:16">
      <c r="A813" s="35"/>
      <c r="B813" s="36"/>
      <c r="C813" s="39"/>
      <c r="D813" s="6"/>
      <c r="E813" s="16"/>
      <c r="F813" s="7"/>
      <c r="G813" s="7"/>
      <c r="H813" s="7"/>
      <c r="I813" s="16"/>
      <c r="J813" s="16"/>
      <c r="K813" s="16"/>
      <c r="L813" s="16"/>
      <c r="M813" s="16"/>
      <c r="N813" s="6"/>
      <c r="O813" s="6"/>
      <c r="P813" s="6"/>
    </row>
    <row r="814" spans="1:16">
      <c r="A814" s="35"/>
      <c r="B814" s="36"/>
      <c r="C814" s="39"/>
      <c r="D814" s="6"/>
      <c r="E814" s="16"/>
      <c r="F814" s="7"/>
      <c r="G814" s="7"/>
      <c r="H814" s="7"/>
      <c r="I814" s="16"/>
      <c r="J814" s="16"/>
      <c r="K814" s="16"/>
      <c r="L814" s="16"/>
      <c r="M814" s="16"/>
      <c r="N814" s="6"/>
      <c r="O814" s="6"/>
      <c r="P814" s="6"/>
    </row>
    <row r="815" spans="1:16">
      <c r="A815" s="35"/>
      <c r="B815" s="36"/>
      <c r="C815" s="39"/>
      <c r="D815" s="6"/>
      <c r="E815" s="16"/>
      <c r="F815" s="7"/>
      <c r="G815" s="7"/>
      <c r="H815" s="7"/>
      <c r="I815" s="16"/>
      <c r="J815" s="16"/>
      <c r="K815" s="16"/>
      <c r="L815" s="16"/>
      <c r="M815" s="16"/>
      <c r="N815" s="6"/>
      <c r="O815" s="6"/>
      <c r="P815" s="6"/>
    </row>
    <row r="816" spans="1:16">
      <c r="A816" s="35"/>
      <c r="B816" s="36"/>
      <c r="C816" s="39"/>
      <c r="D816" s="6"/>
      <c r="E816" s="16"/>
      <c r="F816" s="7"/>
      <c r="G816" s="7"/>
      <c r="H816" s="7"/>
      <c r="I816" s="16"/>
      <c r="J816" s="16"/>
      <c r="K816" s="16"/>
      <c r="L816" s="16"/>
      <c r="M816" s="16"/>
      <c r="N816" s="6"/>
      <c r="O816" s="6"/>
      <c r="P816" s="6"/>
    </row>
    <row r="817" spans="1:16">
      <c r="A817" s="35"/>
      <c r="B817" s="36"/>
      <c r="C817" s="39"/>
      <c r="D817" s="6"/>
      <c r="E817" s="16"/>
      <c r="F817" s="7"/>
      <c r="G817" s="7"/>
      <c r="H817" s="7"/>
      <c r="I817" s="16"/>
      <c r="J817" s="16"/>
      <c r="K817" s="16"/>
      <c r="L817" s="16"/>
      <c r="M817" s="16"/>
      <c r="N817" s="6"/>
      <c r="O817" s="6"/>
      <c r="P817" s="6"/>
    </row>
    <row r="818" spans="1:16">
      <c r="A818" s="35"/>
      <c r="B818" s="36"/>
      <c r="C818" s="39"/>
      <c r="D818" s="6"/>
      <c r="E818" s="16"/>
      <c r="F818" s="7"/>
      <c r="G818" s="7"/>
      <c r="H818" s="7"/>
      <c r="I818" s="16"/>
      <c r="J818" s="16"/>
      <c r="K818" s="16"/>
      <c r="L818" s="16"/>
      <c r="M818" s="16"/>
      <c r="N818" s="6"/>
      <c r="O818" s="6"/>
      <c r="P818" s="6"/>
    </row>
    <row r="819" spans="1:16">
      <c r="A819" s="35"/>
      <c r="B819" s="36"/>
      <c r="C819" s="39"/>
      <c r="D819" s="6"/>
      <c r="E819" s="16"/>
      <c r="F819" s="7"/>
      <c r="G819" s="7"/>
      <c r="H819" s="7"/>
      <c r="I819" s="16"/>
      <c r="J819" s="16"/>
      <c r="K819" s="16"/>
      <c r="L819" s="16"/>
      <c r="M819" s="16"/>
      <c r="N819" s="6"/>
      <c r="O819" s="6"/>
      <c r="P819" s="6"/>
    </row>
    <row r="820" spans="1:16">
      <c r="A820" s="35"/>
      <c r="B820" s="36"/>
      <c r="C820" s="39"/>
      <c r="D820" s="6"/>
      <c r="E820" s="16"/>
      <c r="F820" s="7"/>
      <c r="G820" s="7"/>
      <c r="H820" s="7"/>
      <c r="I820" s="16"/>
      <c r="J820" s="16"/>
      <c r="K820" s="16"/>
      <c r="L820" s="16"/>
      <c r="M820" s="16"/>
      <c r="N820" s="6"/>
      <c r="O820" s="6"/>
      <c r="P820" s="6"/>
    </row>
    <row r="821" spans="1:16">
      <c r="A821" s="35"/>
      <c r="B821" s="36"/>
      <c r="C821" s="39"/>
      <c r="D821" s="6"/>
      <c r="E821" s="16"/>
      <c r="F821" s="7"/>
      <c r="G821" s="7"/>
      <c r="H821" s="7"/>
      <c r="I821" s="16"/>
      <c r="J821" s="16"/>
      <c r="K821" s="16"/>
      <c r="L821" s="16"/>
      <c r="M821" s="16"/>
      <c r="N821" s="6"/>
      <c r="O821" s="6"/>
      <c r="P821" s="6"/>
    </row>
    <row r="822" spans="1:16">
      <c r="A822" s="35"/>
      <c r="B822" s="36"/>
      <c r="C822" s="39"/>
      <c r="D822" s="6"/>
      <c r="E822" s="16"/>
      <c r="F822" s="7"/>
      <c r="G822" s="7"/>
      <c r="H822" s="7"/>
      <c r="I822" s="16"/>
      <c r="J822" s="16"/>
      <c r="K822" s="16"/>
      <c r="L822" s="16"/>
      <c r="M822" s="16"/>
      <c r="N822" s="6"/>
      <c r="O822" s="6"/>
      <c r="P822" s="6"/>
    </row>
    <row r="823" spans="1:16">
      <c r="A823" s="35"/>
      <c r="B823" s="36"/>
      <c r="C823" s="39"/>
      <c r="D823" s="6"/>
      <c r="E823" s="16"/>
      <c r="F823" s="7"/>
      <c r="G823" s="7"/>
      <c r="H823" s="7"/>
      <c r="I823" s="16"/>
      <c r="J823" s="16"/>
      <c r="K823" s="16"/>
      <c r="L823" s="16"/>
      <c r="M823" s="16"/>
      <c r="N823" s="6"/>
      <c r="O823" s="6"/>
      <c r="P823" s="6"/>
    </row>
    <row r="824" spans="1:16">
      <c r="A824" s="35"/>
      <c r="B824" s="36"/>
      <c r="C824" s="39"/>
      <c r="D824" s="6"/>
      <c r="E824" s="16"/>
      <c r="F824" s="7"/>
      <c r="G824" s="7"/>
      <c r="H824" s="7"/>
      <c r="I824" s="16"/>
      <c r="J824" s="16"/>
      <c r="K824" s="16"/>
      <c r="L824" s="16"/>
      <c r="M824" s="16"/>
      <c r="N824" s="6"/>
      <c r="O824" s="6"/>
      <c r="P824" s="6"/>
    </row>
    <row r="825" spans="1:16">
      <c r="A825" s="35"/>
      <c r="B825" s="36"/>
      <c r="C825" s="39"/>
      <c r="D825" s="6"/>
      <c r="E825" s="16"/>
      <c r="F825" s="7"/>
      <c r="G825" s="7"/>
      <c r="H825" s="7"/>
      <c r="I825" s="16"/>
      <c r="J825" s="16"/>
      <c r="K825" s="16"/>
      <c r="L825" s="16"/>
      <c r="M825" s="16"/>
      <c r="N825" s="6"/>
      <c r="O825" s="6"/>
      <c r="P825" s="6"/>
    </row>
    <row r="826" spans="1:16">
      <c r="A826" s="35"/>
      <c r="B826" s="36"/>
      <c r="C826" s="39"/>
      <c r="D826" s="6"/>
      <c r="E826" s="16"/>
      <c r="F826" s="7"/>
      <c r="G826" s="7"/>
      <c r="H826" s="7"/>
      <c r="I826" s="16"/>
      <c r="J826" s="16"/>
      <c r="K826" s="16"/>
      <c r="L826" s="16"/>
      <c r="M826" s="16"/>
      <c r="N826" s="6"/>
      <c r="O826" s="6"/>
      <c r="P826" s="6"/>
    </row>
    <row r="827" spans="1:16">
      <c r="A827" s="35"/>
      <c r="B827" s="36"/>
      <c r="C827" s="39"/>
      <c r="D827" s="6"/>
      <c r="E827" s="16"/>
      <c r="F827" s="7"/>
      <c r="G827" s="7"/>
      <c r="H827" s="7"/>
      <c r="I827" s="16"/>
      <c r="J827" s="16"/>
      <c r="K827" s="16"/>
      <c r="L827" s="16"/>
      <c r="M827" s="16"/>
      <c r="N827" s="6"/>
      <c r="O827" s="6"/>
      <c r="P827" s="6"/>
    </row>
    <row r="828" spans="1:16">
      <c r="A828" s="35"/>
      <c r="B828" s="36"/>
      <c r="C828" s="39"/>
      <c r="D828" s="6"/>
      <c r="E828" s="16"/>
      <c r="F828" s="7"/>
      <c r="G828" s="7"/>
      <c r="H828" s="7"/>
      <c r="I828" s="16"/>
      <c r="J828" s="16"/>
      <c r="K828" s="16"/>
      <c r="L828" s="16"/>
      <c r="M828" s="16"/>
      <c r="N828" s="6"/>
      <c r="O828" s="6"/>
      <c r="P828" s="6"/>
    </row>
    <row r="829" spans="1:16">
      <c r="A829" s="35"/>
      <c r="B829" s="36"/>
      <c r="C829" s="39"/>
      <c r="D829" s="6"/>
      <c r="E829" s="16"/>
      <c r="F829" s="7"/>
      <c r="G829" s="7"/>
      <c r="H829" s="7"/>
      <c r="I829" s="16"/>
      <c r="J829" s="16"/>
      <c r="K829" s="16"/>
      <c r="L829" s="16"/>
      <c r="M829" s="16"/>
      <c r="N829" s="6"/>
      <c r="O829" s="6"/>
      <c r="P829" s="6"/>
    </row>
    <row r="830" spans="1:16">
      <c r="A830" s="35"/>
      <c r="B830" s="36"/>
      <c r="C830" s="39"/>
      <c r="D830" s="6"/>
      <c r="E830" s="16"/>
      <c r="F830" s="7"/>
      <c r="G830" s="7"/>
      <c r="H830" s="7"/>
      <c r="I830" s="16"/>
      <c r="J830" s="16"/>
      <c r="K830" s="16"/>
      <c r="L830" s="16"/>
      <c r="M830" s="16"/>
      <c r="N830" s="6"/>
      <c r="O830" s="6"/>
      <c r="P830" s="6"/>
    </row>
    <row r="831" spans="1:16">
      <c r="A831" s="35"/>
      <c r="B831" s="36"/>
      <c r="C831" s="39"/>
      <c r="D831" s="6"/>
      <c r="E831" s="16"/>
      <c r="F831" s="7"/>
      <c r="G831" s="7"/>
      <c r="H831" s="7"/>
      <c r="I831" s="16"/>
      <c r="J831" s="16"/>
      <c r="K831" s="16"/>
      <c r="L831" s="16"/>
      <c r="M831" s="16"/>
      <c r="N831" s="6"/>
      <c r="O831" s="6"/>
      <c r="P831" s="6"/>
    </row>
    <row r="832" spans="1:16">
      <c r="A832" s="35"/>
      <c r="B832" s="36"/>
      <c r="C832" s="39"/>
      <c r="D832" s="6"/>
      <c r="E832" s="16"/>
      <c r="F832" s="7"/>
      <c r="G832" s="7"/>
      <c r="H832" s="7"/>
      <c r="I832" s="16"/>
      <c r="J832" s="16"/>
      <c r="K832" s="16"/>
      <c r="L832" s="16"/>
      <c r="M832" s="16"/>
      <c r="N832" s="6"/>
      <c r="O832" s="6"/>
      <c r="P832" s="6"/>
    </row>
    <row r="833" spans="1:16">
      <c r="A833" s="35"/>
      <c r="B833" s="36"/>
      <c r="C833" s="39"/>
      <c r="D833" s="6"/>
      <c r="E833" s="16"/>
      <c r="F833" s="7"/>
      <c r="G833" s="7"/>
      <c r="H833" s="7"/>
      <c r="I833" s="16"/>
      <c r="J833" s="16"/>
      <c r="K833" s="16"/>
      <c r="L833" s="16"/>
      <c r="M833" s="16"/>
      <c r="N833" s="6"/>
      <c r="O833" s="6"/>
      <c r="P833" s="6"/>
    </row>
    <row r="834" spans="1:16">
      <c r="A834" s="35"/>
      <c r="B834" s="36"/>
      <c r="C834" s="39"/>
      <c r="D834" s="6"/>
      <c r="E834" s="16"/>
      <c r="F834" s="7"/>
      <c r="G834" s="7"/>
      <c r="H834" s="7"/>
      <c r="I834" s="16"/>
      <c r="J834" s="16"/>
      <c r="K834" s="16"/>
      <c r="L834" s="16"/>
      <c r="M834" s="16"/>
      <c r="N834" s="6"/>
      <c r="O834" s="6"/>
      <c r="P834" s="6"/>
    </row>
    <row r="835" spans="1:16">
      <c r="A835" s="35"/>
      <c r="B835" s="36"/>
      <c r="C835" s="39"/>
      <c r="D835" s="6"/>
      <c r="E835" s="16"/>
      <c r="F835" s="7"/>
      <c r="G835" s="7"/>
      <c r="H835" s="7"/>
      <c r="I835" s="16"/>
      <c r="J835" s="16"/>
      <c r="K835" s="16"/>
      <c r="L835" s="16"/>
      <c r="M835" s="16"/>
      <c r="N835" s="6"/>
      <c r="O835" s="6"/>
      <c r="P835" s="6"/>
    </row>
    <row r="836" spans="1:16">
      <c r="A836" s="35"/>
      <c r="B836" s="36"/>
      <c r="C836" s="39"/>
      <c r="D836" s="6"/>
      <c r="E836" s="16"/>
      <c r="F836" s="7"/>
      <c r="G836" s="7"/>
      <c r="H836" s="7"/>
      <c r="I836" s="16"/>
      <c r="J836" s="16"/>
      <c r="K836" s="16"/>
      <c r="L836" s="16"/>
      <c r="M836" s="16"/>
      <c r="N836" s="6"/>
      <c r="O836" s="6"/>
      <c r="P836" s="6"/>
    </row>
    <row r="837" spans="1:16">
      <c r="A837" s="35"/>
      <c r="B837" s="36"/>
      <c r="C837" s="39"/>
      <c r="D837" s="6"/>
      <c r="E837" s="16"/>
      <c r="F837" s="7"/>
      <c r="G837" s="7"/>
      <c r="H837" s="7"/>
      <c r="I837" s="16"/>
      <c r="J837" s="16"/>
      <c r="K837" s="16"/>
      <c r="L837" s="16"/>
      <c r="M837" s="16"/>
      <c r="N837" s="6"/>
      <c r="O837" s="6"/>
      <c r="P837" s="6"/>
    </row>
    <row r="838" spans="1:16">
      <c r="A838" s="35"/>
      <c r="B838" s="36"/>
      <c r="C838" s="39"/>
      <c r="D838" s="6"/>
      <c r="E838" s="16"/>
      <c r="F838" s="7"/>
      <c r="G838" s="7"/>
      <c r="H838" s="7"/>
      <c r="I838" s="16"/>
      <c r="J838" s="16"/>
      <c r="K838" s="16"/>
      <c r="L838" s="16"/>
      <c r="M838" s="16"/>
      <c r="N838" s="6"/>
      <c r="O838" s="6"/>
      <c r="P838" s="6"/>
    </row>
    <row r="839" spans="1:16">
      <c r="A839" s="35"/>
      <c r="B839" s="36"/>
      <c r="C839" s="39"/>
      <c r="D839" s="6"/>
      <c r="E839" s="16"/>
      <c r="F839" s="7"/>
      <c r="G839" s="7"/>
      <c r="H839" s="7"/>
      <c r="I839" s="16"/>
      <c r="J839" s="16"/>
      <c r="K839" s="16"/>
      <c r="L839" s="16"/>
      <c r="M839" s="16"/>
      <c r="N839" s="6"/>
      <c r="O839" s="6"/>
      <c r="P839" s="6"/>
    </row>
    <row r="840" spans="1:16">
      <c r="A840" s="35"/>
      <c r="B840" s="36"/>
      <c r="C840" s="39"/>
      <c r="D840" s="6"/>
      <c r="E840" s="16"/>
      <c r="F840" s="7"/>
      <c r="G840" s="7"/>
      <c r="H840" s="7"/>
      <c r="I840" s="16"/>
      <c r="J840" s="16"/>
      <c r="K840" s="16"/>
      <c r="L840" s="16"/>
      <c r="M840" s="16"/>
      <c r="N840" s="6"/>
      <c r="O840" s="6"/>
      <c r="P840" s="6"/>
    </row>
    <row r="841" spans="1:16">
      <c r="A841" s="35"/>
      <c r="B841" s="36"/>
      <c r="C841" s="39"/>
      <c r="D841" s="6"/>
      <c r="E841" s="16"/>
      <c r="F841" s="7"/>
      <c r="G841" s="7"/>
      <c r="H841" s="7"/>
      <c r="I841" s="16"/>
      <c r="J841" s="16"/>
      <c r="K841" s="16"/>
      <c r="L841" s="16"/>
      <c r="M841" s="16"/>
      <c r="N841" s="6"/>
      <c r="O841" s="6"/>
      <c r="P841" s="6"/>
    </row>
    <row r="842" spans="1:16">
      <c r="A842" s="35"/>
      <c r="B842" s="36"/>
      <c r="C842" s="39"/>
      <c r="D842" s="6"/>
      <c r="E842" s="16"/>
      <c r="F842" s="7"/>
      <c r="G842" s="7"/>
      <c r="H842" s="7"/>
      <c r="I842" s="16"/>
      <c r="J842" s="16"/>
      <c r="K842" s="16"/>
      <c r="L842" s="16"/>
      <c r="M842" s="16"/>
      <c r="N842" s="6"/>
      <c r="O842" s="6"/>
      <c r="P842" s="6"/>
    </row>
    <row r="843" spans="1:16">
      <c r="A843" s="35"/>
      <c r="B843" s="36"/>
      <c r="C843" s="39"/>
      <c r="D843" s="6"/>
      <c r="E843" s="16"/>
      <c r="F843" s="7"/>
      <c r="G843" s="7"/>
      <c r="H843" s="7"/>
      <c r="I843" s="16"/>
      <c r="J843" s="16"/>
      <c r="K843" s="16"/>
      <c r="L843" s="16"/>
      <c r="M843" s="16"/>
      <c r="N843" s="6"/>
      <c r="O843" s="6"/>
      <c r="P843" s="6"/>
    </row>
    <row r="844" spans="1:16">
      <c r="A844" s="35"/>
      <c r="B844" s="36"/>
      <c r="C844" s="39"/>
      <c r="D844" s="6"/>
      <c r="E844" s="16"/>
      <c r="F844" s="7"/>
      <c r="G844" s="7"/>
      <c r="H844" s="7"/>
      <c r="I844" s="16"/>
      <c r="J844" s="16"/>
      <c r="K844" s="16"/>
      <c r="L844" s="16"/>
      <c r="M844" s="16"/>
      <c r="N844" s="6"/>
      <c r="O844" s="6"/>
      <c r="P844" s="6"/>
    </row>
    <row r="845" spans="1:16">
      <c r="A845" s="35"/>
      <c r="B845" s="36"/>
      <c r="C845" s="39"/>
      <c r="D845" s="6"/>
      <c r="E845" s="16"/>
      <c r="F845" s="7"/>
      <c r="G845" s="7"/>
      <c r="H845" s="7"/>
      <c r="I845" s="16"/>
      <c r="J845" s="16"/>
      <c r="K845" s="16"/>
      <c r="L845" s="16"/>
      <c r="M845" s="16"/>
      <c r="N845" s="6"/>
      <c r="O845" s="6"/>
      <c r="P845" s="6"/>
    </row>
    <row r="846" spans="1:16">
      <c r="A846" s="35"/>
      <c r="B846" s="36"/>
      <c r="C846" s="39"/>
      <c r="D846" s="6"/>
      <c r="E846" s="16"/>
      <c r="F846" s="7"/>
      <c r="G846" s="7"/>
      <c r="H846" s="7"/>
      <c r="I846" s="16"/>
      <c r="J846" s="16"/>
      <c r="K846" s="16"/>
      <c r="L846" s="16"/>
      <c r="M846" s="16"/>
      <c r="N846" s="6"/>
      <c r="O846" s="6"/>
      <c r="P846" s="6"/>
    </row>
    <row r="847" spans="1:16">
      <c r="A847" s="35"/>
      <c r="B847" s="36"/>
      <c r="C847" s="39"/>
      <c r="D847" s="6"/>
      <c r="E847" s="16"/>
      <c r="F847" s="7"/>
      <c r="G847" s="7"/>
      <c r="H847" s="7"/>
      <c r="I847" s="16"/>
      <c r="J847" s="16"/>
      <c r="K847" s="16"/>
      <c r="L847" s="16"/>
      <c r="M847" s="16"/>
      <c r="N847" s="6"/>
      <c r="O847" s="6"/>
      <c r="P847" s="6"/>
    </row>
    <row r="848" spans="1:16">
      <c r="A848" s="35"/>
      <c r="B848" s="36"/>
      <c r="C848" s="39"/>
      <c r="D848" s="6"/>
      <c r="E848" s="16"/>
      <c r="F848" s="7"/>
      <c r="G848" s="7"/>
      <c r="H848" s="7"/>
      <c r="I848" s="16"/>
      <c r="J848" s="16"/>
      <c r="K848" s="16"/>
      <c r="L848" s="16"/>
      <c r="M848" s="16"/>
      <c r="N848" s="6"/>
      <c r="O848" s="6"/>
      <c r="P848" s="6"/>
    </row>
    <row r="849" spans="1:16">
      <c r="A849" s="35"/>
      <c r="B849" s="36"/>
      <c r="C849" s="39"/>
      <c r="D849" s="6"/>
      <c r="E849" s="16"/>
      <c r="F849" s="7"/>
      <c r="G849" s="7"/>
      <c r="H849" s="7"/>
      <c r="I849" s="16"/>
      <c r="J849" s="16"/>
      <c r="K849" s="16"/>
      <c r="L849" s="16"/>
      <c r="M849" s="16"/>
      <c r="N849" s="6"/>
      <c r="O849" s="6"/>
      <c r="P849" s="6"/>
    </row>
    <row r="850" spans="1:16">
      <c r="A850" s="35"/>
      <c r="B850" s="36"/>
      <c r="C850" s="39"/>
      <c r="D850" s="6"/>
      <c r="E850" s="16"/>
      <c r="F850" s="7"/>
      <c r="G850" s="7"/>
      <c r="H850" s="7"/>
      <c r="I850" s="16"/>
      <c r="J850" s="16"/>
      <c r="K850" s="16"/>
      <c r="L850" s="16"/>
      <c r="M850" s="16"/>
      <c r="N850" s="6"/>
      <c r="O850" s="6"/>
      <c r="P850" s="6"/>
    </row>
    <row r="851" spans="1:16">
      <c r="A851" s="35"/>
      <c r="B851" s="36"/>
      <c r="C851" s="39"/>
      <c r="D851" s="6"/>
      <c r="E851" s="16"/>
      <c r="F851" s="7"/>
      <c r="G851" s="7"/>
      <c r="H851" s="7"/>
      <c r="I851" s="16"/>
      <c r="J851" s="16"/>
      <c r="K851" s="16"/>
      <c r="L851" s="16"/>
      <c r="M851" s="16"/>
      <c r="N851" s="6"/>
      <c r="O851" s="6"/>
      <c r="P851" s="6"/>
    </row>
    <row r="852" spans="1:16">
      <c r="A852" s="35"/>
      <c r="B852" s="36"/>
      <c r="C852" s="39"/>
      <c r="D852" s="6"/>
      <c r="E852" s="16"/>
      <c r="F852" s="7"/>
      <c r="G852" s="7"/>
      <c r="H852" s="7"/>
      <c r="I852" s="16"/>
      <c r="J852" s="16"/>
      <c r="K852" s="16"/>
      <c r="L852" s="16"/>
      <c r="M852" s="16"/>
      <c r="N852" s="6"/>
      <c r="O852" s="6"/>
      <c r="P852" s="6"/>
    </row>
    <row r="853" spans="1:16">
      <c r="A853" s="35"/>
      <c r="B853" s="36"/>
      <c r="C853" s="39"/>
      <c r="D853" s="6"/>
      <c r="E853" s="16"/>
      <c r="F853" s="7"/>
      <c r="G853" s="7"/>
      <c r="H853" s="7"/>
      <c r="I853" s="16"/>
      <c r="J853" s="16"/>
      <c r="K853" s="16"/>
      <c r="L853" s="16"/>
      <c r="M853" s="16"/>
      <c r="N853" s="6"/>
      <c r="O853" s="6"/>
      <c r="P853" s="6"/>
    </row>
    <row r="854" spans="1:16">
      <c r="A854" s="35"/>
      <c r="B854" s="36"/>
      <c r="C854" s="39"/>
      <c r="D854" s="6"/>
      <c r="E854" s="16"/>
      <c r="F854" s="7"/>
      <c r="G854" s="7"/>
      <c r="H854" s="7"/>
      <c r="I854" s="16"/>
      <c r="J854" s="16"/>
      <c r="K854" s="16"/>
      <c r="L854" s="16"/>
      <c r="M854" s="16"/>
      <c r="N854" s="6"/>
      <c r="O854" s="6"/>
      <c r="P854" s="6"/>
    </row>
    <row r="855" spans="1:16">
      <c r="A855" s="35"/>
      <c r="B855" s="36"/>
      <c r="C855" s="39"/>
      <c r="D855" s="6"/>
      <c r="E855" s="16"/>
      <c r="F855" s="7"/>
      <c r="G855" s="7"/>
      <c r="H855" s="7"/>
      <c r="I855" s="16"/>
      <c r="J855" s="16"/>
      <c r="K855" s="16"/>
      <c r="L855" s="16"/>
      <c r="M855" s="16"/>
      <c r="N855" s="6"/>
      <c r="O855" s="6"/>
      <c r="P855" s="6"/>
    </row>
    <row r="856" spans="1:16">
      <c r="A856" s="35"/>
      <c r="B856" s="36"/>
      <c r="C856" s="39"/>
      <c r="D856" s="6"/>
      <c r="E856" s="16"/>
      <c r="F856" s="7"/>
      <c r="G856" s="7"/>
      <c r="H856" s="7"/>
      <c r="I856" s="16"/>
      <c r="J856" s="16"/>
      <c r="K856" s="16"/>
      <c r="L856" s="16"/>
      <c r="M856" s="16"/>
      <c r="N856" s="6"/>
      <c r="O856" s="6"/>
      <c r="P856" s="6"/>
    </row>
    <row r="857" spans="1:16">
      <c r="A857" s="35"/>
      <c r="B857" s="36"/>
      <c r="C857" s="39"/>
      <c r="D857" s="6"/>
      <c r="E857" s="16"/>
      <c r="F857" s="7"/>
      <c r="G857" s="7"/>
      <c r="H857" s="7"/>
      <c r="I857" s="16"/>
      <c r="J857" s="16"/>
      <c r="K857" s="16"/>
      <c r="L857" s="16"/>
      <c r="M857" s="16"/>
      <c r="N857" s="6"/>
      <c r="O857" s="6"/>
      <c r="P857" s="6"/>
    </row>
    <row r="858" spans="1:16">
      <c r="A858" s="35"/>
      <c r="B858" s="36"/>
      <c r="C858" s="39"/>
      <c r="D858" s="6"/>
      <c r="E858" s="16"/>
      <c r="F858" s="7"/>
      <c r="G858" s="7"/>
      <c r="H858" s="7"/>
      <c r="I858" s="16"/>
      <c r="J858" s="16"/>
      <c r="K858" s="16"/>
      <c r="L858" s="16"/>
      <c r="M858" s="16"/>
      <c r="N858" s="6"/>
      <c r="O858" s="6"/>
      <c r="P858" s="6"/>
    </row>
    <row r="859" spans="1:16">
      <c r="A859" s="35"/>
      <c r="B859" s="36"/>
      <c r="C859" s="39"/>
      <c r="D859" s="6"/>
      <c r="E859" s="16"/>
      <c r="F859" s="7"/>
      <c r="G859" s="7"/>
      <c r="H859" s="7"/>
      <c r="I859" s="16"/>
      <c r="J859" s="16"/>
      <c r="K859" s="16"/>
      <c r="L859" s="16"/>
      <c r="M859" s="16"/>
      <c r="N859" s="6"/>
      <c r="O859" s="6"/>
      <c r="P859" s="6"/>
    </row>
    <row r="860" spans="1:16">
      <c r="A860" s="35"/>
      <c r="B860" s="36"/>
      <c r="C860" s="39"/>
      <c r="D860" s="6"/>
      <c r="E860" s="16"/>
      <c r="F860" s="7"/>
      <c r="G860" s="7"/>
      <c r="H860" s="7"/>
      <c r="I860" s="16"/>
      <c r="J860" s="16"/>
      <c r="K860" s="16"/>
      <c r="L860" s="16"/>
      <c r="M860" s="16"/>
      <c r="N860" s="6"/>
      <c r="O860" s="6"/>
      <c r="P860" s="6"/>
    </row>
    <row r="861" spans="1:16">
      <c r="A861" s="35"/>
      <c r="B861" s="36"/>
      <c r="C861" s="39"/>
      <c r="D861" s="6"/>
      <c r="E861" s="16"/>
      <c r="F861" s="7"/>
      <c r="G861" s="7"/>
      <c r="H861" s="7"/>
      <c r="I861" s="16"/>
      <c r="J861" s="16"/>
      <c r="K861" s="16"/>
      <c r="L861" s="16"/>
      <c r="M861" s="16"/>
      <c r="N861" s="6"/>
      <c r="O861" s="6"/>
      <c r="P861" s="6"/>
    </row>
    <row r="862" spans="1:16">
      <c r="A862" s="35"/>
      <c r="B862" s="36"/>
      <c r="C862" s="39"/>
      <c r="D862" s="6"/>
      <c r="E862" s="16"/>
      <c r="F862" s="7"/>
      <c r="G862" s="7"/>
      <c r="H862" s="7"/>
      <c r="I862" s="16"/>
      <c r="J862" s="16"/>
      <c r="K862" s="16"/>
      <c r="L862" s="16"/>
      <c r="M862" s="16"/>
      <c r="N862" s="6"/>
      <c r="O862" s="6"/>
      <c r="P862" s="6"/>
    </row>
    <row r="863" spans="1:16">
      <c r="A863" s="35"/>
      <c r="B863" s="36"/>
      <c r="C863" s="39"/>
      <c r="D863" s="6"/>
      <c r="E863" s="16"/>
      <c r="F863" s="7"/>
      <c r="G863" s="7"/>
      <c r="H863" s="7"/>
      <c r="I863" s="16"/>
      <c r="J863" s="16"/>
      <c r="K863" s="16"/>
      <c r="L863" s="16"/>
      <c r="M863" s="16"/>
      <c r="N863" s="6"/>
      <c r="O863" s="6"/>
      <c r="P863" s="6"/>
    </row>
    <row r="864" spans="1:16">
      <c r="A864" s="35"/>
      <c r="B864" s="36"/>
      <c r="C864" s="39"/>
      <c r="D864" s="6"/>
      <c r="E864" s="16"/>
      <c r="F864" s="7"/>
      <c r="G864" s="7"/>
      <c r="H864" s="7"/>
      <c r="I864" s="16"/>
      <c r="J864" s="16"/>
      <c r="K864" s="16"/>
      <c r="L864" s="16"/>
      <c r="M864" s="16"/>
      <c r="N864" s="6"/>
      <c r="O864" s="6"/>
      <c r="P864" s="6"/>
    </row>
    <row r="865" spans="1:16">
      <c r="A865" s="35"/>
      <c r="B865" s="36"/>
      <c r="C865" s="39"/>
      <c r="D865" s="6"/>
      <c r="E865" s="16"/>
      <c r="F865" s="7"/>
      <c r="G865" s="7"/>
      <c r="H865" s="7"/>
      <c r="I865" s="16"/>
      <c r="J865" s="16"/>
      <c r="K865" s="16"/>
      <c r="L865" s="16"/>
      <c r="M865" s="16"/>
      <c r="N865" s="6"/>
      <c r="O865" s="6"/>
      <c r="P865" s="6"/>
    </row>
    <row r="866" spans="1:16">
      <c r="A866" s="35"/>
      <c r="B866" s="36"/>
      <c r="C866" s="39"/>
      <c r="D866" s="6"/>
      <c r="E866" s="16"/>
      <c r="F866" s="7"/>
      <c r="G866" s="7"/>
      <c r="H866" s="7"/>
      <c r="I866" s="16"/>
      <c r="J866" s="16"/>
      <c r="K866" s="16"/>
      <c r="L866" s="16"/>
      <c r="M866" s="16"/>
      <c r="N866" s="6"/>
      <c r="O866" s="6"/>
      <c r="P866" s="6"/>
    </row>
    <row r="867" spans="1:16">
      <c r="A867" s="35"/>
      <c r="B867" s="36"/>
      <c r="C867" s="39"/>
      <c r="D867" s="6"/>
      <c r="E867" s="16"/>
      <c r="F867" s="7"/>
      <c r="G867" s="7"/>
      <c r="H867" s="7"/>
      <c r="I867" s="16"/>
      <c r="J867" s="16"/>
      <c r="K867" s="16"/>
      <c r="L867" s="16"/>
      <c r="M867" s="16"/>
      <c r="N867" s="6"/>
      <c r="O867" s="6"/>
      <c r="P867" s="6"/>
    </row>
    <row r="868" spans="1:16">
      <c r="A868" s="35"/>
      <c r="B868" s="36"/>
      <c r="C868" s="39"/>
      <c r="D868" s="6"/>
      <c r="E868" s="16"/>
      <c r="F868" s="7"/>
      <c r="G868" s="7"/>
      <c r="H868" s="7"/>
      <c r="I868" s="16"/>
      <c r="J868" s="16"/>
      <c r="K868" s="16"/>
      <c r="L868" s="16"/>
      <c r="M868" s="16"/>
      <c r="N868" s="6"/>
      <c r="O868" s="6"/>
      <c r="P868" s="6"/>
    </row>
    <row r="869" spans="1:16">
      <c r="A869" s="35"/>
      <c r="B869" s="36"/>
      <c r="C869" s="39"/>
      <c r="D869" s="6"/>
      <c r="E869" s="16"/>
      <c r="F869" s="7"/>
      <c r="G869" s="7"/>
      <c r="H869" s="7"/>
      <c r="I869" s="16"/>
      <c r="J869" s="16"/>
      <c r="K869" s="16"/>
      <c r="L869" s="16"/>
      <c r="M869" s="16"/>
      <c r="N869" s="6"/>
      <c r="O869" s="6"/>
      <c r="P869" s="6"/>
    </row>
    <row r="870" spans="1:16">
      <c r="A870" s="35"/>
      <c r="B870" s="36"/>
      <c r="C870" s="39"/>
      <c r="D870" s="6"/>
      <c r="E870" s="16"/>
      <c r="F870" s="7"/>
      <c r="G870" s="7"/>
      <c r="H870" s="7"/>
      <c r="I870" s="16"/>
      <c r="J870" s="16"/>
      <c r="K870" s="16"/>
      <c r="L870" s="16"/>
      <c r="M870" s="16"/>
      <c r="N870" s="6"/>
      <c r="O870" s="6"/>
      <c r="P870" s="6"/>
    </row>
    <row r="871" spans="1:16">
      <c r="A871" s="35"/>
      <c r="B871" s="36"/>
      <c r="C871" s="39"/>
      <c r="D871" s="6"/>
      <c r="E871" s="16"/>
      <c r="F871" s="7"/>
      <c r="G871" s="7"/>
      <c r="H871" s="7"/>
      <c r="I871" s="16"/>
      <c r="J871" s="16"/>
      <c r="K871" s="16"/>
      <c r="L871" s="16"/>
      <c r="M871" s="16"/>
      <c r="N871" s="6"/>
      <c r="O871" s="6"/>
      <c r="P871" s="6"/>
    </row>
    <row r="872" spans="1:16">
      <c r="A872" s="35"/>
      <c r="B872" s="36"/>
      <c r="C872" s="39"/>
      <c r="D872" s="6"/>
      <c r="E872" s="16"/>
      <c r="F872" s="7"/>
      <c r="G872" s="7"/>
      <c r="H872" s="7"/>
      <c r="I872" s="16"/>
      <c r="J872" s="16"/>
      <c r="K872" s="16"/>
      <c r="L872" s="16"/>
      <c r="M872" s="16"/>
      <c r="N872" s="6"/>
      <c r="O872" s="6"/>
      <c r="P872" s="6"/>
    </row>
    <row r="873" spans="1:16">
      <c r="A873" s="35"/>
      <c r="B873" s="36"/>
      <c r="C873" s="39"/>
      <c r="D873" s="6"/>
      <c r="E873" s="16"/>
      <c r="F873" s="7"/>
      <c r="G873" s="7"/>
      <c r="H873" s="7"/>
      <c r="I873" s="16"/>
      <c r="J873" s="16"/>
      <c r="K873" s="16"/>
      <c r="L873" s="16"/>
      <c r="M873" s="16"/>
      <c r="N873" s="6"/>
      <c r="O873" s="6"/>
      <c r="P873" s="6"/>
    </row>
    <row r="874" spans="1:16">
      <c r="A874" s="35"/>
      <c r="B874" s="36"/>
      <c r="C874" s="39"/>
      <c r="D874" s="6"/>
      <c r="E874" s="16"/>
      <c r="F874" s="7"/>
      <c r="G874" s="7"/>
      <c r="H874" s="7"/>
      <c r="I874" s="16"/>
      <c r="J874" s="16"/>
      <c r="K874" s="16"/>
      <c r="L874" s="16"/>
      <c r="M874" s="16"/>
      <c r="N874" s="6"/>
      <c r="O874" s="6"/>
      <c r="P874" s="6"/>
    </row>
    <row r="875" spans="1:16">
      <c r="A875" s="35"/>
      <c r="B875" s="36"/>
      <c r="C875" s="39"/>
      <c r="D875" s="6"/>
      <c r="E875" s="16"/>
      <c r="F875" s="7"/>
      <c r="G875" s="7"/>
      <c r="H875" s="7"/>
      <c r="I875" s="16"/>
      <c r="J875" s="16"/>
      <c r="K875" s="16"/>
      <c r="L875" s="16"/>
      <c r="M875" s="16"/>
      <c r="N875" s="6"/>
      <c r="O875" s="6"/>
      <c r="P875" s="6"/>
    </row>
    <row r="876" spans="1:16">
      <c r="A876" s="35"/>
      <c r="B876" s="36"/>
      <c r="C876" s="39"/>
      <c r="D876" s="6"/>
      <c r="E876" s="16"/>
      <c r="F876" s="7"/>
      <c r="G876" s="7"/>
      <c r="H876" s="7"/>
      <c r="I876" s="16"/>
      <c r="J876" s="16"/>
      <c r="K876" s="16"/>
      <c r="L876" s="16"/>
      <c r="M876" s="16"/>
      <c r="N876" s="6"/>
      <c r="O876" s="6"/>
      <c r="P876" s="6"/>
    </row>
    <row r="877" spans="1:16">
      <c r="A877" s="35"/>
      <c r="B877" s="36"/>
      <c r="C877" s="39"/>
      <c r="D877" s="6"/>
      <c r="E877" s="16"/>
      <c r="F877" s="7"/>
      <c r="G877" s="7"/>
      <c r="H877" s="7"/>
      <c r="I877" s="16"/>
      <c r="J877" s="16"/>
      <c r="K877" s="16"/>
      <c r="L877" s="16"/>
      <c r="M877" s="16"/>
      <c r="N877" s="6"/>
      <c r="O877" s="6"/>
      <c r="P877" s="6"/>
    </row>
    <row r="878" spans="1:16">
      <c r="A878" s="35"/>
      <c r="B878" s="36"/>
      <c r="C878" s="39"/>
      <c r="D878" s="6"/>
      <c r="E878" s="16"/>
      <c r="F878" s="7"/>
      <c r="G878" s="7"/>
      <c r="H878" s="7"/>
      <c r="I878" s="16"/>
      <c r="J878" s="16"/>
      <c r="K878" s="16"/>
      <c r="L878" s="16"/>
      <c r="M878" s="16"/>
      <c r="N878" s="6"/>
      <c r="O878" s="6"/>
      <c r="P878" s="6"/>
    </row>
    <row r="879" spans="1:16">
      <c r="A879" s="35"/>
      <c r="B879" s="36"/>
      <c r="C879" s="39"/>
      <c r="D879" s="6"/>
      <c r="E879" s="16"/>
      <c r="F879" s="7"/>
      <c r="G879" s="7"/>
      <c r="H879" s="7"/>
      <c r="I879" s="16"/>
      <c r="J879" s="16"/>
      <c r="K879" s="16"/>
      <c r="L879" s="16"/>
      <c r="M879" s="16"/>
      <c r="N879" s="6"/>
      <c r="O879" s="6"/>
      <c r="P879" s="6"/>
    </row>
    <row r="880" spans="1:16">
      <c r="A880" s="35"/>
      <c r="B880" s="36"/>
      <c r="C880" s="39"/>
      <c r="D880" s="6"/>
      <c r="E880" s="16"/>
      <c r="F880" s="7"/>
      <c r="G880" s="7"/>
      <c r="H880" s="7"/>
      <c r="I880" s="16"/>
      <c r="J880" s="16"/>
      <c r="K880" s="16"/>
      <c r="L880" s="16"/>
      <c r="M880" s="16"/>
      <c r="N880" s="6"/>
      <c r="O880" s="6"/>
      <c r="P880" s="6"/>
    </row>
    <row r="881" spans="1:16">
      <c r="A881" s="35"/>
      <c r="B881" s="36"/>
      <c r="C881" s="39"/>
      <c r="D881" s="6"/>
      <c r="E881" s="16"/>
      <c r="F881" s="7"/>
      <c r="G881" s="7"/>
      <c r="H881" s="7"/>
      <c r="I881" s="16"/>
      <c r="J881" s="16"/>
      <c r="K881" s="16"/>
      <c r="L881" s="16"/>
      <c r="M881" s="16"/>
      <c r="N881" s="6"/>
      <c r="O881" s="6"/>
      <c r="P881" s="6"/>
    </row>
    <row r="882" spans="1:16">
      <c r="A882" s="35"/>
      <c r="B882" s="36"/>
      <c r="C882" s="39"/>
      <c r="D882" s="6"/>
      <c r="E882" s="16"/>
      <c r="F882" s="7"/>
      <c r="G882" s="7"/>
      <c r="H882" s="7"/>
      <c r="I882" s="16"/>
      <c r="J882" s="16"/>
      <c r="K882" s="16"/>
      <c r="L882" s="16"/>
      <c r="M882" s="16"/>
      <c r="N882" s="6"/>
      <c r="O882" s="6"/>
      <c r="P882" s="6"/>
    </row>
    <row r="883" spans="1:16">
      <c r="A883" s="35"/>
      <c r="B883" s="36"/>
      <c r="C883" s="39"/>
      <c r="D883" s="6"/>
      <c r="E883" s="16"/>
      <c r="F883" s="7"/>
      <c r="G883" s="7"/>
      <c r="H883" s="7"/>
      <c r="I883" s="16"/>
      <c r="J883" s="16"/>
      <c r="K883" s="16"/>
      <c r="L883" s="16"/>
      <c r="M883" s="16"/>
      <c r="N883" s="6"/>
      <c r="O883" s="6"/>
      <c r="P883" s="6"/>
    </row>
    <row r="884" spans="1:16">
      <c r="A884" s="35"/>
      <c r="B884" s="36"/>
      <c r="C884" s="39"/>
      <c r="D884" s="6"/>
      <c r="E884" s="16"/>
      <c r="F884" s="7"/>
      <c r="G884" s="7"/>
      <c r="H884" s="7"/>
      <c r="I884" s="16"/>
      <c r="J884" s="16"/>
      <c r="K884" s="16"/>
      <c r="L884" s="16"/>
      <c r="M884" s="16"/>
      <c r="N884" s="6"/>
      <c r="O884" s="6"/>
      <c r="P884" s="6"/>
    </row>
    <row r="885" spans="1:16">
      <c r="A885" s="35"/>
      <c r="B885" s="36"/>
      <c r="C885" s="39"/>
      <c r="D885" s="6"/>
      <c r="E885" s="16"/>
      <c r="F885" s="7"/>
      <c r="G885" s="7"/>
      <c r="H885" s="7"/>
      <c r="I885" s="16"/>
      <c r="J885" s="16"/>
      <c r="K885" s="16"/>
      <c r="L885" s="16"/>
      <c r="M885" s="16"/>
      <c r="N885" s="6"/>
      <c r="O885" s="6"/>
      <c r="P885" s="6"/>
    </row>
    <row r="886" spans="1:16">
      <c r="A886" s="35"/>
      <c r="B886" s="36"/>
      <c r="C886" s="39"/>
      <c r="D886" s="6"/>
      <c r="E886" s="16"/>
      <c r="F886" s="7"/>
      <c r="G886" s="7"/>
      <c r="H886" s="7"/>
      <c r="I886" s="16"/>
      <c r="J886" s="16"/>
      <c r="K886" s="16"/>
      <c r="L886" s="16"/>
      <c r="M886" s="16"/>
      <c r="N886" s="6"/>
      <c r="O886" s="6"/>
      <c r="P886" s="6"/>
    </row>
    <row r="887" spans="1:16">
      <c r="A887" s="35"/>
      <c r="B887" s="36"/>
      <c r="C887" s="39"/>
      <c r="D887" s="6"/>
      <c r="E887" s="16"/>
      <c r="F887" s="7"/>
      <c r="G887" s="7"/>
      <c r="H887" s="7"/>
      <c r="I887" s="16"/>
      <c r="J887" s="16"/>
      <c r="K887" s="16"/>
      <c r="L887" s="16"/>
      <c r="M887" s="16"/>
      <c r="N887" s="6"/>
      <c r="O887" s="6"/>
      <c r="P887" s="6"/>
    </row>
    <row r="888" spans="1:16">
      <c r="A888" s="35"/>
      <c r="B888" s="36"/>
      <c r="C888" s="39"/>
      <c r="D888" s="6"/>
      <c r="E888" s="16"/>
      <c r="F888" s="7"/>
      <c r="G888" s="7"/>
      <c r="H888" s="7"/>
      <c r="I888" s="16"/>
      <c r="J888" s="16"/>
      <c r="K888" s="16"/>
      <c r="L888" s="16"/>
      <c r="M888" s="16"/>
      <c r="N888" s="6"/>
      <c r="O888" s="6"/>
      <c r="P888" s="6"/>
    </row>
    <row r="889" spans="1:16">
      <c r="A889" s="35"/>
      <c r="B889" s="36"/>
      <c r="C889" s="39"/>
      <c r="D889" s="6"/>
      <c r="E889" s="16"/>
      <c r="F889" s="7"/>
      <c r="G889" s="7"/>
      <c r="H889" s="7"/>
      <c r="I889" s="16"/>
      <c r="J889" s="16"/>
      <c r="K889" s="16"/>
      <c r="L889" s="16"/>
      <c r="M889" s="16"/>
      <c r="N889" s="6"/>
      <c r="O889" s="6"/>
      <c r="P889" s="6"/>
    </row>
    <row r="890" spans="1:16">
      <c r="A890" s="35"/>
      <c r="B890" s="36"/>
      <c r="C890" s="39"/>
      <c r="D890" s="6"/>
      <c r="E890" s="16"/>
      <c r="F890" s="7"/>
      <c r="G890" s="7"/>
      <c r="H890" s="7"/>
      <c r="I890" s="16"/>
      <c r="J890" s="16"/>
      <c r="K890" s="16"/>
      <c r="L890" s="16"/>
      <c r="M890" s="16"/>
      <c r="N890" s="6"/>
      <c r="O890" s="6"/>
      <c r="P890" s="6"/>
    </row>
    <row r="891" spans="1:16">
      <c r="A891" s="35"/>
      <c r="B891" s="36"/>
      <c r="C891" s="39"/>
      <c r="D891" s="6"/>
      <c r="E891" s="16"/>
      <c r="F891" s="7"/>
      <c r="G891" s="7"/>
      <c r="H891" s="7"/>
      <c r="I891" s="16"/>
      <c r="J891" s="16"/>
      <c r="K891" s="16"/>
      <c r="L891" s="16"/>
      <c r="M891" s="16"/>
      <c r="N891" s="6"/>
      <c r="O891" s="6"/>
      <c r="P891" s="6"/>
    </row>
    <row r="892" spans="1:16">
      <c r="A892" s="35"/>
      <c r="B892" s="36"/>
      <c r="C892" s="39"/>
      <c r="D892" s="6"/>
      <c r="E892" s="16"/>
      <c r="F892" s="7"/>
      <c r="G892" s="7"/>
      <c r="H892" s="7"/>
      <c r="I892" s="16"/>
      <c r="J892" s="16"/>
      <c r="K892" s="16"/>
      <c r="L892" s="16"/>
      <c r="M892" s="16"/>
      <c r="N892" s="6"/>
      <c r="O892" s="6"/>
      <c r="P892" s="6"/>
    </row>
    <row r="893" spans="1:16">
      <c r="A893" s="35"/>
      <c r="B893" s="36"/>
      <c r="C893" s="39"/>
      <c r="D893" s="6"/>
      <c r="E893" s="16"/>
      <c r="F893" s="7"/>
      <c r="G893" s="7"/>
      <c r="H893" s="7"/>
      <c r="I893" s="16"/>
      <c r="J893" s="16"/>
      <c r="K893" s="16"/>
      <c r="L893" s="16"/>
      <c r="M893" s="16"/>
      <c r="N893" s="6"/>
      <c r="O893" s="6"/>
      <c r="P893" s="6"/>
    </row>
    <row r="894" spans="1:16">
      <c r="A894" s="35"/>
      <c r="B894" s="36"/>
      <c r="C894" s="39"/>
      <c r="D894" s="6"/>
      <c r="E894" s="16"/>
      <c r="F894" s="7"/>
      <c r="G894" s="7"/>
      <c r="H894" s="7"/>
      <c r="I894" s="16"/>
      <c r="J894" s="16"/>
      <c r="K894" s="16"/>
      <c r="L894" s="16"/>
      <c r="M894" s="16"/>
      <c r="N894" s="6"/>
      <c r="O894" s="6"/>
      <c r="P894" s="6"/>
    </row>
    <row r="895" spans="1:16">
      <c r="A895" s="35"/>
      <c r="B895" s="36"/>
      <c r="C895" s="39"/>
      <c r="D895" s="6"/>
      <c r="E895" s="16"/>
      <c r="F895" s="7"/>
      <c r="G895" s="7"/>
      <c r="H895" s="7"/>
      <c r="I895" s="16"/>
      <c r="J895" s="16"/>
      <c r="K895" s="16"/>
      <c r="L895" s="16"/>
      <c r="M895" s="16"/>
      <c r="N895" s="6"/>
      <c r="O895" s="6"/>
      <c r="P895" s="6"/>
    </row>
    <row r="896" spans="1:16">
      <c r="A896" s="35"/>
      <c r="B896" s="36"/>
      <c r="C896" s="39"/>
      <c r="D896" s="6"/>
      <c r="E896" s="16"/>
      <c r="F896" s="7"/>
      <c r="G896" s="7"/>
      <c r="H896" s="7"/>
      <c r="I896" s="16"/>
      <c r="J896" s="16"/>
      <c r="K896" s="16"/>
      <c r="L896" s="16"/>
      <c r="M896" s="16"/>
      <c r="N896" s="6"/>
      <c r="O896" s="6"/>
      <c r="P896" s="6"/>
    </row>
    <row r="897" spans="1:16">
      <c r="A897" s="35"/>
      <c r="B897" s="36"/>
      <c r="C897" s="39"/>
      <c r="D897" s="6"/>
      <c r="E897" s="16"/>
      <c r="F897" s="7"/>
      <c r="G897" s="7"/>
      <c r="H897" s="7"/>
      <c r="I897" s="16"/>
      <c r="J897" s="16"/>
      <c r="K897" s="16"/>
      <c r="L897" s="16"/>
      <c r="M897" s="16"/>
      <c r="N897" s="6"/>
      <c r="O897" s="6"/>
      <c r="P897" s="6"/>
    </row>
    <row r="898" spans="1:16">
      <c r="A898" s="35"/>
      <c r="B898" s="36"/>
      <c r="C898" s="39"/>
      <c r="D898" s="6"/>
      <c r="E898" s="16"/>
      <c r="F898" s="7"/>
      <c r="G898" s="7"/>
      <c r="H898" s="7"/>
      <c r="I898" s="16"/>
      <c r="J898" s="16"/>
      <c r="K898" s="16"/>
      <c r="L898" s="16"/>
      <c r="M898" s="16"/>
      <c r="N898" s="6"/>
      <c r="O898" s="6"/>
      <c r="P898" s="6"/>
    </row>
    <row r="899" spans="1:16">
      <c r="A899" s="35"/>
      <c r="B899" s="36"/>
      <c r="C899" s="39"/>
      <c r="D899" s="6"/>
      <c r="E899" s="16"/>
      <c r="F899" s="7"/>
      <c r="G899" s="7"/>
      <c r="H899" s="7"/>
      <c r="I899" s="16"/>
      <c r="J899" s="16"/>
      <c r="K899" s="16"/>
      <c r="L899" s="16"/>
      <c r="M899" s="16"/>
      <c r="N899" s="6"/>
      <c r="O899" s="6"/>
      <c r="P899" s="6"/>
    </row>
    <row r="900" spans="1:16">
      <c r="A900" s="35"/>
      <c r="B900" s="36"/>
      <c r="C900" s="39"/>
      <c r="D900" s="6"/>
      <c r="E900" s="16"/>
      <c r="F900" s="7"/>
      <c r="G900" s="7"/>
      <c r="H900" s="7"/>
      <c r="I900" s="16"/>
      <c r="J900" s="16"/>
      <c r="K900" s="16"/>
      <c r="L900" s="16"/>
      <c r="M900" s="16"/>
      <c r="N900" s="6"/>
      <c r="O900" s="6"/>
      <c r="P900" s="6"/>
    </row>
    <row r="901" spans="1:16">
      <c r="A901" s="35"/>
      <c r="B901" s="36"/>
      <c r="C901" s="39"/>
      <c r="D901" s="6"/>
      <c r="E901" s="16"/>
      <c r="F901" s="7"/>
      <c r="G901" s="7"/>
      <c r="H901" s="7"/>
      <c r="I901" s="16"/>
      <c r="J901" s="16"/>
      <c r="K901" s="16"/>
      <c r="L901" s="16"/>
      <c r="M901" s="16"/>
      <c r="N901" s="6"/>
      <c r="O901" s="6"/>
      <c r="P901" s="6"/>
    </row>
    <row r="902" spans="1:16">
      <c r="A902" s="35"/>
      <c r="B902" s="36"/>
      <c r="C902" s="39"/>
      <c r="D902" s="6"/>
      <c r="E902" s="16"/>
      <c r="F902" s="7"/>
      <c r="G902" s="7"/>
      <c r="H902" s="7"/>
      <c r="I902" s="16"/>
      <c r="J902" s="16"/>
      <c r="K902" s="16"/>
      <c r="L902" s="16"/>
      <c r="M902" s="16"/>
      <c r="N902" s="6"/>
      <c r="O902" s="6"/>
      <c r="P902" s="6"/>
    </row>
    <row r="903" spans="1:16">
      <c r="A903" s="35"/>
      <c r="B903" s="36"/>
      <c r="C903" s="39"/>
      <c r="D903" s="6"/>
      <c r="E903" s="16"/>
      <c r="F903" s="7"/>
      <c r="G903" s="7"/>
      <c r="H903" s="7"/>
      <c r="I903" s="16"/>
      <c r="J903" s="16"/>
      <c r="K903" s="16"/>
      <c r="L903" s="16"/>
      <c r="M903" s="16"/>
      <c r="N903" s="6"/>
      <c r="O903" s="6"/>
      <c r="P903" s="6"/>
    </row>
    <row r="904" spans="1:16">
      <c r="A904" s="35"/>
      <c r="B904" s="36"/>
      <c r="C904" s="39"/>
      <c r="D904" s="6"/>
      <c r="E904" s="16"/>
      <c r="F904" s="7"/>
      <c r="G904" s="7"/>
      <c r="H904" s="7"/>
      <c r="I904" s="16"/>
      <c r="J904" s="16"/>
      <c r="K904" s="16"/>
      <c r="L904" s="16"/>
      <c r="M904" s="16"/>
      <c r="N904" s="6"/>
      <c r="O904" s="6"/>
      <c r="P904" s="6"/>
    </row>
    <row r="905" spans="1:16">
      <c r="A905" s="35"/>
      <c r="B905" s="36"/>
      <c r="C905" s="39"/>
      <c r="D905" s="6"/>
      <c r="E905" s="16"/>
      <c r="F905" s="7"/>
      <c r="G905" s="7"/>
      <c r="H905" s="7"/>
      <c r="I905" s="16"/>
      <c r="J905" s="16"/>
      <c r="K905" s="16"/>
      <c r="L905" s="16"/>
      <c r="M905" s="16"/>
      <c r="N905" s="6"/>
      <c r="O905" s="6"/>
      <c r="P905" s="6"/>
    </row>
    <row r="906" spans="1:16">
      <c r="A906" s="35"/>
      <c r="B906" s="36"/>
      <c r="C906" s="39"/>
      <c r="D906" s="6"/>
      <c r="E906" s="16"/>
      <c r="F906" s="7"/>
      <c r="G906" s="7"/>
      <c r="H906" s="7"/>
      <c r="I906" s="16"/>
      <c r="J906" s="16"/>
      <c r="K906" s="16"/>
      <c r="L906" s="16"/>
      <c r="M906" s="16"/>
      <c r="N906" s="6"/>
      <c r="O906" s="6"/>
      <c r="P906" s="6"/>
    </row>
    <row r="907" spans="1:16">
      <c r="A907" s="35"/>
      <c r="B907" s="36"/>
      <c r="C907" s="39"/>
      <c r="D907" s="6"/>
      <c r="E907" s="16"/>
      <c r="F907" s="7"/>
      <c r="G907" s="7"/>
      <c r="H907" s="7"/>
      <c r="I907" s="16"/>
      <c r="J907" s="16"/>
      <c r="K907" s="16"/>
      <c r="L907" s="16"/>
      <c r="M907" s="16"/>
      <c r="N907" s="6"/>
      <c r="O907" s="6"/>
      <c r="P907" s="6"/>
    </row>
    <row r="908" spans="1:16">
      <c r="A908" s="35"/>
      <c r="B908" s="36"/>
      <c r="C908" s="39"/>
      <c r="D908" s="6"/>
      <c r="E908" s="16"/>
      <c r="F908" s="7"/>
      <c r="G908" s="7"/>
      <c r="H908" s="7"/>
      <c r="I908" s="16"/>
      <c r="J908" s="16"/>
      <c r="K908" s="16"/>
      <c r="L908" s="16"/>
      <c r="M908" s="16"/>
      <c r="N908" s="6"/>
      <c r="O908" s="6"/>
      <c r="P908" s="6"/>
    </row>
    <row r="909" spans="1:16">
      <c r="A909" s="35"/>
      <c r="B909" s="36"/>
      <c r="C909" s="39"/>
      <c r="D909" s="6"/>
      <c r="E909" s="16"/>
      <c r="F909" s="7"/>
      <c r="G909" s="7"/>
      <c r="H909" s="7"/>
      <c r="I909" s="16"/>
      <c r="J909" s="16"/>
      <c r="K909" s="16"/>
      <c r="L909" s="16"/>
      <c r="M909" s="16"/>
      <c r="N909" s="6"/>
      <c r="O909" s="6"/>
      <c r="P909" s="6"/>
    </row>
    <row r="910" spans="1:16">
      <c r="A910" s="35"/>
      <c r="B910" s="36"/>
      <c r="C910" s="39"/>
      <c r="D910" s="6"/>
      <c r="E910" s="16"/>
      <c r="F910" s="7"/>
      <c r="G910" s="7"/>
      <c r="H910" s="7"/>
      <c r="I910" s="16"/>
      <c r="J910" s="16"/>
      <c r="K910" s="16"/>
      <c r="L910" s="16"/>
      <c r="M910" s="16"/>
      <c r="N910" s="6"/>
      <c r="O910" s="6"/>
      <c r="P910" s="6"/>
    </row>
    <row r="911" spans="1:16">
      <c r="A911" s="35"/>
      <c r="B911" s="36"/>
      <c r="C911" s="39"/>
      <c r="D911" s="6"/>
      <c r="E911" s="16"/>
      <c r="F911" s="7"/>
      <c r="G911" s="7"/>
      <c r="H911" s="7"/>
      <c r="I911" s="16"/>
      <c r="J911" s="16"/>
      <c r="K911" s="16"/>
      <c r="L911" s="16"/>
      <c r="M911" s="16"/>
      <c r="N911" s="6"/>
      <c r="O911" s="6"/>
      <c r="P911" s="6"/>
    </row>
    <row r="912" spans="1:16">
      <c r="A912" s="35"/>
      <c r="B912" s="36"/>
      <c r="C912" s="39"/>
      <c r="D912" s="6"/>
      <c r="E912" s="16"/>
      <c r="F912" s="7"/>
      <c r="G912" s="7"/>
      <c r="H912" s="7"/>
      <c r="I912" s="16"/>
      <c r="J912" s="16"/>
      <c r="K912" s="16"/>
      <c r="L912" s="16"/>
      <c r="M912" s="16"/>
      <c r="N912" s="6"/>
      <c r="O912" s="6"/>
      <c r="P912" s="6"/>
    </row>
    <row r="913" spans="1:16">
      <c r="A913" s="35"/>
      <c r="B913" s="36"/>
      <c r="C913" s="39"/>
      <c r="D913" s="6"/>
      <c r="E913" s="16"/>
      <c r="F913" s="7"/>
      <c r="G913" s="7"/>
      <c r="H913" s="7"/>
      <c r="I913" s="16"/>
      <c r="J913" s="16"/>
      <c r="K913" s="16"/>
      <c r="L913" s="16"/>
      <c r="M913" s="16"/>
      <c r="N913" s="6"/>
      <c r="O913" s="6"/>
      <c r="P913" s="6"/>
    </row>
    <row r="914" spans="1:16">
      <c r="A914" s="35"/>
      <c r="B914" s="36"/>
      <c r="C914" s="39"/>
      <c r="D914" s="6"/>
      <c r="E914" s="16"/>
      <c r="F914" s="7"/>
      <c r="G914" s="7"/>
      <c r="H914" s="7"/>
      <c r="I914" s="16"/>
      <c r="J914" s="16"/>
      <c r="K914" s="16"/>
      <c r="L914" s="16"/>
      <c r="M914" s="16"/>
      <c r="N914" s="6"/>
      <c r="O914" s="6"/>
      <c r="P914" s="6"/>
    </row>
    <row r="915" spans="1:16">
      <c r="A915" s="35"/>
      <c r="B915" s="36"/>
      <c r="C915" s="39"/>
      <c r="D915" s="6"/>
      <c r="E915" s="16"/>
      <c r="F915" s="7"/>
      <c r="G915" s="7"/>
      <c r="H915" s="7"/>
      <c r="I915" s="16"/>
      <c r="J915" s="16"/>
      <c r="K915" s="16"/>
      <c r="L915" s="16"/>
      <c r="M915" s="16"/>
      <c r="N915" s="6"/>
      <c r="O915" s="6"/>
      <c r="P915" s="6"/>
    </row>
    <row r="916" spans="1:16">
      <c r="A916" s="35"/>
      <c r="B916" s="36"/>
      <c r="C916" s="39"/>
      <c r="D916" s="6"/>
      <c r="E916" s="16"/>
      <c r="F916" s="7"/>
      <c r="G916" s="7"/>
      <c r="H916" s="7"/>
      <c r="I916" s="16"/>
      <c r="J916" s="16"/>
      <c r="K916" s="16"/>
      <c r="L916" s="16"/>
      <c r="M916" s="16"/>
      <c r="N916" s="6"/>
      <c r="O916" s="6"/>
      <c r="P916" s="6"/>
    </row>
    <row r="917" spans="1:16">
      <c r="A917" s="35"/>
      <c r="B917" s="36"/>
      <c r="C917" s="39"/>
      <c r="D917" s="6"/>
      <c r="E917" s="16"/>
      <c r="F917" s="7"/>
      <c r="G917" s="7"/>
      <c r="H917" s="7"/>
      <c r="I917" s="16"/>
      <c r="J917" s="16"/>
      <c r="K917" s="16"/>
      <c r="L917" s="16"/>
      <c r="M917" s="16"/>
      <c r="N917" s="6"/>
      <c r="O917" s="6"/>
      <c r="P917" s="6"/>
    </row>
    <row r="918" spans="1:16">
      <c r="A918" s="35"/>
      <c r="B918" s="36"/>
      <c r="C918" s="39"/>
      <c r="D918" s="6"/>
      <c r="E918" s="16"/>
      <c r="F918" s="7"/>
      <c r="G918" s="7"/>
      <c r="H918" s="7"/>
      <c r="I918" s="16"/>
      <c r="J918" s="16"/>
      <c r="K918" s="16"/>
      <c r="L918" s="16"/>
      <c r="M918" s="16"/>
      <c r="N918" s="6"/>
      <c r="O918" s="6"/>
      <c r="P918" s="6"/>
    </row>
    <row r="919" spans="1:16">
      <c r="A919" s="35"/>
      <c r="B919" s="36"/>
      <c r="C919" s="39"/>
      <c r="D919" s="6"/>
      <c r="E919" s="16"/>
      <c r="F919" s="7"/>
      <c r="G919" s="7"/>
      <c r="H919" s="7"/>
      <c r="I919" s="16"/>
      <c r="J919" s="16"/>
      <c r="K919" s="16"/>
      <c r="L919" s="16"/>
      <c r="M919" s="16"/>
      <c r="N919" s="6"/>
      <c r="O919" s="6"/>
      <c r="P919" s="6"/>
    </row>
    <row r="920" spans="1:16">
      <c r="A920" s="35"/>
      <c r="B920" s="36"/>
      <c r="C920" s="39"/>
      <c r="D920" s="6"/>
      <c r="E920" s="16"/>
      <c r="F920" s="7"/>
      <c r="G920" s="7"/>
      <c r="H920" s="7"/>
      <c r="I920" s="16"/>
      <c r="J920" s="16"/>
      <c r="K920" s="16"/>
      <c r="L920" s="16"/>
      <c r="M920" s="16"/>
      <c r="N920" s="6"/>
      <c r="O920" s="6"/>
      <c r="P920" s="6"/>
    </row>
    <row r="921" spans="1:16">
      <c r="A921" s="35"/>
      <c r="B921" s="36"/>
      <c r="C921" s="39"/>
      <c r="D921" s="6"/>
      <c r="E921" s="16"/>
      <c r="F921" s="7"/>
      <c r="G921" s="7"/>
      <c r="H921" s="7"/>
      <c r="I921" s="16"/>
      <c r="J921" s="16"/>
      <c r="K921" s="16"/>
      <c r="L921" s="16"/>
      <c r="M921" s="16"/>
      <c r="N921" s="6"/>
      <c r="O921" s="6"/>
      <c r="P921" s="6"/>
    </row>
    <row r="922" spans="1:16">
      <c r="A922" s="35"/>
      <c r="B922" s="36"/>
      <c r="C922" s="39"/>
      <c r="D922" s="6"/>
      <c r="E922" s="16"/>
      <c r="F922" s="7"/>
      <c r="G922" s="7"/>
      <c r="H922" s="7"/>
      <c r="I922" s="16"/>
      <c r="J922" s="16"/>
      <c r="K922" s="16"/>
      <c r="L922" s="16"/>
      <c r="M922" s="16"/>
      <c r="N922" s="6"/>
      <c r="O922" s="6"/>
      <c r="P922" s="6"/>
    </row>
    <row r="923" spans="1:16">
      <c r="A923" s="35"/>
      <c r="B923" s="36"/>
      <c r="C923" s="39"/>
      <c r="D923" s="6"/>
      <c r="E923" s="16"/>
      <c r="F923" s="7"/>
      <c r="G923" s="7"/>
      <c r="H923" s="7"/>
      <c r="I923" s="16"/>
      <c r="J923" s="16"/>
      <c r="K923" s="16"/>
      <c r="L923" s="16"/>
      <c r="M923" s="16"/>
      <c r="N923" s="6"/>
      <c r="O923" s="6"/>
      <c r="P923" s="6"/>
    </row>
    <row r="924" spans="1:16">
      <c r="A924" s="35"/>
      <c r="B924" s="36"/>
      <c r="C924" s="39"/>
      <c r="D924" s="6"/>
      <c r="E924" s="16"/>
      <c r="F924" s="7"/>
      <c r="G924" s="7"/>
      <c r="H924" s="7"/>
      <c r="I924" s="16"/>
      <c r="J924" s="16"/>
      <c r="K924" s="16"/>
      <c r="L924" s="16"/>
      <c r="M924" s="16"/>
      <c r="N924" s="6"/>
      <c r="O924" s="6"/>
      <c r="P924" s="6"/>
    </row>
    <row r="925" spans="1:16">
      <c r="A925" s="35"/>
      <c r="B925" s="36"/>
      <c r="C925" s="39"/>
      <c r="D925" s="6"/>
      <c r="E925" s="16"/>
      <c r="F925" s="7"/>
      <c r="G925" s="7"/>
      <c r="H925" s="7"/>
      <c r="I925" s="16"/>
      <c r="J925" s="16"/>
      <c r="K925" s="16"/>
      <c r="L925" s="16"/>
      <c r="M925" s="16"/>
      <c r="N925" s="6"/>
      <c r="O925" s="6"/>
      <c r="P925" s="6"/>
    </row>
    <row r="926" spans="1:16">
      <c r="A926" s="35"/>
      <c r="B926" s="36"/>
      <c r="C926" s="39"/>
      <c r="D926" s="6"/>
      <c r="E926" s="16"/>
      <c r="F926" s="7"/>
      <c r="G926" s="7"/>
      <c r="H926" s="7"/>
      <c r="I926" s="16"/>
      <c r="J926" s="16"/>
      <c r="K926" s="16"/>
      <c r="L926" s="16"/>
      <c r="M926" s="16"/>
      <c r="N926" s="6"/>
      <c r="O926" s="6"/>
      <c r="P926" s="6"/>
    </row>
    <row r="927" spans="1:16">
      <c r="A927" s="35"/>
      <c r="B927" s="36"/>
      <c r="C927" s="39"/>
      <c r="D927" s="6"/>
      <c r="E927" s="16"/>
      <c r="F927" s="7"/>
      <c r="G927" s="7"/>
      <c r="H927" s="7"/>
      <c r="I927" s="16"/>
      <c r="J927" s="16"/>
      <c r="K927" s="16"/>
      <c r="L927" s="16"/>
      <c r="M927" s="16"/>
      <c r="N927" s="6"/>
      <c r="O927" s="6"/>
      <c r="P927" s="6"/>
    </row>
    <row r="928" spans="1:16">
      <c r="A928" s="35"/>
      <c r="B928" s="36"/>
      <c r="C928" s="39"/>
      <c r="D928" s="6"/>
      <c r="E928" s="16"/>
      <c r="F928" s="7"/>
      <c r="G928" s="7"/>
      <c r="H928" s="7"/>
      <c r="I928" s="16"/>
      <c r="J928" s="16"/>
      <c r="K928" s="16"/>
      <c r="L928" s="16"/>
      <c r="M928" s="16"/>
      <c r="N928" s="6"/>
      <c r="O928" s="6"/>
      <c r="P928" s="6"/>
    </row>
    <row r="929" spans="1:16">
      <c r="A929" s="35"/>
      <c r="B929" s="36"/>
      <c r="C929" s="39"/>
      <c r="D929" s="6"/>
      <c r="E929" s="16"/>
      <c r="F929" s="7"/>
      <c r="G929" s="7"/>
      <c r="H929" s="7"/>
      <c r="I929" s="16"/>
      <c r="J929" s="16"/>
      <c r="K929" s="16"/>
      <c r="L929" s="16"/>
      <c r="M929" s="16"/>
      <c r="N929" s="6"/>
      <c r="O929" s="6"/>
      <c r="P929" s="6"/>
    </row>
    <row r="930" spans="1:16">
      <c r="A930" s="35"/>
      <c r="B930" s="36"/>
      <c r="C930" s="39"/>
      <c r="D930" s="6"/>
      <c r="E930" s="16"/>
      <c r="F930" s="7"/>
      <c r="G930" s="7"/>
      <c r="H930" s="7"/>
      <c r="I930" s="16"/>
      <c r="J930" s="16"/>
      <c r="K930" s="16"/>
      <c r="L930" s="16"/>
      <c r="M930" s="16"/>
      <c r="N930" s="6"/>
      <c r="O930" s="6"/>
      <c r="P930" s="6"/>
    </row>
    <row r="931" spans="1:16">
      <c r="A931" s="35"/>
      <c r="B931" s="36"/>
      <c r="C931" s="39"/>
      <c r="D931" s="6"/>
      <c r="E931" s="16"/>
      <c r="F931" s="7"/>
      <c r="G931" s="7"/>
      <c r="H931" s="7"/>
      <c r="I931" s="16"/>
      <c r="J931" s="16"/>
      <c r="K931" s="16"/>
      <c r="L931" s="16"/>
      <c r="M931" s="16"/>
      <c r="N931" s="6"/>
      <c r="O931" s="6"/>
      <c r="P931" s="6"/>
    </row>
    <row r="932" spans="1:16">
      <c r="A932" s="35"/>
      <c r="B932" s="36"/>
      <c r="C932" s="39"/>
      <c r="D932" s="6"/>
      <c r="E932" s="16"/>
      <c r="F932" s="7"/>
      <c r="G932" s="7"/>
      <c r="H932" s="7"/>
      <c r="I932" s="16"/>
      <c r="J932" s="16"/>
      <c r="K932" s="16"/>
      <c r="L932" s="16"/>
      <c r="M932" s="16"/>
      <c r="N932" s="6"/>
      <c r="O932" s="6"/>
      <c r="P932" s="6"/>
    </row>
    <row r="933" spans="1:16">
      <c r="A933" s="35"/>
      <c r="B933" s="36"/>
      <c r="C933" s="39"/>
      <c r="D933" s="6"/>
      <c r="E933" s="16"/>
      <c r="F933" s="7"/>
      <c r="G933" s="7"/>
      <c r="H933" s="7"/>
      <c r="I933" s="16"/>
      <c r="J933" s="16"/>
      <c r="K933" s="16"/>
      <c r="L933" s="16"/>
      <c r="M933" s="16"/>
      <c r="N933" s="6"/>
      <c r="O933" s="6"/>
      <c r="P933" s="6"/>
    </row>
    <row r="934" spans="1:16">
      <c r="A934" s="35"/>
      <c r="B934" s="36"/>
      <c r="C934" s="39"/>
      <c r="D934" s="6"/>
      <c r="E934" s="16"/>
      <c r="F934" s="7"/>
      <c r="G934" s="7"/>
      <c r="H934" s="7"/>
      <c r="I934" s="16"/>
      <c r="J934" s="16"/>
      <c r="K934" s="16"/>
      <c r="L934" s="16"/>
      <c r="M934" s="16"/>
      <c r="N934" s="6"/>
      <c r="O934" s="6"/>
      <c r="P934" s="6"/>
    </row>
    <row r="935" spans="1:16">
      <c r="A935" s="35"/>
      <c r="B935" s="36"/>
      <c r="C935" s="39"/>
      <c r="D935" s="6"/>
      <c r="E935" s="16"/>
      <c r="F935" s="7"/>
      <c r="G935" s="7"/>
      <c r="H935" s="7"/>
      <c r="I935" s="16"/>
      <c r="J935" s="16"/>
      <c r="K935" s="16"/>
      <c r="L935" s="16"/>
      <c r="M935" s="16"/>
      <c r="N935" s="6"/>
      <c r="O935" s="6"/>
      <c r="P935" s="6"/>
    </row>
    <row r="936" spans="1:16">
      <c r="A936" s="35"/>
      <c r="B936" s="36"/>
      <c r="C936" s="39"/>
      <c r="D936" s="6"/>
      <c r="E936" s="16"/>
      <c r="F936" s="7"/>
      <c r="G936" s="7"/>
      <c r="H936" s="7"/>
      <c r="I936" s="16"/>
      <c r="J936" s="16"/>
      <c r="K936" s="16"/>
      <c r="L936" s="16"/>
      <c r="M936" s="16"/>
      <c r="N936" s="6"/>
      <c r="O936" s="6"/>
      <c r="P936" s="6"/>
    </row>
    <row r="937" spans="1:16">
      <c r="A937" s="35"/>
      <c r="B937" s="36"/>
      <c r="C937" s="39"/>
      <c r="D937" s="6"/>
      <c r="E937" s="16"/>
      <c r="F937" s="7"/>
      <c r="G937" s="7"/>
      <c r="H937" s="7"/>
      <c r="I937" s="16"/>
      <c r="J937" s="16"/>
      <c r="K937" s="16"/>
      <c r="L937" s="16"/>
      <c r="M937" s="16"/>
      <c r="N937" s="6"/>
      <c r="O937" s="6"/>
      <c r="P937" s="6"/>
    </row>
    <row r="938" spans="1:16">
      <c r="A938" s="35"/>
      <c r="B938" s="36"/>
      <c r="C938" s="39"/>
      <c r="D938" s="6"/>
      <c r="E938" s="16"/>
      <c r="F938" s="7"/>
      <c r="G938" s="7"/>
      <c r="H938" s="7"/>
      <c r="I938" s="16"/>
      <c r="J938" s="16"/>
      <c r="K938" s="16"/>
      <c r="L938" s="16"/>
      <c r="M938" s="16"/>
      <c r="N938" s="6"/>
      <c r="O938" s="6"/>
      <c r="P938" s="6"/>
    </row>
    <row r="939" spans="1:16">
      <c r="A939" s="35"/>
      <c r="B939" s="36"/>
      <c r="C939" s="39"/>
      <c r="D939" s="6"/>
      <c r="E939" s="16"/>
      <c r="F939" s="7"/>
      <c r="G939" s="7"/>
      <c r="H939" s="7"/>
      <c r="I939" s="16"/>
      <c r="J939" s="16"/>
      <c r="K939" s="16"/>
      <c r="L939" s="16"/>
      <c r="M939" s="16"/>
      <c r="N939" s="6"/>
      <c r="O939" s="6"/>
      <c r="P939" s="6"/>
    </row>
    <row r="940" spans="1:16">
      <c r="A940" s="35"/>
      <c r="B940" s="36"/>
      <c r="C940" s="39"/>
      <c r="D940" s="6"/>
      <c r="E940" s="16"/>
      <c r="F940" s="7"/>
      <c r="G940" s="7"/>
      <c r="H940" s="7"/>
      <c r="I940" s="16"/>
      <c r="J940" s="16"/>
      <c r="K940" s="16"/>
      <c r="L940" s="16"/>
      <c r="M940" s="16"/>
      <c r="N940" s="6"/>
      <c r="O940" s="6"/>
      <c r="P940" s="6"/>
    </row>
    <row r="941" spans="1:16">
      <c r="A941" s="35"/>
      <c r="B941" s="36"/>
      <c r="C941" s="39"/>
      <c r="D941" s="6"/>
      <c r="E941" s="16"/>
      <c r="F941" s="7"/>
      <c r="G941" s="7"/>
      <c r="H941" s="7"/>
      <c r="I941" s="16"/>
      <c r="J941" s="16"/>
      <c r="K941" s="16"/>
      <c r="L941" s="16"/>
      <c r="M941" s="16"/>
      <c r="N941" s="6"/>
      <c r="O941" s="6"/>
      <c r="P941" s="6"/>
    </row>
    <row r="942" spans="1:16">
      <c r="A942" s="35"/>
      <c r="B942" s="36"/>
      <c r="C942" s="39"/>
      <c r="D942" s="6"/>
      <c r="E942" s="16"/>
      <c r="F942" s="7"/>
      <c r="G942" s="7"/>
      <c r="H942" s="7"/>
      <c r="I942" s="16"/>
      <c r="J942" s="16"/>
      <c r="K942" s="16"/>
      <c r="L942" s="16"/>
      <c r="M942" s="16"/>
      <c r="N942" s="6"/>
      <c r="O942" s="6"/>
      <c r="P942" s="6"/>
    </row>
    <row r="943" spans="1:16">
      <c r="A943" s="35"/>
      <c r="B943" s="36"/>
      <c r="C943" s="39"/>
      <c r="D943" s="6"/>
      <c r="E943" s="16"/>
      <c r="F943" s="7"/>
      <c r="G943" s="7"/>
      <c r="H943" s="7"/>
      <c r="I943" s="16"/>
      <c r="J943" s="16"/>
      <c r="K943" s="16"/>
      <c r="L943" s="16"/>
      <c r="M943" s="16"/>
      <c r="N943" s="6"/>
      <c r="O943" s="6"/>
      <c r="P943" s="6"/>
    </row>
    <row r="944" spans="1:16">
      <c r="A944" s="35"/>
      <c r="B944" s="36"/>
      <c r="C944" s="39"/>
      <c r="D944" s="6"/>
      <c r="E944" s="16"/>
      <c r="F944" s="7"/>
      <c r="G944" s="7"/>
      <c r="H944" s="7"/>
      <c r="I944" s="16"/>
      <c r="J944" s="16"/>
      <c r="K944" s="16"/>
      <c r="L944" s="16"/>
      <c r="M944" s="16"/>
      <c r="N944" s="6"/>
      <c r="O944" s="6"/>
      <c r="P944" s="6"/>
    </row>
    <row r="945" spans="1:16">
      <c r="A945" s="35"/>
      <c r="B945" s="36"/>
      <c r="C945" s="39"/>
      <c r="D945" s="6"/>
      <c r="E945" s="16"/>
      <c r="F945" s="7"/>
      <c r="G945" s="7"/>
      <c r="H945" s="7"/>
      <c r="I945" s="16"/>
      <c r="J945" s="16"/>
      <c r="K945" s="16"/>
      <c r="L945" s="16"/>
      <c r="M945" s="16"/>
      <c r="N945" s="6"/>
      <c r="O945" s="6"/>
      <c r="P945" s="6"/>
    </row>
    <row r="946" spans="1:16">
      <c r="A946" s="35"/>
      <c r="B946" s="36"/>
      <c r="C946" s="39"/>
      <c r="D946" s="6"/>
      <c r="E946" s="16"/>
      <c r="F946" s="7"/>
      <c r="G946" s="7"/>
      <c r="H946" s="7"/>
      <c r="I946" s="16"/>
      <c r="J946" s="16"/>
      <c r="K946" s="16"/>
      <c r="L946" s="16"/>
      <c r="M946" s="16"/>
      <c r="N946" s="6"/>
      <c r="O946" s="6"/>
      <c r="P946" s="6"/>
    </row>
    <row r="947" spans="1:16">
      <c r="A947" s="35"/>
      <c r="B947" s="36"/>
      <c r="C947" s="39"/>
      <c r="D947" s="6"/>
      <c r="E947" s="16"/>
      <c r="F947" s="7"/>
      <c r="G947" s="7"/>
      <c r="H947" s="7"/>
      <c r="I947" s="16"/>
      <c r="J947" s="16"/>
      <c r="K947" s="16"/>
      <c r="L947" s="16"/>
      <c r="M947" s="16"/>
      <c r="N947" s="6"/>
      <c r="O947" s="6"/>
      <c r="P947" s="6"/>
    </row>
    <row r="948" spans="1:16">
      <c r="A948" s="35"/>
      <c r="B948" s="36"/>
      <c r="C948" s="39"/>
      <c r="D948" s="6"/>
      <c r="E948" s="16"/>
      <c r="F948" s="7"/>
      <c r="G948" s="7"/>
      <c r="H948" s="7"/>
      <c r="I948" s="16"/>
      <c r="J948" s="16"/>
      <c r="K948" s="16"/>
      <c r="L948" s="16"/>
      <c r="M948" s="16"/>
      <c r="N948" s="6"/>
      <c r="O948" s="6"/>
      <c r="P948" s="6"/>
    </row>
    <row r="949" spans="1:16">
      <c r="A949" s="35"/>
      <c r="B949" s="36"/>
      <c r="C949" s="39"/>
      <c r="D949" s="6"/>
      <c r="E949" s="16"/>
      <c r="F949" s="7"/>
      <c r="G949" s="7"/>
      <c r="H949" s="7"/>
      <c r="I949" s="16"/>
      <c r="J949" s="16"/>
      <c r="K949" s="16"/>
      <c r="L949" s="16"/>
      <c r="M949" s="16"/>
      <c r="N949" s="6"/>
      <c r="O949" s="6"/>
      <c r="P949" s="6"/>
    </row>
    <row r="950" spans="1:16">
      <c r="A950" s="35"/>
      <c r="B950" s="36"/>
      <c r="C950" s="39"/>
      <c r="D950" s="6"/>
      <c r="E950" s="16"/>
      <c r="F950" s="7"/>
      <c r="G950" s="7"/>
      <c r="H950" s="7"/>
      <c r="I950" s="16"/>
      <c r="J950" s="16"/>
      <c r="K950" s="16"/>
      <c r="L950" s="16"/>
      <c r="M950" s="16"/>
      <c r="N950" s="6"/>
      <c r="O950" s="6"/>
      <c r="P950" s="6"/>
    </row>
    <row r="951" spans="1:16">
      <c r="A951" s="35"/>
      <c r="B951" s="36"/>
      <c r="C951" s="39"/>
      <c r="D951" s="6"/>
      <c r="E951" s="16"/>
      <c r="F951" s="7"/>
      <c r="G951" s="7"/>
      <c r="H951" s="7"/>
      <c r="I951" s="16"/>
      <c r="J951" s="16"/>
      <c r="K951" s="16"/>
      <c r="L951" s="16"/>
      <c r="M951" s="16"/>
      <c r="N951" s="6"/>
      <c r="O951" s="6"/>
      <c r="P951" s="6"/>
    </row>
    <row r="952" spans="1:16">
      <c r="A952" s="35"/>
      <c r="B952" s="36"/>
      <c r="C952" s="39"/>
      <c r="D952" s="6"/>
      <c r="E952" s="16"/>
      <c r="F952" s="7"/>
      <c r="G952" s="7"/>
      <c r="H952" s="7"/>
      <c r="I952" s="16"/>
      <c r="J952" s="16"/>
      <c r="K952" s="16"/>
      <c r="L952" s="16"/>
      <c r="M952" s="16"/>
      <c r="N952" s="6"/>
      <c r="O952" s="6"/>
      <c r="P952" s="6"/>
    </row>
    <row r="953" spans="1:16">
      <c r="A953" s="35"/>
      <c r="B953" s="36"/>
      <c r="C953" s="39"/>
      <c r="D953" s="6"/>
      <c r="E953" s="16"/>
      <c r="F953" s="7"/>
      <c r="G953" s="7"/>
      <c r="H953" s="7"/>
      <c r="I953" s="16"/>
      <c r="J953" s="16"/>
      <c r="K953" s="16"/>
      <c r="L953" s="16"/>
      <c r="M953" s="16"/>
      <c r="N953" s="6"/>
      <c r="O953" s="6"/>
      <c r="P953" s="6"/>
    </row>
    <row r="954" spans="1:16">
      <c r="A954" s="35"/>
      <c r="B954" s="36"/>
      <c r="C954" s="39"/>
      <c r="D954" s="6"/>
      <c r="E954" s="16"/>
      <c r="F954" s="7"/>
      <c r="G954" s="7"/>
      <c r="H954" s="7"/>
      <c r="I954" s="16"/>
      <c r="J954" s="16"/>
      <c r="K954" s="16"/>
      <c r="L954" s="16"/>
      <c r="M954" s="16"/>
      <c r="N954" s="6"/>
      <c r="O954" s="6"/>
      <c r="P954" s="6"/>
    </row>
    <row r="955" spans="1:16">
      <c r="A955" s="35"/>
      <c r="B955" s="36"/>
      <c r="C955" s="39"/>
      <c r="D955" s="6"/>
      <c r="E955" s="16"/>
      <c r="F955" s="7"/>
      <c r="G955" s="7"/>
      <c r="H955" s="7"/>
      <c r="I955" s="16"/>
      <c r="J955" s="16"/>
      <c r="K955" s="16"/>
      <c r="L955" s="16"/>
      <c r="M955" s="16"/>
      <c r="N955" s="6"/>
      <c r="O955" s="6"/>
      <c r="P955" s="6"/>
    </row>
    <row r="956" spans="1:16">
      <c r="A956" s="35"/>
      <c r="B956" s="36"/>
      <c r="C956" s="39"/>
      <c r="D956" s="6"/>
      <c r="E956" s="16"/>
      <c r="F956" s="7"/>
      <c r="G956" s="7"/>
      <c r="H956" s="7"/>
      <c r="I956" s="16"/>
      <c r="J956" s="16"/>
      <c r="K956" s="16"/>
      <c r="L956" s="16"/>
      <c r="M956" s="16"/>
      <c r="N956" s="6"/>
      <c r="O956" s="6"/>
      <c r="P956" s="6"/>
    </row>
    <row r="957" spans="1:16">
      <c r="A957" s="35"/>
      <c r="B957" s="36"/>
      <c r="C957" s="39"/>
      <c r="D957" s="6"/>
      <c r="E957" s="16"/>
      <c r="F957" s="7"/>
      <c r="G957" s="7"/>
      <c r="H957" s="7"/>
      <c r="I957" s="16"/>
      <c r="J957" s="16"/>
      <c r="K957" s="16"/>
      <c r="L957" s="16"/>
      <c r="M957" s="16"/>
      <c r="N957" s="6"/>
      <c r="O957" s="6"/>
      <c r="P957" s="6"/>
    </row>
    <row r="958" spans="1:16">
      <c r="A958" s="35"/>
      <c r="B958" s="36"/>
      <c r="C958" s="39"/>
      <c r="D958" s="6"/>
      <c r="E958" s="16"/>
      <c r="F958" s="7"/>
      <c r="G958" s="7"/>
      <c r="H958" s="7"/>
      <c r="I958" s="16"/>
      <c r="J958" s="16"/>
      <c r="K958" s="16"/>
      <c r="L958" s="16"/>
      <c r="M958" s="16"/>
      <c r="N958" s="6"/>
      <c r="O958" s="6"/>
      <c r="P958" s="6"/>
    </row>
    <row r="959" spans="1:16">
      <c r="A959" s="35"/>
      <c r="B959" s="36"/>
      <c r="C959" s="39"/>
      <c r="D959" s="6"/>
      <c r="E959" s="16"/>
      <c r="F959" s="7"/>
      <c r="G959" s="7"/>
      <c r="H959" s="7"/>
      <c r="I959" s="16"/>
      <c r="J959" s="16"/>
      <c r="K959" s="16"/>
      <c r="L959" s="16"/>
      <c r="M959" s="16"/>
      <c r="N959" s="6"/>
      <c r="O959" s="6"/>
      <c r="P959" s="6"/>
    </row>
    <row r="960" spans="1:16">
      <c r="A960" s="35"/>
      <c r="B960" s="36"/>
      <c r="C960" s="39"/>
      <c r="D960" s="6"/>
      <c r="E960" s="16"/>
      <c r="F960" s="7"/>
      <c r="G960" s="7"/>
      <c r="H960" s="7"/>
      <c r="I960" s="16"/>
      <c r="J960" s="16"/>
      <c r="K960" s="16"/>
      <c r="L960" s="16"/>
      <c r="M960" s="16"/>
      <c r="N960" s="6"/>
      <c r="O960" s="6"/>
      <c r="P960" s="6"/>
    </row>
    <row r="961" spans="1:16">
      <c r="A961" s="35"/>
      <c r="B961" s="36"/>
      <c r="C961" s="39"/>
      <c r="D961" s="6"/>
      <c r="E961" s="16"/>
      <c r="F961" s="7"/>
      <c r="G961" s="7"/>
      <c r="H961" s="7"/>
      <c r="I961" s="16"/>
      <c r="J961" s="16"/>
      <c r="K961" s="16"/>
      <c r="L961" s="16"/>
      <c r="M961" s="16"/>
      <c r="N961" s="6"/>
      <c r="O961" s="6"/>
      <c r="P961" s="6"/>
    </row>
    <row r="962" spans="1:16">
      <c r="A962" s="35"/>
      <c r="B962" s="36"/>
      <c r="C962" s="39"/>
      <c r="D962" s="6"/>
      <c r="E962" s="16"/>
      <c r="F962" s="7"/>
      <c r="G962" s="7"/>
      <c r="H962" s="7"/>
      <c r="I962" s="16"/>
      <c r="J962" s="16"/>
      <c r="K962" s="16"/>
      <c r="L962" s="16"/>
      <c r="M962" s="16"/>
      <c r="N962" s="6"/>
      <c r="O962" s="6"/>
      <c r="P962" s="6"/>
    </row>
    <row r="963" spans="1:16">
      <c r="A963" s="35"/>
      <c r="B963" s="36"/>
      <c r="C963" s="39"/>
      <c r="D963" s="6"/>
      <c r="E963" s="16"/>
      <c r="F963" s="7"/>
      <c r="G963" s="7"/>
      <c r="H963" s="7"/>
      <c r="I963" s="16"/>
      <c r="J963" s="16"/>
      <c r="K963" s="16"/>
      <c r="L963" s="16"/>
      <c r="M963" s="16"/>
      <c r="N963" s="6"/>
      <c r="O963" s="6"/>
      <c r="P963" s="6"/>
    </row>
    <row r="964" spans="1:16">
      <c r="A964" s="35"/>
      <c r="B964" s="36"/>
      <c r="C964" s="39"/>
      <c r="D964" s="6"/>
      <c r="E964" s="16"/>
      <c r="F964" s="7"/>
      <c r="G964" s="7"/>
      <c r="H964" s="7"/>
      <c r="I964" s="16"/>
      <c r="J964" s="16"/>
      <c r="K964" s="16"/>
      <c r="L964" s="16"/>
      <c r="M964" s="16"/>
      <c r="N964" s="6"/>
      <c r="O964" s="6"/>
      <c r="P964" s="6"/>
    </row>
    <row r="965" spans="1:16">
      <c r="A965" s="35"/>
      <c r="B965" s="36"/>
      <c r="C965" s="39"/>
      <c r="D965" s="6"/>
      <c r="E965" s="16"/>
      <c r="F965" s="7"/>
      <c r="G965" s="7"/>
      <c r="H965" s="7"/>
      <c r="I965" s="16"/>
      <c r="J965" s="16"/>
      <c r="K965" s="16"/>
      <c r="L965" s="16"/>
      <c r="M965" s="16"/>
      <c r="N965" s="6"/>
      <c r="O965" s="6"/>
      <c r="P965" s="6"/>
    </row>
    <row r="966" spans="1:16">
      <c r="A966" s="35"/>
      <c r="B966" s="36"/>
      <c r="C966" s="39"/>
      <c r="D966" s="6"/>
      <c r="E966" s="16"/>
      <c r="F966" s="7"/>
      <c r="G966" s="7"/>
      <c r="H966" s="7"/>
      <c r="I966" s="16"/>
      <c r="J966" s="16"/>
      <c r="K966" s="16"/>
      <c r="L966" s="16"/>
      <c r="M966" s="16"/>
      <c r="N966" s="6"/>
      <c r="O966" s="6"/>
      <c r="P966" s="6"/>
    </row>
    <row r="967" spans="1:16">
      <c r="A967" s="35"/>
      <c r="B967" s="36"/>
      <c r="C967" s="39"/>
      <c r="D967" s="6"/>
      <c r="E967" s="16"/>
      <c r="F967" s="7"/>
      <c r="G967" s="7"/>
      <c r="H967" s="7"/>
      <c r="I967" s="16"/>
      <c r="J967" s="16"/>
      <c r="K967" s="16"/>
      <c r="L967" s="16"/>
      <c r="M967" s="16"/>
      <c r="N967" s="6"/>
      <c r="O967" s="6"/>
      <c r="P967" s="6"/>
    </row>
    <row r="968" spans="1:16">
      <c r="A968" s="35"/>
      <c r="B968" s="36"/>
      <c r="C968" s="39"/>
      <c r="D968" s="6"/>
      <c r="E968" s="16"/>
      <c r="F968" s="7"/>
      <c r="G968" s="7"/>
      <c r="H968" s="7"/>
      <c r="I968" s="16"/>
      <c r="J968" s="16"/>
      <c r="K968" s="16"/>
      <c r="L968" s="16"/>
      <c r="M968" s="16"/>
      <c r="N968" s="6"/>
      <c r="O968" s="6"/>
      <c r="P968" s="6"/>
    </row>
    <row r="969" spans="1:16">
      <c r="A969" s="35"/>
      <c r="B969" s="36"/>
      <c r="C969" s="39"/>
      <c r="D969" s="6"/>
      <c r="E969" s="16"/>
      <c r="F969" s="7"/>
      <c r="G969" s="7"/>
      <c r="H969" s="7"/>
      <c r="I969" s="16"/>
      <c r="J969" s="16"/>
      <c r="K969" s="16"/>
      <c r="L969" s="16"/>
      <c r="M969" s="16"/>
      <c r="N969" s="6"/>
      <c r="O969" s="6"/>
      <c r="P969" s="6"/>
    </row>
    <row r="970" spans="1:16">
      <c r="A970" s="35"/>
      <c r="B970" s="36"/>
      <c r="C970" s="39"/>
      <c r="D970" s="6"/>
      <c r="E970" s="16"/>
      <c r="F970" s="7"/>
      <c r="G970" s="7"/>
      <c r="H970" s="7"/>
      <c r="I970" s="16"/>
      <c r="J970" s="16"/>
      <c r="K970" s="16"/>
      <c r="L970" s="16"/>
      <c r="M970" s="16"/>
      <c r="N970" s="6"/>
      <c r="O970" s="6"/>
      <c r="P970" s="6"/>
    </row>
    <row r="971" spans="1:16">
      <c r="A971" s="35"/>
      <c r="B971" s="36"/>
      <c r="C971" s="39"/>
      <c r="D971" s="6"/>
      <c r="E971" s="16"/>
      <c r="F971" s="7"/>
      <c r="G971" s="7"/>
      <c r="H971" s="7"/>
      <c r="I971" s="16"/>
      <c r="J971" s="16"/>
      <c r="K971" s="16"/>
      <c r="L971" s="16"/>
      <c r="M971" s="16"/>
      <c r="N971" s="6"/>
      <c r="O971" s="6"/>
      <c r="P971" s="6"/>
    </row>
    <row r="972" spans="1:16">
      <c r="A972" s="35"/>
      <c r="B972" s="36"/>
      <c r="C972" s="39"/>
      <c r="D972" s="6"/>
      <c r="E972" s="16"/>
      <c r="F972" s="7"/>
      <c r="G972" s="7"/>
      <c r="H972" s="7"/>
      <c r="I972" s="16"/>
      <c r="J972" s="16"/>
      <c r="K972" s="16"/>
      <c r="L972" s="16"/>
      <c r="M972" s="16"/>
      <c r="N972" s="6"/>
      <c r="O972" s="6"/>
      <c r="P972" s="6"/>
    </row>
    <row r="973" spans="1:16">
      <c r="A973" s="35"/>
      <c r="B973" s="36"/>
      <c r="C973" s="39"/>
      <c r="D973" s="6"/>
      <c r="E973" s="16"/>
      <c r="F973" s="7"/>
      <c r="G973" s="7"/>
      <c r="H973" s="7"/>
      <c r="I973" s="16"/>
      <c r="J973" s="16"/>
      <c r="K973" s="16"/>
      <c r="L973" s="16"/>
      <c r="M973" s="16"/>
      <c r="N973" s="6"/>
      <c r="O973" s="6"/>
      <c r="P973" s="6"/>
    </row>
    <row r="974" spans="1:16">
      <c r="A974" s="35"/>
      <c r="B974" s="36"/>
      <c r="C974" s="39"/>
      <c r="D974" s="6"/>
      <c r="E974" s="16"/>
      <c r="F974" s="7"/>
      <c r="G974" s="7"/>
      <c r="H974" s="7"/>
      <c r="I974" s="16"/>
      <c r="J974" s="16"/>
      <c r="K974" s="16"/>
      <c r="L974" s="16"/>
      <c r="M974" s="16"/>
      <c r="N974" s="6"/>
      <c r="O974" s="6"/>
      <c r="P974" s="6"/>
    </row>
    <row r="975" spans="1:16">
      <c r="A975" s="35"/>
      <c r="B975" s="36"/>
      <c r="C975" s="39"/>
      <c r="D975" s="6"/>
      <c r="E975" s="16"/>
      <c r="F975" s="7"/>
      <c r="G975" s="7"/>
      <c r="H975" s="7"/>
      <c r="I975" s="16"/>
      <c r="J975" s="16"/>
      <c r="K975" s="16"/>
      <c r="L975" s="16"/>
      <c r="M975" s="16"/>
      <c r="N975" s="6"/>
      <c r="O975" s="6"/>
      <c r="P975" s="6"/>
    </row>
    <row r="976" spans="1:16">
      <c r="A976" s="35"/>
      <c r="B976" s="36"/>
      <c r="C976" s="39"/>
      <c r="D976" s="6"/>
      <c r="E976" s="16"/>
      <c r="F976" s="7"/>
      <c r="G976" s="7"/>
      <c r="H976" s="7"/>
      <c r="I976" s="16"/>
      <c r="J976" s="16"/>
      <c r="K976" s="16"/>
      <c r="L976" s="16"/>
      <c r="M976" s="16"/>
      <c r="N976" s="6"/>
      <c r="O976" s="6"/>
      <c r="P976" s="6"/>
    </row>
    <row r="977" spans="1:16">
      <c r="A977" s="35"/>
      <c r="B977" s="36"/>
      <c r="C977" s="39"/>
      <c r="D977" s="6"/>
      <c r="E977" s="16"/>
      <c r="F977" s="7"/>
      <c r="G977" s="7"/>
      <c r="H977" s="7"/>
      <c r="I977" s="16"/>
      <c r="J977" s="16"/>
      <c r="K977" s="16"/>
      <c r="L977" s="16"/>
      <c r="M977" s="16"/>
      <c r="N977" s="6"/>
      <c r="O977" s="6"/>
      <c r="P977" s="6"/>
    </row>
    <row r="978" spans="1:16">
      <c r="A978" s="35"/>
      <c r="B978" s="36"/>
      <c r="C978" s="39"/>
      <c r="D978" s="6"/>
      <c r="E978" s="16"/>
      <c r="F978" s="7"/>
      <c r="G978" s="7"/>
      <c r="H978" s="7"/>
      <c r="I978" s="16"/>
      <c r="J978" s="16"/>
      <c r="K978" s="16"/>
      <c r="L978" s="16"/>
      <c r="M978" s="16"/>
      <c r="N978" s="6"/>
      <c r="O978" s="6"/>
      <c r="P978" s="6"/>
    </row>
    <row r="979" spans="1:16">
      <c r="A979" s="35"/>
      <c r="B979" s="36"/>
      <c r="C979" s="39"/>
      <c r="D979" s="6"/>
      <c r="E979" s="16"/>
      <c r="F979" s="7"/>
      <c r="G979" s="7"/>
      <c r="H979" s="7"/>
      <c r="I979" s="16"/>
      <c r="J979" s="16"/>
      <c r="K979" s="16"/>
      <c r="L979" s="16"/>
      <c r="M979" s="16"/>
      <c r="N979" s="6"/>
      <c r="O979" s="6"/>
      <c r="P979" s="6"/>
    </row>
    <row r="980" spans="1:16">
      <c r="A980" s="35"/>
      <c r="B980" s="36"/>
      <c r="C980" s="39"/>
      <c r="D980" s="6"/>
      <c r="E980" s="16"/>
      <c r="F980" s="7"/>
      <c r="G980" s="7"/>
      <c r="H980" s="7"/>
      <c r="I980" s="16"/>
      <c r="J980" s="16"/>
      <c r="K980" s="16"/>
      <c r="L980" s="16"/>
      <c r="M980" s="16"/>
      <c r="N980" s="6"/>
      <c r="O980" s="6"/>
      <c r="P980" s="6"/>
    </row>
    <row r="981" spans="1:16">
      <c r="A981" s="35"/>
      <c r="B981" s="36"/>
      <c r="C981" s="39"/>
      <c r="D981" s="6"/>
      <c r="E981" s="16"/>
      <c r="F981" s="7"/>
      <c r="G981" s="7"/>
      <c r="H981" s="7"/>
      <c r="I981" s="16"/>
      <c r="J981" s="16"/>
      <c r="K981" s="16"/>
      <c r="L981" s="16"/>
      <c r="M981" s="16"/>
      <c r="N981" s="6"/>
      <c r="O981" s="6"/>
      <c r="P981" s="6"/>
    </row>
    <row r="982" spans="1:16">
      <c r="A982" s="35"/>
      <c r="B982" s="36"/>
      <c r="C982" s="39"/>
      <c r="D982" s="6"/>
      <c r="E982" s="16"/>
      <c r="F982" s="7"/>
      <c r="G982" s="7"/>
      <c r="H982" s="7"/>
      <c r="I982" s="16"/>
      <c r="J982" s="16"/>
      <c r="K982" s="16"/>
      <c r="L982" s="16"/>
      <c r="M982" s="16"/>
      <c r="N982" s="6"/>
      <c r="O982" s="6"/>
      <c r="P982" s="6"/>
    </row>
    <row r="983" spans="1:16">
      <c r="A983" s="35"/>
      <c r="B983" s="36"/>
      <c r="C983" s="39"/>
      <c r="D983" s="6"/>
      <c r="E983" s="16"/>
      <c r="F983" s="7"/>
      <c r="G983" s="7"/>
      <c r="H983" s="7"/>
      <c r="I983" s="16"/>
      <c r="J983" s="16"/>
      <c r="K983" s="16"/>
      <c r="L983" s="16"/>
      <c r="M983" s="16"/>
      <c r="N983" s="6"/>
      <c r="O983" s="6"/>
      <c r="P983" s="6"/>
    </row>
    <row r="984" spans="1:16">
      <c r="A984" s="35"/>
      <c r="B984" s="36"/>
      <c r="C984" s="39"/>
      <c r="D984" s="6"/>
      <c r="E984" s="16"/>
      <c r="F984" s="7"/>
      <c r="G984" s="7"/>
      <c r="H984" s="7"/>
      <c r="I984" s="16"/>
      <c r="J984" s="16"/>
      <c r="K984" s="16"/>
      <c r="L984" s="16"/>
      <c r="M984" s="16"/>
      <c r="N984" s="6"/>
      <c r="O984" s="6"/>
      <c r="P984" s="6"/>
    </row>
    <row r="985" spans="1:16">
      <c r="A985" s="35"/>
      <c r="B985" s="36"/>
      <c r="C985" s="39"/>
      <c r="D985" s="6"/>
      <c r="E985" s="16"/>
      <c r="F985" s="7"/>
      <c r="G985" s="7"/>
      <c r="H985" s="7"/>
      <c r="I985" s="16"/>
      <c r="J985" s="16"/>
      <c r="K985" s="16"/>
      <c r="L985" s="16"/>
      <c r="M985" s="16"/>
      <c r="N985" s="6"/>
      <c r="O985" s="6"/>
      <c r="P985" s="6"/>
    </row>
    <row r="986" spans="1:16">
      <c r="A986" s="35"/>
      <c r="B986" s="36"/>
      <c r="C986" s="39"/>
      <c r="D986" s="6"/>
      <c r="E986" s="16"/>
      <c r="F986" s="7"/>
      <c r="G986" s="7"/>
      <c r="H986" s="7"/>
      <c r="I986" s="16"/>
      <c r="J986" s="16"/>
      <c r="K986" s="16"/>
      <c r="L986" s="16"/>
      <c r="M986" s="16"/>
      <c r="N986" s="6"/>
      <c r="O986" s="6"/>
      <c r="P986" s="6"/>
    </row>
    <row r="987" spans="1:16">
      <c r="A987" s="35"/>
      <c r="B987" s="36"/>
      <c r="C987" s="39"/>
      <c r="D987" s="6"/>
      <c r="E987" s="16"/>
      <c r="F987" s="7"/>
      <c r="G987" s="7"/>
      <c r="H987" s="7"/>
      <c r="I987" s="16"/>
      <c r="J987" s="16"/>
      <c r="K987" s="16"/>
      <c r="L987" s="16"/>
      <c r="M987" s="16"/>
      <c r="N987" s="6"/>
      <c r="O987" s="6"/>
      <c r="P987" s="6"/>
    </row>
    <row r="988" spans="1:16">
      <c r="A988" s="35"/>
      <c r="B988" s="36"/>
      <c r="C988" s="39"/>
      <c r="D988" s="6"/>
      <c r="E988" s="16"/>
      <c r="F988" s="7"/>
      <c r="G988" s="7"/>
      <c r="H988" s="7"/>
      <c r="I988" s="16"/>
      <c r="J988" s="16"/>
      <c r="K988" s="16"/>
      <c r="L988" s="16"/>
      <c r="M988" s="16"/>
      <c r="N988" s="6"/>
      <c r="O988" s="6"/>
      <c r="P988" s="6"/>
    </row>
    <row r="989" spans="1:16">
      <c r="A989" s="35"/>
      <c r="B989" s="36"/>
      <c r="C989" s="39"/>
      <c r="D989" s="6"/>
      <c r="E989" s="16"/>
      <c r="F989" s="7"/>
      <c r="G989" s="7"/>
      <c r="H989" s="7"/>
      <c r="I989" s="16"/>
      <c r="J989" s="16"/>
      <c r="K989" s="16"/>
      <c r="L989" s="16"/>
      <c r="M989" s="16"/>
      <c r="N989" s="6"/>
      <c r="O989" s="6"/>
      <c r="P989" s="6"/>
    </row>
    <row r="990" spans="1:16">
      <c r="A990" s="35"/>
      <c r="B990" s="36"/>
      <c r="C990" s="39"/>
      <c r="D990" s="6"/>
      <c r="E990" s="16"/>
      <c r="F990" s="7"/>
      <c r="G990" s="7"/>
      <c r="H990" s="7"/>
      <c r="I990" s="16"/>
      <c r="J990" s="16"/>
      <c r="K990" s="16"/>
      <c r="L990" s="16"/>
      <c r="M990" s="16"/>
      <c r="N990" s="6"/>
      <c r="O990" s="6"/>
      <c r="P990" s="6"/>
    </row>
    <row r="991" spans="1:16">
      <c r="A991" s="35"/>
      <c r="B991" s="36"/>
      <c r="C991" s="39"/>
      <c r="D991" s="6"/>
      <c r="E991" s="16"/>
      <c r="F991" s="7"/>
      <c r="G991" s="7"/>
      <c r="H991" s="7"/>
      <c r="I991" s="16"/>
      <c r="J991" s="16"/>
      <c r="K991" s="16"/>
      <c r="L991" s="16"/>
      <c r="M991" s="16"/>
      <c r="N991" s="6"/>
      <c r="O991" s="6"/>
      <c r="P991" s="6"/>
    </row>
    <row r="992" spans="1:16">
      <c r="A992" s="35"/>
      <c r="B992" s="36"/>
      <c r="C992" s="39"/>
      <c r="D992" s="6"/>
      <c r="E992" s="16"/>
      <c r="F992" s="7"/>
      <c r="G992" s="7"/>
      <c r="H992" s="7"/>
      <c r="I992" s="16"/>
      <c r="J992" s="16"/>
      <c r="K992" s="16"/>
      <c r="L992" s="16"/>
      <c r="M992" s="16"/>
      <c r="N992" s="6"/>
      <c r="O992" s="6"/>
      <c r="P992" s="6"/>
    </row>
    <row r="993" spans="1:16">
      <c r="A993" s="35"/>
      <c r="B993" s="36"/>
      <c r="C993" s="39"/>
      <c r="D993" s="6"/>
      <c r="E993" s="16"/>
      <c r="F993" s="7"/>
      <c r="G993" s="7"/>
      <c r="H993" s="7"/>
      <c r="I993" s="16"/>
      <c r="J993" s="16"/>
      <c r="K993" s="16"/>
      <c r="L993" s="16"/>
      <c r="M993" s="16"/>
      <c r="N993" s="6"/>
      <c r="O993" s="6"/>
      <c r="P993" s="6"/>
    </row>
    <row r="994" spans="1:16">
      <c r="A994" s="35"/>
      <c r="B994" s="36"/>
      <c r="C994" s="39"/>
      <c r="D994" s="6"/>
      <c r="E994" s="16"/>
      <c r="F994" s="7"/>
      <c r="G994" s="7"/>
      <c r="H994" s="7"/>
      <c r="I994" s="16"/>
      <c r="J994" s="16"/>
      <c r="K994" s="16"/>
      <c r="L994" s="16"/>
      <c r="M994" s="16"/>
      <c r="N994" s="6"/>
      <c r="O994" s="6"/>
      <c r="P994" s="6"/>
    </row>
    <row r="995" spans="1:16">
      <c r="A995" s="35"/>
      <c r="B995" s="36"/>
      <c r="C995" s="39"/>
      <c r="D995" s="6"/>
      <c r="E995" s="16"/>
      <c r="F995" s="7"/>
      <c r="G995" s="7"/>
      <c r="H995" s="7"/>
      <c r="I995" s="16"/>
      <c r="J995" s="16"/>
      <c r="K995" s="16"/>
      <c r="L995" s="16"/>
      <c r="M995" s="16"/>
      <c r="N995" s="6"/>
      <c r="O995" s="6"/>
      <c r="P995" s="6"/>
    </row>
    <row r="996" spans="1:16">
      <c r="A996" s="35"/>
      <c r="B996" s="36"/>
      <c r="C996" s="39"/>
      <c r="D996" s="6"/>
      <c r="E996" s="16"/>
      <c r="F996" s="7"/>
      <c r="G996" s="7"/>
      <c r="H996" s="7"/>
      <c r="I996" s="16"/>
      <c r="J996" s="16"/>
      <c r="K996" s="16"/>
      <c r="L996" s="16"/>
      <c r="M996" s="16"/>
      <c r="N996" s="6"/>
      <c r="O996" s="6"/>
      <c r="P996" s="6"/>
    </row>
    <row r="997" spans="1:16">
      <c r="A997" s="35"/>
      <c r="B997" s="36"/>
      <c r="C997" s="39"/>
      <c r="D997" s="6"/>
      <c r="E997" s="16"/>
      <c r="F997" s="7"/>
      <c r="G997" s="7"/>
      <c r="H997" s="7"/>
      <c r="I997" s="16"/>
      <c r="J997" s="16"/>
      <c r="K997" s="16"/>
      <c r="L997" s="16"/>
      <c r="M997" s="16"/>
      <c r="N997" s="6"/>
      <c r="O997" s="6"/>
      <c r="P997" s="6"/>
    </row>
    <row r="998" spans="1:16">
      <c r="A998" s="35"/>
      <c r="B998" s="36"/>
      <c r="C998" s="39"/>
      <c r="D998" s="6"/>
      <c r="E998" s="16"/>
      <c r="F998" s="7"/>
      <c r="G998" s="7"/>
      <c r="H998" s="7"/>
      <c r="I998" s="16"/>
      <c r="J998" s="16"/>
      <c r="K998" s="16"/>
      <c r="L998" s="16"/>
      <c r="M998" s="16"/>
      <c r="N998" s="6"/>
      <c r="O998" s="6"/>
      <c r="P998" s="6"/>
    </row>
    <row r="999" spans="1:16">
      <c r="A999" s="35"/>
      <c r="B999" s="36"/>
      <c r="C999" s="39"/>
      <c r="D999" s="6"/>
      <c r="E999" s="16"/>
      <c r="F999" s="7"/>
      <c r="G999" s="7"/>
      <c r="H999" s="7"/>
      <c r="I999" s="16"/>
      <c r="J999" s="16"/>
      <c r="K999" s="16"/>
      <c r="L999" s="16"/>
      <c r="M999" s="16"/>
      <c r="N999" s="6"/>
      <c r="O999" s="6"/>
      <c r="P999" s="6"/>
    </row>
    <row r="1000" spans="1:16">
      <c r="A1000" s="35"/>
      <c r="B1000" s="36"/>
      <c r="C1000" s="39"/>
      <c r="D1000" s="6"/>
      <c r="E1000" s="16"/>
      <c r="F1000" s="7"/>
      <c r="G1000" s="7"/>
      <c r="H1000" s="7"/>
      <c r="I1000" s="16"/>
      <c r="J1000" s="16"/>
      <c r="K1000" s="16"/>
      <c r="L1000" s="16"/>
      <c r="M1000" s="16"/>
      <c r="N1000" s="6"/>
      <c r="O1000" s="6"/>
      <c r="P1000" s="6"/>
    </row>
    <row r="1001" spans="1:16">
      <c r="A1001" s="35"/>
      <c r="B1001" s="36"/>
      <c r="C1001" s="39"/>
      <c r="D1001" s="6"/>
      <c r="E1001" s="16"/>
      <c r="F1001" s="7"/>
      <c r="G1001" s="7"/>
      <c r="H1001" s="7"/>
      <c r="I1001" s="16"/>
      <c r="J1001" s="16"/>
      <c r="K1001" s="16"/>
      <c r="L1001" s="16"/>
      <c r="M1001" s="16"/>
      <c r="N1001" s="6"/>
      <c r="O1001" s="6"/>
      <c r="P1001" s="6"/>
    </row>
    <row r="1002" spans="1:16">
      <c r="A1002" s="35"/>
      <c r="B1002" s="36"/>
      <c r="C1002" s="39"/>
      <c r="D1002" s="6"/>
      <c r="E1002" s="16"/>
      <c r="F1002" s="7"/>
      <c r="G1002" s="7"/>
      <c r="H1002" s="7"/>
      <c r="I1002" s="16"/>
      <c r="J1002" s="16"/>
      <c r="K1002" s="16"/>
      <c r="L1002" s="16"/>
      <c r="M1002" s="16"/>
      <c r="N1002" s="6"/>
      <c r="O1002" s="6"/>
      <c r="P1002" s="6"/>
    </row>
    <row r="1003" spans="1:16">
      <c r="A1003" s="35"/>
      <c r="B1003" s="36"/>
      <c r="C1003" s="39"/>
      <c r="D1003" s="6"/>
      <c r="E1003" s="16"/>
      <c r="F1003" s="7"/>
      <c r="G1003" s="7"/>
      <c r="H1003" s="7"/>
      <c r="I1003" s="16"/>
      <c r="J1003" s="16"/>
      <c r="K1003" s="16"/>
      <c r="L1003" s="16"/>
      <c r="M1003" s="16"/>
      <c r="N1003" s="6"/>
      <c r="O1003" s="6"/>
      <c r="P1003" s="6"/>
    </row>
    <row r="1004" spans="1:16">
      <c r="A1004" s="35"/>
      <c r="B1004" s="36"/>
      <c r="C1004" s="39"/>
      <c r="D1004" s="6"/>
      <c r="E1004" s="16"/>
      <c r="F1004" s="7"/>
      <c r="G1004" s="7"/>
      <c r="H1004" s="7"/>
      <c r="I1004" s="16"/>
      <c r="J1004" s="16"/>
      <c r="K1004" s="16"/>
      <c r="L1004" s="16"/>
      <c r="M1004" s="16"/>
      <c r="N1004" s="6"/>
      <c r="O1004" s="6"/>
      <c r="P1004" s="6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D1000"/>
  <sheetViews>
    <sheetView workbookViewId="0"/>
  </sheetViews>
  <sheetFormatPr baseColWidth="10" defaultColWidth="14.44140625" defaultRowHeight="15" customHeight="1"/>
  <cols>
    <col min="3" max="3" width="15.109375" customWidth="1"/>
    <col min="4" max="4" width="15.5546875" customWidth="1"/>
  </cols>
  <sheetData>
    <row r="1" spans="1:4">
      <c r="A1" s="10" t="s">
        <v>15</v>
      </c>
      <c r="B1" s="9" t="s">
        <v>16</v>
      </c>
      <c r="C1" s="31" t="s">
        <v>368</v>
      </c>
      <c r="D1" s="31" t="s">
        <v>370</v>
      </c>
    </row>
    <row r="2" spans="1:4">
      <c r="A2" s="12">
        <v>1</v>
      </c>
      <c r="B2" s="9" t="s">
        <v>18</v>
      </c>
      <c r="C2" s="31"/>
      <c r="D2" s="32"/>
    </row>
    <row r="3" spans="1:4">
      <c r="A3" s="12">
        <v>2</v>
      </c>
      <c r="B3" s="9" t="s">
        <v>21</v>
      </c>
      <c r="C3" s="31"/>
      <c r="D3" s="32"/>
    </row>
    <row r="4" spans="1:4">
      <c r="A4" s="12">
        <v>3</v>
      </c>
      <c r="B4" s="9" t="s">
        <v>23</v>
      </c>
      <c r="C4" s="31"/>
      <c r="D4" s="32"/>
    </row>
    <row r="5" spans="1:4">
      <c r="A5" s="12">
        <v>4</v>
      </c>
      <c r="B5" s="9" t="s">
        <v>26</v>
      </c>
      <c r="C5" s="31"/>
      <c r="D5" s="32"/>
    </row>
    <row r="6" spans="1:4">
      <c r="A6" s="12">
        <v>5</v>
      </c>
      <c r="B6" s="9" t="s">
        <v>28</v>
      </c>
      <c r="C6" s="31"/>
      <c r="D6" s="32"/>
    </row>
    <row r="7" spans="1:4">
      <c r="A7" s="12">
        <v>6</v>
      </c>
      <c r="B7" s="9" t="s">
        <v>30</v>
      </c>
      <c r="C7" s="31"/>
      <c r="D7" s="32"/>
    </row>
    <row r="8" spans="1:4">
      <c r="A8" s="12">
        <v>7</v>
      </c>
      <c r="B8" s="9" t="s">
        <v>32</v>
      </c>
      <c r="C8" s="31"/>
      <c r="D8" s="32"/>
    </row>
    <row r="9" spans="1:4">
      <c r="A9" s="12">
        <v>8</v>
      </c>
      <c r="B9" s="9" t="s">
        <v>34</v>
      </c>
      <c r="C9" s="31"/>
      <c r="D9" s="32"/>
    </row>
    <row r="10" spans="1:4">
      <c r="A10" s="12">
        <v>9</v>
      </c>
      <c r="B10" s="9" t="s">
        <v>36</v>
      </c>
      <c r="C10" s="31"/>
      <c r="D10" s="32"/>
    </row>
    <row r="11" spans="1:4">
      <c r="A11" s="10">
        <v>10</v>
      </c>
      <c r="B11" s="9" t="s">
        <v>38</v>
      </c>
      <c r="C11" s="31"/>
      <c r="D11" s="31"/>
    </row>
    <row r="12" spans="1:4">
      <c r="A12" s="10">
        <v>11</v>
      </c>
      <c r="B12" s="9" t="s">
        <v>40</v>
      </c>
      <c r="C12" s="31"/>
      <c r="D12" s="31"/>
    </row>
    <row r="13" spans="1:4">
      <c r="A13" s="35"/>
      <c r="B13" s="36"/>
      <c r="C13" s="6"/>
      <c r="D13" s="6"/>
    </row>
    <row r="14" spans="1:4">
      <c r="A14" s="35"/>
      <c r="B14" s="36"/>
      <c r="C14" s="6"/>
      <c r="D14" s="6"/>
    </row>
    <row r="15" spans="1:4">
      <c r="A15" s="35"/>
      <c r="B15" s="36"/>
      <c r="C15" s="6"/>
      <c r="D15" s="6"/>
    </row>
    <row r="16" spans="1:4">
      <c r="A16" s="35"/>
      <c r="B16" s="36"/>
      <c r="C16" s="6"/>
      <c r="D16" s="6"/>
    </row>
    <row r="17" spans="1:4">
      <c r="A17" s="35"/>
      <c r="B17" s="36"/>
      <c r="C17" s="6"/>
      <c r="D17" s="6"/>
    </row>
    <row r="18" spans="1:4">
      <c r="A18" s="35"/>
      <c r="B18" s="36"/>
      <c r="C18" s="6"/>
      <c r="D18" s="6"/>
    </row>
    <row r="19" spans="1:4">
      <c r="A19" s="35"/>
      <c r="B19" s="36"/>
      <c r="C19" s="6"/>
      <c r="D19" s="6"/>
    </row>
    <row r="20" spans="1:4">
      <c r="A20" s="35"/>
      <c r="B20" s="36"/>
      <c r="C20" s="6"/>
      <c r="D20" s="6"/>
    </row>
    <row r="21" spans="1:4">
      <c r="A21" s="35"/>
      <c r="B21" s="36"/>
      <c r="C21" s="6"/>
      <c r="D21" s="6"/>
    </row>
    <row r="22" spans="1:4">
      <c r="A22" s="35"/>
      <c r="B22" s="36"/>
      <c r="C22" s="6"/>
      <c r="D22" s="6"/>
    </row>
    <row r="23" spans="1:4">
      <c r="A23" s="35"/>
      <c r="B23" s="36"/>
      <c r="C23" s="6"/>
      <c r="D23" s="6"/>
    </row>
    <row r="24" spans="1:4">
      <c r="A24" s="35"/>
      <c r="B24" s="36"/>
      <c r="C24" s="6"/>
      <c r="D24" s="6"/>
    </row>
    <row r="25" spans="1:4">
      <c r="A25" s="35"/>
      <c r="B25" s="36"/>
      <c r="C25" s="6"/>
      <c r="D25" s="6"/>
    </row>
    <row r="26" spans="1:4">
      <c r="A26" s="35"/>
      <c r="B26" s="36"/>
      <c r="C26" s="6"/>
      <c r="D26" s="6"/>
    </row>
    <row r="27" spans="1:4">
      <c r="A27" s="35"/>
      <c r="B27" s="36"/>
      <c r="C27" s="6"/>
      <c r="D27" s="6"/>
    </row>
    <row r="28" spans="1:4">
      <c r="A28" s="35"/>
      <c r="B28" s="36"/>
      <c r="C28" s="6"/>
      <c r="D28" s="6"/>
    </row>
    <row r="29" spans="1:4">
      <c r="A29" s="35"/>
      <c r="B29" s="36"/>
      <c r="C29" s="6"/>
      <c r="D29" s="6"/>
    </row>
    <row r="30" spans="1:4">
      <c r="A30" s="35"/>
      <c r="B30" s="36"/>
      <c r="C30" s="6"/>
      <c r="D30" s="6"/>
    </row>
    <row r="31" spans="1:4">
      <c r="A31" s="35"/>
      <c r="B31" s="36"/>
      <c r="C31" s="6"/>
      <c r="D31" s="6"/>
    </row>
    <row r="32" spans="1:4">
      <c r="A32" s="35"/>
      <c r="B32" s="36"/>
      <c r="C32" s="6"/>
      <c r="D32" s="6"/>
    </row>
    <row r="33" spans="1:4">
      <c r="A33" s="35"/>
      <c r="B33" s="36"/>
      <c r="C33" s="6"/>
      <c r="D33" s="6"/>
    </row>
    <row r="34" spans="1:4">
      <c r="A34" s="35"/>
      <c r="B34" s="36"/>
      <c r="C34" s="6"/>
      <c r="D34" s="6"/>
    </row>
    <row r="35" spans="1:4">
      <c r="A35" s="35"/>
      <c r="B35" s="36"/>
      <c r="C35" s="6"/>
      <c r="D35" s="6"/>
    </row>
    <row r="36" spans="1:4">
      <c r="A36" s="35"/>
      <c r="B36" s="36"/>
      <c r="C36" s="6"/>
      <c r="D36" s="6"/>
    </row>
    <row r="37" spans="1:4">
      <c r="A37" s="35"/>
      <c r="B37" s="36"/>
      <c r="C37" s="6"/>
      <c r="D37" s="6"/>
    </row>
    <row r="38" spans="1:4">
      <c r="A38" s="35"/>
      <c r="B38" s="36"/>
      <c r="C38" s="6"/>
      <c r="D38" s="6"/>
    </row>
    <row r="39" spans="1:4">
      <c r="A39" s="35"/>
      <c r="B39" s="36"/>
      <c r="C39" s="6"/>
      <c r="D39" s="6"/>
    </row>
    <row r="40" spans="1:4">
      <c r="A40" s="35"/>
      <c r="B40" s="36"/>
      <c r="C40" s="6"/>
      <c r="D40" s="6"/>
    </row>
    <row r="41" spans="1:4">
      <c r="A41" s="35"/>
      <c r="B41" s="36"/>
      <c r="C41" s="6"/>
      <c r="D41" s="6"/>
    </row>
    <row r="42" spans="1:4">
      <c r="A42" s="35"/>
      <c r="B42" s="36"/>
      <c r="C42" s="6"/>
      <c r="D42" s="6"/>
    </row>
    <row r="43" spans="1:4">
      <c r="A43" s="35"/>
      <c r="B43" s="36"/>
      <c r="C43" s="6"/>
      <c r="D43" s="6"/>
    </row>
    <row r="44" spans="1:4">
      <c r="A44" s="35"/>
      <c r="B44" s="36"/>
      <c r="C44" s="6"/>
      <c r="D44" s="6"/>
    </row>
    <row r="45" spans="1:4">
      <c r="A45" s="35"/>
      <c r="B45" s="36"/>
      <c r="C45" s="6"/>
      <c r="D45" s="6"/>
    </row>
    <row r="46" spans="1:4">
      <c r="A46" s="35"/>
      <c r="B46" s="36"/>
      <c r="C46" s="6"/>
      <c r="D46" s="6"/>
    </row>
    <row r="47" spans="1:4">
      <c r="A47" s="35"/>
      <c r="B47" s="36"/>
      <c r="C47" s="6"/>
      <c r="D47" s="6"/>
    </row>
    <row r="48" spans="1:4">
      <c r="A48" s="35"/>
      <c r="B48" s="36"/>
      <c r="C48" s="6"/>
      <c r="D48" s="6"/>
    </row>
    <row r="49" spans="1:4">
      <c r="A49" s="35"/>
      <c r="B49" s="36"/>
      <c r="C49" s="6"/>
      <c r="D49" s="6"/>
    </row>
    <row r="50" spans="1:4">
      <c r="A50" s="35"/>
      <c r="B50" s="36"/>
      <c r="C50" s="6"/>
      <c r="D50" s="6"/>
    </row>
    <row r="51" spans="1:4">
      <c r="A51" s="35"/>
      <c r="B51" s="36"/>
      <c r="C51" s="6"/>
      <c r="D51" s="6"/>
    </row>
    <row r="52" spans="1:4">
      <c r="A52" s="35"/>
      <c r="B52" s="36"/>
      <c r="C52" s="6"/>
      <c r="D52" s="6"/>
    </row>
    <row r="53" spans="1:4">
      <c r="A53" s="35"/>
      <c r="B53" s="36"/>
      <c r="C53" s="6"/>
      <c r="D53" s="6"/>
    </row>
    <row r="54" spans="1:4">
      <c r="A54" s="35"/>
      <c r="B54" s="36"/>
      <c r="C54" s="6"/>
      <c r="D54" s="6"/>
    </row>
    <row r="55" spans="1:4">
      <c r="A55" s="35"/>
      <c r="B55" s="36"/>
      <c r="C55" s="6"/>
      <c r="D55" s="6"/>
    </row>
    <row r="56" spans="1:4">
      <c r="A56" s="35"/>
      <c r="B56" s="36"/>
      <c r="C56" s="6"/>
      <c r="D56" s="6"/>
    </row>
    <row r="57" spans="1:4">
      <c r="A57" s="35"/>
      <c r="B57" s="36"/>
      <c r="C57" s="6"/>
      <c r="D57" s="6"/>
    </row>
    <row r="58" spans="1:4">
      <c r="A58" s="35"/>
      <c r="B58" s="36"/>
      <c r="C58" s="6"/>
      <c r="D58" s="6"/>
    </row>
    <row r="59" spans="1:4">
      <c r="A59" s="35"/>
      <c r="B59" s="36"/>
      <c r="C59" s="6"/>
      <c r="D59" s="6"/>
    </row>
    <row r="60" spans="1:4">
      <c r="A60" s="35"/>
      <c r="B60" s="36"/>
      <c r="C60" s="6"/>
      <c r="D60" s="6"/>
    </row>
    <row r="61" spans="1:4">
      <c r="A61" s="35"/>
      <c r="B61" s="36"/>
      <c r="C61" s="6"/>
      <c r="D61" s="6"/>
    </row>
    <row r="62" spans="1:4">
      <c r="A62" s="35"/>
      <c r="B62" s="36"/>
      <c r="C62" s="6"/>
      <c r="D62" s="6"/>
    </row>
    <row r="63" spans="1:4">
      <c r="A63" s="35"/>
      <c r="B63" s="36"/>
      <c r="C63" s="6"/>
      <c r="D63" s="6"/>
    </row>
    <row r="64" spans="1:4">
      <c r="A64" s="35"/>
      <c r="B64" s="36"/>
      <c r="C64" s="6"/>
      <c r="D64" s="6"/>
    </row>
    <row r="65" spans="1:4">
      <c r="A65" s="35"/>
      <c r="B65" s="36"/>
      <c r="C65" s="6"/>
      <c r="D65" s="6"/>
    </row>
    <row r="66" spans="1:4">
      <c r="A66" s="35"/>
      <c r="B66" s="36"/>
      <c r="C66" s="6"/>
      <c r="D66" s="6"/>
    </row>
    <row r="67" spans="1:4">
      <c r="A67" s="35"/>
      <c r="B67" s="36"/>
      <c r="C67" s="6"/>
      <c r="D67" s="6"/>
    </row>
    <row r="68" spans="1:4">
      <c r="A68" s="35"/>
      <c r="B68" s="36"/>
      <c r="C68" s="6"/>
      <c r="D68" s="6"/>
    </row>
    <row r="69" spans="1:4">
      <c r="A69" s="35"/>
      <c r="B69" s="36"/>
      <c r="C69" s="6"/>
      <c r="D69" s="6"/>
    </row>
    <row r="70" spans="1:4">
      <c r="A70" s="35"/>
      <c r="B70" s="36"/>
      <c r="C70" s="6"/>
      <c r="D70" s="6"/>
    </row>
    <row r="71" spans="1:4">
      <c r="A71" s="35"/>
      <c r="B71" s="36"/>
      <c r="C71" s="6"/>
      <c r="D71" s="6"/>
    </row>
    <row r="72" spans="1:4">
      <c r="A72" s="35"/>
      <c r="B72" s="36"/>
      <c r="C72" s="6"/>
      <c r="D72" s="6"/>
    </row>
    <row r="73" spans="1:4">
      <c r="A73" s="35"/>
      <c r="B73" s="36"/>
      <c r="C73" s="6"/>
      <c r="D73" s="6"/>
    </row>
    <row r="74" spans="1:4">
      <c r="A74" s="35"/>
      <c r="B74" s="36"/>
      <c r="C74" s="6"/>
      <c r="D74" s="6"/>
    </row>
    <row r="75" spans="1:4">
      <c r="A75" s="35"/>
      <c r="B75" s="36"/>
      <c r="C75" s="6"/>
      <c r="D75" s="6"/>
    </row>
    <row r="76" spans="1:4">
      <c r="A76" s="35"/>
      <c r="B76" s="36"/>
      <c r="C76" s="6"/>
      <c r="D76" s="6"/>
    </row>
    <row r="77" spans="1:4">
      <c r="A77" s="35"/>
      <c r="B77" s="36"/>
      <c r="C77" s="6"/>
      <c r="D77" s="6"/>
    </row>
    <row r="78" spans="1:4">
      <c r="A78" s="35"/>
      <c r="B78" s="36"/>
      <c r="C78" s="6"/>
      <c r="D78" s="6"/>
    </row>
    <row r="79" spans="1:4">
      <c r="A79" s="35"/>
      <c r="B79" s="36"/>
      <c r="C79" s="6"/>
      <c r="D79" s="6"/>
    </row>
    <row r="80" spans="1:4">
      <c r="A80" s="35"/>
      <c r="B80" s="36"/>
      <c r="C80" s="6"/>
      <c r="D80" s="6"/>
    </row>
    <row r="81" spans="1:4">
      <c r="A81" s="35"/>
      <c r="B81" s="36"/>
      <c r="C81" s="6"/>
      <c r="D81" s="6"/>
    </row>
    <row r="82" spans="1:4">
      <c r="A82" s="35"/>
      <c r="B82" s="36"/>
      <c r="C82" s="6"/>
      <c r="D82" s="6"/>
    </row>
    <row r="83" spans="1:4">
      <c r="A83" s="35"/>
      <c r="B83" s="36"/>
      <c r="C83" s="6"/>
      <c r="D83" s="6"/>
    </row>
    <row r="84" spans="1:4">
      <c r="A84" s="35"/>
      <c r="B84" s="36"/>
      <c r="C84" s="6"/>
      <c r="D84" s="6"/>
    </row>
    <row r="85" spans="1:4">
      <c r="A85" s="35"/>
      <c r="B85" s="36"/>
      <c r="C85" s="6"/>
      <c r="D85" s="6"/>
    </row>
    <row r="86" spans="1:4">
      <c r="A86" s="35"/>
      <c r="B86" s="36"/>
      <c r="C86" s="6"/>
      <c r="D86" s="6"/>
    </row>
    <row r="87" spans="1:4">
      <c r="A87" s="35"/>
      <c r="B87" s="36"/>
      <c r="C87" s="6"/>
      <c r="D87" s="6"/>
    </row>
    <row r="88" spans="1:4">
      <c r="A88" s="35"/>
      <c r="B88" s="36"/>
      <c r="C88" s="6"/>
      <c r="D88" s="6"/>
    </row>
    <row r="89" spans="1:4">
      <c r="A89" s="35"/>
      <c r="B89" s="36"/>
      <c r="C89" s="6"/>
      <c r="D89" s="6"/>
    </row>
    <row r="90" spans="1:4">
      <c r="A90" s="35"/>
      <c r="B90" s="36"/>
      <c r="C90" s="6"/>
      <c r="D90" s="6"/>
    </row>
    <row r="91" spans="1:4">
      <c r="A91" s="35"/>
      <c r="B91" s="36"/>
      <c r="C91" s="6"/>
      <c r="D91" s="6"/>
    </row>
    <row r="92" spans="1:4">
      <c r="A92" s="35"/>
      <c r="B92" s="36"/>
      <c r="C92" s="6"/>
      <c r="D92" s="6"/>
    </row>
    <row r="93" spans="1:4">
      <c r="A93" s="35"/>
      <c r="B93" s="36"/>
      <c r="C93" s="6"/>
      <c r="D93" s="6"/>
    </row>
    <row r="94" spans="1:4">
      <c r="A94" s="35"/>
      <c r="B94" s="36"/>
      <c r="C94" s="6"/>
      <c r="D94" s="6"/>
    </row>
    <row r="95" spans="1:4">
      <c r="A95" s="35"/>
      <c r="B95" s="36"/>
      <c r="C95" s="6"/>
      <c r="D95" s="6"/>
    </row>
    <row r="96" spans="1:4">
      <c r="A96" s="35"/>
      <c r="B96" s="36"/>
      <c r="C96" s="6"/>
      <c r="D96" s="6"/>
    </row>
    <row r="97" spans="1:4">
      <c r="A97" s="35"/>
      <c r="B97" s="36"/>
      <c r="C97" s="6"/>
      <c r="D97" s="6"/>
    </row>
    <row r="98" spans="1:4">
      <c r="A98" s="35"/>
      <c r="B98" s="36"/>
      <c r="C98" s="6"/>
      <c r="D98" s="6"/>
    </row>
    <row r="99" spans="1:4">
      <c r="A99" s="35"/>
      <c r="B99" s="36"/>
      <c r="C99" s="6"/>
      <c r="D99" s="6"/>
    </row>
    <row r="100" spans="1:4">
      <c r="A100" s="35"/>
      <c r="B100" s="36"/>
      <c r="C100" s="6"/>
      <c r="D100" s="6"/>
    </row>
    <row r="101" spans="1:4">
      <c r="A101" s="35"/>
      <c r="B101" s="36"/>
      <c r="C101" s="6"/>
      <c r="D101" s="6"/>
    </row>
    <row r="102" spans="1:4">
      <c r="A102" s="35"/>
      <c r="B102" s="36"/>
      <c r="C102" s="6"/>
      <c r="D102" s="6"/>
    </row>
    <row r="103" spans="1:4">
      <c r="A103" s="35"/>
      <c r="B103" s="36"/>
      <c r="C103" s="6"/>
      <c r="D103" s="6"/>
    </row>
    <row r="104" spans="1:4">
      <c r="A104" s="35"/>
      <c r="B104" s="36"/>
      <c r="C104" s="6"/>
      <c r="D104" s="6"/>
    </row>
    <row r="105" spans="1:4">
      <c r="A105" s="35"/>
      <c r="B105" s="36"/>
      <c r="C105" s="6"/>
      <c r="D105" s="6"/>
    </row>
    <row r="106" spans="1:4">
      <c r="A106" s="35"/>
      <c r="B106" s="36"/>
      <c r="C106" s="6"/>
      <c r="D106" s="6"/>
    </row>
    <row r="107" spans="1:4">
      <c r="A107" s="35"/>
      <c r="B107" s="36"/>
      <c r="C107" s="6"/>
      <c r="D107" s="6"/>
    </row>
    <row r="108" spans="1:4">
      <c r="A108" s="35"/>
      <c r="B108" s="36"/>
      <c r="C108" s="6"/>
      <c r="D108" s="6"/>
    </row>
    <row r="109" spans="1:4">
      <c r="A109" s="35"/>
      <c r="B109" s="36"/>
      <c r="C109" s="6"/>
      <c r="D109" s="6"/>
    </row>
    <row r="110" spans="1:4">
      <c r="A110" s="35"/>
      <c r="B110" s="36"/>
      <c r="C110" s="6"/>
      <c r="D110" s="6"/>
    </row>
    <row r="111" spans="1:4">
      <c r="A111" s="35"/>
      <c r="B111" s="36"/>
      <c r="C111" s="6"/>
      <c r="D111" s="6"/>
    </row>
    <row r="112" spans="1:4">
      <c r="A112" s="35"/>
      <c r="B112" s="36"/>
      <c r="C112" s="6"/>
      <c r="D112" s="6"/>
    </row>
    <row r="113" spans="1:4">
      <c r="A113" s="35"/>
      <c r="B113" s="36"/>
      <c r="C113" s="6"/>
      <c r="D113" s="6"/>
    </row>
    <row r="114" spans="1:4">
      <c r="A114" s="35"/>
      <c r="B114" s="36"/>
      <c r="C114" s="6"/>
      <c r="D114" s="6"/>
    </row>
    <row r="115" spans="1:4">
      <c r="A115" s="35"/>
      <c r="B115" s="36"/>
      <c r="C115" s="6"/>
      <c r="D115" s="6"/>
    </row>
    <row r="116" spans="1:4">
      <c r="A116" s="35"/>
      <c r="B116" s="36"/>
      <c r="C116" s="6"/>
      <c r="D116" s="6"/>
    </row>
    <row r="117" spans="1:4">
      <c r="A117" s="35"/>
      <c r="B117" s="36"/>
      <c r="C117" s="6"/>
      <c r="D117" s="6"/>
    </row>
    <row r="118" spans="1:4">
      <c r="A118" s="35"/>
      <c r="B118" s="36"/>
      <c r="C118" s="6"/>
      <c r="D118" s="6"/>
    </row>
    <row r="119" spans="1:4">
      <c r="A119" s="35"/>
      <c r="B119" s="36"/>
      <c r="C119" s="6"/>
      <c r="D119" s="6"/>
    </row>
    <row r="120" spans="1:4">
      <c r="A120" s="35"/>
      <c r="B120" s="36"/>
      <c r="C120" s="6"/>
      <c r="D120" s="6"/>
    </row>
    <row r="121" spans="1:4">
      <c r="A121" s="35"/>
      <c r="B121" s="36"/>
      <c r="C121" s="6"/>
      <c r="D121" s="6"/>
    </row>
    <row r="122" spans="1:4">
      <c r="A122" s="35"/>
      <c r="B122" s="36"/>
      <c r="C122" s="6"/>
      <c r="D122" s="6"/>
    </row>
    <row r="123" spans="1:4">
      <c r="A123" s="35"/>
      <c r="B123" s="36"/>
      <c r="C123" s="6"/>
      <c r="D123" s="6"/>
    </row>
    <row r="124" spans="1:4">
      <c r="A124" s="35"/>
      <c r="B124" s="36"/>
      <c r="C124" s="6"/>
      <c r="D124" s="6"/>
    </row>
    <row r="125" spans="1:4">
      <c r="A125" s="35"/>
      <c r="B125" s="36"/>
      <c r="C125" s="6"/>
      <c r="D125" s="6"/>
    </row>
    <row r="126" spans="1:4">
      <c r="A126" s="35"/>
      <c r="B126" s="36"/>
      <c r="C126" s="6"/>
      <c r="D126" s="6"/>
    </row>
    <row r="127" spans="1:4">
      <c r="A127" s="35"/>
      <c r="B127" s="36"/>
      <c r="C127" s="6"/>
      <c r="D127" s="6"/>
    </row>
    <row r="128" spans="1:4">
      <c r="A128" s="35"/>
      <c r="B128" s="36"/>
      <c r="C128" s="6"/>
      <c r="D128" s="6"/>
    </row>
    <row r="129" spans="1:4">
      <c r="A129" s="35"/>
      <c r="B129" s="36"/>
      <c r="C129" s="6"/>
      <c r="D129" s="6"/>
    </row>
    <row r="130" spans="1:4">
      <c r="A130" s="35"/>
      <c r="B130" s="36"/>
      <c r="C130" s="6"/>
      <c r="D130" s="6"/>
    </row>
    <row r="131" spans="1:4">
      <c r="A131" s="35"/>
      <c r="B131" s="36"/>
      <c r="C131" s="6"/>
      <c r="D131" s="6"/>
    </row>
    <row r="132" spans="1:4">
      <c r="A132" s="35"/>
      <c r="B132" s="36"/>
      <c r="C132" s="6"/>
      <c r="D132" s="6"/>
    </row>
    <row r="133" spans="1:4">
      <c r="A133" s="35"/>
      <c r="B133" s="36"/>
      <c r="C133" s="6"/>
      <c r="D133" s="6"/>
    </row>
    <row r="134" spans="1:4">
      <c r="A134" s="35"/>
      <c r="B134" s="36"/>
      <c r="C134" s="6"/>
      <c r="D134" s="6"/>
    </row>
    <row r="135" spans="1:4">
      <c r="A135" s="35"/>
      <c r="B135" s="36"/>
      <c r="C135" s="6"/>
      <c r="D135" s="6"/>
    </row>
    <row r="136" spans="1:4">
      <c r="A136" s="35"/>
      <c r="B136" s="36"/>
      <c r="C136" s="6"/>
      <c r="D136" s="6"/>
    </row>
    <row r="137" spans="1:4">
      <c r="A137" s="35"/>
      <c r="B137" s="36"/>
      <c r="C137" s="6"/>
      <c r="D137" s="6"/>
    </row>
    <row r="138" spans="1:4">
      <c r="A138" s="35"/>
      <c r="B138" s="36"/>
      <c r="C138" s="6"/>
      <c r="D138" s="6"/>
    </row>
    <row r="139" spans="1:4">
      <c r="A139" s="35"/>
      <c r="B139" s="36"/>
      <c r="C139" s="6"/>
      <c r="D139" s="6"/>
    </row>
    <row r="140" spans="1:4">
      <c r="A140" s="35"/>
      <c r="B140" s="36"/>
      <c r="C140" s="6"/>
      <c r="D140" s="6"/>
    </row>
    <row r="141" spans="1:4">
      <c r="A141" s="35"/>
      <c r="B141" s="36"/>
      <c r="C141" s="6"/>
      <c r="D141" s="6"/>
    </row>
    <row r="142" spans="1:4">
      <c r="A142" s="35"/>
      <c r="B142" s="36"/>
      <c r="C142" s="6"/>
      <c r="D142" s="6"/>
    </row>
    <row r="143" spans="1:4">
      <c r="A143" s="35"/>
      <c r="B143" s="36"/>
      <c r="C143" s="6"/>
      <c r="D143" s="6"/>
    </row>
    <row r="144" spans="1:4">
      <c r="A144" s="35"/>
      <c r="B144" s="36"/>
      <c r="C144" s="6"/>
      <c r="D144" s="6"/>
    </row>
    <row r="145" spans="1:4">
      <c r="A145" s="35"/>
      <c r="B145" s="36"/>
      <c r="C145" s="6"/>
      <c r="D145" s="6"/>
    </row>
    <row r="146" spans="1:4">
      <c r="A146" s="35"/>
      <c r="B146" s="36"/>
      <c r="C146" s="6"/>
      <c r="D146" s="6"/>
    </row>
    <row r="147" spans="1:4">
      <c r="A147" s="35"/>
      <c r="B147" s="36"/>
      <c r="C147" s="6"/>
      <c r="D147" s="6"/>
    </row>
    <row r="148" spans="1:4">
      <c r="A148" s="35"/>
      <c r="B148" s="36"/>
      <c r="C148" s="6"/>
      <c r="D148" s="6"/>
    </row>
    <row r="149" spans="1:4">
      <c r="A149" s="35"/>
      <c r="B149" s="36"/>
      <c r="C149" s="6"/>
      <c r="D149" s="6"/>
    </row>
    <row r="150" spans="1:4">
      <c r="A150" s="35"/>
      <c r="B150" s="36"/>
      <c r="C150" s="6"/>
      <c r="D150" s="6"/>
    </row>
    <row r="151" spans="1:4">
      <c r="A151" s="35"/>
      <c r="B151" s="36"/>
      <c r="C151" s="6"/>
      <c r="D151" s="6"/>
    </row>
    <row r="152" spans="1:4">
      <c r="A152" s="35"/>
      <c r="B152" s="36"/>
      <c r="C152" s="6"/>
      <c r="D152" s="6"/>
    </row>
    <row r="153" spans="1:4">
      <c r="A153" s="35"/>
      <c r="B153" s="36"/>
      <c r="C153" s="6"/>
      <c r="D153" s="6"/>
    </row>
    <row r="154" spans="1:4">
      <c r="A154" s="35"/>
      <c r="B154" s="36"/>
      <c r="C154" s="6"/>
      <c r="D154" s="6"/>
    </row>
    <row r="155" spans="1:4">
      <c r="A155" s="35"/>
      <c r="B155" s="36"/>
      <c r="C155" s="6"/>
      <c r="D155" s="6"/>
    </row>
    <row r="156" spans="1:4">
      <c r="A156" s="35"/>
      <c r="B156" s="36"/>
      <c r="C156" s="6"/>
      <c r="D156" s="6"/>
    </row>
    <row r="157" spans="1:4">
      <c r="A157" s="35"/>
      <c r="B157" s="36"/>
      <c r="C157" s="6"/>
      <c r="D157" s="6"/>
    </row>
    <row r="158" spans="1:4">
      <c r="A158" s="35"/>
      <c r="B158" s="36"/>
      <c r="C158" s="6"/>
      <c r="D158" s="6"/>
    </row>
    <row r="159" spans="1:4">
      <c r="A159" s="35"/>
      <c r="B159" s="36"/>
      <c r="C159" s="6"/>
      <c r="D159" s="6"/>
    </row>
    <row r="160" spans="1:4">
      <c r="A160" s="35"/>
      <c r="B160" s="36"/>
      <c r="C160" s="6"/>
      <c r="D160" s="6"/>
    </row>
    <row r="161" spans="1:4">
      <c r="A161" s="35"/>
      <c r="B161" s="36"/>
      <c r="C161" s="6"/>
      <c r="D161" s="6"/>
    </row>
    <row r="162" spans="1:4">
      <c r="A162" s="35"/>
      <c r="B162" s="36"/>
      <c r="C162" s="6"/>
      <c r="D162" s="6"/>
    </row>
    <row r="163" spans="1:4">
      <c r="A163" s="35"/>
      <c r="B163" s="36"/>
      <c r="C163" s="6"/>
      <c r="D163" s="6"/>
    </row>
    <row r="164" spans="1:4">
      <c r="A164" s="35"/>
      <c r="B164" s="36"/>
      <c r="C164" s="6"/>
      <c r="D164" s="6"/>
    </row>
    <row r="165" spans="1:4">
      <c r="A165" s="35"/>
      <c r="B165" s="36"/>
      <c r="C165" s="6"/>
      <c r="D165" s="6"/>
    </row>
    <row r="166" spans="1:4">
      <c r="A166" s="35"/>
      <c r="B166" s="36"/>
      <c r="C166" s="6"/>
      <c r="D166" s="6"/>
    </row>
    <row r="167" spans="1:4">
      <c r="A167" s="35"/>
      <c r="B167" s="36"/>
      <c r="C167" s="6"/>
      <c r="D167" s="6"/>
    </row>
    <row r="168" spans="1:4">
      <c r="A168" s="35"/>
      <c r="B168" s="36"/>
      <c r="C168" s="6"/>
      <c r="D168" s="6"/>
    </row>
    <row r="169" spans="1:4">
      <c r="A169" s="35"/>
      <c r="B169" s="36"/>
      <c r="C169" s="6"/>
      <c r="D169" s="6"/>
    </row>
    <row r="170" spans="1:4">
      <c r="A170" s="35"/>
      <c r="B170" s="36"/>
      <c r="C170" s="6"/>
      <c r="D170" s="6"/>
    </row>
    <row r="171" spans="1:4">
      <c r="A171" s="35"/>
      <c r="B171" s="36"/>
      <c r="C171" s="6"/>
      <c r="D171" s="6"/>
    </row>
    <row r="172" spans="1:4">
      <c r="A172" s="35"/>
      <c r="B172" s="36"/>
      <c r="C172" s="6"/>
      <c r="D172" s="6"/>
    </row>
    <row r="173" spans="1:4">
      <c r="A173" s="35"/>
      <c r="B173" s="36"/>
      <c r="C173" s="6"/>
      <c r="D173" s="6"/>
    </row>
    <row r="174" spans="1:4">
      <c r="A174" s="35"/>
      <c r="B174" s="36"/>
      <c r="C174" s="6"/>
      <c r="D174" s="6"/>
    </row>
    <row r="175" spans="1:4">
      <c r="A175" s="35"/>
      <c r="B175" s="36"/>
      <c r="C175" s="6"/>
      <c r="D175" s="6"/>
    </row>
    <row r="176" spans="1:4">
      <c r="A176" s="35"/>
      <c r="B176" s="36"/>
      <c r="C176" s="6"/>
      <c r="D176" s="6"/>
    </row>
    <row r="177" spans="1:4">
      <c r="A177" s="35"/>
      <c r="B177" s="36"/>
      <c r="C177" s="6"/>
      <c r="D177" s="6"/>
    </row>
    <row r="178" spans="1:4">
      <c r="A178" s="35"/>
      <c r="B178" s="36"/>
      <c r="C178" s="6"/>
      <c r="D178" s="6"/>
    </row>
    <row r="179" spans="1:4">
      <c r="A179" s="35"/>
      <c r="B179" s="36"/>
      <c r="C179" s="6"/>
      <c r="D179" s="6"/>
    </row>
    <row r="180" spans="1:4">
      <c r="A180" s="35"/>
      <c r="B180" s="36"/>
      <c r="C180" s="6"/>
      <c r="D180" s="6"/>
    </row>
    <row r="181" spans="1:4">
      <c r="A181" s="35"/>
      <c r="B181" s="36"/>
      <c r="C181" s="6"/>
      <c r="D181" s="6"/>
    </row>
    <row r="182" spans="1:4">
      <c r="A182" s="35"/>
      <c r="B182" s="36"/>
      <c r="C182" s="6"/>
      <c r="D182" s="6"/>
    </row>
    <row r="183" spans="1:4">
      <c r="A183" s="35"/>
      <c r="B183" s="36"/>
      <c r="C183" s="6"/>
      <c r="D183" s="6"/>
    </row>
    <row r="184" spans="1:4">
      <c r="A184" s="35"/>
      <c r="B184" s="36"/>
      <c r="C184" s="6"/>
      <c r="D184" s="6"/>
    </row>
    <row r="185" spans="1:4">
      <c r="A185" s="35"/>
      <c r="B185" s="36"/>
      <c r="C185" s="6"/>
      <c r="D185" s="6"/>
    </row>
    <row r="186" spans="1:4">
      <c r="A186" s="35"/>
      <c r="B186" s="36"/>
      <c r="C186" s="6"/>
      <c r="D186" s="6"/>
    </row>
    <row r="187" spans="1:4">
      <c r="A187" s="35"/>
      <c r="B187" s="36"/>
      <c r="C187" s="6"/>
      <c r="D187" s="6"/>
    </row>
    <row r="188" spans="1:4">
      <c r="A188" s="35"/>
      <c r="B188" s="36"/>
      <c r="C188" s="6"/>
      <c r="D188" s="6"/>
    </row>
    <row r="189" spans="1:4">
      <c r="A189" s="35"/>
      <c r="B189" s="36"/>
      <c r="C189" s="6"/>
      <c r="D189" s="6"/>
    </row>
    <row r="190" spans="1:4">
      <c r="A190" s="35"/>
      <c r="B190" s="36"/>
      <c r="C190" s="6"/>
      <c r="D190" s="6"/>
    </row>
    <row r="191" spans="1:4">
      <c r="A191" s="35"/>
      <c r="B191" s="36"/>
      <c r="C191" s="6"/>
      <c r="D191" s="6"/>
    </row>
    <row r="192" spans="1:4">
      <c r="A192" s="35"/>
      <c r="B192" s="36"/>
      <c r="C192" s="6"/>
      <c r="D192" s="6"/>
    </row>
    <row r="193" spans="1:4">
      <c r="A193" s="35"/>
      <c r="B193" s="36"/>
      <c r="C193" s="6"/>
      <c r="D193" s="6"/>
    </row>
    <row r="194" spans="1:4">
      <c r="A194" s="35"/>
      <c r="B194" s="36"/>
      <c r="C194" s="6"/>
      <c r="D194" s="6"/>
    </row>
    <row r="195" spans="1:4">
      <c r="A195" s="35"/>
      <c r="B195" s="36"/>
      <c r="C195" s="6"/>
      <c r="D195" s="6"/>
    </row>
    <row r="196" spans="1:4">
      <c r="A196" s="35"/>
      <c r="B196" s="36"/>
      <c r="C196" s="6"/>
      <c r="D196" s="6"/>
    </row>
    <row r="197" spans="1:4">
      <c r="A197" s="35"/>
      <c r="B197" s="36"/>
      <c r="C197" s="6"/>
      <c r="D197" s="6"/>
    </row>
    <row r="198" spans="1:4">
      <c r="A198" s="35"/>
      <c r="B198" s="36"/>
      <c r="C198" s="6"/>
      <c r="D198" s="6"/>
    </row>
    <row r="199" spans="1:4">
      <c r="A199" s="35"/>
      <c r="B199" s="36"/>
      <c r="C199" s="6"/>
      <c r="D199" s="6"/>
    </row>
    <row r="200" spans="1:4">
      <c r="A200" s="35"/>
      <c r="B200" s="36"/>
      <c r="C200" s="6"/>
      <c r="D200" s="6"/>
    </row>
    <row r="201" spans="1:4">
      <c r="A201" s="35"/>
      <c r="B201" s="36"/>
      <c r="C201" s="6"/>
      <c r="D201" s="6"/>
    </row>
    <row r="202" spans="1:4">
      <c r="A202" s="35"/>
      <c r="B202" s="36"/>
      <c r="C202" s="6"/>
      <c r="D202" s="6"/>
    </row>
    <row r="203" spans="1:4">
      <c r="A203" s="35"/>
      <c r="B203" s="36"/>
      <c r="C203" s="6"/>
      <c r="D203" s="6"/>
    </row>
    <row r="204" spans="1:4">
      <c r="A204" s="35"/>
      <c r="B204" s="36"/>
      <c r="C204" s="6"/>
      <c r="D204" s="6"/>
    </row>
    <row r="205" spans="1:4">
      <c r="A205" s="35"/>
      <c r="B205" s="36"/>
      <c r="C205" s="6"/>
      <c r="D205" s="6"/>
    </row>
    <row r="206" spans="1:4">
      <c r="A206" s="35"/>
      <c r="B206" s="36"/>
      <c r="C206" s="6"/>
      <c r="D206" s="6"/>
    </row>
    <row r="207" spans="1:4">
      <c r="A207" s="35"/>
      <c r="B207" s="36"/>
      <c r="C207" s="6"/>
      <c r="D207" s="6"/>
    </row>
    <row r="208" spans="1:4">
      <c r="A208" s="35"/>
      <c r="B208" s="36"/>
      <c r="C208" s="6"/>
      <c r="D208" s="6"/>
    </row>
    <row r="209" spans="1:4">
      <c r="A209" s="35"/>
      <c r="B209" s="36"/>
      <c r="C209" s="6"/>
      <c r="D209" s="6"/>
    </row>
    <row r="210" spans="1:4">
      <c r="A210" s="35"/>
      <c r="B210" s="36"/>
      <c r="C210" s="6"/>
      <c r="D210" s="6"/>
    </row>
    <row r="211" spans="1:4">
      <c r="A211" s="35"/>
      <c r="B211" s="36"/>
      <c r="C211" s="6"/>
      <c r="D211" s="6"/>
    </row>
    <row r="212" spans="1:4">
      <c r="A212" s="35"/>
      <c r="B212" s="36"/>
      <c r="C212" s="6"/>
      <c r="D212" s="6"/>
    </row>
    <row r="213" spans="1:4">
      <c r="A213" s="35"/>
      <c r="B213" s="36"/>
      <c r="C213" s="6"/>
      <c r="D213" s="6"/>
    </row>
    <row r="214" spans="1:4">
      <c r="A214" s="35"/>
      <c r="B214" s="36"/>
      <c r="C214" s="6"/>
      <c r="D214" s="6"/>
    </row>
    <row r="215" spans="1:4">
      <c r="A215" s="35"/>
      <c r="B215" s="36"/>
      <c r="C215" s="6"/>
      <c r="D215" s="6"/>
    </row>
    <row r="216" spans="1:4">
      <c r="A216" s="35"/>
      <c r="B216" s="36"/>
      <c r="C216" s="6"/>
      <c r="D216" s="6"/>
    </row>
    <row r="217" spans="1:4">
      <c r="A217" s="35"/>
      <c r="B217" s="36"/>
      <c r="C217" s="6"/>
      <c r="D217" s="6"/>
    </row>
    <row r="218" spans="1:4">
      <c r="A218" s="35"/>
      <c r="B218" s="36"/>
      <c r="C218" s="6"/>
      <c r="D218" s="6"/>
    </row>
    <row r="219" spans="1:4">
      <c r="A219" s="35"/>
      <c r="B219" s="36"/>
      <c r="C219" s="6"/>
      <c r="D219" s="6"/>
    </row>
    <row r="220" spans="1:4">
      <c r="A220" s="35"/>
      <c r="B220" s="36"/>
      <c r="C220" s="6"/>
      <c r="D220" s="6"/>
    </row>
    <row r="221" spans="1:4">
      <c r="A221" s="35"/>
      <c r="B221" s="36"/>
      <c r="C221" s="6"/>
      <c r="D221" s="6"/>
    </row>
    <row r="222" spans="1:4">
      <c r="A222" s="35"/>
      <c r="B222" s="36"/>
      <c r="C222" s="6"/>
      <c r="D222" s="6"/>
    </row>
    <row r="223" spans="1:4">
      <c r="A223" s="35"/>
      <c r="B223" s="36"/>
      <c r="C223" s="6"/>
      <c r="D223" s="6"/>
    </row>
    <row r="224" spans="1:4">
      <c r="A224" s="35"/>
      <c r="B224" s="36"/>
      <c r="C224" s="6"/>
      <c r="D224" s="6"/>
    </row>
    <row r="225" spans="1:4">
      <c r="A225" s="35"/>
      <c r="B225" s="36"/>
      <c r="C225" s="6"/>
      <c r="D225" s="6"/>
    </row>
    <row r="226" spans="1:4">
      <c r="A226" s="35"/>
      <c r="B226" s="36"/>
      <c r="C226" s="6"/>
      <c r="D226" s="6"/>
    </row>
    <row r="227" spans="1:4">
      <c r="A227" s="35"/>
      <c r="B227" s="36"/>
      <c r="C227" s="6"/>
      <c r="D227" s="6"/>
    </row>
    <row r="228" spans="1:4">
      <c r="A228" s="35"/>
      <c r="B228" s="36"/>
      <c r="C228" s="6"/>
      <c r="D228" s="6"/>
    </row>
    <row r="229" spans="1:4">
      <c r="A229" s="35"/>
      <c r="B229" s="36"/>
      <c r="C229" s="6"/>
      <c r="D229" s="6"/>
    </row>
    <row r="230" spans="1:4">
      <c r="A230" s="35"/>
      <c r="B230" s="36"/>
      <c r="C230" s="6"/>
      <c r="D230" s="6"/>
    </row>
    <row r="231" spans="1:4">
      <c r="A231" s="35"/>
      <c r="B231" s="36"/>
      <c r="C231" s="6"/>
      <c r="D231" s="6"/>
    </row>
    <row r="232" spans="1:4">
      <c r="A232" s="35"/>
      <c r="B232" s="36"/>
      <c r="C232" s="6"/>
      <c r="D232" s="6"/>
    </row>
    <row r="233" spans="1:4">
      <c r="A233" s="35"/>
      <c r="B233" s="36"/>
      <c r="C233" s="6"/>
      <c r="D233" s="6"/>
    </row>
    <row r="234" spans="1:4">
      <c r="A234" s="35"/>
      <c r="B234" s="36"/>
      <c r="C234" s="6"/>
      <c r="D234" s="6"/>
    </row>
    <row r="235" spans="1:4">
      <c r="A235" s="35"/>
      <c r="B235" s="36"/>
      <c r="C235" s="6"/>
      <c r="D235" s="6"/>
    </row>
    <row r="236" spans="1:4">
      <c r="A236" s="35"/>
      <c r="B236" s="36"/>
      <c r="C236" s="6"/>
      <c r="D236" s="6"/>
    </row>
    <row r="237" spans="1:4">
      <c r="A237" s="35"/>
      <c r="B237" s="36"/>
      <c r="C237" s="6"/>
      <c r="D237" s="6"/>
    </row>
    <row r="238" spans="1:4">
      <c r="A238" s="35"/>
      <c r="B238" s="36"/>
      <c r="C238" s="6"/>
      <c r="D238" s="6"/>
    </row>
    <row r="239" spans="1:4">
      <c r="A239" s="35"/>
      <c r="B239" s="36"/>
      <c r="C239" s="6"/>
      <c r="D239" s="6"/>
    </row>
    <row r="240" spans="1:4">
      <c r="A240" s="35"/>
      <c r="B240" s="36"/>
      <c r="C240" s="6"/>
      <c r="D240" s="6"/>
    </row>
    <row r="241" spans="1:4">
      <c r="A241" s="35"/>
      <c r="B241" s="36"/>
      <c r="C241" s="6"/>
      <c r="D241" s="6"/>
    </row>
    <row r="242" spans="1:4">
      <c r="A242" s="35"/>
      <c r="B242" s="36"/>
      <c r="C242" s="6"/>
      <c r="D242" s="6"/>
    </row>
    <row r="243" spans="1:4">
      <c r="A243" s="35"/>
      <c r="B243" s="36"/>
      <c r="C243" s="6"/>
      <c r="D243" s="6"/>
    </row>
    <row r="244" spans="1:4">
      <c r="A244" s="35"/>
      <c r="B244" s="36"/>
      <c r="C244" s="6"/>
      <c r="D244" s="6"/>
    </row>
    <row r="245" spans="1:4">
      <c r="A245" s="35"/>
      <c r="B245" s="36"/>
      <c r="C245" s="6"/>
      <c r="D245" s="6"/>
    </row>
    <row r="246" spans="1:4">
      <c r="A246" s="35"/>
      <c r="B246" s="36"/>
      <c r="C246" s="6"/>
      <c r="D246" s="6"/>
    </row>
    <row r="247" spans="1:4">
      <c r="A247" s="35"/>
      <c r="B247" s="36"/>
      <c r="C247" s="6"/>
      <c r="D247" s="6"/>
    </row>
    <row r="248" spans="1:4">
      <c r="A248" s="35"/>
      <c r="B248" s="36"/>
      <c r="C248" s="6"/>
      <c r="D248" s="6"/>
    </row>
    <row r="249" spans="1:4">
      <c r="A249" s="35"/>
      <c r="B249" s="36"/>
      <c r="C249" s="6"/>
      <c r="D249" s="6"/>
    </row>
    <row r="250" spans="1:4">
      <c r="A250" s="35"/>
      <c r="B250" s="36"/>
      <c r="C250" s="6"/>
      <c r="D250" s="6"/>
    </row>
    <row r="251" spans="1:4">
      <c r="A251" s="35"/>
      <c r="B251" s="36"/>
      <c r="C251" s="6"/>
      <c r="D251" s="6"/>
    </row>
    <row r="252" spans="1:4">
      <c r="A252" s="35"/>
      <c r="B252" s="36"/>
      <c r="C252" s="6"/>
      <c r="D252" s="6"/>
    </row>
    <row r="253" spans="1:4">
      <c r="A253" s="35"/>
      <c r="B253" s="36"/>
      <c r="C253" s="6"/>
      <c r="D253" s="6"/>
    </row>
    <row r="254" spans="1:4">
      <c r="A254" s="35"/>
      <c r="B254" s="36"/>
      <c r="C254" s="6"/>
      <c r="D254" s="6"/>
    </row>
    <row r="255" spans="1:4">
      <c r="A255" s="35"/>
      <c r="B255" s="36"/>
      <c r="C255" s="6"/>
      <c r="D255" s="6"/>
    </row>
    <row r="256" spans="1:4">
      <c r="A256" s="35"/>
      <c r="B256" s="36"/>
      <c r="C256" s="6"/>
      <c r="D256" s="6"/>
    </row>
    <row r="257" spans="1:4">
      <c r="A257" s="35"/>
      <c r="B257" s="36"/>
      <c r="C257" s="6"/>
      <c r="D257" s="6"/>
    </row>
    <row r="258" spans="1:4">
      <c r="A258" s="35"/>
      <c r="B258" s="36"/>
      <c r="C258" s="6"/>
      <c r="D258" s="6"/>
    </row>
    <row r="259" spans="1:4">
      <c r="A259" s="35"/>
      <c r="B259" s="36"/>
      <c r="C259" s="6"/>
      <c r="D259" s="6"/>
    </row>
    <row r="260" spans="1:4">
      <c r="A260" s="35"/>
      <c r="B260" s="36"/>
      <c r="C260" s="6"/>
      <c r="D260" s="6"/>
    </row>
    <row r="261" spans="1:4">
      <c r="A261" s="35"/>
      <c r="B261" s="36"/>
      <c r="C261" s="6"/>
      <c r="D261" s="6"/>
    </row>
    <row r="262" spans="1:4">
      <c r="A262" s="35"/>
      <c r="B262" s="36"/>
      <c r="C262" s="6"/>
      <c r="D262" s="6"/>
    </row>
    <row r="263" spans="1:4">
      <c r="A263" s="35"/>
      <c r="B263" s="36"/>
      <c r="C263" s="6"/>
      <c r="D263" s="6"/>
    </row>
    <row r="264" spans="1:4">
      <c r="A264" s="35"/>
      <c r="B264" s="36"/>
      <c r="C264" s="6"/>
      <c r="D264" s="6"/>
    </row>
    <row r="265" spans="1:4">
      <c r="A265" s="35"/>
      <c r="B265" s="36"/>
      <c r="C265" s="6"/>
      <c r="D265" s="6"/>
    </row>
    <row r="266" spans="1:4">
      <c r="A266" s="35"/>
      <c r="B266" s="36"/>
      <c r="C266" s="6"/>
      <c r="D266" s="6"/>
    </row>
    <row r="267" spans="1:4">
      <c r="A267" s="35"/>
      <c r="B267" s="36"/>
      <c r="C267" s="6"/>
      <c r="D267" s="6"/>
    </row>
    <row r="268" spans="1:4">
      <c r="A268" s="35"/>
      <c r="B268" s="36"/>
      <c r="C268" s="6"/>
      <c r="D268" s="6"/>
    </row>
    <row r="269" spans="1:4">
      <c r="A269" s="35"/>
      <c r="B269" s="36"/>
      <c r="C269" s="6"/>
      <c r="D269" s="6"/>
    </row>
    <row r="270" spans="1:4">
      <c r="A270" s="35"/>
      <c r="B270" s="36"/>
      <c r="C270" s="6"/>
      <c r="D270" s="6"/>
    </row>
    <row r="271" spans="1:4">
      <c r="A271" s="35"/>
      <c r="B271" s="36"/>
      <c r="C271" s="6"/>
      <c r="D271" s="6"/>
    </row>
    <row r="272" spans="1:4">
      <c r="A272" s="35"/>
      <c r="B272" s="36"/>
      <c r="C272" s="6"/>
      <c r="D272" s="6"/>
    </row>
    <row r="273" spans="1:4">
      <c r="A273" s="35"/>
      <c r="B273" s="36"/>
      <c r="C273" s="6"/>
      <c r="D273" s="6"/>
    </row>
    <row r="274" spans="1:4">
      <c r="A274" s="35"/>
      <c r="B274" s="36"/>
      <c r="C274" s="6"/>
      <c r="D274" s="6"/>
    </row>
    <row r="275" spans="1:4">
      <c r="A275" s="35"/>
      <c r="B275" s="36"/>
      <c r="C275" s="6"/>
      <c r="D275" s="6"/>
    </row>
    <row r="276" spans="1:4">
      <c r="A276" s="35"/>
      <c r="B276" s="36"/>
      <c r="C276" s="6"/>
      <c r="D276" s="6"/>
    </row>
    <row r="277" spans="1:4">
      <c r="A277" s="35"/>
      <c r="B277" s="36"/>
      <c r="C277" s="6"/>
      <c r="D277" s="6"/>
    </row>
    <row r="278" spans="1:4">
      <c r="A278" s="35"/>
      <c r="B278" s="36"/>
      <c r="C278" s="6"/>
      <c r="D278" s="6"/>
    </row>
    <row r="279" spans="1:4">
      <c r="A279" s="35"/>
      <c r="B279" s="36"/>
      <c r="C279" s="6"/>
      <c r="D279" s="6"/>
    </row>
    <row r="280" spans="1:4">
      <c r="A280" s="35"/>
      <c r="B280" s="36"/>
      <c r="C280" s="6"/>
      <c r="D280" s="6"/>
    </row>
    <row r="281" spans="1:4">
      <c r="A281" s="35"/>
      <c r="B281" s="36"/>
      <c r="C281" s="6"/>
      <c r="D281" s="6"/>
    </row>
    <row r="282" spans="1:4">
      <c r="A282" s="35"/>
      <c r="B282" s="36"/>
      <c r="C282" s="6"/>
      <c r="D282" s="6"/>
    </row>
    <row r="283" spans="1:4">
      <c r="A283" s="35"/>
      <c r="B283" s="36"/>
      <c r="C283" s="6"/>
      <c r="D283" s="6"/>
    </row>
    <row r="284" spans="1:4">
      <c r="A284" s="35"/>
      <c r="B284" s="36"/>
      <c r="C284" s="6"/>
      <c r="D284" s="6"/>
    </row>
    <row r="285" spans="1:4">
      <c r="A285" s="35"/>
      <c r="B285" s="36"/>
      <c r="C285" s="6"/>
      <c r="D285" s="6"/>
    </row>
    <row r="286" spans="1:4">
      <c r="A286" s="35"/>
      <c r="B286" s="36"/>
      <c r="C286" s="6"/>
      <c r="D286" s="6"/>
    </row>
    <row r="287" spans="1:4">
      <c r="A287" s="35"/>
      <c r="B287" s="36"/>
      <c r="C287" s="6"/>
      <c r="D287" s="6"/>
    </row>
    <row r="288" spans="1:4">
      <c r="A288" s="35"/>
      <c r="B288" s="36"/>
      <c r="C288" s="6"/>
      <c r="D288" s="6"/>
    </row>
    <row r="289" spans="1:4">
      <c r="A289" s="35"/>
      <c r="B289" s="36"/>
      <c r="C289" s="6"/>
      <c r="D289" s="6"/>
    </row>
    <row r="290" spans="1:4">
      <c r="A290" s="35"/>
      <c r="B290" s="36"/>
      <c r="C290" s="6"/>
      <c r="D290" s="6"/>
    </row>
    <row r="291" spans="1:4">
      <c r="A291" s="35"/>
      <c r="B291" s="36"/>
      <c r="C291" s="6"/>
      <c r="D291" s="6"/>
    </row>
    <row r="292" spans="1:4">
      <c r="A292" s="35"/>
      <c r="B292" s="36"/>
      <c r="C292" s="6"/>
      <c r="D292" s="6"/>
    </row>
    <row r="293" spans="1:4">
      <c r="A293" s="35"/>
      <c r="B293" s="36"/>
      <c r="C293" s="6"/>
      <c r="D293" s="6"/>
    </row>
    <row r="294" spans="1:4">
      <c r="A294" s="35"/>
      <c r="B294" s="36"/>
      <c r="C294" s="6"/>
      <c r="D294" s="6"/>
    </row>
    <row r="295" spans="1:4">
      <c r="A295" s="35"/>
      <c r="B295" s="36"/>
      <c r="C295" s="6"/>
      <c r="D295" s="6"/>
    </row>
    <row r="296" spans="1:4">
      <c r="A296" s="35"/>
      <c r="B296" s="36"/>
      <c r="C296" s="6"/>
      <c r="D296" s="6"/>
    </row>
    <row r="297" spans="1:4">
      <c r="A297" s="35"/>
      <c r="B297" s="36"/>
      <c r="C297" s="6"/>
      <c r="D297" s="6"/>
    </row>
    <row r="298" spans="1:4">
      <c r="A298" s="35"/>
      <c r="B298" s="36"/>
      <c r="C298" s="6"/>
      <c r="D298" s="6"/>
    </row>
    <row r="299" spans="1:4">
      <c r="A299" s="35"/>
      <c r="B299" s="36"/>
      <c r="C299" s="6"/>
      <c r="D299" s="6"/>
    </row>
    <row r="300" spans="1:4">
      <c r="A300" s="35"/>
      <c r="B300" s="36"/>
      <c r="C300" s="6"/>
      <c r="D300" s="6"/>
    </row>
    <row r="301" spans="1:4">
      <c r="A301" s="35"/>
      <c r="B301" s="36"/>
      <c r="C301" s="6"/>
      <c r="D301" s="6"/>
    </row>
    <row r="302" spans="1:4">
      <c r="A302" s="35"/>
      <c r="B302" s="36"/>
      <c r="C302" s="6"/>
      <c r="D302" s="6"/>
    </row>
    <row r="303" spans="1:4">
      <c r="A303" s="35"/>
      <c r="B303" s="36"/>
      <c r="C303" s="6"/>
      <c r="D303" s="6"/>
    </row>
    <row r="304" spans="1:4">
      <c r="A304" s="35"/>
      <c r="B304" s="36"/>
      <c r="C304" s="6"/>
      <c r="D304" s="6"/>
    </row>
    <row r="305" spans="1:4">
      <c r="A305" s="35"/>
      <c r="B305" s="36"/>
      <c r="C305" s="6"/>
      <c r="D305" s="6"/>
    </row>
    <row r="306" spans="1:4">
      <c r="A306" s="35"/>
      <c r="B306" s="36"/>
      <c r="C306" s="6"/>
      <c r="D306" s="6"/>
    </row>
    <row r="307" spans="1:4">
      <c r="A307" s="35"/>
      <c r="B307" s="36"/>
      <c r="C307" s="6"/>
      <c r="D307" s="6"/>
    </row>
    <row r="308" spans="1:4">
      <c r="A308" s="35"/>
      <c r="B308" s="36"/>
      <c r="C308" s="6"/>
      <c r="D308" s="6"/>
    </row>
    <row r="309" spans="1:4">
      <c r="A309" s="35"/>
      <c r="B309" s="36"/>
      <c r="C309" s="6"/>
      <c r="D309" s="6"/>
    </row>
    <row r="310" spans="1:4">
      <c r="A310" s="35"/>
      <c r="B310" s="36"/>
      <c r="C310" s="6"/>
      <c r="D310" s="6"/>
    </row>
    <row r="311" spans="1:4">
      <c r="A311" s="35"/>
      <c r="B311" s="36"/>
      <c r="C311" s="6"/>
      <c r="D311" s="6"/>
    </row>
    <row r="312" spans="1:4">
      <c r="A312" s="35"/>
      <c r="B312" s="36"/>
      <c r="C312" s="6"/>
      <c r="D312" s="6"/>
    </row>
    <row r="313" spans="1:4">
      <c r="A313" s="35"/>
      <c r="B313" s="36"/>
      <c r="C313" s="6"/>
      <c r="D313" s="6"/>
    </row>
    <row r="314" spans="1:4">
      <c r="A314" s="35"/>
      <c r="B314" s="36"/>
      <c r="C314" s="6"/>
      <c r="D314" s="6"/>
    </row>
    <row r="315" spans="1:4">
      <c r="A315" s="35"/>
      <c r="B315" s="36"/>
      <c r="C315" s="6"/>
      <c r="D315" s="6"/>
    </row>
    <row r="316" spans="1:4">
      <c r="A316" s="35"/>
      <c r="B316" s="36"/>
      <c r="C316" s="6"/>
      <c r="D316" s="6"/>
    </row>
    <row r="317" spans="1:4">
      <c r="A317" s="35"/>
      <c r="B317" s="36"/>
      <c r="C317" s="6"/>
      <c r="D317" s="6"/>
    </row>
    <row r="318" spans="1:4">
      <c r="A318" s="35"/>
      <c r="B318" s="36"/>
      <c r="C318" s="6"/>
      <c r="D318" s="6"/>
    </row>
    <row r="319" spans="1:4">
      <c r="A319" s="35"/>
      <c r="B319" s="36"/>
      <c r="C319" s="6"/>
      <c r="D319" s="6"/>
    </row>
    <row r="320" spans="1:4">
      <c r="A320" s="35"/>
      <c r="B320" s="36"/>
      <c r="C320" s="6"/>
      <c r="D320" s="6"/>
    </row>
    <row r="321" spans="1:4">
      <c r="A321" s="35"/>
      <c r="B321" s="36"/>
      <c r="C321" s="6"/>
      <c r="D321" s="6"/>
    </row>
    <row r="322" spans="1:4">
      <c r="A322" s="35"/>
      <c r="B322" s="36"/>
      <c r="C322" s="6"/>
      <c r="D322" s="6"/>
    </row>
    <row r="323" spans="1:4">
      <c r="A323" s="35"/>
      <c r="B323" s="36"/>
      <c r="C323" s="6"/>
      <c r="D323" s="6"/>
    </row>
    <row r="324" spans="1:4">
      <c r="A324" s="35"/>
      <c r="B324" s="36"/>
      <c r="C324" s="6"/>
      <c r="D324" s="6"/>
    </row>
    <row r="325" spans="1:4">
      <c r="A325" s="35"/>
      <c r="B325" s="36"/>
      <c r="C325" s="6"/>
      <c r="D325" s="6"/>
    </row>
    <row r="326" spans="1:4">
      <c r="A326" s="35"/>
      <c r="B326" s="36"/>
      <c r="C326" s="6"/>
      <c r="D326" s="6"/>
    </row>
    <row r="327" spans="1:4">
      <c r="A327" s="35"/>
      <c r="B327" s="36"/>
      <c r="C327" s="6"/>
      <c r="D327" s="6"/>
    </row>
    <row r="328" spans="1:4">
      <c r="A328" s="35"/>
      <c r="B328" s="36"/>
      <c r="C328" s="6"/>
      <c r="D328" s="6"/>
    </row>
    <row r="329" spans="1:4">
      <c r="A329" s="35"/>
      <c r="B329" s="36"/>
      <c r="C329" s="6"/>
      <c r="D329" s="6"/>
    </row>
    <row r="330" spans="1:4">
      <c r="A330" s="35"/>
      <c r="B330" s="36"/>
      <c r="C330" s="6"/>
      <c r="D330" s="6"/>
    </row>
    <row r="331" spans="1:4">
      <c r="A331" s="35"/>
      <c r="B331" s="36"/>
      <c r="C331" s="6"/>
      <c r="D331" s="6"/>
    </row>
    <row r="332" spans="1:4">
      <c r="A332" s="35"/>
      <c r="B332" s="36"/>
      <c r="C332" s="6"/>
      <c r="D332" s="6"/>
    </row>
    <row r="333" spans="1:4">
      <c r="A333" s="35"/>
      <c r="B333" s="36"/>
      <c r="C333" s="6"/>
      <c r="D333" s="6"/>
    </row>
    <row r="334" spans="1:4">
      <c r="A334" s="35"/>
      <c r="B334" s="36"/>
      <c r="C334" s="6"/>
      <c r="D334" s="6"/>
    </row>
    <row r="335" spans="1:4">
      <c r="A335" s="35"/>
      <c r="B335" s="36"/>
      <c r="C335" s="6"/>
      <c r="D335" s="6"/>
    </row>
    <row r="336" spans="1:4">
      <c r="A336" s="35"/>
      <c r="B336" s="36"/>
      <c r="C336" s="6"/>
      <c r="D336" s="6"/>
    </row>
    <row r="337" spans="1:4">
      <c r="A337" s="35"/>
      <c r="B337" s="36"/>
      <c r="C337" s="6"/>
      <c r="D337" s="6"/>
    </row>
    <row r="338" spans="1:4">
      <c r="A338" s="35"/>
      <c r="B338" s="36"/>
      <c r="C338" s="6"/>
      <c r="D338" s="6"/>
    </row>
    <row r="339" spans="1:4">
      <c r="A339" s="35"/>
      <c r="B339" s="36"/>
      <c r="C339" s="6"/>
      <c r="D339" s="6"/>
    </row>
    <row r="340" spans="1:4">
      <c r="A340" s="35"/>
      <c r="B340" s="36"/>
      <c r="C340" s="6"/>
      <c r="D340" s="6"/>
    </row>
    <row r="341" spans="1:4">
      <c r="A341" s="35"/>
      <c r="B341" s="36"/>
      <c r="C341" s="6"/>
      <c r="D341" s="6"/>
    </row>
    <row r="342" spans="1:4">
      <c r="A342" s="35"/>
      <c r="B342" s="36"/>
      <c r="C342" s="6"/>
      <c r="D342" s="6"/>
    </row>
    <row r="343" spans="1:4">
      <c r="A343" s="35"/>
      <c r="B343" s="36"/>
      <c r="C343" s="6"/>
      <c r="D343" s="6"/>
    </row>
    <row r="344" spans="1:4">
      <c r="A344" s="35"/>
      <c r="B344" s="36"/>
      <c r="C344" s="6"/>
      <c r="D344" s="6"/>
    </row>
    <row r="345" spans="1:4">
      <c r="A345" s="35"/>
      <c r="B345" s="36"/>
      <c r="C345" s="6"/>
      <c r="D345" s="6"/>
    </row>
    <row r="346" spans="1:4">
      <c r="A346" s="35"/>
      <c r="B346" s="36"/>
      <c r="C346" s="6"/>
      <c r="D346" s="6"/>
    </row>
    <row r="347" spans="1:4">
      <c r="A347" s="35"/>
      <c r="B347" s="36"/>
      <c r="C347" s="6"/>
      <c r="D347" s="6"/>
    </row>
    <row r="348" spans="1:4">
      <c r="A348" s="35"/>
      <c r="B348" s="36"/>
      <c r="C348" s="6"/>
      <c r="D348" s="6"/>
    </row>
    <row r="349" spans="1:4">
      <c r="A349" s="35"/>
      <c r="B349" s="36"/>
      <c r="C349" s="6"/>
      <c r="D349" s="6"/>
    </row>
    <row r="350" spans="1:4">
      <c r="A350" s="35"/>
      <c r="B350" s="36"/>
      <c r="C350" s="6"/>
      <c r="D350" s="6"/>
    </row>
    <row r="351" spans="1:4">
      <c r="A351" s="35"/>
      <c r="B351" s="36"/>
      <c r="C351" s="6"/>
      <c r="D351" s="6"/>
    </row>
    <row r="352" spans="1:4">
      <c r="A352" s="35"/>
      <c r="B352" s="36"/>
      <c r="C352" s="6"/>
      <c r="D352" s="6"/>
    </row>
    <row r="353" spans="1:4">
      <c r="A353" s="35"/>
      <c r="B353" s="36"/>
      <c r="C353" s="6"/>
      <c r="D353" s="6"/>
    </row>
    <row r="354" spans="1:4">
      <c r="A354" s="35"/>
      <c r="B354" s="36"/>
      <c r="C354" s="6"/>
      <c r="D354" s="6"/>
    </row>
    <row r="355" spans="1:4">
      <c r="A355" s="35"/>
      <c r="B355" s="36"/>
      <c r="C355" s="6"/>
      <c r="D355" s="6"/>
    </row>
    <row r="356" spans="1:4">
      <c r="A356" s="35"/>
      <c r="B356" s="36"/>
      <c r="C356" s="6"/>
      <c r="D356" s="6"/>
    </row>
    <row r="357" spans="1:4">
      <c r="A357" s="35"/>
      <c r="B357" s="36"/>
      <c r="C357" s="6"/>
      <c r="D357" s="6"/>
    </row>
    <row r="358" spans="1:4">
      <c r="A358" s="35"/>
      <c r="B358" s="36"/>
      <c r="C358" s="6"/>
      <c r="D358" s="6"/>
    </row>
    <row r="359" spans="1:4">
      <c r="A359" s="35"/>
      <c r="B359" s="36"/>
      <c r="C359" s="6"/>
      <c r="D359" s="6"/>
    </row>
    <row r="360" spans="1:4">
      <c r="A360" s="35"/>
      <c r="B360" s="36"/>
      <c r="C360" s="6"/>
      <c r="D360" s="6"/>
    </row>
    <row r="361" spans="1:4">
      <c r="A361" s="35"/>
      <c r="B361" s="36"/>
      <c r="C361" s="6"/>
      <c r="D361" s="6"/>
    </row>
    <row r="362" spans="1:4">
      <c r="A362" s="35"/>
      <c r="B362" s="36"/>
      <c r="C362" s="6"/>
      <c r="D362" s="6"/>
    </row>
    <row r="363" spans="1:4">
      <c r="A363" s="35"/>
      <c r="B363" s="36"/>
      <c r="C363" s="6"/>
      <c r="D363" s="6"/>
    </row>
    <row r="364" spans="1:4">
      <c r="A364" s="35"/>
      <c r="B364" s="36"/>
      <c r="C364" s="6"/>
      <c r="D364" s="6"/>
    </row>
    <row r="365" spans="1:4">
      <c r="A365" s="35"/>
      <c r="B365" s="36"/>
      <c r="C365" s="6"/>
      <c r="D365" s="6"/>
    </row>
    <row r="366" spans="1:4">
      <c r="A366" s="35"/>
      <c r="B366" s="36"/>
      <c r="C366" s="6"/>
      <c r="D366" s="6"/>
    </row>
    <row r="367" spans="1:4">
      <c r="A367" s="35"/>
      <c r="B367" s="36"/>
      <c r="C367" s="6"/>
      <c r="D367" s="6"/>
    </row>
    <row r="368" spans="1:4">
      <c r="A368" s="35"/>
      <c r="B368" s="36"/>
      <c r="C368" s="6"/>
      <c r="D368" s="6"/>
    </row>
    <row r="369" spans="1:4">
      <c r="A369" s="35"/>
      <c r="B369" s="36"/>
      <c r="C369" s="6"/>
      <c r="D369" s="6"/>
    </row>
    <row r="370" spans="1:4">
      <c r="A370" s="35"/>
      <c r="B370" s="36"/>
      <c r="C370" s="6"/>
      <c r="D370" s="6"/>
    </row>
    <row r="371" spans="1:4">
      <c r="A371" s="35"/>
      <c r="B371" s="36"/>
      <c r="C371" s="6"/>
      <c r="D371" s="6"/>
    </row>
    <row r="372" spans="1:4">
      <c r="A372" s="35"/>
      <c r="B372" s="36"/>
      <c r="C372" s="6"/>
      <c r="D372" s="6"/>
    </row>
    <row r="373" spans="1:4">
      <c r="A373" s="35"/>
      <c r="B373" s="36"/>
      <c r="C373" s="6"/>
      <c r="D373" s="6"/>
    </row>
    <row r="374" spans="1:4">
      <c r="A374" s="35"/>
      <c r="B374" s="36"/>
      <c r="C374" s="6"/>
      <c r="D374" s="6"/>
    </row>
    <row r="375" spans="1:4">
      <c r="A375" s="35"/>
      <c r="B375" s="36"/>
      <c r="C375" s="6"/>
      <c r="D375" s="6"/>
    </row>
    <row r="376" spans="1:4">
      <c r="A376" s="35"/>
      <c r="B376" s="36"/>
      <c r="C376" s="6"/>
      <c r="D376" s="6"/>
    </row>
    <row r="377" spans="1:4">
      <c r="A377" s="35"/>
      <c r="B377" s="36"/>
      <c r="C377" s="6"/>
      <c r="D377" s="6"/>
    </row>
    <row r="378" spans="1:4">
      <c r="A378" s="35"/>
      <c r="B378" s="36"/>
      <c r="C378" s="6"/>
      <c r="D378" s="6"/>
    </row>
    <row r="379" spans="1:4">
      <c r="A379" s="35"/>
      <c r="B379" s="36"/>
      <c r="C379" s="6"/>
      <c r="D379" s="6"/>
    </row>
    <row r="380" spans="1:4">
      <c r="A380" s="35"/>
      <c r="B380" s="36"/>
      <c r="C380" s="6"/>
      <c r="D380" s="6"/>
    </row>
    <row r="381" spans="1:4">
      <c r="A381" s="35"/>
      <c r="B381" s="36"/>
      <c r="C381" s="6"/>
      <c r="D381" s="6"/>
    </row>
    <row r="382" spans="1:4">
      <c r="A382" s="35"/>
      <c r="B382" s="36"/>
      <c r="C382" s="6"/>
      <c r="D382" s="6"/>
    </row>
    <row r="383" spans="1:4">
      <c r="A383" s="35"/>
      <c r="B383" s="36"/>
      <c r="C383" s="6"/>
      <c r="D383" s="6"/>
    </row>
    <row r="384" spans="1:4">
      <c r="A384" s="35"/>
      <c r="B384" s="36"/>
      <c r="C384" s="6"/>
      <c r="D384" s="6"/>
    </row>
    <row r="385" spans="1:4">
      <c r="A385" s="35"/>
      <c r="B385" s="36"/>
      <c r="C385" s="6"/>
      <c r="D385" s="6"/>
    </row>
    <row r="386" spans="1:4">
      <c r="A386" s="35"/>
      <c r="B386" s="36"/>
      <c r="C386" s="6"/>
      <c r="D386" s="6"/>
    </row>
    <row r="387" spans="1:4">
      <c r="A387" s="35"/>
      <c r="B387" s="36"/>
      <c r="C387" s="6"/>
      <c r="D387" s="6"/>
    </row>
    <row r="388" spans="1:4">
      <c r="A388" s="35"/>
      <c r="B388" s="36"/>
      <c r="C388" s="6"/>
      <c r="D388" s="6"/>
    </row>
    <row r="389" spans="1:4">
      <c r="A389" s="35"/>
      <c r="B389" s="36"/>
      <c r="C389" s="6"/>
      <c r="D389" s="6"/>
    </row>
    <row r="390" spans="1:4">
      <c r="A390" s="35"/>
      <c r="B390" s="36"/>
      <c r="C390" s="6"/>
      <c r="D390" s="6"/>
    </row>
    <row r="391" spans="1:4">
      <c r="A391" s="35"/>
      <c r="B391" s="36"/>
      <c r="C391" s="6"/>
      <c r="D391" s="6"/>
    </row>
    <row r="392" spans="1:4">
      <c r="A392" s="35"/>
      <c r="B392" s="36"/>
      <c r="C392" s="6"/>
      <c r="D392" s="6"/>
    </row>
    <row r="393" spans="1:4">
      <c r="A393" s="35"/>
      <c r="B393" s="36"/>
      <c r="C393" s="6"/>
      <c r="D393" s="6"/>
    </row>
    <row r="394" spans="1:4">
      <c r="A394" s="35"/>
      <c r="B394" s="36"/>
      <c r="C394" s="6"/>
      <c r="D394" s="6"/>
    </row>
    <row r="395" spans="1:4">
      <c r="A395" s="35"/>
      <c r="B395" s="36"/>
      <c r="C395" s="6"/>
      <c r="D395" s="6"/>
    </row>
    <row r="396" spans="1:4">
      <c r="A396" s="35"/>
      <c r="B396" s="36"/>
      <c r="C396" s="6"/>
      <c r="D396" s="6"/>
    </row>
    <row r="397" spans="1:4">
      <c r="A397" s="35"/>
      <c r="B397" s="36"/>
      <c r="C397" s="6"/>
      <c r="D397" s="6"/>
    </row>
    <row r="398" spans="1:4">
      <c r="A398" s="35"/>
      <c r="B398" s="36"/>
      <c r="C398" s="6"/>
      <c r="D398" s="6"/>
    </row>
    <row r="399" spans="1:4">
      <c r="A399" s="35"/>
      <c r="B399" s="36"/>
      <c r="C399" s="6"/>
      <c r="D399" s="6"/>
    </row>
    <row r="400" spans="1:4">
      <c r="A400" s="35"/>
      <c r="B400" s="36"/>
      <c r="C400" s="6"/>
      <c r="D400" s="6"/>
    </row>
    <row r="401" spans="1:4">
      <c r="A401" s="35"/>
      <c r="B401" s="36"/>
      <c r="C401" s="6"/>
      <c r="D401" s="6"/>
    </row>
    <row r="402" spans="1:4">
      <c r="A402" s="35"/>
      <c r="B402" s="36"/>
      <c r="C402" s="6"/>
      <c r="D402" s="6"/>
    </row>
    <row r="403" spans="1:4">
      <c r="A403" s="35"/>
      <c r="B403" s="36"/>
      <c r="C403" s="6"/>
      <c r="D403" s="6"/>
    </row>
    <row r="404" spans="1:4">
      <c r="A404" s="35"/>
      <c r="B404" s="36"/>
      <c r="C404" s="6"/>
      <c r="D404" s="6"/>
    </row>
    <row r="405" spans="1:4">
      <c r="A405" s="35"/>
      <c r="B405" s="36"/>
      <c r="C405" s="6"/>
      <c r="D405" s="6"/>
    </row>
    <row r="406" spans="1:4">
      <c r="A406" s="35"/>
      <c r="B406" s="36"/>
      <c r="C406" s="6"/>
      <c r="D406" s="6"/>
    </row>
    <row r="407" spans="1:4">
      <c r="A407" s="35"/>
      <c r="B407" s="36"/>
      <c r="C407" s="6"/>
      <c r="D407" s="6"/>
    </row>
    <row r="408" spans="1:4">
      <c r="A408" s="35"/>
      <c r="B408" s="36"/>
      <c r="C408" s="6"/>
      <c r="D408" s="6"/>
    </row>
    <row r="409" spans="1:4">
      <c r="A409" s="35"/>
      <c r="B409" s="36"/>
      <c r="C409" s="6"/>
      <c r="D409" s="6"/>
    </row>
    <row r="410" spans="1:4">
      <c r="A410" s="35"/>
      <c r="B410" s="36"/>
      <c r="C410" s="6"/>
      <c r="D410" s="6"/>
    </row>
    <row r="411" spans="1:4">
      <c r="A411" s="35"/>
      <c r="B411" s="36"/>
      <c r="C411" s="6"/>
      <c r="D411" s="6"/>
    </row>
    <row r="412" spans="1:4">
      <c r="A412" s="35"/>
      <c r="B412" s="36"/>
      <c r="C412" s="6"/>
      <c r="D412" s="6"/>
    </row>
    <row r="413" spans="1:4">
      <c r="A413" s="35"/>
      <c r="B413" s="36"/>
      <c r="C413" s="6"/>
      <c r="D413" s="6"/>
    </row>
    <row r="414" spans="1:4">
      <c r="A414" s="35"/>
      <c r="B414" s="36"/>
      <c r="C414" s="6"/>
      <c r="D414" s="6"/>
    </row>
    <row r="415" spans="1:4">
      <c r="A415" s="35"/>
      <c r="B415" s="36"/>
      <c r="C415" s="6"/>
      <c r="D415" s="6"/>
    </row>
    <row r="416" spans="1:4">
      <c r="A416" s="35"/>
      <c r="B416" s="36"/>
      <c r="C416" s="6"/>
      <c r="D416" s="6"/>
    </row>
    <row r="417" spans="1:4">
      <c r="A417" s="35"/>
      <c r="B417" s="36"/>
      <c r="C417" s="6"/>
      <c r="D417" s="6"/>
    </row>
    <row r="418" spans="1:4">
      <c r="A418" s="35"/>
      <c r="B418" s="36"/>
      <c r="C418" s="6"/>
      <c r="D418" s="6"/>
    </row>
    <row r="419" spans="1:4">
      <c r="A419" s="35"/>
      <c r="B419" s="36"/>
      <c r="C419" s="6"/>
      <c r="D419" s="6"/>
    </row>
    <row r="420" spans="1:4">
      <c r="A420" s="35"/>
      <c r="B420" s="36"/>
      <c r="C420" s="6"/>
      <c r="D420" s="6"/>
    </row>
    <row r="421" spans="1:4">
      <c r="A421" s="35"/>
      <c r="B421" s="36"/>
      <c r="C421" s="6"/>
      <c r="D421" s="6"/>
    </row>
    <row r="422" spans="1:4">
      <c r="A422" s="35"/>
      <c r="B422" s="36"/>
      <c r="C422" s="6"/>
      <c r="D422" s="6"/>
    </row>
    <row r="423" spans="1:4">
      <c r="A423" s="35"/>
      <c r="B423" s="36"/>
      <c r="C423" s="6"/>
      <c r="D423" s="6"/>
    </row>
    <row r="424" spans="1:4">
      <c r="A424" s="35"/>
      <c r="B424" s="36"/>
      <c r="C424" s="6"/>
      <c r="D424" s="6"/>
    </row>
    <row r="425" spans="1:4">
      <c r="A425" s="35"/>
      <c r="B425" s="36"/>
      <c r="C425" s="6"/>
      <c r="D425" s="6"/>
    </row>
    <row r="426" spans="1:4">
      <c r="A426" s="35"/>
      <c r="B426" s="36"/>
      <c r="C426" s="6"/>
      <c r="D426" s="6"/>
    </row>
    <row r="427" spans="1:4">
      <c r="A427" s="35"/>
      <c r="B427" s="36"/>
      <c r="C427" s="6"/>
      <c r="D427" s="6"/>
    </row>
    <row r="428" spans="1:4">
      <c r="A428" s="35"/>
      <c r="B428" s="36"/>
      <c r="C428" s="6"/>
      <c r="D428" s="6"/>
    </row>
    <row r="429" spans="1:4">
      <c r="A429" s="35"/>
      <c r="B429" s="36"/>
      <c r="C429" s="6"/>
      <c r="D429" s="6"/>
    </row>
    <row r="430" spans="1:4">
      <c r="A430" s="35"/>
      <c r="B430" s="36"/>
      <c r="C430" s="6"/>
      <c r="D430" s="6"/>
    </row>
    <row r="431" spans="1:4">
      <c r="A431" s="35"/>
      <c r="B431" s="36"/>
      <c r="C431" s="6"/>
      <c r="D431" s="6"/>
    </row>
    <row r="432" spans="1:4">
      <c r="A432" s="35"/>
      <c r="B432" s="36"/>
      <c r="C432" s="6"/>
      <c r="D432" s="6"/>
    </row>
    <row r="433" spans="1:4">
      <c r="A433" s="35"/>
      <c r="B433" s="36"/>
      <c r="C433" s="6"/>
      <c r="D433" s="6"/>
    </row>
    <row r="434" spans="1:4">
      <c r="A434" s="35"/>
      <c r="B434" s="36"/>
      <c r="C434" s="6"/>
      <c r="D434" s="6"/>
    </row>
    <row r="435" spans="1:4">
      <c r="A435" s="35"/>
      <c r="B435" s="36"/>
      <c r="C435" s="6"/>
      <c r="D435" s="6"/>
    </row>
    <row r="436" spans="1:4">
      <c r="A436" s="35"/>
      <c r="B436" s="36"/>
      <c r="C436" s="6"/>
      <c r="D436" s="6"/>
    </row>
    <row r="437" spans="1:4">
      <c r="A437" s="35"/>
      <c r="B437" s="36"/>
      <c r="C437" s="6"/>
      <c r="D437" s="6"/>
    </row>
    <row r="438" spans="1:4">
      <c r="A438" s="35"/>
      <c r="B438" s="36"/>
      <c r="C438" s="6"/>
      <c r="D438" s="6"/>
    </row>
    <row r="439" spans="1:4">
      <c r="A439" s="35"/>
      <c r="B439" s="36"/>
      <c r="C439" s="6"/>
      <c r="D439" s="6"/>
    </row>
    <row r="440" spans="1:4">
      <c r="A440" s="35"/>
      <c r="B440" s="36"/>
      <c r="C440" s="6"/>
      <c r="D440" s="6"/>
    </row>
    <row r="441" spans="1:4">
      <c r="A441" s="35"/>
      <c r="B441" s="36"/>
      <c r="C441" s="6"/>
      <c r="D441" s="6"/>
    </row>
    <row r="442" spans="1:4">
      <c r="A442" s="35"/>
      <c r="B442" s="36"/>
      <c r="C442" s="6"/>
      <c r="D442" s="6"/>
    </row>
    <row r="443" spans="1:4">
      <c r="A443" s="35"/>
      <c r="B443" s="36"/>
      <c r="C443" s="6"/>
      <c r="D443" s="6"/>
    </row>
    <row r="444" spans="1:4">
      <c r="A444" s="35"/>
      <c r="B444" s="36"/>
      <c r="C444" s="6"/>
      <c r="D444" s="6"/>
    </row>
    <row r="445" spans="1:4">
      <c r="A445" s="35"/>
      <c r="B445" s="36"/>
      <c r="C445" s="6"/>
      <c r="D445" s="6"/>
    </row>
    <row r="446" spans="1:4">
      <c r="A446" s="35"/>
      <c r="B446" s="36"/>
      <c r="C446" s="6"/>
      <c r="D446" s="6"/>
    </row>
    <row r="447" spans="1:4">
      <c r="A447" s="35"/>
      <c r="B447" s="36"/>
      <c r="C447" s="6"/>
      <c r="D447" s="6"/>
    </row>
    <row r="448" spans="1:4">
      <c r="A448" s="35"/>
      <c r="B448" s="36"/>
      <c r="C448" s="6"/>
      <c r="D448" s="6"/>
    </row>
    <row r="449" spans="1:4">
      <c r="A449" s="35"/>
      <c r="B449" s="36"/>
      <c r="C449" s="6"/>
      <c r="D449" s="6"/>
    </row>
    <row r="450" spans="1:4">
      <c r="A450" s="35"/>
      <c r="B450" s="36"/>
      <c r="C450" s="6"/>
      <c r="D450" s="6"/>
    </row>
    <row r="451" spans="1:4">
      <c r="A451" s="35"/>
      <c r="B451" s="36"/>
      <c r="C451" s="6"/>
      <c r="D451" s="6"/>
    </row>
    <row r="452" spans="1:4">
      <c r="A452" s="35"/>
      <c r="B452" s="36"/>
      <c r="C452" s="6"/>
      <c r="D452" s="6"/>
    </row>
    <row r="453" spans="1:4">
      <c r="A453" s="35"/>
      <c r="B453" s="36"/>
      <c r="C453" s="6"/>
      <c r="D453" s="6"/>
    </row>
    <row r="454" spans="1:4">
      <c r="A454" s="35"/>
      <c r="B454" s="36"/>
      <c r="C454" s="6"/>
      <c r="D454" s="6"/>
    </row>
    <row r="455" spans="1:4">
      <c r="A455" s="35"/>
      <c r="B455" s="36"/>
      <c r="C455" s="6"/>
      <c r="D455" s="6"/>
    </row>
    <row r="456" spans="1:4">
      <c r="A456" s="35"/>
      <c r="B456" s="36"/>
      <c r="C456" s="6"/>
      <c r="D456" s="6"/>
    </row>
    <row r="457" spans="1:4">
      <c r="A457" s="35"/>
      <c r="B457" s="36"/>
      <c r="C457" s="6"/>
      <c r="D457" s="6"/>
    </row>
    <row r="458" spans="1:4">
      <c r="A458" s="35"/>
      <c r="B458" s="36"/>
      <c r="C458" s="6"/>
      <c r="D458" s="6"/>
    </row>
    <row r="459" spans="1:4">
      <c r="A459" s="35"/>
      <c r="B459" s="36"/>
      <c r="C459" s="6"/>
      <c r="D459" s="6"/>
    </row>
    <row r="460" spans="1:4">
      <c r="A460" s="35"/>
      <c r="B460" s="36"/>
      <c r="C460" s="6"/>
      <c r="D460" s="6"/>
    </row>
    <row r="461" spans="1:4">
      <c r="A461" s="35"/>
      <c r="B461" s="36"/>
      <c r="C461" s="6"/>
      <c r="D461" s="6"/>
    </row>
    <row r="462" spans="1:4">
      <c r="A462" s="35"/>
      <c r="B462" s="36"/>
      <c r="C462" s="6"/>
      <c r="D462" s="6"/>
    </row>
    <row r="463" spans="1:4">
      <c r="A463" s="35"/>
      <c r="B463" s="36"/>
      <c r="C463" s="6"/>
      <c r="D463" s="6"/>
    </row>
    <row r="464" spans="1:4">
      <c r="A464" s="35"/>
      <c r="B464" s="36"/>
      <c r="C464" s="6"/>
      <c r="D464" s="6"/>
    </row>
    <row r="465" spans="1:4">
      <c r="A465" s="35"/>
      <c r="B465" s="36"/>
      <c r="C465" s="6"/>
      <c r="D465" s="6"/>
    </row>
    <row r="466" spans="1:4">
      <c r="A466" s="35"/>
      <c r="B466" s="36"/>
      <c r="C466" s="6"/>
      <c r="D466" s="6"/>
    </row>
    <row r="467" spans="1:4">
      <c r="A467" s="35"/>
      <c r="B467" s="36"/>
      <c r="C467" s="6"/>
      <c r="D467" s="6"/>
    </row>
    <row r="468" spans="1:4">
      <c r="A468" s="35"/>
      <c r="B468" s="36"/>
      <c r="C468" s="6"/>
      <c r="D468" s="6"/>
    </row>
    <row r="469" spans="1:4">
      <c r="A469" s="35"/>
      <c r="B469" s="36"/>
      <c r="C469" s="6"/>
      <c r="D469" s="6"/>
    </row>
    <row r="470" spans="1:4">
      <c r="A470" s="35"/>
      <c r="B470" s="36"/>
      <c r="C470" s="6"/>
      <c r="D470" s="6"/>
    </row>
    <row r="471" spans="1:4">
      <c r="A471" s="35"/>
      <c r="B471" s="36"/>
      <c r="C471" s="6"/>
      <c r="D471" s="6"/>
    </row>
    <row r="472" spans="1:4">
      <c r="A472" s="35"/>
      <c r="B472" s="36"/>
      <c r="C472" s="6"/>
      <c r="D472" s="6"/>
    </row>
    <row r="473" spans="1:4">
      <c r="A473" s="35"/>
      <c r="B473" s="36"/>
      <c r="C473" s="6"/>
      <c r="D473" s="6"/>
    </row>
    <row r="474" spans="1:4">
      <c r="A474" s="35"/>
      <c r="B474" s="36"/>
      <c r="C474" s="6"/>
      <c r="D474" s="6"/>
    </row>
    <row r="475" spans="1:4">
      <c r="A475" s="35"/>
      <c r="B475" s="36"/>
      <c r="C475" s="6"/>
      <c r="D475" s="6"/>
    </row>
    <row r="476" spans="1:4">
      <c r="A476" s="35"/>
      <c r="B476" s="36"/>
      <c r="C476" s="6"/>
      <c r="D476" s="6"/>
    </row>
    <row r="477" spans="1:4">
      <c r="A477" s="35"/>
      <c r="B477" s="36"/>
      <c r="C477" s="6"/>
      <c r="D477" s="6"/>
    </row>
    <row r="478" spans="1:4">
      <c r="A478" s="35"/>
      <c r="B478" s="36"/>
      <c r="C478" s="6"/>
      <c r="D478" s="6"/>
    </row>
    <row r="479" spans="1:4">
      <c r="A479" s="35"/>
      <c r="B479" s="36"/>
      <c r="C479" s="6"/>
      <c r="D479" s="6"/>
    </row>
    <row r="480" spans="1:4">
      <c r="A480" s="35"/>
      <c r="B480" s="36"/>
      <c r="C480" s="6"/>
      <c r="D480" s="6"/>
    </row>
    <row r="481" spans="1:4">
      <c r="A481" s="35"/>
      <c r="B481" s="36"/>
      <c r="C481" s="6"/>
      <c r="D481" s="6"/>
    </row>
    <row r="482" spans="1:4">
      <c r="A482" s="35"/>
      <c r="B482" s="36"/>
      <c r="C482" s="6"/>
      <c r="D482" s="6"/>
    </row>
    <row r="483" spans="1:4">
      <c r="A483" s="35"/>
      <c r="B483" s="36"/>
      <c r="C483" s="6"/>
      <c r="D483" s="6"/>
    </row>
    <row r="484" spans="1:4">
      <c r="A484" s="35"/>
      <c r="B484" s="36"/>
      <c r="C484" s="6"/>
      <c r="D484" s="6"/>
    </row>
    <row r="485" spans="1:4">
      <c r="A485" s="35"/>
      <c r="B485" s="36"/>
      <c r="C485" s="6"/>
      <c r="D485" s="6"/>
    </row>
    <row r="486" spans="1:4">
      <c r="A486" s="35"/>
      <c r="B486" s="36"/>
      <c r="C486" s="6"/>
      <c r="D486" s="6"/>
    </row>
    <row r="487" spans="1:4">
      <c r="A487" s="35"/>
      <c r="B487" s="36"/>
      <c r="C487" s="6"/>
      <c r="D487" s="6"/>
    </row>
    <row r="488" spans="1:4">
      <c r="A488" s="35"/>
      <c r="B488" s="36"/>
      <c r="C488" s="6"/>
      <c r="D488" s="6"/>
    </row>
    <row r="489" spans="1:4">
      <c r="A489" s="35"/>
      <c r="B489" s="36"/>
      <c r="C489" s="6"/>
      <c r="D489" s="6"/>
    </row>
    <row r="490" spans="1:4">
      <c r="A490" s="35"/>
      <c r="B490" s="36"/>
      <c r="C490" s="6"/>
      <c r="D490" s="6"/>
    </row>
    <row r="491" spans="1:4">
      <c r="A491" s="35"/>
      <c r="B491" s="36"/>
      <c r="C491" s="6"/>
      <c r="D491" s="6"/>
    </row>
    <row r="492" spans="1:4">
      <c r="A492" s="35"/>
      <c r="B492" s="36"/>
      <c r="C492" s="6"/>
      <c r="D492" s="6"/>
    </row>
    <row r="493" spans="1:4">
      <c r="A493" s="35"/>
      <c r="B493" s="36"/>
      <c r="C493" s="6"/>
      <c r="D493" s="6"/>
    </row>
    <row r="494" spans="1:4">
      <c r="A494" s="35"/>
      <c r="B494" s="36"/>
      <c r="C494" s="6"/>
      <c r="D494" s="6"/>
    </row>
    <row r="495" spans="1:4">
      <c r="A495" s="35"/>
      <c r="B495" s="36"/>
      <c r="C495" s="6"/>
      <c r="D495" s="6"/>
    </row>
    <row r="496" spans="1:4">
      <c r="A496" s="35"/>
      <c r="B496" s="36"/>
      <c r="C496" s="6"/>
      <c r="D496" s="6"/>
    </row>
    <row r="497" spans="1:4">
      <c r="A497" s="35"/>
      <c r="B497" s="36"/>
      <c r="C497" s="6"/>
      <c r="D497" s="6"/>
    </row>
    <row r="498" spans="1:4">
      <c r="A498" s="35"/>
      <c r="B498" s="36"/>
      <c r="C498" s="6"/>
      <c r="D498" s="6"/>
    </row>
    <row r="499" spans="1:4">
      <c r="A499" s="35"/>
      <c r="B499" s="36"/>
      <c r="C499" s="6"/>
      <c r="D499" s="6"/>
    </row>
    <row r="500" spans="1:4">
      <c r="A500" s="35"/>
      <c r="B500" s="36"/>
      <c r="C500" s="6"/>
      <c r="D500" s="6"/>
    </row>
    <row r="501" spans="1:4">
      <c r="A501" s="35"/>
      <c r="B501" s="36"/>
      <c r="C501" s="6"/>
      <c r="D501" s="6"/>
    </row>
    <row r="502" spans="1:4">
      <c r="A502" s="35"/>
      <c r="B502" s="36"/>
      <c r="C502" s="6"/>
      <c r="D502" s="6"/>
    </row>
    <row r="503" spans="1:4">
      <c r="A503" s="35"/>
      <c r="B503" s="36"/>
      <c r="C503" s="6"/>
      <c r="D503" s="6"/>
    </row>
    <row r="504" spans="1:4">
      <c r="A504" s="35"/>
      <c r="B504" s="36"/>
      <c r="C504" s="6"/>
      <c r="D504" s="6"/>
    </row>
    <row r="505" spans="1:4">
      <c r="A505" s="35"/>
      <c r="B505" s="36"/>
      <c r="C505" s="6"/>
      <c r="D505" s="6"/>
    </row>
    <row r="506" spans="1:4">
      <c r="A506" s="35"/>
      <c r="B506" s="36"/>
      <c r="C506" s="6"/>
      <c r="D506" s="6"/>
    </row>
    <row r="507" spans="1:4">
      <c r="A507" s="35"/>
      <c r="B507" s="36"/>
      <c r="C507" s="6"/>
      <c r="D507" s="6"/>
    </row>
    <row r="508" spans="1:4">
      <c r="A508" s="35"/>
      <c r="B508" s="36"/>
      <c r="C508" s="6"/>
      <c r="D508" s="6"/>
    </row>
    <row r="509" spans="1:4">
      <c r="A509" s="35"/>
      <c r="B509" s="36"/>
      <c r="C509" s="6"/>
      <c r="D509" s="6"/>
    </row>
    <row r="510" spans="1:4">
      <c r="A510" s="35"/>
      <c r="B510" s="36"/>
      <c r="C510" s="6"/>
      <c r="D510" s="6"/>
    </row>
    <row r="511" spans="1:4">
      <c r="A511" s="35"/>
      <c r="B511" s="36"/>
      <c r="C511" s="6"/>
      <c r="D511" s="6"/>
    </row>
    <row r="512" spans="1:4">
      <c r="A512" s="35"/>
      <c r="B512" s="36"/>
      <c r="C512" s="6"/>
      <c r="D512" s="6"/>
    </row>
    <row r="513" spans="1:4">
      <c r="A513" s="35"/>
      <c r="B513" s="36"/>
      <c r="C513" s="6"/>
      <c r="D513" s="6"/>
    </row>
    <row r="514" spans="1:4">
      <c r="A514" s="35"/>
      <c r="B514" s="36"/>
      <c r="C514" s="6"/>
      <c r="D514" s="6"/>
    </row>
    <row r="515" spans="1:4">
      <c r="A515" s="35"/>
      <c r="B515" s="36"/>
      <c r="C515" s="6"/>
      <c r="D515" s="6"/>
    </row>
    <row r="516" spans="1:4">
      <c r="A516" s="35"/>
      <c r="B516" s="36"/>
      <c r="C516" s="6"/>
      <c r="D516" s="6"/>
    </row>
    <row r="517" spans="1:4">
      <c r="A517" s="35"/>
      <c r="B517" s="36"/>
      <c r="C517" s="6"/>
      <c r="D517" s="6"/>
    </row>
    <row r="518" spans="1:4">
      <c r="A518" s="35"/>
      <c r="B518" s="36"/>
      <c r="C518" s="6"/>
      <c r="D518" s="6"/>
    </row>
    <row r="519" spans="1:4">
      <c r="A519" s="35"/>
      <c r="B519" s="36"/>
      <c r="C519" s="6"/>
      <c r="D519" s="6"/>
    </row>
    <row r="520" spans="1:4">
      <c r="A520" s="35"/>
      <c r="B520" s="36"/>
      <c r="C520" s="6"/>
      <c r="D520" s="6"/>
    </row>
    <row r="521" spans="1:4">
      <c r="A521" s="35"/>
      <c r="B521" s="36"/>
      <c r="C521" s="6"/>
      <c r="D521" s="6"/>
    </row>
    <row r="522" spans="1:4">
      <c r="A522" s="35"/>
      <c r="B522" s="36"/>
      <c r="C522" s="6"/>
      <c r="D522" s="6"/>
    </row>
    <row r="523" spans="1:4">
      <c r="A523" s="35"/>
      <c r="B523" s="36"/>
      <c r="C523" s="6"/>
      <c r="D523" s="6"/>
    </row>
    <row r="524" spans="1:4">
      <c r="A524" s="35"/>
      <c r="B524" s="36"/>
      <c r="C524" s="6"/>
      <c r="D524" s="6"/>
    </row>
    <row r="525" spans="1:4">
      <c r="A525" s="35"/>
      <c r="B525" s="36"/>
      <c r="C525" s="6"/>
      <c r="D525" s="6"/>
    </row>
    <row r="526" spans="1:4">
      <c r="A526" s="35"/>
      <c r="B526" s="36"/>
      <c r="C526" s="6"/>
      <c r="D526" s="6"/>
    </row>
    <row r="527" spans="1:4">
      <c r="A527" s="35"/>
      <c r="B527" s="36"/>
      <c r="C527" s="6"/>
      <c r="D527" s="6"/>
    </row>
    <row r="528" spans="1:4">
      <c r="A528" s="35"/>
      <c r="B528" s="36"/>
      <c r="C528" s="6"/>
      <c r="D528" s="6"/>
    </row>
    <row r="529" spans="1:4">
      <c r="A529" s="35"/>
      <c r="B529" s="36"/>
      <c r="C529" s="6"/>
      <c r="D529" s="6"/>
    </row>
    <row r="530" spans="1:4">
      <c r="A530" s="35"/>
      <c r="B530" s="36"/>
      <c r="C530" s="6"/>
      <c r="D530" s="6"/>
    </row>
    <row r="531" spans="1:4">
      <c r="A531" s="35"/>
      <c r="B531" s="36"/>
      <c r="C531" s="6"/>
      <c r="D531" s="6"/>
    </row>
    <row r="532" spans="1:4">
      <c r="A532" s="35"/>
      <c r="B532" s="36"/>
      <c r="C532" s="6"/>
      <c r="D532" s="6"/>
    </row>
    <row r="533" spans="1:4">
      <c r="A533" s="35"/>
      <c r="B533" s="36"/>
      <c r="C533" s="6"/>
      <c r="D533" s="6"/>
    </row>
    <row r="534" spans="1:4">
      <c r="A534" s="35"/>
      <c r="B534" s="36"/>
      <c r="C534" s="6"/>
      <c r="D534" s="6"/>
    </row>
    <row r="535" spans="1:4">
      <c r="A535" s="35"/>
      <c r="B535" s="36"/>
      <c r="C535" s="6"/>
      <c r="D535" s="6"/>
    </row>
    <row r="536" spans="1:4">
      <c r="A536" s="35"/>
      <c r="B536" s="36"/>
      <c r="C536" s="6"/>
      <c r="D536" s="6"/>
    </row>
    <row r="537" spans="1:4">
      <c r="A537" s="35"/>
      <c r="B537" s="36"/>
      <c r="C537" s="6"/>
      <c r="D537" s="6"/>
    </row>
    <row r="538" spans="1:4">
      <c r="A538" s="35"/>
      <c r="B538" s="36"/>
      <c r="C538" s="6"/>
      <c r="D538" s="6"/>
    </row>
    <row r="539" spans="1:4">
      <c r="A539" s="35"/>
      <c r="B539" s="36"/>
      <c r="C539" s="6"/>
      <c r="D539" s="6"/>
    </row>
    <row r="540" spans="1:4">
      <c r="A540" s="35"/>
      <c r="B540" s="36"/>
      <c r="C540" s="6"/>
      <c r="D540" s="6"/>
    </row>
    <row r="541" spans="1:4">
      <c r="A541" s="35"/>
      <c r="B541" s="36"/>
      <c r="C541" s="6"/>
      <c r="D541" s="6"/>
    </row>
    <row r="542" spans="1:4">
      <c r="A542" s="35"/>
      <c r="B542" s="36"/>
      <c r="C542" s="6"/>
      <c r="D542" s="6"/>
    </row>
    <row r="543" spans="1:4">
      <c r="A543" s="35"/>
      <c r="B543" s="36"/>
      <c r="C543" s="6"/>
      <c r="D543" s="6"/>
    </row>
    <row r="544" spans="1:4">
      <c r="A544" s="35"/>
      <c r="B544" s="36"/>
      <c r="C544" s="6"/>
      <c r="D544" s="6"/>
    </row>
    <row r="545" spans="1:4">
      <c r="A545" s="35"/>
      <c r="B545" s="36"/>
      <c r="C545" s="6"/>
      <c r="D545" s="6"/>
    </row>
    <row r="546" spans="1:4">
      <c r="A546" s="35"/>
      <c r="B546" s="36"/>
      <c r="C546" s="6"/>
      <c r="D546" s="6"/>
    </row>
    <row r="547" spans="1:4">
      <c r="A547" s="35"/>
      <c r="B547" s="36"/>
      <c r="C547" s="6"/>
      <c r="D547" s="6"/>
    </row>
    <row r="548" spans="1:4">
      <c r="A548" s="35"/>
      <c r="B548" s="36"/>
      <c r="C548" s="6"/>
      <c r="D548" s="6"/>
    </row>
    <row r="549" spans="1:4">
      <c r="A549" s="35"/>
      <c r="B549" s="36"/>
      <c r="C549" s="6"/>
      <c r="D549" s="6"/>
    </row>
    <row r="550" spans="1:4">
      <c r="A550" s="35"/>
      <c r="B550" s="36"/>
      <c r="C550" s="6"/>
      <c r="D550" s="6"/>
    </row>
    <row r="551" spans="1:4">
      <c r="A551" s="35"/>
      <c r="B551" s="36"/>
      <c r="C551" s="6"/>
      <c r="D551" s="6"/>
    </row>
    <row r="552" spans="1:4">
      <c r="A552" s="35"/>
      <c r="B552" s="36"/>
      <c r="C552" s="6"/>
      <c r="D552" s="6"/>
    </row>
    <row r="553" spans="1:4">
      <c r="A553" s="35"/>
      <c r="B553" s="36"/>
      <c r="C553" s="6"/>
      <c r="D553" s="6"/>
    </row>
    <row r="554" spans="1:4">
      <c r="A554" s="35"/>
      <c r="B554" s="36"/>
      <c r="C554" s="6"/>
      <c r="D554" s="6"/>
    </row>
    <row r="555" spans="1:4">
      <c r="A555" s="35"/>
      <c r="B555" s="36"/>
      <c r="C555" s="6"/>
      <c r="D555" s="6"/>
    </row>
    <row r="556" spans="1:4">
      <c r="A556" s="35"/>
      <c r="B556" s="36"/>
      <c r="C556" s="6"/>
      <c r="D556" s="6"/>
    </row>
    <row r="557" spans="1:4">
      <c r="A557" s="35"/>
      <c r="B557" s="36"/>
      <c r="C557" s="6"/>
      <c r="D557" s="6"/>
    </row>
    <row r="558" spans="1:4">
      <c r="A558" s="35"/>
      <c r="B558" s="36"/>
      <c r="C558" s="6"/>
      <c r="D558" s="6"/>
    </row>
    <row r="559" spans="1:4">
      <c r="A559" s="35"/>
      <c r="B559" s="36"/>
      <c r="C559" s="6"/>
      <c r="D559" s="6"/>
    </row>
    <row r="560" spans="1:4">
      <c r="A560" s="35"/>
      <c r="B560" s="36"/>
      <c r="C560" s="6"/>
      <c r="D560" s="6"/>
    </row>
    <row r="561" spans="1:4">
      <c r="A561" s="35"/>
      <c r="B561" s="36"/>
      <c r="C561" s="6"/>
      <c r="D561" s="6"/>
    </row>
    <row r="562" spans="1:4">
      <c r="A562" s="35"/>
      <c r="B562" s="36"/>
      <c r="C562" s="6"/>
      <c r="D562" s="6"/>
    </row>
    <row r="563" spans="1:4">
      <c r="A563" s="35"/>
      <c r="B563" s="36"/>
      <c r="C563" s="6"/>
      <c r="D563" s="6"/>
    </row>
    <row r="564" spans="1:4">
      <c r="A564" s="35"/>
      <c r="B564" s="36"/>
      <c r="C564" s="6"/>
      <c r="D564" s="6"/>
    </row>
    <row r="565" spans="1:4">
      <c r="A565" s="35"/>
      <c r="B565" s="36"/>
      <c r="C565" s="6"/>
      <c r="D565" s="6"/>
    </row>
    <row r="566" spans="1:4">
      <c r="A566" s="35"/>
      <c r="B566" s="36"/>
      <c r="C566" s="6"/>
      <c r="D566" s="6"/>
    </row>
    <row r="567" spans="1:4">
      <c r="A567" s="35"/>
      <c r="B567" s="36"/>
      <c r="C567" s="6"/>
      <c r="D567" s="6"/>
    </row>
    <row r="568" spans="1:4">
      <c r="A568" s="35"/>
      <c r="B568" s="36"/>
      <c r="C568" s="6"/>
      <c r="D568" s="6"/>
    </row>
    <row r="569" spans="1:4">
      <c r="A569" s="35"/>
      <c r="B569" s="36"/>
      <c r="C569" s="6"/>
      <c r="D569" s="6"/>
    </row>
    <row r="570" spans="1:4">
      <c r="A570" s="35"/>
      <c r="B570" s="36"/>
      <c r="C570" s="6"/>
      <c r="D570" s="6"/>
    </row>
    <row r="571" spans="1:4">
      <c r="A571" s="35"/>
      <c r="B571" s="36"/>
      <c r="C571" s="6"/>
      <c r="D571" s="6"/>
    </row>
    <row r="572" spans="1:4">
      <c r="A572" s="35"/>
      <c r="B572" s="36"/>
      <c r="C572" s="6"/>
      <c r="D572" s="6"/>
    </row>
    <row r="573" spans="1:4">
      <c r="A573" s="35"/>
      <c r="B573" s="36"/>
      <c r="C573" s="6"/>
      <c r="D573" s="6"/>
    </row>
    <row r="574" spans="1:4">
      <c r="A574" s="35"/>
      <c r="B574" s="36"/>
      <c r="C574" s="6"/>
      <c r="D574" s="6"/>
    </row>
    <row r="575" spans="1:4">
      <c r="A575" s="35"/>
      <c r="B575" s="36"/>
      <c r="C575" s="6"/>
      <c r="D575" s="6"/>
    </row>
    <row r="576" spans="1:4">
      <c r="A576" s="35"/>
      <c r="B576" s="36"/>
      <c r="C576" s="6"/>
      <c r="D576" s="6"/>
    </row>
    <row r="577" spans="1:4">
      <c r="A577" s="35"/>
      <c r="B577" s="36"/>
      <c r="C577" s="6"/>
      <c r="D577" s="6"/>
    </row>
    <row r="578" spans="1:4">
      <c r="A578" s="35"/>
      <c r="B578" s="36"/>
      <c r="C578" s="6"/>
      <c r="D578" s="6"/>
    </row>
    <row r="579" spans="1:4">
      <c r="A579" s="35"/>
      <c r="B579" s="36"/>
      <c r="C579" s="6"/>
      <c r="D579" s="6"/>
    </row>
    <row r="580" spans="1:4">
      <c r="A580" s="35"/>
      <c r="B580" s="36"/>
      <c r="C580" s="6"/>
      <c r="D580" s="6"/>
    </row>
    <row r="581" spans="1:4">
      <c r="A581" s="35"/>
      <c r="B581" s="36"/>
      <c r="C581" s="6"/>
      <c r="D581" s="6"/>
    </row>
    <row r="582" spans="1:4">
      <c r="A582" s="35"/>
      <c r="B582" s="36"/>
      <c r="C582" s="6"/>
      <c r="D582" s="6"/>
    </row>
    <row r="583" spans="1:4">
      <c r="A583" s="35"/>
      <c r="B583" s="36"/>
      <c r="C583" s="6"/>
      <c r="D583" s="6"/>
    </row>
    <row r="584" spans="1:4">
      <c r="A584" s="35"/>
      <c r="B584" s="36"/>
      <c r="C584" s="6"/>
      <c r="D584" s="6"/>
    </row>
    <row r="585" spans="1:4">
      <c r="A585" s="35"/>
      <c r="B585" s="36"/>
      <c r="C585" s="6"/>
      <c r="D585" s="6"/>
    </row>
    <row r="586" spans="1:4">
      <c r="A586" s="35"/>
      <c r="B586" s="36"/>
      <c r="C586" s="6"/>
      <c r="D586" s="6"/>
    </row>
    <row r="587" spans="1:4">
      <c r="A587" s="35"/>
      <c r="B587" s="36"/>
      <c r="C587" s="6"/>
      <c r="D587" s="6"/>
    </row>
    <row r="588" spans="1:4">
      <c r="A588" s="35"/>
      <c r="B588" s="36"/>
      <c r="C588" s="6"/>
      <c r="D588" s="6"/>
    </row>
    <row r="589" spans="1:4">
      <c r="A589" s="35"/>
      <c r="B589" s="36"/>
      <c r="C589" s="6"/>
      <c r="D589" s="6"/>
    </row>
    <row r="590" spans="1:4">
      <c r="A590" s="35"/>
      <c r="B590" s="36"/>
      <c r="C590" s="6"/>
      <c r="D590" s="6"/>
    </row>
    <row r="591" spans="1:4">
      <c r="A591" s="35"/>
      <c r="B591" s="36"/>
      <c r="C591" s="6"/>
      <c r="D591" s="6"/>
    </row>
    <row r="592" spans="1:4">
      <c r="A592" s="35"/>
      <c r="B592" s="36"/>
      <c r="C592" s="6"/>
      <c r="D592" s="6"/>
    </row>
    <row r="593" spans="1:4">
      <c r="A593" s="35"/>
      <c r="B593" s="36"/>
      <c r="C593" s="6"/>
      <c r="D593" s="6"/>
    </row>
    <row r="594" spans="1:4">
      <c r="A594" s="35"/>
      <c r="B594" s="36"/>
      <c r="C594" s="6"/>
      <c r="D594" s="6"/>
    </row>
    <row r="595" spans="1:4">
      <c r="A595" s="35"/>
      <c r="B595" s="36"/>
      <c r="C595" s="6"/>
      <c r="D595" s="6"/>
    </row>
    <row r="596" spans="1:4">
      <c r="A596" s="35"/>
      <c r="B596" s="36"/>
      <c r="C596" s="6"/>
      <c r="D596" s="6"/>
    </row>
    <row r="597" spans="1:4">
      <c r="A597" s="35"/>
      <c r="B597" s="36"/>
      <c r="C597" s="6"/>
      <c r="D597" s="6"/>
    </row>
    <row r="598" spans="1:4">
      <c r="A598" s="35"/>
      <c r="B598" s="36"/>
      <c r="C598" s="6"/>
      <c r="D598" s="6"/>
    </row>
    <row r="599" spans="1:4">
      <c r="A599" s="35"/>
      <c r="B599" s="36"/>
      <c r="C599" s="6"/>
      <c r="D599" s="6"/>
    </row>
    <row r="600" spans="1:4">
      <c r="A600" s="35"/>
      <c r="B600" s="36"/>
      <c r="C600" s="6"/>
      <c r="D600" s="6"/>
    </row>
    <row r="601" spans="1:4">
      <c r="A601" s="35"/>
      <c r="B601" s="36"/>
      <c r="C601" s="6"/>
      <c r="D601" s="6"/>
    </row>
    <row r="602" spans="1:4">
      <c r="A602" s="35"/>
      <c r="B602" s="36"/>
      <c r="C602" s="6"/>
      <c r="D602" s="6"/>
    </row>
    <row r="603" spans="1:4">
      <c r="A603" s="35"/>
      <c r="B603" s="36"/>
      <c r="C603" s="6"/>
      <c r="D603" s="6"/>
    </row>
    <row r="604" spans="1:4">
      <c r="A604" s="35"/>
      <c r="B604" s="36"/>
      <c r="C604" s="6"/>
      <c r="D604" s="6"/>
    </row>
    <row r="605" spans="1:4">
      <c r="A605" s="35"/>
      <c r="B605" s="36"/>
      <c r="C605" s="6"/>
      <c r="D605" s="6"/>
    </row>
    <row r="606" spans="1:4">
      <c r="A606" s="35"/>
      <c r="B606" s="36"/>
      <c r="C606" s="6"/>
      <c r="D606" s="6"/>
    </row>
    <row r="607" spans="1:4">
      <c r="A607" s="35"/>
      <c r="B607" s="36"/>
      <c r="C607" s="6"/>
      <c r="D607" s="6"/>
    </row>
    <row r="608" spans="1:4">
      <c r="A608" s="35"/>
      <c r="B608" s="36"/>
      <c r="C608" s="6"/>
      <c r="D608" s="6"/>
    </row>
    <row r="609" spans="1:4">
      <c r="A609" s="35"/>
      <c r="B609" s="36"/>
      <c r="C609" s="6"/>
      <c r="D609" s="6"/>
    </row>
    <row r="610" spans="1:4">
      <c r="A610" s="35"/>
      <c r="B610" s="36"/>
      <c r="C610" s="6"/>
      <c r="D610" s="6"/>
    </row>
    <row r="611" spans="1:4">
      <c r="A611" s="35"/>
      <c r="B611" s="36"/>
      <c r="C611" s="6"/>
      <c r="D611" s="6"/>
    </row>
    <row r="612" spans="1:4">
      <c r="A612" s="35"/>
      <c r="B612" s="36"/>
      <c r="C612" s="6"/>
      <c r="D612" s="6"/>
    </row>
    <row r="613" spans="1:4">
      <c r="A613" s="35"/>
      <c r="B613" s="36"/>
      <c r="C613" s="6"/>
      <c r="D613" s="6"/>
    </row>
    <row r="614" spans="1:4">
      <c r="A614" s="35"/>
      <c r="B614" s="36"/>
      <c r="C614" s="6"/>
      <c r="D614" s="6"/>
    </row>
    <row r="615" spans="1:4">
      <c r="A615" s="35"/>
      <c r="B615" s="36"/>
      <c r="C615" s="6"/>
      <c r="D615" s="6"/>
    </row>
    <row r="616" spans="1:4">
      <c r="A616" s="35"/>
      <c r="B616" s="36"/>
      <c r="C616" s="6"/>
      <c r="D616" s="6"/>
    </row>
    <row r="617" spans="1:4">
      <c r="A617" s="35"/>
      <c r="B617" s="36"/>
      <c r="C617" s="6"/>
      <c r="D617" s="6"/>
    </row>
    <row r="618" spans="1:4">
      <c r="A618" s="35"/>
      <c r="B618" s="36"/>
      <c r="C618" s="6"/>
      <c r="D618" s="6"/>
    </row>
    <row r="619" spans="1:4">
      <c r="A619" s="35"/>
      <c r="B619" s="36"/>
      <c r="C619" s="6"/>
      <c r="D619" s="6"/>
    </row>
    <row r="620" spans="1:4">
      <c r="A620" s="35"/>
      <c r="B620" s="36"/>
      <c r="C620" s="6"/>
      <c r="D620" s="6"/>
    </row>
    <row r="621" spans="1:4">
      <c r="A621" s="35"/>
      <c r="B621" s="36"/>
      <c r="C621" s="6"/>
      <c r="D621" s="6"/>
    </row>
    <row r="622" spans="1:4">
      <c r="A622" s="35"/>
      <c r="B622" s="36"/>
      <c r="C622" s="6"/>
      <c r="D622" s="6"/>
    </row>
    <row r="623" spans="1:4">
      <c r="A623" s="35"/>
      <c r="B623" s="36"/>
      <c r="C623" s="6"/>
      <c r="D623" s="6"/>
    </row>
    <row r="624" spans="1:4">
      <c r="A624" s="35"/>
      <c r="B624" s="36"/>
      <c r="C624" s="6"/>
      <c r="D624" s="6"/>
    </row>
    <row r="625" spans="1:4">
      <c r="A625" s="35"/>
      <c r="B625" s="36"/>
      <c r="C625" s="6"/>
      <c r="D625" s="6"/>
    </row>
    <row r="626" spans="1:4">
      <c r="A626" s="35"/>
      <c r="B626" s="36"/>
      <c r="C626" s="6"/>
      <c r="D626" s="6"/>
    </row>
    <row r="627" spans="1:4">
      <c r="A627" s="35"/>
      <c r="B627" s="36"/>
      <c r="C627" s="6"/>
      <c r="D627" s="6"/>
    </row>
    <row r="628" spans="1:4">
      <c r="A628" s="35"/>
      <c r="B628" s="36"/>
      <c r="C628" s="6"/>
      <c r="D628" s="6"/>
    </row>
    <row r="629" spans="1:4">
      <c r="A629" s="35"/>
      <c r="B629" s="36"/>
      <c r="C629" s="6"/>
      <c r="D629" s="6"/>
    </row>
    <row r="630" spans="1:4">
      <c r="A630" s="35"/>
      <c r="B630" s="36"/>
      <c r="C630" s="6"/>
      <c r="D630" s="6"/>
    </row>
    <row r="631" spans="1:4">
      <c r="A631" s="35"/>
      <c r="B631" s="36"/>
      <c r="C631" s="6"/>
      <c r="D631" s="6"/>
    </row>
    <row r="632" spans="1:4">
      <c r="A632" s="35"/>
      <c r="B632" s="36"/>
      <c r="C632" s="6"/>
      <c r="D632" s="6"/>
    </row>
    <row r="633" spans="1:4">
      <c r="A633" s="35"/>
      <c r="B633" s="36"/>
      <c r="C633" s="6"/>
      <c r="D633" s="6"/>
    </row>
    <row r="634" spans="1:4">
      <c r="A634" s="35"/>
      <c r="B634" s="36"/>
      <c r="C634" s="6"/>
      <c r="D634" s="6"/>
    </row>
    <row r="635" spans="1:4">
      <c r="A635" s="35"/>
      <c r="B635" s="36"/>
      <c r="C635" s="6"/>
      <c r="D635" s="6"/>
    </row>
    <row r="636" spans="1:4">
      <c r="A636" s="35"/>
      <c r="B636" s="36"/>
      <c r="C636" s="6"/>
      <c r="D636" s="6"/>
    </row>
    <row r="637" spans="1:4">
      <c r="A637" s="35"/>
      <c r="B637" s="36"/>
      <c r="C637" s="6"/>
      <c r="D637" s="6"/>
    </row>
    <row r="638" spans="1:4">
      <c r="A638" s="35"/>
      <c r="B638" s="36"/>
      <c r="C638" s="6"/>
      <c r="D638" s="6"/>
    </row>
    <row r="639" spans="1:4">
      <c r="A639" s="35"/>
      <c r="B639" s="36"/>
      <c r="C639" s="6"/>
      <c r="D639" s="6"/>
    </row>
    <row r="640" spans="1:4">
      <c r="A640" s="35"/>
      <c r="B640" s="36"/>
      <c r="C640" s="6"/>
      <c r="D640" s="6"/>
    </row>
    <row r="641" spans="1:4">
      <c r="A641" s="35"/>
      <c r="B641" s="36"/>
      <c r="C641" s="6"/>
      <c r="D641" s="6"/>
    </row>
    <row r="642" spans="1:4">
      <c r="A642" s="35"/>
      <c r="B642" s="36"/>
      <c r="C642" s="6"/>
      <c r="D642" s="6"/>
    </row>
    <row r="643" spans="1:4">
      <c r="A643" s="35"/>
      <c r="B643" s="36"/>
      <c r="C643" s="6"/>
      <c r="D643" s="6"/>
    </row>
    <row r="644" spans="1:4">
      <c r="A644" s="35"/>
      <c r="B644" s="36"/>
      <c r="C644" s="6"/>
      <c r="D644" s="6"/>
    </row>
    <row r="645" spans="1:4">
      <c r="A645" s="35"/>
      <c r="B645" s="36"/>
      <c r="C645" s="6"/>
      <c r="D645" s="6"/>
    </row>
    <row r="646" spans="1:4">
      <c r="A646" s="35"/>
      <c r="B646" s="36"/>
      <c r="C646" s="6"/>
      <c r="D646" s="6"/>
    </row>
    <row r="647" spans="1:4">
      <c r="A647" s="35"/>
      <c r="B647" s="36"/>
      <c r="C647" s="6"/>
      <c r="D647" s="6"/>
    </row>
    <row r="648" spans="1:4">
      <c r="A648" s="35"/>
      <c r="B648" s="36"/>
      <c r="C648" s="6"/>
      <c r="D648" s="6"/>
    </row>
    <row r="649" spans="1:4">
      <c r="A649" s="35"/>
      <c r="B649" s="36"/>
      <c r="C649" s="6"/>
      <c r="D649" s="6"/>
    </row>
    <row r="650" spans="1:4">
      <c r="A650" s="35"/>
      <c r="B650" s="36"/>
      <c r="C650" s="6"/>
      <c r="D650" s="6"/>
    </row>
    <row r="651" spans="1:4">
      <c r="A651" s="35"/>
      <c r="B651" s="36"/>
      <c r="C651" s="6"/>
      <c r="D651" s="6"/>
    </row>
    <row r="652" spans="1:4">
      <c r="A652" s="35"/>
      <c r="B652" s="36"/>
      <c r="C652" s="6"/>
      <c r="D652" s="6"/>
    </row>
    <row r="653" spans="1:4">
      <c r="A653" s="35"/>
      <c r="B653" s="36"/>
      <c r="C653" s="6"/>
      <c r="D653" s="6"/>
    </row>
    <row r="654" spans="1:4">
      <c r="A654" s="35"/>
      <c r="B654" s="36"/>
      <c r="C654" s="6"/>
      <c r="D654" s="6"/>
    </row>
    <row r="655" spans="1:4">
      <c r="A655" s="35"/>
      <c r="B655" s="36"/>
      <c r="C655" s="6"/>
      <c r="D655" s="6"/>
    </row>
    <row r="656" spans="1:4">
      <c r="A656" s="35"/>
      <c r="B656" s="36"/>
      <c r="C656" s="6"/>
      <c r="D656" s="6"/>
    </row>
    <row r="657" spans="1:4">
      <c r="A657" s="35"/>
      <c r="B657" s="36"/>
      <c r="C657" s="6"/>
      <c r="D657" s="6"/>
    </row>
    <row r="658" spans="1:4">
      <c r="A658" s="35"/>
      <c r="B658" s="36"/>
      <c r="C658" s="6"/>
      <c r="D658" s="6"/>
    </row>
    <row r="659" spans="1:4">
      <c r="A659" s="35"/>
      <c r="B659" s="36"/>
      <c r="C659" s="6"/>
      <c r="D659" s="6"/>
    </row>
    <row r="660" spans="1:4">
      <c r="A660" s="35"/>
      <c r="B660" s="36"/>
      <c r="C660" s="6"/>
      <c r="D660" s="6"/>
    </row>
    <row r="661" spans="1:4">
      <c r="A661" s="35"/>
      <c r="B661" s="36"/>
      <c r="C661" s="6"/>
      <c r="D661" s="6"/>
    </row>
    <row r="662" spans="1:4">
      <c r="A662" s="35"/>
      <c r="B662" s="36"/>
      <c r="C662" s="6"/>
      <c r="D662" s="6"/>
    </row>
    <row r="663" spans="1:4">
      <c r="A663" s="35"/>
      <c r="B663" s="36"/>
      <c r="C663" s="6"/>
      <c r="D663" s="6"/>
    </row>
    <row r="664" spans="1:4">
      <c r="A664" s="35"/>
      <c r="B664" s="36"/>
      <c r="C664" s="6"/>
      <c r="D664" s="6"/>
    </row>
    <row r="665" spans="1:4">
      <c r="A665" s="35"/>
      <c r="B665" s="36"/>
      <c r="C665" s="6"/>
      <c r="D665" s="6"/>
    </row>
    <row r="666" spans="1:4">
      <c r="A666" s="35"/>
      <c r="B666" s="36"/>
      <c r="C666" s="6"/>
      <c r="D666" s="6"/>
    </row>
    <row r="667" spans="1:4">
      <c r="A667" s="35"/>
      <c r="B667" s="36"/>
      <c r="C667" s="6"/>
      <c r="D667" s="6"/>
    </row>
    <row r="668" spans="1:4">
      <c r="A668" s="35"/>
      <c r="B668" s="36"/>
      <c r="C668" s="6"/>
      <c r="D668" s="6"/>
    </row>
    <row r="669" spans="1:4">
      <c r="A669" s="35"/>
      <c r="B669" s="36"/>
      <c r="C669" s="6"/>
      <c r="D669" s="6"/>
    </row>
    <row r="670" spans="1:4">
      <c r="A670" s="35"/>
      <c r="B670" s="36"/>
      <c r="C670" s="6"/>
      <c r="D670" s="6"/>
    </row>
    <row r="671" spans="1:4">
      <c r="A671" s="35"/>
      <c r="B671" s="36"/>
      <c r="C671" s="6"/>
      <c r="D671" s="6"/>
    </row>
    <row r="672" spans="1:4">
      <c r="A672" s="35"/>
      <c r="B672" s="36"/>
      <c r="C672" s="6"/>
      <c r="D672" s="6"/>
    </row>
    <row r="673" spans="1:4">
      <c r="A673" s="35"/>
      <c r="B673" s="36"/>
      <c r="C673" s="6"/>
      <c r="D673" s="6"/>
    </row>
    <row r="674" spans="1:4">
      <c r="A674" s="35"/>
      <c r="B674" s="36"/>
      <c r="C674" s="6"/>
      <c r="D674" s="6"/>
    </row>
    <row r="675" spans="1:4">
      <c r="A675" s="35"/>
      <c r="B675" s="36"/>
      <c r="C675" s="6"/>
      <c r="D675" s="6"/>
    </row>
    <row r="676" spans="1:4">
      <c r="A676" s="35"/>
      <c r="B676" s="36"/>
      <c r="C676" s="6"/>
      <c r="D676" s="6"/>
    </row>
    <row r="677" spans="1:4">
      <c r="A677" s="35"/>
      <c r="B677" s="36"/>
      <c r="C677" s="6"/>
      <c r="D677" s="6"/>
    </row>
    <row r="678" spans="1:4">
      <c r="A678" s="35"/>
      <c r="B678" s="36"/>
      <c r="C678" s="6"/>
      <c r="D678" s="6"/>
    </row>
    <row r="679" spans="1:4">
      <c r="A679" s="35"/>
      <c r="B679" s="36"/>
      <c r="C679" s="6"/>
      <c r="D679" s="6"/>
    </row>
    <row r="680" spans="1:4">
      <c r="A680" s="35"/>
      <c r="B680" s="36"/>
      <c r="C680" s="6"/>
      <c r="D680" s="6"/>
    </row>
    <row r="681" spans="1:4">
      <c r="A681" s="35"/>
      <c r="B681" s="36"/>
      <c r="C681" s="6"/>
      <c r="D681" s="6"/>
    </row>
    <row r="682" spans="1:4">
      <c r="A682" s="35"/>
      <c r="B682" s="36"/>
      <c r="C682" s="6"/>
      <c r="D682" s="6"/>
    </row>
    <row r="683" spans="1:4">
      <c r="A683" s="35"/>
      <c r="B683" s="36"/>
      <c r="C683" s="6"/>
      <c r="D683" s="6"/>
    </row>
    <row r="684" spans="1:4">
      <c r="A684" s="35"/>
      <c r="B684" s="36"/>
      <c r="C684" s="6"/>
      <c r="D684" s="6"/>
    </row>
    <row r="685" spans="1:4">
      <c r="A685" s="35"/>
      <c r="B685" s="36"/>
      <c r="C685" s="6"/>
      <c r="D685" s="6"/>
    </row>
    <row r="686" spans="1:4">
      <c r="A686" s="35"/>
      <c r="B686" s="36"/>
      <c r="C686" s="6"/>
      <c r="D686" s="6"/>
    </row>
    <row r="687" spans="1:4">
      <c r="A687" s="35"/>
      <c r="B687" s="36"/>
      <c r="C687" s="6"/>
      <c r="D687" s="6"/>
    </row>
    <row r="688" spans="1:4">
      <c r="A688" s="35"/>
      <c r="B688" s="36"/>
      <c r="C688" s="6"/>
      <c r="D688" s="6"/>
    </row>
    <row r="689" spans="1:4">
      <c r="A689" s="35"/>
      <c r="B689" s="36"/>
      <c r="C689" s="6"/>
      <c r="D689" s="6"/>
    </row>
    <row r="690" spans="1:4">
      <c r="A690" s="35"/>
      <c r="B690" s="36"/>
      <c r="C690" s="6"/>
      <c r="D690" s="6"/>
    </row>
    <row r="691" spans="1:4">
      <c r="A691" s="35"/>
      <c r="B691" s="36"/>
      <c r="C691" s="6"/>
      <c r="D691" s="6"/>
    </row>
    <row r="692" spans="1:4">
      <c r="A692" s="35"/>
      <c r="B692" s="36"/>
      <c r="C692" s="6"/>
      <c r="D692" s="6"/>
    </row>
    <row r="693" spans="1:4">
      <c r="A693" s="35"/>
      <c r="B693" s="36"/>
      <c r="C693" s="6"/>
      <c r="D693" s="6"/>
    </row>
    <row r="694" spans="1:4">
      <c r="A694" s="35"/>
      <c r="B694" s="36"/>
      <c r="C694" s="6"/>
      <c r="D694" s="6"/>
    </row>
    <row r="695" spans="1:4">
      <c r="A695" s="35"/>
      <c r="B695" s="36"/>
      <c r="C695" s="6"/>
      <c r="D695" s="6"/>
    </row>
    <row r="696" spans="1:4">
      <c r="A696" s="35"/>
      <c r="B696" s="36"/>
      <c r="C696" s="6"/>
      <c r="D696" s="6"/>
    </row>
    <row r="697" spans="1:4">
      <c r="A697" s="35"/>
      <c r="B697" s="36"/>
      <c r="C697" s="6"/>
      <c r="D697" s="6"/>
    </row>
    <row r="698" spans="1:4">
      <c r="A698" s="35"/>
      <c r="B698" s="36"/>
      <c r="C698" s="6"/>
      <c r="D698" s="6"/>
    </row>
    <row r="699" spans="1:4">
      <c r="A699" s="35"/>
      <c r="B699" s="36"/>
      <c r="C699" s="6"/>
      <c r="D699" s="6"/>
    </row>
    <row r="700" spans="1:4">
      <c r="A700" s="35"/>
      <c r="B700" s="36"/>
      <c r="C700" s="6"/>
      <c r="D700" s="6"/>
    </row>
    <row r="701" spans="1:4">
      <c r="A701" s="35"/>
      <c r="B701" s="36"/>
      <c r="C701" s="6"/>
      <c r="D701" s="6"/>
    </row>
    <row r="702" spans="1:4">
      <c r="A702" s="35"/>
      <c r="B702" s="36"/>
      <c r="C702" s="6"/>
      <c r="D702" s="6"/>
    </row>
    <row r="703" spans="1:4">
      <c r="A703" s="35"/>
      <c r="B703" s="36"/>
      <c r="C703" s="6"/>
      <c r="D703" s="6"/>
    </row>
    <row r="704" spans="1:4">
      <c r="A704" s="35"/>
      <c r="B704" s="36"/>
      <c r="C704" s="6"/>
      <c r="D704" s="6"/>
    </row>
    <row r="705" spans="1:4">
      <c r="A705" s="35"/>
      <c r="B705" s="36"/>
      <c r="C705" s="6"/>
      <c r="D705" s="6"/>
    </row>
    <row r="706" spans="1:4">
      <c r="A706" s="35"/>
      <c r="B706" s="36"/>
      <c r="C706" s="6"/>
      <c r="D706" s="6"/>
    </row>
    <row r="707" spans="1:4">
      <c r="A707" s="35"/>
      <c r="B707" s="36"/>
      <c r="C707" s="6"/>
      <c r="D707" s="6"/>
    </row>
    <row r="708" spans="1:4">
      <c r="A708" s="35"/>
      <c r="B708" s="36"/>
      <c r="C708" s="6"/>
      <c r="D708" s="6"/>
    </row>
    <row r="709" spans="1:4">
      <c r="A709" s="35"/>
      <c r="B709" s="36"/>
      <c r="C709" s="6"/>
      <c r="D709" s="6"/>
    </row>
    <row r="710" spans="1:4">
      <c r="A710" s="35"/>
      <c r="B710" s="36"/>
      <c r="C710" s="6"/>
      <c r="D710" s="6"/>
    </row>
    <row r="711" spans="1:4">
      <c r="A711" s="35"/>
      <c r="B711" s="36"/>
      <c r="C711" s="6"/>
      <c r="D711" s="6"/>
    </row>
    <row r="712" spans="1:4">
      <c r="A712" s="35"/>
      <c r="B712" s="36"/>
      <c r="C712" s="6"/>
      <c r="D712" s="6"/>
    </row>
    <row r="713" spans="1:4">
      <c r="A713" s="35"/>
      <c r="B713" s="36"/>
      <c r="C713" s="6"/>
      <c r="D713" s="6"/>
    </row>
    <row r="714" spans="1:4">
      <c r="A714" s="35"/>
      <c r="B714" s="36"/>
      <c r="C714" s="6"/>
      <c r="D714" s="6"/>
    </row>
    <row r="715" spans="1:4">
      <c r="A715" s="35"/>
      <c r="B715" s="36"/>
      <c r="C715" s="6"/>
      <c r="D715" s="6"/>
    </row>
    <row r="716" spans="1:4">
      <c r="A716" s="35"/>
      <c r="B716" s="36"/>
      <c r="C716" s="6"/>
      <c r="D716" s="6"/>
    </row>
    <row r="717" spans="1:4">
      <c r="A717" s="35"/>
      <c r="B717" s="36"/>
      <c r="C717" s="6"/>
      <c r="D717" s="6"/>
    </row>
    <row r="718" spans="1:4">
      <c r="A718" s="35"/>
      <c r="B718" s="36"/>
      <c r="C718" s="6"/>
      <c r="D718" s="6"/>
    </row>
    <row r="719" spans="1:4">
      <c r="A719" s="35"/>
      <c r="B719" s="36"/>
      <c r="C719" s="6"/>
      <c r="D719" s="6"/>
    </row>
    <row r="720" spans="1:4">
      <c r="A720" s="35"/>
      <c r="B720" s="36"/>
      <c r="C720" s="6"/>
      <c r="D720" s="6"/>
    </row>
    <row r="721" spans="1:4">
      <c r="A721" s="35"/>
      <c r="B721" s="36"/>
      <c r="C721" s="6"/>
      <c r="D721" s="6"/>
    </row>
    <row r="722" spans="1:4">
      <c r="A722" s="35"/>
      <c r="B722" s="36"/>
      <c r="C722" s="6"/>
      <c r="D722" s="6"/>
    </row>
    <row r="723" spans="1:4">
      <c r="A723" s="35"/>
      <c r="B723" s="36"/>
      <c r="C723" s="6"/>
      <c r="D723" s="6"/>
    </row>
    <row r="724" spans="1:4">
      <c r="A724" s="35"/>
      <c r="B724" s="36"/>
      <c r="C724" s="6"/>
      <c r="D724" s="6"/>
    </row>
    <row r="725" spans="1:4">
      <c r="A725" s="35"/>
      <c r="B725" s="36"/>
      <c r="C725" s="6"/>
      <c r="D725" s="6"/>
    </row>
    <row r="726" spans="1:4">
      <c r="A726" s="35"/>
      <c r="B726" s="36"/>
      <c r="C726" s="6"/>
      <c r="D726" s="6"/>
    </row>
    <row r="727" spans="1:4">
      <c r="A727" s="35"/>
      <c r="B727" s="36"/>
      <c r="C727" s="6"/>
      <c r="D727" s="6"/>
    </row>
    <row r="728" spans="1:4">
      <c r="A728" s="35"/>
      <c r="B728" s="36"/>
      <c r="C728" s="6"/>
      <c r="D728" s="6"/>
    </row>
    <row r="729" spans="1:4">
      <c r="A729" s="35"/>
      <c r="B729" s="36"/>
      <c r="C729" s="6"/>
      <c r="D729" s="6"/>
    </row>
    <row r="730" spans="1:4">
      <c r="A730" s="35"/>
      <c r="B730" s="36"/>
      <c r="C730" s="6"/>
      <c r="D730" s="6"/>
    </row>
    <row r="731" spans="1:4">
      <c r="A731" s="35"/>
      <c r="B731" s="36"/>
      <c r="C731" s="6"/>
      <c r="D731" s="6"/>
    </row>
    <row r="732" spans="1:4">
      <c r="A732" s="35"/>
      <c r="B732" s="36"/>
      <c r="C732" s="6"/>
      <c r="D732" s="6"/>
    </row>
    <row r="733" spans="1:4">
      <c r="A733" s="35"/>
      <c r="B733" s="36"/>
      <c r="C733" s="6"/>
      <c r="D733" s="6"/>
    </row>
    <row r="734" spans="1:4">
      <c r="A734" s="35"/>
      <c r="B734" s="36"/>
      <c r="C734" s="6"/>
      <c r="D734" s="6"/>
    </row>
    <row r="735" spans="1:4">
      <c r="A735" s="35"/>
      <c r="B735" s="36"/>
      <c r="C735" s="6"/>
      <c r="D735" s="6"/>
    </row>
    <row r="736" spans="1:4">
      <c r="A736" s="35"/>
      <c r="B736" s="36"/>
      <c r="C736" s="6"/>
      <c r="D736" s="6"/>
    </row>
    <row r="737" spans="1:4">
      <c r="A737" s="35"/>
      <c r="B737" s="36"/>
      <c r="C737" s="6"/>
      <c r="D737" s="6"/>
    </row>
    <row r="738" spans="1:4">
      <c r="A738" s="35"/>
      <c r="B738" s="36"/>
      <c r="C738" s="6"/>
      <c r="D738" s="6"/>
    </row>
    <row r="739" spans="1:4">
      <c r="A739" s="35"/>
      <c r="B739" s="36"/>
      <c r="C739" s="6"/>
      <c r="D739" s="6"/>
    </row>
    <row r="740" spans="1:4">
      <c r="A740" s="35"/>
      <c r="B740" s="36"/>
      <c r="C740" s="6"/>
      <c r="D740" s="6"/>
    </row>
    <row r="741" spans="1:4">
      <c r="A741" s="35"/>
      <c r="B741" s="36"/>
      <c r="C741" s="6"/>
      <c r="D741" s="6"/>
    </row>
    <row r="742" spans="1:4">
      <c r="A742" s="35"/>
      <c r="B742" s="36"/>
      <c r="C742" s="6"/>
      <c r="D742" s="6"/>
    </row>
    <row r="743" spans="1:4">
      <c r="A743" s="35"/>
      <c r="B743" s="36"/>
      <c r="C743" s="6"/>
      <c r="D743" s="6"/>
    </row>
    <row r="744" spans="1:4">
      <c r="A744" s="35"/>
      <c r="B744" s="36"/>
      <c r="C744" s="6"/>
      <c r="D744" s="6"/>
    </row>
    <row r="745" spans="1:4">
      <c r="A745" s="35"/>
      <c r="B745" s="36"/>
      <c r="C745" s="6"/>
      <c r="D745" s="6"/>
    </row>
    <row r="746" spans="1:4">
      <c r="A746" s="35"/>
      <c r="B746" s="36"/>
      <c r="C746" s="6"/>
      <c r="D746" s="6"/>
    </row>
    <row r="747" spans="1:4">
      <c r="A747" s="35"/>
      <c r="B747" s="36"/>
      <c r="C747" s="6"/>
      <c r="D747" s="6"/>
    </row>
    <row r="748" spans="1:4">
      <c r="A748" s="35"/>
      <c r="B748" s="36"/>
      <c r="C748" s="6"/>
      <c r="D748" s="6"/>
    </row>
    <row r="749" spans="1:4">
      <c r="A749" s="35"/>
      <c r="B749" s="36"/>
      <c r="C749" s="6"/>
      <c r="D749" s="6"/>
    </row>
    <row r="750" spans="1:4">
      <c r="A750" s="35"/>
      <c r="B750" s="36"/>
      <c r="C750" s="6"/>
      <c r="D750" s="6"/>
    </row>
    <row r="751" spans="1:4">
      <c r="A751" s="35"/>
      <c r="B751" s="36"/>
      <c r="C751" s="6"/>
      <c r="D751" s="6"/>
    </row>
    <row r="752" spans="1:4">
      <c r="A752" s="35"/>
      <c r="B752" s="36"/>
      <c r="C752" s="6"/>
      <c r="D752" s="6"/>
    </row>
    <row r="753" spans="1:4">
      <c r="A753" s="35"/>
      <c r="B753" s="36"/>
      <c r="C753" s="6"/>
      <c r="D753" s="6"/>
    </row>
    <row r="754" spans="1:4">
      <c r="A754" s="35"/>
      <c r="B754" s="36"/>
      <c r="C754" s="6"/>
      <c r="D754" s="6"/>
    </row>
    <row r="755" spans="1:4">
      <c r="A755" s="35"/>
      <c r="B755" s="36"/>
      <c r="C755" s="6"/>
      <c r="D755" s="6"/>
    </row>
    <row r="756" spans="1:4">
      <c r="A756" s="35"/>
      <c r="B756" s="36"/>
      <c r="C756" s="6"/>
      <c r="D756" s="6"/>
    </row>
    <row r="757" spans="1:4">
      <c r="A757" s="35"/>
      <c r="B757" s="36"/>
      <c r="C757" s="6"/>
      <c r="D757" s="6"/>
    </row>
    <row r="758" spans="1:4">
      <c r="A758" s="35"/>
      <c r="B758" s="36"/>
      <c r="C758" s="6"/>
      <c r="D758" s="6"/>
    </row>
    <row r="759" spans="1:4">
      <c r="A759" s="35"/>
      <c r="B759" s="36"/>
      <c r="C759" s="6"/>
      <c r="D759" s="6"/>
    </row>
    <row r="760" spans="1:4">
      <c r="A760" s="35"/>
      <c r="B760" s="36"/>
      <c r="C760" s="6"/>
      <c r="D760" s="6"/>
    </row>
    <row r="761" spans="1:4">
      <c r="A761" s="35"/>
      <c r="B761" s="36"/>
      <c r="C761" s="6"/>
      <c r="D761" s="6"/>
    </row>
    <row r="762" spans="1:4">
      <c r="A762" s="35"/>
      <c r="B762" s="36"/>
      <c r="C762" s="6"/>
      <c r="D762" s="6"/>
    </row>
    <row r="763" spans="1:4">
      <c r="A763" s="35"/>
      <c r="B763" s="36"/>
      <c r="C763" s="6"/>
      <c r="D763" s="6"/>
    </row>
    <row r="764" spans="1:4">
      <c r="A764" s="35"/>
      <c r="B764" s="36"/>
      <c r="C764" s="6"/>
      <c r="D764" s="6"/>
    </row>
    <row r="765" spans="1:4">
      <c r="A765" s="35"/>
      <c r="B765" s="36"/>
      <c r="C765" s="6"/>
      <c r="D765" s="6"/>
    </row>
    <row r="766" spans="1:4">
      <c r="A766" s="35"/>
      <c r="B766" s="36"/>
      <c r="C766" s="6"/>
      <c r="D766" s="6"/>
    </row>
    <row r="767" spans="1:4">
      <c r="A767" s="35"/>
      <c r="B767" s="36"/>
      <c r="C767" s="6"/>
      <c r="D767" s="6"/>
    </row>
    <row r="768" spans="1:4">
      <c r="A768" s="35"/>
      <c r="B768" s="36"/>
      <c r="C768" s="6"/>
      <c r="D768" s="6"/>
    </row>
    <row r="769" spans="1:4">
      <c r="A769" s="35"/>
      <c r="B769" s="36"/>
      <c r="C769" s="6"/>
      <c r="D769" s="6"/>
    </row>
    <row r="770" spans="1:4">
      <c r="A770" s="35"/>
      <c r="B770" s="36"/>
      <c r="C770" s="6"/>
      <c r="D770" s="6"/>
    </row>
    <row r="771" spans="1:4">
      <c r="A771" s="35"/>
      <c r="B771" s="36"/>
      <c r="C771" s="6"/>
      <c r="D771" s="6"/>
    </row>
    <row r="772" spans="1:4">
      <c r="A772" s="35"/>
      <c r="B772" s="36"/>
      <c r="C772" s="6"/>
      <c r="D772" s="6"/>
    </row>
    <row r="773" spans="1:4">
      <c r="A773" s="35"/>
      <c r="B773" s="36"/>
      <c r="C773" s="6"/>
      <c r="D773" s="6"/>
    </row>
    <row r="774" spans="1:4">
      <c r="A774" s="35"/>
      <c r="B774" s="36"/>
      <c r="C774" s="6"/>
      <c r="D774" s="6"/>
    </row>
    <row r="775" spans="1:4">
      <c r="A775" s="35"/>
      <c r="B775" s="36"/>
      <c r="C775" s="6"/>
      <c r="D775" s="6"/>
    </row>
    <row r="776" spans="1:4">
      <c r="A776" s="35"/>
      <c r="B776" s="36"/>
      <c r="C776" s="6"/>
      <c r="D776" s="6"/>
    </row>
    <row r="777" spans="1:4">
      <c r="A777" s="35"/>
      <c r="B777" s="36"/>
      <c r="C777" s="6"/>
      <c r="D777" s="6"/>
    </row>
    <row r="778" spans="1:4">
      <c r="A778" s="35"/>
      <c r="B778" s="36"/>
      <c r="C778" s="6"/>
      <c r="D778" s="6"/>
    </row>
    <row r="779" spans="1:4">
      <c r="A779" s="35"/>
      <c r="B779" s="36"/>
      <c r="C779" s="6"/>
      <c r="D779" s="6"/>
    </row>
    <row r="780" spans="1:4">
      <c r="A780" s="35"/>
      <c r="B780" s="36"/>
      <c r="C780" s="6"/>
      <c r="D780" s="6"/>
    </row>
    <row r="781" spans="1:4">
      <c r="A781" s="35"/>
      <c r="B781" s="36"/>
      <c r="C781" s="6"/>
      <c r="D781" s="6"/>
    </row>
    <row r="782" spans="1:4">
      <c r="A782" s="35"/>
      <c r="B782" s="36"/>
      <c r="C782" s="6"/>
      <c r="D782" s="6"/>
    </row>
    <row r="783" spans="1:4">
      <c r="A783" s="35"/>
      <c r="B783" s="36"/>
      <c r="C783" s="6"/>
      <c r="D783" s="6"/>
    </row>
    <row r="784" spans="1:4">
      <c r="A784" s="35"/>
      <c r="B784" s="36"/>
      <c r="C784" s="6"/>
      <c r="D784" s="6"/>
    </row>
    <row r="785" spans="1:4">
      <c r="A785" s="35"/>
      <c r="B785" s="36"/>
      <c r="C785" s="6"/>
      <c r="D785" s="6"/>
    </row>
    <row r="786" spans="1:4">
      <c r="A786" s="35"/>
      <c r="B786" s="36"/>
      <c r="C786" s="6"/>
      <c r="D786" s="6"/>
    </row>
    <row r="787" spans="1:4">
      <c r="A787" s="35"/>
      <c r="B787" s="36"/>
      <c r="C787" s="6"/>
      <c r="D787" s="6"/>
    </row>
    <row r="788" spans="1:4">
      <c r="A788" s="35"/>
      <c r="B788" s="36"/>
      <c r="C788" s="6"/>
      <c r="D788" s="6"/>
    </row>
    <row r="789" spans="1:4">
      <c r="A789" s="35"/>
      <c r="B789" s="36"/>
      <c r="C789" s="6"/>
      <c r="D789" s="6"/>
    </row>
    <row r="790" spans="1:4">
      <c r="A790" s="35"/>
      <c r="B790" s="36"/>
      <c r="C790" s="6"/>
      <c r="D790" s="6"/>
    </row>
    <row r="791" spans="1:4">
      <c r="A791" s="35"/>
      <c r="B791" s="36"/>
      <c r="C791" s="6"/>
      <c r="D791" s="6"/>
    </row>
    <row r="792" spans="1:4">
      <c r="A792" s="35"/>
      <c r="B792" s="36"/>
      <c r="C792" s="6"/>
      <c r="D792" s="6"/>
    </row>
    <row r="793" spans="1:4">
      <c r="A793" s="35"/>
      <c r="B793" s="36"/>
      <c r="C793" s="6"/>
      <c r="D793" s="6"/>
    </row>
    <row r="794" spans="1:4">
      <c r="A794" s="35"/>
      <c r="B794" s="36"/>
      <c r="C794" s="6"/>
      <c r="D794" s="6"/>
    </row>
    <row r="795" spans="1:4">
      <c r="A795" s="35"/>
      <c r="B795" s="36"/>
      <c r="C795" s="6"/>
      <c r="D795" s="6"/>
    </row>
    <row r="796" spans="1:4">
      <c r="A796" s="35"/>
      <c r="B796" s="36"/>
      <c r="C796" s="6"/>
      <c r="D796" s="6"/>
    </row>
    <row r="797" spans="1:4">
      <c r="A797" s="35"/>
      <c r="B797" s="36"/>
      <c r="C797" s="6"/>
      <c r="D797" s="6"/>
    </row>
    <row r="798" spans="1:4">
      <c r="A798" s="35"/>
      <c r="B798" s="36"/>
      <c r="C798" s="6"/>
      <c r="D798" s="6"/>
    </row>
    <row r="799" spans="1:4">
      <c r="A799" s="35"/>
      <c r="B799" s="36"/>
      <c r="C799" s="6"/>
      <c r="D799" s="6"/>
    </row>
    <row r="800" spans="1:4">
      <c r="A800" s="35"/>
      <c r="B800" s="36"/>
      <c r="C800" s="6"/>
      <c r="D800" s="6"/>
    </row>
    <row r="801" spans="1:4">
      <c r="A801" s="35"/>
      <c r="B801" s="36"/>
      <c r="C801" s="6"/>
      <c r="D801" s="6"/>
    </row>
    <row r="802" spans="1:4">
      <c r="A802" s="35"/>
      <c r="B802" s="36"/>
      <c r="C802" s="6"/>
      <c r="D802" s="6"/>
    </row>
    <row r="803" spans="1:4">
      <c r="A803" s="35"/>
      <c r="B803" s="36"/>
      <c r="C803" s="6"/>
      <c r="D803" s="6"/>
    </row>
    <row r="804" spans="1:4">
      <c r="A804" s="35"/>
      <c r="B804" s="36"/>
      <c r="C804" s="6"/>
      <c r="D804" s="6"/>
    </row>
    <row r="805" spans="1:4">
      <c r="A805" s="35"/>
      <c r="B805" s="36"/>
      <c r="C805" s="6"/>
      <c r="D805" s="6"/>
    </row>
    <row r="806" spans="1:4">
      <c r="A806" s="35"/>
      <c r="B806" s="36"/>
      <c r="C806" s="6"/>
      <c r="D806" s="6"/>
    </row>
    <row r="807" spans="1:4">
      <c r="A807" s="35"/>
      <c r="B807" s="36"/>
      <c r="C807" s="6"/>
      <c r="D807" s="6"/>
    </row>
    <row r="808" spans="1:4">
      <c r="A808" s="35"/>
      <c r="B808" s="36"/>
      <c r="C808" s="6"/>
      <c r="D808" s="6"/>
    </row>
    <row r="809" spans="1:4">
      <c r="A809" s="35"/>
      <c r="B809" s="36"/>
      <c r="C809" s="6"/>
      <c r="D809" s="6"/>
    </row>
    <row r="810" spans="1:4">
      <c r="A810" s="35"/>
      <c r="B810" s="36"/>
      <c r="C810" s="6"/>
      <c r="D810" s="6"/>
    </row>
    <row r="811" spans="1:4">
      <c r="A811" s="35"/>
      <c r="B811" s="36"/>
      <c r="C811" s="6"/>
      <c r="D811" s="6"/>
    </row>
    <row r="812" spans="1:4">
      <c r="A812" s="35"/>
      <c r="B812" s="36"/>
      <c r="C812" s="6"/>
      <c r="D812" s="6"/>
    </row>
    <row r="813" spans="1:4">
      <c r="A813" s="35"/>
      <c r="B813" s="36"/>
      <c r="C813" s="6"/>
      <c r="D813" s="6"/>
    </row>
    <row r="814" spans="1:4">
      <c r="A814" s="35"/>
      <c r="B814" s="36"/>
      <c r="C814" s="6"/>
      <c r="D814" s="6"/>
    </row>
    <row r="815" spans="1:4">
      <c r="A815" s="35"/>
      <c r="B815" s="36"/>
      <c r="C815" s="6"/>
      <c r="D815" s="6"/>
    </row>
    <row r="816" spans="1:4">
      <c r="A816" s="35"/>
      <c r="B816" s="36"/>
      <c r="C816" s="6"/>
      <c r="D816" s="6"/>
    </row>
    <row r="817" spans="1:4">
      <c r="A817" s="35"/>
      <c r="B817" s="36"/>
      <c r="C817" s="6"/>
      <c r="D817" s="6"/>
    </row>
    <row r="818" spans="1:4">
      <c r="A818" s="35"/>
      <c r="B818" s="36"/>
      <c r="C818" s="6"/>
      <c r="D818" s="6"/>
    </row>
    <row r="819" spans="1:4">
      <c r="A819" s="35"/>
      <c r="B819" s="36"/>
      <c r="C819" s="6"/>
      <c r="D819" s="6"/>
    </row>
    <row r="820" spans="1:4">
      <c r="A820" s="35"/>
      <c r="B820" s="36"/>
      <c r="C820" s="6"/>
      <c r="D820" s="6"/>
    </row>
    <row r="821" spans="1:4">
      <c r="A821" s="35"/>
      <c r="B821" s="36"/>
      <c r="C821" s="6"/>
      <c r="D821" s="6"/>
    </row>
    <row r="822" spans="1:4">
      <c r="A822" s="35"/>
      <c r="B822" s="36"/>
      <c r="C822" s="6"/>
      <c r="D822" s="6"/>
    </row>
    <row r="823" spans="1:4">
      <c r="A823" s="35"/>
      <c r="B823" s="36"/>
      <c r="C823" s="6"/>
      <c r="D823" s="6"/>
    </row>
    <row r="824" spans="1:4">
      <c r="A824" s="35"/>
      <c r="B824" s="36"/>
      <c r="C824" s="6"/>
      <c r="D824" s="6"/>
    </row>
    <row r="825" spans="1:4">
      <c r="A825" s="35"/>
      <c r="B825" s="36"/>
      <c r="C825" s="6"/>
      <c r="D825" s="6"/>
    </row>
    <row r="826" spans="1:4">
      <c r="A826" s="35"/>
      <c r="B826" s="36"/>
      <c r="C826" s="6"/>
      <c r="D826" s="6"/>
    </row>
    <row r="827" spans="1:4">
      <c r="A827" s="35"/>
      <c r="B827" s="36"/>
      <c r="C827" s="6"/>
      <c r="D827" s="6"/>
    </row>
    <row r="828" spans="1:4">
      <c r="A828" s="35"/>
      <c r="B828" s="36"/>
      <c r="C828" s="6"/>
      <c r="D828" s="6"/>
    </row>
    <row r="829" spans="1:4">
      <c r="A829" s="35"/>
      <c r="B829" s="36"/>
      <c r="C829" s="6"/>
      <c r="D829" s="6"/>
    </row>
    <row r="830" spans="1:4">
      <c r="A830" s="35"/>
      <c r="B830" s="36"/>
      <c r="C830" s="6"/>
      <c r="D830" s="6"/>
    </row>
    <row r="831" spans="1:4">
      <c r="A831" s="35"/>
      <c r="B831" s="36"/>
      <c r="C831" s="6"/>
      <c r="D831" s="6"/>
    </row>
    <row r="832" spans="1:4">
      <c r="A832" s="35"/>
      <c r="B832" s="36"/>
      <c r="C832" s="6"/>
      <c r="D832" s="6"/>
    </row>
    <row r="833" spans="1:4">
      <c r="A833" s="35"/>
      <c r="B833" s="36"/>
      <c r="C833" s="6"/>
      <c r="D833" s="6"/>
    </row>
    <row r="834" spans="1:4">
      <c r="A834" s="35"/>
      <c r="B834" s="36"/>
      <c r="C834" s="6"/>
      <c r="D834" s="6"/>
    </row>
    <row r="835" spans="1:4">
      <c r="A835" s="35"/>
      <c r="B835" s="36"/>
      <c r="C835" s="6"/>
      <c r="D835" s="6"/>
    </row>
    <row r="836" spans="1:4">
      <c r="A836" s="35"/>
      <c r="B836" s="36"/>
      <c r="C836" s="6"/>
      <c r="D836" s="6"/>
    </row>
    <row r="837" spans="1:4">
      <c r="A837" s="35"/>
      <c r="B837" s="36"/>
      <c r="C837" s="6"/>
      <c r="D837" s="6"/>
    </row>
    <row r="838" spans="1:4">
      <c r="A838" s="35"/>
      <c r="B838" s="36"/>
      <c r="C838" s="6"/>
      <c r="D838" s="6"/>
    </row>
    <row r="839" spans="1:4">
      <c r="A839" s="35"/>
      <c r="B839" s="36"/>
      <c r="C839" s="6"/>
      <c r="D839" s="6"/>
    </row>
    <row r="840" spans="1:4">
      <c r="A840" s="35"/>
      <c r="B840" s="36"/>
      <c r="C840" s="6"/>
      <c r="D840" s="6"/>
    </row>
    <row r="841" spans="1:4">
      <c r="A841" s="35"/>
      <c r="B841" s="36"/>
      <c r="C841" s="6"/>
      <c r="D841" s="6"/>
    </row>
    <row r="842" spans="1:4">
      <c r="A842" s="35"/>
      <c r="B842" s="36"/>
      <c r="C842" s="6"/>
      <c r="D842" s="6"/>
    </row>
    <row r="843" spans="1:4">
      <c r="A843" s="35"/>
      <c r="B843" s="36"/>
      <c r="C843" s="6"/>
      <c r="D843" s="6"/>
    </row>
    <row r="844" spans="1:4">
      <c r="A844" s="35"/>
      <c r="B844" s="36"/>
      <c r="C844" s="6"/>
      <c r="D844" s="6"/>
    </row>
    <row r="845" spans="1:4">
      <c r="A845" s="35"/>
      <c r="B845" s="36"/>
      <c r="C845" s="6"/>
      <c r="D845" s="6"/>
    </row>
    <row r="846" spans="1:4">
      <c r="A846" s="35"/>
      <c r="B846" s="36"/>
      <c r="C846" s="6"/>
      <c r="D846" s="6"/>
    </row>
    <row r="847" spans="1:4">
      <c r="A847" s="35"/>
      <c r="B847" s="36"/>
      <c r="C847" s="6"/>
      <c r="D847" s="6"/>
    </row>
    <row r="848" spans="1:4">
      <c r="A848" s="35"/>
      <c r="B848" s="36"/>
      <c r="C848" s="6"/>
      <c r="D848" s="6"/>
    </row>
    <row r="849" spans="1:4">
      <c r="A849" s="35"/>
      <c r="B849" s="36"/>
      <c r="C849" s="6"/>
      <c r="D849" s="6"/>
    </row>
    <row r="850" spans="1:4">
      <c r="A850" s="35"/>
      <c r="B850" s="36"/>
      <c r="C850" s="6"/>
      <c r="D850" s="6"/>
    </row>
    <row r="851" spans="1:4">
      <c r="A851" s="35"/>
      <c r="B851" s="36"/>
      <c r="C851" s="6"/>
      <c r="D851" s="6"/>
    </row>
    <row r="852" spans="1:4">
      <c r="A852" s="35"/>
      <c r="B852" s="36"/>
      <c r="C852" s="6"/>
      <c r="D852" s="6"/>
    </row>
    <row r="853" spans="1:4">
      <c r="A853" s="35"/>
      <c r="B853" s="36"/>
      <c r="C853" s="6"/>
      <c r="D853" s="6"/>
    </row>
    <row r="854" spans="1:4">
      <c r="A854" s="35"/>
      <c r="B854" s="36"/>
      <c r="C854" s="6"/>
      <c r="D854" s="6"/>
    </row>
    <row r="855" spans="1:4">
      <c r="A855" s="35"/>
      <c r="B855" s="36"/>
      <c r="C855" s="6"/>
      <c r="D855" s="6"/>
    </row>
    <row r="856" spans="1:4">
      <c r="A856" s="35"/>
      <c r="B856" s="36"/>
      <c r="C856" s="6"/>
      <c r="D856" s="6"/>
    </row>
    <row r="857" spans="1:4">
      <c r="A857" s="35"/>
      <c r="B857" s="36"/>
      <c r="C857" s="6"/>
      <c r="D857" s="6"/>
    </row>
    <row r="858" spans="1:4">
      <c r="A858" s="35"/>
      <c r="B858" s="36"/>
      <c r="C858" s="6"/>
      <c r="D858" s="6"/>
    </row>
    <row r="859" spans="1:4">
      <c r="A859" s="35"/>
      <c r="B859" s="36"/>
      <c r="C859" s="6"/>
      <c r="D859" s="6"/>
    </row>
    <row r="860" spans="1:4">
      <c r="A860" s="35"/>
      <c r="B860" s="36"/>
      <c r="C860" s="6"/>
      <c r="D860" s="6"/>
    </row>
    <row r="861" spans="1:4">
      <c r="A861" s="35"/>
      <c r="B861" s="36"/>
      <c r="C861" s="6"/>
      <c r="D861" s="6"/>
    </row>
    <row r="862" spans="1:4">
      <c r="A862" s="35"/>
      <c r="B862" s="36"/>
      <c r="C862" s="6"/>
      <c r="D862" s="6"/>
    </row>
    <row r="863" spans="1:4">
      <c r="A863" s="35"/>
      <c r="B863" s="36"/>
      <c r="C863" s="6"/>
      <c r="D863" s="6"/>
    </row>
    <row r="864" spans="1:4">
      <c r="A864" s="35"/>
      <c r="B864" s="36"/>
      <c r="C864" s="6"/>
      <c r="D864" s="6"/>
    </row>
    <row r="865" spans="1:4">
      <c r="A865" s="35"/>
      <c r="B865" s="36"/>
      <c r="C865" s="6"/>
      <c r="D865" s="6"/>
    </row>
    <row r="866" spans="1:4">
      <c r="A866" s="35"/>
      <c r="B866" s="36"/>
      <c r="C866" s="6"/>
      <c r="D866" s="6"/>
    </row>
    <row r="867" spans="1:4">
      <c r="A867" s="35"/>
      <c r="B867" s="36"/>
      <c r="C867" s="6"/>
      <c r="D867" s="6"/>
    </row>
    <row r="868" spans="1:4">
      <c r="A868" s="35"/>
      <c r="B868" s="36"/>
      <c r="C868" s="6"/>
      <c r="D868" s="6"/>
    </row>
    <row r="869" spans="1:4">
      <c r="A869" s="35"/>
      <c r="B869" s="36"/>
      <c r="C869" s="6"/>
      <c r="D869" s="6"/>
    </row>
    <row r="870" spans="1:4">
      <c r="A870" s="35"/>
      <c r="B870" s="36"/>
      <c r="C870" s="6"/>
      <c r="D870" s="6"/>
    </row>
    <row r="871" spans="1:4">
      <c r="A871" s="35"/>
      <c r="B871" s="36"/>
      <c r="C871" s="6"/>
      <c r="D871" s="6"/>
    </row>
    <row r="872" spans="1:4">
      <c r="A872" s="35"/>
      <c r="B872" s="36"/>
      <c r="C872" s="6"/>
      <c r="D872" s="6"/>
    </row>
    <row r="873" spans="1:4">
      <c r="A873" s="35"/>
      <c r="B873" s="36"/>
      <c r="C873" s="6"/>
      <c r="D873" s="6"/>
    </row>
    <row r="874" spans="1:4">
      <c r="A874" s="35"/>
      <c r="B874" s="36"/>
      <c r="C874" s="6"/>
      <c r="D874" s="6"/>
    </row>
    <row r="875" spans="1:4">
      <c r="A875" s="35"/>
      <c r="B875" s="36"/>
      <c r="C875" s="6"/>
      <c r="D875" s="6"/>
    </row>
    <row r="876" spans="1:4">
      <c r="A876" s="35"/>
      <c r="B876" s="36"/>
      <c r="C876" s="6"/>
      <c r="D876" s="6"/>
    </row>
    <row r="877" spans="1:4">
      <c r="A877" s="35"/>
      <c r="B877" s="36"/>
      <c r="C877" s="6"/>
      <c r="D877" s="6"/>
    </row>
    <row r="878" spans="1:4">
      <c r="A878" s="35"/>
      <c r="B878" s="36"/>
      <c r="C878" s="6"/>
      <c r="D878" s="6"/>
    </row>
    <row r="879" spans="1:4">
      <c r="A879" s="35"/>
      <c r="B879" s="36"/>
      <c r="C879" s="6"/>
      <c r="D879" s="6"/>
    </row>
    <row r="880" spans="1:4">
      <c r="A880" s="35"/>
      <c r="B880" s="36"/>
      <c r="C880" s="6"/>
      <c r="D880" s="6"/>
    </row>
    <row r="881" spans="1:4">
      <c r="A881" s="35"/>
      <c r="B881" s="36"/>
      <c r="C881" s="6"/>
      <c r="D881" s="6"/>
    </row>
    <row r="882" spans="1:4">
      <c r="A882" s="35"/>
      <c r="B882" s="36"/>
      <c r="C882" s="6"/>
      <c r="D882" s="6"/>
    </row>
    <row r="883" spans="1:4">
      <c r="A883" s="35"/>
      <c r="B883" s="36"/>
      <c r="C883" s="6"/>
      <c r="D883" s="6"/>
    </row>
    <row r="884" spans="1:4">
      <c r="A884" s="35"/>
      <c r="B884" s="36"/>
      <c r="C884" s="6"/>
      <c r="D884" s="6"/>
    </row>
    <row r="885" spans="1:4">
      <c r="A885" s="35"/>
      <c r="B885" s="36"/>
      <c r="C885" s="6"/>
      <c r="D885" s="6"/>
    </row>
    <row r="886" spans="1:4">
      <c r="A886" s="35"/>
      <c r="B886" s="36"/>
      <c r="C886" s="6"/>
      <c r="D886" s="6"/>
    </row>
    <row r="887" spans="1:4">
      <c r="A887" s="35"/>
      <c r="B887" s="36"/>
      <c r="C887" s="6"/>
      <c r="D887" s="6"/>
    </row>
    <row r="888" spans="1:4">
      <c r="A888" s="35"/>
      <c r="B888" s="36"/>
      <c r="C888" s="6"/>
      <c r="D888" s="6"/>
    </row>
    <row r="889" spans="1:4">
      <c r="A889" s="35"/>
      <c r="B889" s="36"/>
      <c r="C889" s="6"/>
      <c r="D889" s="6"/>
    </row>
    <row r="890" spans="1:4">
      <c r="A890" s="35"/>
      <c r="B890" s="36"/>
      <c r="C890" s="6"/>
      <c r="D890" s="6"/>
    </row>
    <row r="891" spans="1:4">
      <c r="A891" s="35"/>
      <c r="B891" s="36"/>
      <c r="C891" s="6"/>
      <c r="D891" s="6"/>
    </row>
    <row r="892" spans="1:4">
      <c r="A892" s="35"/>
      <c r="B892" s="36"/>
      <c r="C892" s="6"/>
      <c r="D892" s="6"/>
    </row>
    <row r="893" spans="1:4">
      <c r="A893" s="35"/>
      <c r="B893" s="36"/>
      <c r="C893" s="6"/>
      <c r="D893" s="6"/>
    </row>
    <row r="894" spans="1:4">
      <c r="A894" s="35"/>
      <c r="B894" s="36"/>
      <c r="C894" s="6"/>
      <c r="D894" s="6"/>
    </row>
    <row r="895" spans="1:4">
      <c r="A895" s="35"/>
      <c r="B895" s="36"/>
      <c r="C895" s="6"/>
      <c r="D895" s="6"/>
    </row>
    <row r="896" spans="1:4">
      <c r="A896" s="35"/>
      <c r="B896" s="36"/>
      <c r="C896" s="6"/>
      <c r="D896" s="6"/>
    </row>
    <row r="897" spans="1:4">
      <c r="A897" s="35"/>
      <c r="B897" s="36"/>
      <c r="C897" s="6"/>
      <c r="D897" s="6"/>
    </row>
    <row r="898" spans="1:4">
      <c r="A898" s="35"/>
      <c r="B898" s="36"/>
      <c r="C898" s="6"/>
      <c r="D898" s="6"/>
    </row>
    <row r="899" spans="1:4">
      <c r="A899" s="35"/>
      <c r="B899" s="36"/>
      <c r="C899" s="6"/>
      <c r="D899" s="6"/>
    </row>
    <row r="900" spans="1:4">
      <c r="A900" s="35"/>
      <c r="B900" s="36"/>
      <c r="C900" s="6"/>
      <c r="D900" s="6"/>
    </row>
    <row r="901" spans="1:4">
      <c r="A901" s="35"/>
      <c r="B901" s="36"/>
      <c r="C901" s="6"/>
      <c r="D901" s="6"/>
    </row>
    <row r="902" spans="1:4">
      <c r="A902" s="35"/>
      <c r="B902" s="36"/>
      <c r="C902" s="6"/>
      <c r="D902" s="6"/>
    </row>
    <row r="903" spans="1:4">
      <c r="A903" s="35"/>
      <c r="B903" s="36"/>
      <c r="C903" s="6"/>
      <c r="D903" s="6"/>
    </row>
    <row r="904" spans="1:4">
      <c r="A904" s="35"/>
      <c r="B904" s="36"/>
      <c r="C904" s="6"/>
      <c r="D904" s="6"/>
    </row>
    <row r="905" spans="1:4">
      <c r="A905" s="35"/>
      <c r="B905" s="36"/>
      <c r="C905" s="6"/>
      <c r="D905" s="6"/>
    </row>
    <row r="906" spans="1:4">
      <c r="A906" s="35"/>
      <c r="B906" s="36"/>
      <c r="C906" s="6"/>
      <c r="D906" s="6"/>
    </row>
    <row r="907" spans="1:4">
      <c r="A907" s="35"/>
      <c r="B907" s="36"/>
      <c r="C907" s="6"/>
      <c r="D907" s="6"/>
    </row>
    <row r="908" spans="1:4">
      <c r="A908" s="35"/>
      <c r="B908" s="36"/>
      <c r="C908" s="6"/>
      <c r="D908" s="6"/>
    </row>
    <row r="909" spans="1:4">
      <c r="A909" s="35"/>
      <c r="B909" s="36"/>
      <c r="C909" s="6"/>
      <c r="D909" s="6"/>
    </row>
    <row r="910" spans="1:4">
      <c r="A910" s="35"/>
      <c r="B910" s="36"/>
      <c r="C910" s="6"/>
      <c r="D910" s="6"/>
    </row>
    <row r="911" spans="1:4">
      <c r="A911" s="35"/>
      <c r="B911" s="36"/>
      <c r="C911" s="6"/>
      <c r="D911" s="6"/>
    </row>
    <row r="912" spans="1:4">
      <c r="A912" s="35"/>
      <c r="B912" s="36"/>
      <c r="C912" s="6"/>
      <c r="D912" s="6"/>
    </row>
    <row r="913" spans="1:4">
      <c r="A913" s="35"/>
      <c r="B913" s="36"/>
      <c r="C913" s="6"/>
      <c r="D913" s="6"/>
    </row>
    <row r="914" spans="1:4">
      <c r="A914" s="35"/>
      <c r="B914" s="36"/>
      <c r="C914" s="6"/>
      <c r="D914" s="6"/>
    </row>
    <row r="915" spans="1:4">
      <c r="A915" s="35"/>
      <c r="B915" s="36"/>
      <c r="C915" s="6"/>
      <c r="D915" s="6"/>
    </row>
    <row r="916" spans="1:4">
      <c r="A916" s="35"/>
      <c r="B916" s="36"/>
      <c r="C916" s="6"/>
      <c r="D916" s="6"/>
    </row>
    <row r="917" spans="1:4">
      <c r="A917" s="35"/>
      <c r="B917" s="36"/>
      <c r="C917" s="6"/>
      <c r="D917" s="6"/>
    </row>
    <row r="918" spans="1:4">
      <c r="A918" s="35"/>
      <c r="B918" s="36"/>
      <c r="C918" s="6"/>
      <c r="D918" s="6"/>
    </row>
    <row r="919" spans="1:4">
      <c r="A919" s="35"/>
      <c r="B919" s="36"/>
      <c r="C919" s="6"/>
      <c r="D919" s="6"/>
    </row>
    <row r="920" spans="1:4">
      <c r="A920" s="35"/>
      <c r="B920" s="36"/>
      <c r="C920" s="6"/>
      <c r="D920" s="6"/>
    </row>
    <row r="921" spans="1:4">
      <c r="A921" s="35"/>
      <c r="B921" s="36"/>
      <c r="C921" s="6"/>
      <c r="D921" s="6"/>
    </row>
    <row r="922" spans="1:4">
      <c r="A922" s="35"/>
      <c r="B922" s="36"/>
      <c r="C922" s="6"/>
      <c r="D922" s="6"/>
    </row>
    <row r="923" spans="1:4">
      <c r="A923" s="35"/>
      <c r="B923" s="36"/>
      <c r="C923" s="6"/>
      <c r="D923" s="6"/>
    </row>
    <row r="924" spans="1:4">
      <c r="A924" s="35"/>
      <c r="B924" s="36"/>
      <c r="C924" s="6"/>
      <c r="D924" s="6"/>
    </row>
    <row r="925" spans="1:4">
      <c r="A925" s="35"/>
      <c r="B925" s="36"/>
      <c r="C925" s="6"/>
      <c r="D925" s="6"/>
    </row>
    <row r="926" spans="1:4">
      <c r="A926" s="35"/>
      <c r="B926" s="36"/>
      <c r="C926" s="6"/>
      <c r="D926" s="6"/>
    </row>
    <row r="927" spans="1:4">
      <c r="A927" s="35"/>
      <c r="B927" s="36"/>
      <c r="C927" s="6"/>
      <c r="D927" s="6"/>
    </row>
    <row r="928" spans="1:4">
      <c r="A928" s="35"/>
      <c r="B928" s="36"/>
      <c r="C928" s="6"/>
      <c r="D928" s="6"/>
    </row>
    <row r="929" spans="1:4">
      <c r="A929" s="35"/>
      <c r="B929" s="36"/>
      <c r="C929" s="6"/>
      <c r="D929" s="6"/>
    </row>
    <row r="930" spans="1:4">
      <c r="A930" s="35"/>
      <c r="B930" s="36"/>
      <c r="C930" s="6"/>
      <c r="D930" s="6"/>
    </row>
    <row r="931" spans="1:4">
      <c r="A931" s="35"/>
      <c r="B931" s="36"/>
      <c r="C931" s="6"/>
      <c r="D931" s="6"/>
    </row>
    <row r="932" spans="1:4">
      <c r="A932" s="35"/>
      <c r="B932" s="36"/>
      <c r="C932" s="6"/>
      <c r="D932" s="6"/>
    </row>
    <row r="933" spans="1:4">
      <c r="A933" s="35"/>
      <c r="B933" s="36"/>
      <c r="C933" s="6"/>
      <c r="D933" s="6"/>
    </row>
    <row r="934" spans="1:4">
      <c r="A934" s="35"/>
      <c r="B934" s="36"/>
      <c r="C934" s="6"/>
      <c r="D934" s="6"/>
    </row>
    <row r="935" spans="1:4">
      <c r="A935" s="35"/>
      <c r="B935" s="36"/>
      <c r="C935" s="6"/>
      <c r="D935" s="6"/>
    </row>
    <row r="936" spans="1:4">
      <c r="A936" s="35"/>
      <c r="B936" s="36"/>
      <c r="C936" s="6"/>
      <c r="D936" s="6"/>
    </row>
    <row r="937" spans="1:4">
      <c r="A937" s="35"/>
      <c r="B937" s="36"/>
      <c r="C937" s="6"/>
      <c r="D937" s="6"/>
    </row>
    <row r="938" spans="1:4">
      <c r="A938" s="35"/>
      <c r="B938" s="36"/>
      <c r="C938" s="6"/>
      <c r="D938" s="6"/>
    </row>
    <row r="939" spans="1:4">
      <c r="A939" s="35"/>
      <c r="B939" s="36"/>
      <c r="C939" s="6"/>
      <c r="D939" s="6"/>
    </row>
    <row r="940" spans="1:4">
      <c r="A940" s="35"/>
      <c r="B940" s="36"/>
      <c r="C940" s="6"/>
      <c r="D940" s="6"/>
    </row>
    <row r="941" spans="1:4">
      <c r="A941" s="35"/>
      <c r="B941" s="36"/>
      <c r="C941" s="6"/>
      <c r="D941" s="6"/>
    </row>
    <row r="942" spans="1:4">
      <c r="A942" s="35"/>
      <c r="B942" s="36"/>
      <c r="C942" s="6"/>
      <c r="D942" s="6"/>
    </row>
    <row r="943" spans="1:4">
      <c r="A943" s="35"/>
      <c r="B943" s="36"/>
      <c r="C943" s="6"/>
      <c r="D943" s="6"/>
    </row>
    <row r="944" spans="1:4">
      <c r="A944" s="35"/>
      <c r="B944" s="36"/>
      <c r="C944" s="6"/>
      <c r="D944" s="6"/>
    </row>
    <row r="945" spans="1:4">
      <c r="A945" s="35"/>
      <c r="B945" s="36"/>
      <c r="C945" s="6"/>
      <c r="D945" s="6"/>
    </row>
    <row r="946" spans="1:4">
      <c r="A946" s="35"/>
      <c r="B946" s="36"/>
      <c r="C946" s="6"/>
      <c r="D946" s="6"/>
    </row>
    <row r="947" spans="1:4">
      <c r="A947" s="35"/>
      <c r="B947" s="36"/>
      <c r="C947" s="6"/>
      <c r="D947" s="6"/>
    </row>
    <row r="948" spans="1:4">
      <c r="A948" s="35"/>
      <c r="B948" s="36"/>
      <c r="C948" s="6"/>
      <c r="D948" s="6"/>
    </row>
    <row r="949" spans="1:4">
      <c r="A949" s="35"/>
      <c r="B949" s="36"/>
      <c r="C949" s="6"/>
      <c r="D949" s="6"/>
    </row>
    <row r="950" spans="1:4">
      <c r="A950" s="35"/>
      <c r="B950" s="36"/>
      <c r="C950" s="6"/>
      <c r="D950" s="6"/>
    </row>
    <row r="951" spans="1:4">
      <c r="A951" s="35"/>
      <c r="B951" s="36"/>
      <c r="C951" s="6"/>
      <c r="D951" s="6"/>
    </row>
    <row r="952" spans="1:4">
      <c r="A952" s="35"/>
      <c r="B952" s="36"/>
      <c r="C952" s="6"/>
      <c r="D952" s="6"/>
    </row>
    <row r="953" spans="1:4">
      <c r="A953" s="35"/>
      <c r="B953" s="36"/>
      <c r="C953" s="6"/>
      <c r="D953" s="6"/>
    </row>
    <row r="954" spans="1:4">
      <c r="A954" s="35"/>
      <c r="B954" s="36"/>
      <c r="C954" s="6"/>
      <c r="D954" s="6"/>
    </row>
    <row r="955" spans="1:4">
      <c r="A955" s="35"/>
      <c r="B955" s="36"/>
      <c r="C955" s="6"/>
      <c r="D955" s="6"/>
    </row>
    <row r="956" spans="1:4">
      <c r="A956" s="35"/>
      <c r="B956" s="36"/>
      <c r="C956" s="6"/>
      <c r="D956" s="6"/>
    </row>
    <row r="957" spans="1:4">
      <c r="A957" s="35"/>
      <c r="B957" s="36"/>
      <c r="C957" s="6"/>
      <c r="D957" s="6"/>
    </row>
    <row r="958" spans="1:4">
      <c r="A958" s="35"/>
      <c r="B958" s="36"/>
      <c r="C958" s="6"/>
      <c r="D958" s="6"/>
    </row>
    <row r="959" spans="1:4">
      <c r="A959" s="35"/>
      <c r="B959" s="36"/>
      <c r="C959" s="6"/>
      <c r="D959" s="6"/>
    </row>
    <row r="960" spans="1:4">
      <c r="A960" s="35"/>
      <c r="B960" s="36"/>
      <c r="C960" s="6"/>
      <c r="D960" s="6"/>
    </row>
    <row r="961" spans="1:4">
      <c r="A961" s="35"/>
      <c r="B961" s="36"/>
      <c r="C961" s="6"/>
      <c r="D961" s="6"/>
    </row>
    <row r="962" spans="1:4">
      <c r="A962" s="35"/>
      <c r="B962" s="36"/>
      <c r="C962" s="6"/>
      <c r="D962" s="6"/>
    </row>
    <row r="963" spans="1:4">
      <c r="A963" s="35"/>
      <c r="B963" s="36"/>
      <c r="C963" s="6"/>
      <c r="D963" s="6"/>
    </row>
    <row r="964" spans="1:4">
      <c r="A964" s="35"/>
      <c r="B964" s="36"/>
      <c r="C964" s="6"/>
      <c r="D964" s="6"/>
    </row>
    <row r="965" spans="1:4">
      <c r="A965" s="35"/>
      <c r="B965" s="36"/>
      <c r="C965" s="6"/>
      <c r="D965" s="6"/>
    </row>
    <row r="966" spans="1:4">
      <c r="A966" s="35"/>
      <c r="B966" s="36"/>
      <c r="C966" s="6"/>
      <c r="D966" s="6"/>
    </row>
    <row r="967" spans="1:4">
      <c r="A967" s="35"/>
      <c r="B967" s="36"/>
      <c r="C967" s="6"/>
      <c r="D967" s="6"/>
    </row>
    <row r="968" spans="1:4">
      <c r="A968" s="35"/>
      <c r="B968" s="36"/>
      <c r="C968" s="6"/>
      <c r="D968" s="6"/>
    </row>
    <row r="969" spans="1:4">
      <c r="A969" s="35"/>
      <c r="B969" s="36"/>
      <c r="C969" s="6"/>
      <c r="D969" s="6"/>
    </row>
    <row r="970" spans="1:4">
      <c r="A970" s="35"/>
      <c r="B970" s="36"/>
      <c r="C970" s="6"/>
      <c r="D970" s="6"/>
    </row>
    <row r="971" spans="1:4">
      <c r="A971" s="35"/>
      <c r="B971" s="36"/>
      <c r="C971" s="6"/>
      <c r="D971" s="6"/>
    </row>
    <row r="972" spans="1:4">
      <c r="A972" s="35"/>
      <c r="B972" s="36"/>
      <c r="C972" s="6"/>
      <c r="D972" s="6"/>
    </row>
    <row r="973" spans="1:4">
      <c r="A973" s="35"/>
      <c r="B973" s="36"/>
      <c r="C973" s="6"/>
      <c r="D973" s="6"/>
    </row>
    <row r="974" spans="1:4">
      <c r="A974" s="35"/>
      <c r="B974" s="36"/>
      <c r="C974" s="6"/>
      <c r="D974" s="6"/>
    </row>
    <row r="975" spans="1:4">
      <c r="A975" s="35"/>
      <c r="B975" s="36"/>
      <c r="C975" s="6"/>
      <c r="D975" s="6"/>
    </row>
    <row r="976" spans="1:4">
      <c r="A976" s="35"/>
      <c r="B976" s="36"/>
      <c r="C976" s="6"/>
      <c r="D976" s="6"/>
    </row>
    <row r="977" spans="1:4">
      <c r="A977" s="35"/>
      <c r="B977" s="36"/>
      <c r="C977" s="6"/>
      <c r="D977" s="6"/>
    </row>
    <row r="978" spans="1:4">
      <c r="A978" s="35"/>
      <c r="B978" s="36"/>
      <c r="C978" s="6"/>
      <c r="D978" s="6"/>
    </row>
    <row r="979" spans="1:4">
      <c r="A979" s="35"/>
      <c r="B979" s="36"/>
      <c r="C979" s="6"/>
      <c r="D979" s="6"/>
    </row>
    <row r="980" spans="1:4">
      <c r="A980" s="35"/>
      <c r="B980" s="36"/>
      <c r="C980" s="6"/>
      <c r="D980" s="6"/>
    </row>
    <row r="981" spans="1:4">
      <c r="A981" s="35"/>
      <c r="B981" s="36"/>
      <c r="C981" s="6"/>
      <c r="D981" s="6"/>
    </row>
    <row r="982" spans="1:4">
      <c r="A982" s="35"/>
      <c r="B982" s="36"/>
      <c r="C982" s="6"/>
      <c r="D982" s="6"/>
    </row>
    <row r="983" spans="1:4">
      <c r="A983" s="35"/>
      <c r="B983" s="36"/>
      <c r="C983" s="6"/>
      <c r="D983" s="6"/>
    </row>
    <row r="984" spans="1:4">
      <c r="A984" s="35"/>
      <c r="B984" s="36"/>
      <c r="C984" s="6"/>
      <c r="D984" s="6"/>
    </row>
    <row r="985" spans="1:4">
      <c r="A985" s="35"/>
      <c r="B985" s="36"/>
      <c r="C985" s="6"/>
      <c r="D985" s="6"/>
    </row>
    <row r="986" spans="1:4">
      <c r="A986" s="35"/>
      <c r="B986" s="36"/>
      <c r="C986" s="6"/>
      <c r="D986" s="6"/>
    </row>
    <row r="987" spans="1:4">
      <c r="A987" s="35"/>
      <c r="B987" s="36"/>
      <c r="C987" s="6"/>
      <c r="D987" s="6"/>
    </row>
    <row r="988" spans="1:4">
      <c r="A988" s="35"/>
      <c r="B988" s="36"/>
      <c r="C988" s="6"/>
      <c r="D988" s="6"/>
    </row>
    <row r="989" spans="1:4">
      <c r="A989" s="35"/>
      <c r="B989" s="36"/>
      <c r="C989" s="6"/>
      <c r="D989" s="6"/>
    </row>
    <row r="990" spans="1:4">
      <c r="A990" s="35"/>
      <c r="B990" s="36"/>
      <c r="C990" s="6"/>
      <c r="D990" s="6"/>
    </row>
    <row r="991" spans="1:4">
      <c r="A991" s="35"/>
      <c r="B991" s="36"/>
      <c r="C991" s="6"/>
      <c r="D991" s="6"/>
    </row>
    <row r="992" spans="1:4">
      <c r="A992" s="35"/>
      <c r="B992" s="36"/>
      <c r="C992" s="6"/>
      <c r="D992" s="6"/>
    </row>
    <row r="993" spans="1:4">
      <c r="A993" s="35"/>
      <c r="B993" s="36"/>
      <c r="C993" s="6"/>
      <c r="D993" s="6"/>
    </row>
    <row r="994" spans="1:4">
      <c r="A994" s="35"/>
      <c r="B994" s="36"/>
      <c r="C994" s="6"/>
      <c r="D994" s="6"/>
    </row>
    <row r="995" spans="1:4">
      <c r="A995" s="35"/>
      <c r="B995" s="36"/>
      <c r="C995" s="6"/>
      <c r="D995" s="6"/>
    </row>
    <row r="996" spans="1:4">
      <c r="A996" s="35"/>
      <c r="B996" s="36"/>
      <c r="C996" s="6"/>
      <c r="D996" s="6"/>
    </row>
    <row r="997" spans="1:4">
      <c r="A997" s="35"/>
      <c r="B997" s="36"/>
      <c r="C997" s="6"/>
      <c r="D997" s="6"/>
    </row>
    <row r="998" spans="1:4">
      <c r="A998" s="35"/>
      <c r="B998" s="36"/>
      <c r="C998" s="6"/>
      <c r="D998" s="6"/>
    </row>
    <row r="999" spans="1:4">
      <c r="A999" s="35"/>
      <c r="B999" s="36"/>
      <c r="C999" s="6"/>
      <c r="D999" s="6"/>
    </row>
    <row r="1000" spans="1:4">
      <c r="A1000" s="35"/>
      <c r="B1000" s="36"/>
      <c r="C1000" s="6"/>
      <c r="D1000" s="6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Z13"/>
  <sheetViews>
    <sheetView workbookViewId="0"/>
  </sheetViews>
  <sheetFormatPr baseColWidth="10" defaultColWidth="14.44140625" defaultRowHeight="15" customHeight="1"/>
  <sheetData>
    <row r="1" spans="1:26">
      <c r="A1" s="40" t="s">
        <v>371</v>
      </c>
      <c r="B1" s="40" t="s">
        <v>372</v>
      </c>
      <c r="C1" s="41" t="s">
        <v>373</v>
      </c>
      <c r="D1" s="41" t="s">
        <v>374</v>
      </c>
      <c r="E1" s="42" t="s">
        <v>375</v>
      </c>
      <c r="F1" s="42" t="s">
        <v>376</v>
      </c>
      <c r="G1" s="43" t="s">
        <v>377</v>
      </c>
      <c r="H1" s="43" t="s">
        <v>378</v>
      </c>
      <c r="I1" s="44" t="s">
        <v>379</v>
      </c>
      <c r="J1" s="44" t="s">
        <v>380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8">
        <v>5</v>
      </c>
      <c r="B2" s="1" t="s">
        <v>381</v>
      </c>
      <c r="C2" s="8">
        <v>999</v>
      </c>
      <c r="D2" s="10">
        <v>1</v>
      </c>
      <c r="E2" s="10">
        <v>1</v>
      </c>
      <c r="F2" s="45">
        <v>0.75</v>
      </c>
      <c r="G2" s="45">
        <v>0.75</v>
      </c>
      <c r="H2" s="46">
        <v>0.5</v>
      </c>
      <c r="I2" s="46">
        <v>0.5</v>
      </c>
      <c r="J2" s="8">
        <v>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5" spans="1:26">
      <c r="C5" s="18"/>
      <c r="D5" s="47"/>
    </row>
    <row r="6" spans="1:26">
      <c r="C6" s="18"/>
      <c r="D6" s="18"/>
    </row>
    <row r="7" spans="1:26">
      <c r="C7" s="18"/>
      <c r="D7" s="18"/>
    </row>
    <row r="8" spans="1:26">
      <c r="D8" s="18"/>
    </row>
    <row r="10" spans="1:26">
      <c r="B10" s="17"/>
    </row>
    <row r="11" spans="1:26">
      <c r="B11" s="17"/>
    </row>
    <row r="12" spans="1:26">
      <c r="B12" s="17"/>
    </row>
    <row r="13" spans="1:26">
      <c r="B13" s="17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4.44140625" defaultRowHeight="15" customHeight="1"/>
  <sheetData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procesados 2012</vt:lpstr>
      <vt:lpstr>Datos procesados 2024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2026-06-05T05:25:19Z</dcterms:modified>
</cp:coreProperties>
</file>